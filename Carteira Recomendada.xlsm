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I:\GESTAO\3) Carteira Recomendada\"/>
    </mc:Choice>
  </mc:AlternateContent>
  <xr:revisionPtr revIDLastSave="0" documentId="13_ncr:1_{2AB72750-2CED-4E94-90E0-E1BC65433B18}" xr6:coauthVersionLast="47" xr6:coauthVersionMax="47" xr10:uidLastSave="{00000000-0000-0000-0000-000000000000}"/>
  <bookViews>
    <workbookView xWindow="-120" yWindow="-120" windowWidth="29040" windowHeight="15840" tabRatio="857" firstSheet="2" activeTab="8" xr2:uid="{EAE16046-CBDD-FF47-BD5A-93D2786FDCCF}"/>
  </bookViews>
  <sheets>
    <sheet name="Inicio" sheetId="24" state="hidden" r:id="rId1"/>
    <sheet name="Base Carteiras" sheetId="19" state="hidden" r:id="rId2"/>
    <sheet name="Fund Guide" sheetId="52" r:id="rId3"/>
    <sheet name="Seleção RF e RV" sheetId="59" r:id="rId4"/>
    <sheet name="Produtos Selecionados" sheetId="55" r:id="rId5"/>
    <sheet name="Asset Allocation Estrutural" sheetId="60" r:id="rId6"/>
    <sheet name="Asset Allocation" sheetId="44" r:id="rId7"/>
    <sheet name="Portfólios Modelo" sheetId="45" r:id="rId8"/>
    <sheet name="Portfólio Sugerido" sheetId="57" r:id="rId9"/>
    <sheet name="Documento PDF" sheetId="16" r:id="rId10"/>
    <sheet name="Classificação" sheetId="54" r:id="rId11"/>
    <sheet name="Template" sheetId="35" state="hidden" r:id="rId12"/>
  </sheets>
  <externalReferences>
    <externalReference r:id="rId13"/>
    <externalReference r:id="rId14"/>
    <externalReference r:id="rId15"/>
  </externalReferences>
  <definedNames>
    <definedName name="_xlnm._FilterDatabase" localSheetId="1" hidden="1">'Base Carteiras'!$D$5:$E$42</definedName>
    <definedName name="_xlnm._FilterDatabase" localSheetId="2" hidden="1">'Fund Guide'!$B$4:$AR$1199</definedName>
    <definedName name="a_int" localSheetId="11">OFFSET('[1]Menu de Produtos'!$B$7,MATCH("Ações Internacionais",'[1]Menu de Produtos'!$B$7:$B$148,0),,OFFSET('[1]Menu de Produtos'!$B$7,MATCH("Ações Internacionais",'[1]Menu de Produtos'!$B$7:$B$148,0)-1,1))</definedName>
    <definedName name="a_lb" localSheetId="11">OFFSET('[1]Menu de Produtos'!$B$7,MATCH("Ações Long Bias",'[1]Menu de Produtos'!$B$7:$B$148,0),,OFFSET('[1]Menu de Produtos'!$B$7,MATCH("Ações Long Bias",'[1]Menu de Produtos'!$B$7:$B$148,0)-1,1))</definedName>
    <definedName name="a_lo" localSheetId="11">OFFSET('[1]Menu de Produtos'!$B$7,MATCH("Ações Long Only",'[1]Menu de Produtos'!$B$7:$B$148,0),,OFFSET('[1]Menu de Produtos'!$B$7,MATCH("Ações Long Only",'[1]Menu de Produtos'!$B$7:$B$148,0)-1,1))</definedName>
    <definedName name="Alternativos">OFFSET(Classificação!$AA$27,1,,COUNTA(Classificação!$AA:$AA)-COUNTA(Classificação!$AA$1:$AA$27))</definedName>
    <definedName name="Arbitragem">OFFSET(Classificação!$X$27,1,,COUNTA(Classificação!$X:$X)-COUNTA(Classificação!$X$1:$X$27))</definedName>
    <definedName name="base_fundos" localSheetId="11">OFFSET('[1]Base Fundos BTG (todos)'!$B$5,, ,COUNTA('[1]Base Fundos BTG (todos)'!$B:$B)-1)</definedName>
    <definedName name="cambial" localSheetId="11">OFFSET('[1]Menu de Produtos'!$B$7,MATCH("Cambial",'[1]Menu de Produtos'!$B$7:$B$148,0),,OFFSET('[1]Menu de Produtos'!$B$7,MATCH("Cambial",'[1]Menu de Produtos'!$B$7:$B$148,0)-1,1))</definedName>
    <definedName name="China">OFFSET(Classificação!$AB$27,1,,COUNTA(Classificação!$AB:$AB)-COUNTA(Classificação!$AB$1:$AB$27))</definedName>
    <definedName name="EM">OFFSET(Classificação!$AF$27,1,,COUNTA(Classificação!$AF:$AF)-COUNTA(Classificação!$AF$1:$AF$27))</definedName>
    <definedName name="EUA">OFFSET(Classificação!$AC$27,1,,COUNTA(Classificação!$AC:$AC)-COUNTA(Classificação!$AC$1:$AC$27))</definedName>
    <definedName name="Europa">OFFSET(Classificação!$AD$27,1,,COUNTA(Classificação!$AD:$AD)-COUNTA(Classificação!$AD$1:$AD$27))</definedName>
    <definedName name="Global">OFFSET(Classificação!$AE$27,1,,COUNTA(Classificação!$AE:$AE)-COUNTA(Classificação!$AE$1:$AE$27))</definedName>
    <definedName name="imobiliario" localSheetId="11">OFFSET('[1]Menu de Produtos'!$B$7,MATCH("Imobiliário",'[1]Menu de Produtos'!$B$7:$B$148,0),,OFFSET('[1]Menu de Produtos'!$B$7,MATCH("Imobiliário",'[1]Menu de Produtos'!$B$7:$B$148,0)-1,1))</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m_highvol" localSheetId="11">OFFSET('[1]Menu de Produtos'!$B$7,MATCH("MM High Vol",'[1]Menu de Produtos'!$B$7:$B$148,0),,OFFSET('[1]Menu de Produtos'!$B$7,MATCH("MM High Vol",'[1]Menu de Produtos'!$B$7:$B$148,0)-1,1))</definedName>
    <definedName name="mm_lowvol" localSheetId="11">OFFSET('[1]Menu de Produtos'!$B$7,MATCH("MM Low Vol",'[1]Menu de Produtos'!$B$7:$B$148,0),,OFFSET('[1]Menu de Produtos'!$B$7,MATCH("MM Low Vol",'[1]Menu de Produtos'!$B$7:$B$148,0)-1,1))</definedName>
    <definedName name="mm_ls" localSheetId="11">IFERROR(OFFSET('[1]Menu de Produtos'!$B$7,MATCH("MM Long &amp; Short",'[1]Menu de Produtos'!$B$7:$B$148,0),,OFFSET('[1]Menu de Produtos'!$B$7,MATCH("MM Long &amp; Short",'[1]Menu de Produtos'!$B$7:$B$148,0)-1,1)),"")</definedName>
    <definedName name="Multiestratégia">OFFSET(Classificação!$W$27,1,,COUNTA(Classificação!$W:$W)-COUNTA(Classificação!$W$1:$W$27))</definedName>
    <definedName name="nomes_grafico" localSheetId="11">OFFSET(Template!#REF!,,,COUNTA(Template!$B:$B)-COUNTA(Template!$B$1:$B$16)-1)</definedName>
    <definedName name="nomes_grafico2" localSheetId="11">OFFSET(Template!#REF!,,,COUNTA(Template!$F:$F)-COUNTA(Template!$F$1:$F$16))</definedName>
    <definedName name="outros" localSheetId="11">OFFSET('[1]Menu de Produtos'!$B$7,MATCH("Outros",'[1]Menu de Produtos'!$B$7:$B$148,0),,OFFSET('[1]Menu de Produtos'!$B$7,MATCH("Outros",'[1]Menu de Produtos'!$B$7:$B$148,0)-1,1))</definedName>
    <definedName name="porcentagens_grafico" localSheetId="11">OFFSET(Template!#REF!,,,COUNTA(Template!$C:$C)-COUNTA(Template!$C$1:$C$16))</definedName>
    <definedName name="porcentagens_grafico2" localSheetId="11">OFFSET(Template!#REF!,,,COUNTA(Template!$G:$G)-COUNTA(Template!$G$1:$G$16))</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f_infl1" localSheetId="11">OFFSET('[1]Menu de Produtos'!$B$7,MATCH("RF Inflação - Debêntures/Infra/Tesouro",'[1]Menu de Produtos'!$B$7:$B$148,0),,OFFSET('[1]Menu de Produtos'!$B$7,MATCH("RF Inflação - Debêntures/Infra/Tesouro",'[1]Menu de Produtos'!$B$7:$B$148,0)-1,1))</definedName>
    <definedName name="rf_infl2" localSheetId="11">OFFSET('[1]Menu de Produtos'!$B$7,MATCH("RF Inflação - CP",'[1]Menu de Produtos'!$B$7:$B$148,0),,OFFSET('[1]Menu de Produtos'!$B$7,MATCH("RF Inflação - CP",'[1]Menu de Produtos'!$B$7:$B$148,0)-1,1))</definedName>
    <definedName name="rf_pos" localSheetId="11">OFFSET('[1]Menu de Produtos'!$B$7,MATCH("RF Pós",'[1]Menu de Produtos'!$B$7:$B$148,0),,OFFSET('[1]Menu de Produtos'!$B$7,MATCH("RF Pós",'[1]Menu de Produtos'!$B$7:$B$148,0)-1,1))</definedName>
    <definedName name="rf_pre" localSheetId="11">OFFSET('[1]Menu de Produtos'!$B$7,MATCH("RF Pré",'[1]Menu de Produtos'!$B$7:$B$148,0),,OFFSET('[1]Menu de Produtos'!$B$7,MATCH("RF Pré",'[1]Menu de Produtos'!$B$7:$B$148,0)-1,1))</definedName>
    <definedName name="strategies">OFFSET(Classificação!$L$28,,,COUNTA(Classificação!$L:$L)-COUNTA(Classificação!$L$1:$L$27))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X91" i="57" l="1"/>
  <c r="W91" i="57"/>
  <c r="V91" i="57"/>
  <c r="U91" i="57"/>
  <c r="T91" i="57"/>
  <c r="S91" i="57"/>
  <c r="R91" i="57"/>
  <c r="Q91" i="57"/>
  <c r="P91" i="57"/>
  <c r="O91" i="57"/>
  <c r="M91" i="57"/>
  <c r="K91" i="57"/>
  <c r="I91" i="57"/>
  <c r="H91" i="57"/>
  <c r="G91" i="57"/>
  <c r="F91" i="57"/>
  <c r="X66" i="57"/>
  <c r="W66" i="57"/>
  <c r="V66" i="57"/>
  <c r="U66" i="57"/>
  <c r="T66" i="57"/>
  <c r="S66" i="57"/>
  <c r="R66" i="57"/>
  <c r="Q66" i="57"/>
  <c r="P66" i="57"/>
  <c r="O66" i="57"/>
  <c r="M66" i="57"/>
  <c r="K66" i="57"/>
  <c r="I66" i="57"/>
  <c r="H66" i="57"/>
  <c r="G66" i="57"/>
  <c r="F66" i="57"/>
  <c r="X65" i="57"/>
  <c r="W65" i="57"/>
  <c r="V65" i="57"/>
  <c r="U65" i="57"/>
  <c r="T65" i="57"/>
  <c r="S65" i="57"/>
  <c r="R65" i="57"/>
  <c r="Q65" i="57"/>
  <c r="P65" i="57"/>
  <c r="O65" i="57"/>
  <c r="M65" i="57"/>
  <c r="K65" i="57"/>
  <c r="I65" i="57"/>
  <c r="H65" i="57"/>
  <c r="G65" i="57"/>
  <c r="F65" i="57"/>
  <c r="X64" i="57"/>
  <c r="W64" i="57"/>
  <c r="V64" i="57"/>
  <c r="U64" i="57"/>
  <c r="T64" i="57"/>
  <c r="S64" i="57"/>
  <c r="R64" i="57"/>
  <c r="Q64" i="57"/>
  <c r="P64" i="57"/>
  <c r="O64" i="57"/>
  <c r="M64" i="57"/>
  <c r="K64" i="57"/>
  <c r="I64" i="57"/>
  <c r="H64" i="57"/>
  <c r="G64" i="57"/>
  <c r="F64" i="57"/>
  <c r="X55" i="57"/>
  <c r="W55" i="57"/>
  <c r="V55" i="57"/>
  <c r="U55" i="57"/>
  <c r="T55" i="57"/>
  <c r="S55" i="57"/>
  <c r="R55" i="57"/>
  <c r="Q55" i="57"/>
  <c r="P55" i="57"/>
  <c r="O55" i="57"/>
  <c r="M55" i="57"/>
  <c r="K55" i="57"/>
  <c r="I55" i="57"/>
  <c r="H55" i="57"/>
  <c r="G55" i="57"/>
  <c r="F55" i="57"/>
  <c r="X51" i="57"/>
  <c r="W51" i="57"/>
  <c r="V51" i="57"/>
  <c r="U51" i="57"/>
  <c r="T51" i="57"/>
  <c r="S51" i="57"/>
  <c r="R51" i="57"/>
  <c r="Q51" i="57"/>
  <c r="P51" i="57"/>
  <c r="O51" i="57"/>
  <c r="M51" i="57"/>
  <c r="K51" i="57"/>
  <c r="I51" i="57"/>
  <c r="H51" i="57"/>
  <c r="G51" i="57"/>
  <c r="F51" i="57"/>
  <c r="X45" i="57"/>
  <c r="W45" i="57"/>
  <c r="V45" i="57"/>
  <c r="U45" i="57"/>
  <c r="T45" i="57"/>
  <c r="S45" i="57"/>
  <c r="R45" i="57"/>
  <c r="Q45" i="57"/>
  <c r="P45" i="57"/>
  <c r="O45" i="57"/>
  <c r="M45" i="57"/>
  <c r="K45" i="57"/>
  <c r="I45" i="57"/>
  <c r="H45" i="57"/>
  <c r="G45" i="57"/>
  <c r="F45" i="57"/>
  <c r="X41" i="57"/>
  <c r="W41" i="57"/>
  <c r="V41" i="57"/>
  <c r="U41" i="57"/>
  <c r="T41" i="57"/>
  <c r="S41" i="57"/>
  <c r="R41" i="57"/>
  <c r="Q41" i="57"/>
  <c r="P41" i="57"/>
  <c r="O41" i="57"/>
  <c r="M41" i="57"/>
  <c r="K41" i="57"/>
  <c r="I41" i="57"/>
  <c r="H41" i="57"/>
  <c r="G41" i="57"/>
  <c r="F41" i="57"/>
  <c r="X40" i="57"/>
  <c r="W40" i="57"/>
  <c r="V40" i="57"/>
  <c r="U40" i="57"/>
  <c r="T40" i="57"/>
  <c r="S40" i="57"/>
  <c r="R40" i="57"/>
  <c r="Q40" i="57"/>
  <c r="P40" i="57"/>
  <c r="O40" i="57"/>
  <c r="M40" i="57"/>
  <c r="K40" i="57"/>
  <c r="I40" i="57"/>
  <c r="H40" i="57"/>
  <c r="G40" i="57"/>
  <c r="F40" i="57"/>
  <c r="X30" i="57"/>
  <c r="W30" i="57"/>
  <c r="V30" i="57"/>
  <c r="U30" i="57"/>
  <c r="T30" i="57"/>
  <c r="S30" i="57"/>
  <c r="R30" i="57"/>
  <c r="Q30" i="57"/>
  <c r="P30" i="57"/>
  <c r="O30" i="57"/>
  <c r="M30" i="57"/>
  <c r="K30" i="57"/>
  <c r="I30" i="57"/>
  <c r="H30" i="57"/>
  <c r="G30" i="57"/>
  <c r="F30" i="57"/>
  <c r="X29" i="57"/>
  <c r="W29" i="57"/>
  <c r="V29" i="57"/>
  <c r="U29" i="57"/>
  <c r="T29" i="57"/>
  <c r="S29" i="57"/>
  <c r="R29" i="57"/>
  <c r="Q29" i="57"/>
  <c r="P29" i="57"/>
  <c r="O29" i="57"/>
  <c r="M29" i="57"/>
  <c r="K29" i="57"/>
  <c r="I29" i="57"/>
  <c r="H29" i="57"/>
  <c r="G29" i="57"/>
  <c r="F29" i="57"/>
  <c r="X28" i="57"/>
  <c r="W28" i="57"/>
  <c r="V28" i="57"/>
  <c r="U28" i="57"/>
  <c r="T28" i="57"/>
  <c r="S28" i="57"/>
  <c r="R28" i="57"/>
  <c r="Q28" i="57"/>
  <c r="P28" i="57"/>
  <c r="O28" i="57"/>
  <c r="M28" i="57"/>
  <c r="K28" i="57"/>
  <c r="I28" i="57"/>
  <c r="H28" i="57"/>
  <c r="G28" i="57"/>
  <c r="F28" i="57"/>
  <c r="X27" i="57"/>
  <c r="W27" i="57"/>
  <c r="V27" i="57"/>
  <c r="U27" i="57"/>
  <c r="T27" i="57"/>
  <c r="S27" i="57"/>
  <c r="R27" i="57"/>
  <c r="Q27" i="57"/>
  <c r="P27" i="57"/>
  <c r="O27" i="57"/>
  <c r="M27" i="57"/>
  <c r="K27" i="57"/>
  <c r="I27" i="57"/>
  <c r="H27" i="57"/>
  <c r="G27" i="57"/>
  <c r="F27" i="57"/>
  <c r="X26" i="57"/>
  <c r="W26" i="57"/>
  <c r="V26" i="57"/>
  <c r="U26" i="57"/>
  <c r="T26" i="57"/>
  <c r="S26" i="57"/>
  <c r="R26" i="57"/>
  <c r="Q26" i="57"/>
  <c r="P26" i="57"/>
  <c r="O26" i="57"/>
  <c r="M26" i="57"/>
  <c r="K26" i="57"/>
  <c r="I26" i="57"/>
  <c r="H26" i="57"/>
  <c r="G26" i="57"/>
  <c r="F26" i="57"/>
  <c r="X25" i="57"/>
  <c r="W25" i="57"/>
  <c r="V25" i="57"/>
  <c r="U25" i="57"/>
  <c r="T25" i="57"/>
  <c r="S25" i="57"/>
  <c r="R25" i="57"/>
  <c r="Q25" i="57"/>
  <c r="P25" i="57"/>
  <c r="O25" i="57"/>
  <c r="M25" i="57"/>
  <c r="K25" i="57"/>
  <c r="I25" i="57"/>
  <c r="H25" i="57"/>
  <c r="G25" i="57"/>
  <c r="F25" i="57"/>
  <c r="X24" i="57"/>
  <c r="W24" i="57"/>
  <c r="V24" i="57"/>
  <c r="U24" i="57"/>
  <c r="T24" i="57"/>
  <c r="S24" i="57"/>
  <c r="R24" i="57"/>
  <c r="Q24" i="57"/>
  <c r="P24" i="57"/>
  <c r="O24" i="57"/>
  <c r="M24" i="57"/>
  <c r="K24" i="57"/>
  <c r="I24" i="57"/>
  <c r="H24" i="57"/>
  <c r="G24" i="57"/>
  <c r="F24" i="57"/>
  <c r="X23" i="57"/>
  <c r="W23" i="57"/>
  <c r="V23" i="57"/>
  <c r="U23" i="57"/>
  <c r="T23" i="57"/>
  <c r="S23" i="57"/>
  <c r="R23" i="57"/>
  <c r="Q23" i="57"/>
  <c r="P23" i="57"/>
  <c r="O23" i="57"/>
  <c r="M23" i="57"/>
  <c r="K23" i="57"/>
  <c r="I23" i="57"/>
  <c r="H23" i="57"/>
  <c r="G23" i="57"/>
  <c r="F23" i="57"/>
  <c r="X22" i="57"/>
  <c r="W22" i="57"/>
  <c r="V22" i="57"/>
  <c r="U22" i="57"/>
  <c r="T22" i="57"/>
  <c r="S22" i="57"/>
  <c r="R22" i="57"/>
  <c r="Q22" i="57"/>
  <c r="P22" i="57"/>
  <c r="O22" i="57"/>
  <c r="M22" i="57"/>
  <c r="K22" i="57"/>
  <c r="I22" i="57"/>
  <c r="H22" i="57"/>
  <c r="G22" i="57"/>
  <c r="F22" i="57"/>
  <c r="X21" i="57"/>
  <c r="W21" i="57"/>
  <c r="V21" i="57"/>
  <c r="U21" i="57"/>
  <c r="T21" i="57"/>
  <c r="S21" i="57"/>
  <c r="R21" i="57"/>
  <c r="Q21" i="57"/>
  <c r="P21" i="57"/>
  <c r="O21" i="57"/>
  <c r="M21" i="57"/>
  <c r="K21" i="57"/>
  <c r="I21" i="57"/>
  <c r="H21" i="57"/>
  <c r="G21" i="57"/>
  <c r="F21" i="57"/>
  <c r="X20" i="57"/>
  <c r="W20" i="57"/>
  <c r="V20" i="57"/>
  <c r="U20" i="57"/>
  <c r="T20" i="57"/>
  <c r="S20" i="57"/>
  <c r="R20" i="57"/>
  <c r="Q20" i="57"/>
  <c r="P20" i="57"/>
  <c r="O20" i="57"/>
  <c r="M20" i="57"/>
  <c r="K20" i="57"/>
  <c r="I20" i="57"/>
  <c r="H20" i="57"/>
  <c r="G20" i="57"/>
  <c r="F20" i="57"/>
  <c r="X19" i="57"/>
  <c r="W19" i="57"/>
  <c r="V19" i="57"/>
  <c r="U19" i="57"/>
  <c r="T19" i="57"/>
  <c r="S19" i="57"/>
  <c r="R19" i="57"/>
  <c r="Q19" i="57"/>
  <c r="P19" i="57"/>
  <c r="O19" i="57"/>
  <c r="M19" i="57"/>
  <c r="K19" i="57"/>
  <c r="I19" i="57"/>
  <c r="H19" i="57"/>
  <c r="G19" i="57"/>
  <c r="F19" i="57"/>
  <c r="X18" i="57"/>
  <c r="W18" i="57"/>
  <c r="V18" i="57"/>
  <c r="U18" i="57"/>
  <c r="T18" i="57"/>
  <c r="S18" i="57"/>
  <c r="R18" i="57"/>
  <c r="Q18" i="57"/>
  <c r="P18" i="57"/>
  <c r="O18" i="57"/>
  <c r="M18" i="57"/>
  <c r="K18" i="57"/>
  <c r="I18" i="57"/>
  <c r="H18" i="57"/>
  <c r="G18" i="57"/>
  <c r="F18" i="57"/>
  <c r="X31" i="57"/>
  <c r="W31" i="57"/>
  <c r="V31" i="57"/>
  <c r="U31" i="57"/>
  <c r="T31" i="57"/>
  <c r="S31" i="57"/>
  <c r="R31" i="57"/>
  <c r="Q31" i="57"/>
  <c r="P31" i="57"/>
  <c r="O31" i="57"/>
  <c r="M31" i="57"/>
  <c r="K31" i="57"/>
  <c r="I31" i="57"/>
  <c r="H31" i="57"/>
  <c r="G31" i="57"/>
  <c r="F31" i="57"/>
  <c r="P66" i="45" l="1"/>
  <c r="N66" i="45"/>
  <c r="L66" i="45"/>
  <c r="J66" i="45"/>
  <c r="H66" i="45"/>
  <c r="P99" i="45"/>
  <c r="N99" i="45"/>
  <c r="L99" i="45"/>
  <c r="J99" i="45"/>
  <c r="H99" i="45"/>
  <c r="F18" i="45"/>
  <c r="F13" i="45"/>
  <c r="F14" i="45"/>
  <c r="F15" i="45"/>
  <c r="F16" i="45"/>
  <c r="F17" i="45"/>
  <c r="F24" i="45"/>
  <c r="F25" i="45"/>
  <c r="F23" i="45"/>
  <c r="F27" i="45"/>
  <c r="F20" i="45"/>
  <c r="F19" i="45"/>
  <c r="F22" i="45"/>
  <c r="F21" i="45"/>
  <c r="F26" i="45"/>
  <c r="F12" i="45"/>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M17" i="57" l="1"/>
  <c r="X17" i="57"/>
  <c r="W17" i="57"/>
  <c r="V17" i="57"/>
  <c r="U17" i="57"/>
  <c r="T17" i="57"/>
  <c r="S17" i="57"/>
  <c r="R17" i="57"/>
  <c r="Q17" i="57"/>
  <c r="P17" i="57"/>
  <c r="O17" i="57"/>
  <c r="K17" i="57"/>
  <c r="I17" i="57"/>
  <c r="H17" i="57"/>
  <c r="G17" i="57"/>
  <c r="F17" i="57"/>
  <c r="X36" i="57"/>
  <c r="W36" i="57"/>
  <c r="V36" i="57"/>
  <c r="U36" i="57"/>
  <c r="T36" i="57"/>
  <c r="S36" i="57"/>
  <c r="R36" i="57"/>
  <c r="Q36" i="57"/>
  <c r="P36" i="57"/>
  <c r="O36" i="57"/>
  <c r="M36" i="57"/>
  <c r="K36" i="57"/>
  <c r="I36" i="57"/>
  <c r="H36" i="57"/>
  <c r="G36" i="57"/>
  <c r="F36" i="57"/>
  <c r="P103" i="45"/>
  <c r="N103" i="45"/>
  <c r="L103" i="45"/>
  <c r="J103" i="45"/>
  <c r="H103" i="45"/>
  <c r="N98" i="45"/>
  <c r="L98" i="45"/>
  <c r="J98" i="45"/>
  <c r="H98" i="45"/>
  <c r="P68" i="45"/>
  <c r="N68" i="45"/>
  <c r="L68" i="45"/>
  <c r="J68" i="45"/>
  <c r="H68" i="45"/>
  <c r="K16" i="57" l="1"/>
  <c r="P64" i="45"/>
  <c r="N64" i="45"/>
  <c r="L64" i="45"/>
  <c r="J64" i="45"/>
  <c r="H64" i="45"/>
  <c r="P72" i="45"/>
  <c r="N72" i="45"/>
  <c r="L72" i="45"/>
  <c r="J72" i="45"/>
  <c r="H72" i="45"/>
  <c r="L47" i="54"/>
  <c r="M110" i="57" l="1"/>
  <c r="M107" i="57"/>
  <c r="X111" i="57"/>
  <c r="W111" i="57"/>
  <c r="V111" i="57"/>
  <c r="U111" i="57"/>
  <c r="T111" i="57"/>
  <c r="S111" i="57"/>
  <c r="R111" i="57"/>
  <c r="Q111" i="57"/>
  <c r="P111" i="57"/>
  <c r="O111" i="57"/>
  <c r="M111" i="57"/>
  <c r="K111" i="57"/>
  <c r="K110" i="57" s="1"/>
  <c r="I111" i="57"/>
  <c r="H111" i="57"/>
  <c r="G111" i="57"/>
  <c r="F111" i="57"/>
  <c r="E26" i="44"/>
  <c r="G26" i="44"/>
  <c r="I26" i="44"/>
  <c r="K26" i="44"/>
  <c r="M26" i="44"/>
  <c r="E27" i="44"/>
  <c r="G27" i="44"/>
  <c r="I27" i="44"/>
  <c r="K27" i="44"/>
  <c r="M27" i="44"/>
  <c r="P132" i="45" l="1"/>
  <c r="N132" i="45"/>
  <c r="L132" i="45"/>
  <c r="J132" i="45"/>
  <c r="H132" i="45"/>
  <c r="P131" i="45"/>
  <c r="N131" i="45"/>
  <c r="L131" i="45"/>
  <c r="J131" i="45"/>
  <c r="H131" i="45"/>
  <c r="P130" i="45"/>
  <c r="N130" i="45"/>
  <c r="L130" i="45"/>
  <c r="J130" i="45"/>
  <c r="H130" i="45"/>
  <c r="O129" i="45"/>
  <c r="M129" i="45"/>
  <c r="K129" i="45"/>
  <c r="I129" i="45"/>
  <c r="G129" i="45"/>
  <c r="AU2" i="52"/>
  <c r="BR2" i="52"/>
  <c r="BQ2" i="52"/>
  <c r="BP2" i="52"/>
  <c r="BO2" i="52"/>
  <c r="BN2" i="52"/>
  <c r="BM2" i="52"/>
  <c r="BL2" i="52"/>
  <c r="BK2" i="52"/>
  <c r="BJ2" i="52"/>
  <c r="BI2" i="52"/>
  <c r="BH2" i="52"/>
  <c r="BG2" i="52"/>
  <c r="BF2" i="52"/>
  <c r="BE2" i="52"/>
  <c r="BD2" i="52"/>
  <c r="BC2" i="52"/>
  <c r="BB2" i="52"/>
  <c r="BA2" i="52"/>
  <c r="AZ2" i="52"/>
  <c r="AY2" i="52"/>
  <c r="AX2" i="52"/>
  <c r="AW2" i="52"/>
  <c r="AV2" i="52"/>
  <c r="D87" i="59"/>
  <c r="H129" i="45" l="1"/>
  <c r="N129" i="45"/>
  <c r="P129" i="45"/>
  <c r="J129" i="45"/>
  <c r="L129" i="45"/>
  <c r="D84" i="59" l="1"/>
  <c r="D81" i="59"/>
  <c r="D78" i="59"/>
  <c r="D75" i="59"/>
  <c r="D72" i="59"/>
  <c r="H12" i="59" l="1"/>
  <c r="L14" i="57" l="1"/>
  <c r="M108" i="57"/>
  <c r="M105" i="57"/>
  <c r="M102" i="57"/>
  <c r="M101" i="57" s="1"/>
  <c r="M99" i="57"/>
  <c r="M98" i="57" s="1"/>
  <c r="M94" i="57"/>
  <c r="M90" i="57"/>
  <c r="M89" i="57" s="1"/>
  <c r="M87" i="57"/>
  <c r="M86" i="57" s="1"/>
  <c r="M80" i="57"/>
  <c r="M77" i="57"/>
  <c r="M74" i="57"/>
  <c r="M73" i="57" s="1"/>
  <c r="M71" i="57"/>
  <c r="M70" i="57" s="1"/>
  <c r="M63" i="57"/>
  <c r="M58" i="57"/>
  <c r="M54" i="57"/>
  <c r="M50" i="57"/>
  <c r="M44" i="57"/>
  <c r="M39" i="57"/>
  <c r="M104" i="57"/>
  <c r="M93" i="57"/>
  <c r="M79" i="57"/>
  <c r="M76" i="57"/>
  <c r="M57" i="57"/>
  <c r="M35" i="57"/>
  <c r="L60" i="57"/>
  <c r="W11" i="54"/>
  <c r="M62" i="57" l="1"/>
  <c r="M43" i="57"/>
  <c r="M53" i="57"/>
  <c r="M49" i="57"/>
  <c r="M16" i="57"/>
  <c r="M38" i="57"/>
  <c r="L44" i="54"/>
  <c r="L40" i="54"/>
  <c r="L36" i="54"/>
  <c r="L32" i="54"/>
  <c r="L29" i="54"/>
  <c r="K50" i="57"/>
  <c r="K49" i="57" s="1"/>
  <c r="X50" i="57"/>
  <c r="W50" i="57"/>
  <c r="V50" i="57"/>
  <c r="U50" i="57"/>
  <c r="T50" i="57"/>
  <c r="S50" i="57"/>
  <c r="R50" i="57"/>
  <c r="Q50" i="57"/>
  <c r="P50" i="57"/>
  <c r="O50" i="57"/>
  <c r="I50" i="57"/>
  <c r="H50" i="57"/>
  <c r="G50" i="57"/>
  <c r="F50" i="57"/>
  <c r="X99" i="57"/>
  <c r="W99" i="57"/>
  <c r="V99" i="57"/>
  <c r="U99" i="57"/>
  <c r="T99" i="57"/>
  <c r="S99" i="57"/>
  <c r="R99" i="57"/>
  <c r="Q99" i="57"/>
  <c r="P99" i="57"/>
  <c r="O99" i="57"/>
  <c r="K99" i="57"/>
  <c r="K98" i="57" s="1"/>
  <c r="I99" i="57"/>
  <c r="H99" i="57"/>
  <c r="G99" i="57"/>
  <c r="F99" i="57"/>
  <c r="X87" i="57"/>
  <c r="W87" i="57"/>
  <c r="V87" i="57"/>
  <c r="U87" i="57"/>
  <c r="T87" i="57"/>
  <c r="S87" i="57"/>
  <c r="R87" i="57"/>
  <c r="Q87" i="57"/>
  <c r="P87" i="57"/>
  <c r="O87" i="57"/>
  <c r="K87" i="57"/>
  <c r="K86" i="57" s="1"/>
  <c r="I87" i="57"/>
  <c r="H87" i="57"/>
  <c r="G87" i="57"/>
  <c r="F87" i="57"/>
  <c r="X71" i="57"/>
  <c r="W71" i="57"/>
  <c r="V71" i="57"/>
  <c r="U71" i="57"/>
  <c r="T71" i="57"/>
  <c r="S71" i="57"/>
  <c r="R71" i="57"/>
  <c r="Q71" i="57"/>
  <c r="P71" i="57"/>
  <c r="O71" i="57"/>
  <c r="K71" i="57"/>
  <c r="K70" i="57" s="1"/>
  <c r="I71" i="57"/>
  <c r="H71" i="57"/>
  <c r="G71" i="57"/>
  <c r="F71" i="57"/>
  <c r="K35" i="57"/>
  <c r="D102" i="55"/>
  <c r="P71" i="45"/>
  <c r="N71" i="45"/>
  <c r="L71" i="45"/>
  <c r="J71" i="45"/>
  <c r="H71" i="45"/>
  <c r="P70" i="45"/>
  <c r="N70" i="45"/>
  <c r="L70" i="45"/>
  <c r="J70" i="45"/>
  <c r="H70" i="45"/>
  <c r="P69" i="45"/>
  <c r="N69" i="45"/>
  <c r="L69" i="45"/>
  <c r="J69" i="45"/>
  <c r="H69" i="45"/>
  <c r="P65" i="45"/>
  <c r="N65" i="45"/>
  <c r="L65" i="45"/>
  <c r="J65" i="45"/>
  <c r="H65" i="45"/>
  <c r="P63" i="45"/>
  <c r="N63" i="45"/>
  <c r="L63" i="45"/>
  <c r="J63" i="45"/>
  <c r="H63" i="45"/>
  <c r="P67" i="45"/>
  <c r="N67" i="45"/>
  <c r="L67" i="45"/>
  <c r="J67" i="45"/>
  <c r="H67" i="45"/>
  <c r="P62" i="45"/>
  <c r="N62" i="45"/>
  <c r="L62" i="45"/>
  <c r="J62" i="45"/>
  <c r="H62" i="45"/>
  <c r="P61" i="45"/>
  <c r="N61" i="45"/>
  <c r="L61" i="45"/>
  <c r="J61" i="45"/>
  <c r="H61" i="45"/>
  <c r="L28" i="54" l="1"/>
  <c r="L30" i="54"/>
  <c r="L31" i="54"/>
  <c r="L33" i="54"/>
  <c r="L34" i="54"/>
  <c r="L35" i="54"/>
  <c r="L37" i="54"/>
  <c r="L38" i="54"/>
  <c r="L39" i="54"/>
  <c r="L41" i="54"/>
  <c r="L42" i="54"/>
  <c r="L43" i="54"/>
  <c r="L45" i="54"/>
  <c r="L46" i="54"/>
  <c r="M27" i="54" l="1" a="1"/>
  <c r="AE28" i="54" s="1" a="1"/>
  <c r="AE28" i="54" s="1"/>
  <c r="X108" i="57"/>
  <c r="W108" i="57"/>
  <c r="V108" i="57"/>
  <c r="U108" i="57"/>
  <c r="T108" i="57"/>
  <c r="S108" i="57"/>
  <c r="R108" i="57"/>
  <c r="Q108" i="57"/>
  <c r="P108" i="57"/>
  <c r="O108" i="57"/>
  <c r="K108" i="57"/>
  <c r="K107" i="57" s="1"/>
  <c r="I108" i="57"/>
  <c r="H108" i="57"/>
  <c r="G108" i="57"/>
  <c r="F108" i="57"/>
  <c r="X105" i="57"/>
  <c r="W105" i="57"/>
  <c r="V105" i="57"/>
  <c r="U105" i="57"/>
  <c r="T105" i="57"/>
  <c r="S105" i="57"/>
  <c r="R105" i="57"/>
  <c r="Q105" i="57"/>
  <c r="P105" i="57"/>
  <c r="O105" i="57"/>
  <c r="K105" i="57"/>
  <c r="K104" i="57" s="1"/>
  <c r="I105" i="57"/>
  <c r="H105" i="57"/>
  <c r="G105" i="57"/>
  <c r="F105" i="57"/>
  <c r="X102" i="57"/>
  <c r="W102" i="57"/>
  <c r="V102" i="57"/>
  <c r="U102" i="57"/>
  <c r="T102" i="57"/>
  <c r="S102" i="57"/>
  <c r="R102" i="57"/>
  <c r="Q102" i="57"/>
  <c r="P102" i="57"/>
  <c r="O102" i="57"/>
  <c r="K102" i="57"/>
  <c r="K101" i="57" s="1"/>
  <c r="I102" i="57"/>
  <c r="H102" i="57"/>
  <c r="G102" i="57"/>
  <c r="F102" i="57"/>
  <c r="X94" i="57"/>
  <c r="W94" i="57"/>
  <c r="V94" i="57"/>
  <c r="U94" i="57"/>
  <c r="T94" i="57"/>
  <c r="S94" i="57"/>
  <c r="R94" i="57"/>
  <c r="Q94" i="57"/>
  <c r="P94" i="57"/>
  <c r="O94" i="57"/>
  <c r="K94" i="57"/>
  <c r="K93" i="57" s="1"/>
  <c r="I94" i="57"/>
  <c r="H94" i="57"/>
  <c r="G94" i="57"/>
  <c r="F94" i="57"/>
  <c r="X90" i="57"/>
  <c r="W90" i="57"/>
  <c r="V90" i="57"/>
  <c r="U90" i="57"/>
  <c r="T90" i="57"/>
  <c r="S90" i="57"/>
  <c r="R90" i="57"/>
  <c r="Q90" i="57"/>
  <c r="P90" i="57"/>
  <c r="O90" i="57"/>
  <c r="K90" i="57"/>
  <c r="K89" i="57" s="1"/>
  <c r="I90" i="57"/>
  <c r="H90" i="57"/>
  <c r="G90" i="57"/>
  <c r="F90" i="57"/>
  <c r="X80" i="57"/>
  <c r="W80" i="57"/>
  <c r="V80" i="57"/>
  <c r="U80" i="57"/>
  <c r="T80" i="57"/>
  <c r="S80" i="57"/>
  <c r="R80" i="57"/>
  <c r="Q80" i="57"/>
  <c r="P80" i="57"/>
  <c r="O80" i="57"/>
  <c r="K80" i="57"/>
  <c r="K79" i="57" s="1"/>
  <c r="I80" i="57"/>
  <c r="H80" i="57"/>
  <c r="G80" i="57"/>
  <c r="F80" i="57"/>
  <c r="X77" i="57"/>
  <c r="W77" i="57"/>
  <c r="V77" i="57"/>
  <c r="U77" i="57"/>
  <c r="T77" i="57"/>
  <c r="S77" i="57"/>
  <c r="R77" i="57"/>
  <c r="Q77" i="57"/>
  <c r="P77" i="57"/>
  <c r="O77" i="57"/>
  <c r="K77" i="57"/>
  <c r="K76" i="57" s="1"/>
  <c r="I77" i="57"/>
  <c r="H77" i="57"/>
  <c r="G77" i="57"/>
  <c r="F77" i="57"/>
  <c r="X74" i="57"/>
  <c r="W74" i="57"/>
  <c r="V74" i="57"/>
  <c r="U74" i="57"/>
  <c r="T74" i="57"/>
  <c r="S74" i="57"/>
  <c r="R74" i="57"/>
  <c r="Q74" i="57"/>
  <c r="P74" i="57"/>
  <c r="O74" i="57"/>
  <c r="K74" i="57"/>
  <c r="K73" i="57" s="1"/>
  <c r="I74" i="57"/>
  <c r="H74" i="57"/>
  <c r="G74" i="57"/>
  <c r="F74" i="57"/>
  <c r="X58" i="57"/>
  <c r="W58" i="57"/>
  <c r="V58" i="57"/>
  <c r="U58" i="57"/>
  <c r="T58" i="57"/>
  <c r="S58" i="57"/>
  <c r="R58" i="57"/>
  <c r="Q58" i="57"/>
  <c r="P58" i="57"/>
  <c r="O58" i="57"/>
  <c r="K58" i="57"/>
  <c r="K57" i="57" s="1"/>
  <c r="I58" i="57"/>
  <c r="H58" i="57"/>
  <c r="G58" i="57"/>
  <c r="F58" i="57"/>
  <c r="X54" i="57"/>
  <c r="W54" i="57"/>
  <c r="V54" i="57"/>
  <c r="U54" i="57"/>
  <c r="T54" i="57"/>
  <c r="S54" i="57"/>
  <c r="R54" i="57"/>
  <c r="Q54" i="57"/>
  <c r="P54" i="57"/>
  <c r="O54" i="57"/>
  <c r="K54" i="57"/>
  <c r="K53" i="57" s="1"/>
  <c r="I54" i="57"/>
  <c r="H54" i="57"/>
  <c r="G54" i="57"/>
  <c r="F54" i="57"/>
  <c r="X44" i="57"/>
  <c r="W44" i="57"/>
  <c r="V44" i="57"/>
  <c r="U44" i="57"/>
  <c r="T44" i="57"/>
  <c r="S44" i="57"/>
  <c r="R44" i="57"/>
  <c r="Q44" i="57"/>
  <c r="P44" i="57"/>
  <c r="O44" i="57"/>
  <c r="K44" i="57"/>
  <c r="K43" i="57" s="1"/>
  <c r="I44" i="57"/>
  <c r="H44" i="57"/>
  <c r="G44" i="57"/>
  <c r="F44" i="57"/>
  <c r="I63" i="57"/>
  <c r="X63" i="57"/>
  <c r="W63" i="57"/>
  <c r="V63" i="57"/>
  <c r="U63" i="57"/>
  <c r="T63" i="57"/>
  <c r="S63" i="57"/>
  <c r="R63" i="57"/>
  <c r="Q63" i="57"/>
  <c r="P63" i="57"/>
  <c r="O63" i="57"/>
  <c r="K63" i="57"/>
  <c r="K62" i="57" s="1"/>
  <c r="H63" i="57"/>
  <c r="G63" i="57"/>
  <c r="F63" i="57"/>
  <c r="I39" i="57"/>
  <c r="X39" i="57"/>
  <c r="W39" i="57"/>
  <c r="V39" i="57"/>
  <c r="U39" i="57"/>
  <c r="T39" i="57"/>
  <c r="S39" i="57"/>
  <c r="R39" i="57"/>
  <c r="Q39" i="57"/>
  <c r="P39" i="57"/>
  <c r="O39" i="57"/>
  <c r="K39" i="57"/>
  <c r="H39" i="57"/>
  <c r="G39" i="57"/>
  <c r="F39" i="57"/>
  <c r="M27" i="54" l="1"/>
  <c r="M28" i="54" s="1" a="1"/>
  <c r="M28" i="54" s="1"/>
  <c r="AH27" i="54" s="1" a="1"/>
  <c r="AH27" i="54" s="1"/>
  <c r="AF28" i="54" a="1"/>
  <c r="AF28" i="54" s="1"/>
  <c r="BA27" i="54" s="1" a="1"/>
  <c r="BA27" i="54" s="1"/>
  <c r="AZ27" i="54" a="1"/>
  <c r="AZ27" i="54" s="1"/>
  <c r="K38" i="57"/>
  <c r="K33" i="57" s="1"/>
  <c r="Y28" i="54" a="1"/>
  <c r="Y28" i="54" s="1"/>
  <c r="AT27" i="54" s="1" a="1"/>
  <c r="AT27" i="54" s="1"/>
  <c r="X28" i="54" a="1"/>
  <c r="X28" i="54" s="1"/>
  <c r="AS27" i="54" s="1" a="1"/>
  <c r="AS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K84" i="57"/>
  <c r="S28" i="54" a="1"/>
  <c r="S28" i="54" s="1"/>
  <c r="AN27" i="54" s="1" a="1"/>
  <c r="AN27" i="54" s="1"/>
  <c r="P28" i="54" a="1"/>
  <c r="P28" i="54" s="1"/>
  <c r="AK27" i="54" s="1" a="1"/>
  <c r="AK27" i="54" s="1"/>
  <c r="K68" i="57"/>
  <c r="K47" i="57"/>
  <c r="K96" i="57"/>
  <c r="M68" i="57"/>
  <c r="M47" i="57"/>
  <c r="M33" i="57"/>
  <c r="M84" i="57"/>
  <c r="M96" i="57"/>
  <c r="K60" i="57" l="1"/>
  <c r="K82" i="57"/>
  <c r="K14" i="57"/>
  <c r="P110" i="45" l="1"/>
  <c r="N110" i="45"/>
  <c r="L110" i="45"/>
  <c r="J110" i="45"/>
  <c r="H110" i="45"/>
  <c r="P73" i="45"/>
  <c r="N73" i="45"/>
  <c r="L73" i="45"/>
  <c r="J73" i="45"/>
  <c r="H73" i="45"/>
  <c r="P91" i="45"/>
  <c r="N91" i="45"/>
  <c r="L91" i="45"/>
  <c r="J91" i="45"/>
  <c r="H91" i="45"/>
  <c r="P57" i="45"/>
  <c r="N57" i="45"/>
  <c r="L57" i="45"/>
  <c r="J57" i="45"/>
  <c r="H57" i="45"/>
  <c r="P43" i="45"/>
  <c r="N43" i="45"/>
  <c r="L43" i="45"/>
  <c r="J43" i="45"/>
  <c r="H43" i="45"/>
  <c r="P39" i="45"/>
  <c r="N39" i="45"/>
  <c r="L39" i="45"/>
  <c r="J39" i="45"/>
  <c r="H39" i="45"/>
  <c r="P34" i="45"/>
  <c r="N34" i="45"/>
  <c r="L34" i="45"/>
  <c r="J34" i="45"/>
  <c r="H34" i="45"/>
  <c r="E13" i="59"/>
  <c r="E12" i="59"/>
  <c r="M82" i="57" l="1"/>
  <c r="M14" i="57"/>
  <c r="D10" i="59" l="1"/>
  <c r="D24" i="59"/>
  <c r="D34" i="59"/>
  <c r="D43" i="59"/>
  <c r="D52" i="59"/>
  <c r="D59" i="59"/>
  <c r="D67" i="59"/>
  <c r="D149" i="55"/>
  <c r="I65" i="59" l="1"/>
  <c r="I64" i="59"/>
  <c r="I63" i="59"/>
  <c r="I55" i="59"/>
  <c r="I56" i="59"/>
  <c r="I57" i="59"/>
  <c r="I38" i="59"/>
  <c r="I32" i="59"/>
  <c r="I31" i="59"/>
  <c r="I30" i="59"/>
  <c r="I29" i="59"/>
  <c r="I17" i="59"/>
  <c r="I16" i="59"/>
  <c r="I15" i="59"/>
  <c r="I14" i="59"/>
  <c r="I62" i="59" l="1"/>
  <c r="I61" i="59"/>
  <c r="I60" i="59"/>
  <c r="I54" i="59"/>
  <c r="I53" i="59"/>
  <c r="I45" i="59"/>
  <c r="I44" i="59"/>
  <c r="I37" i="59"/>
  <c r="I36" i="59"/>
  <c r="I35" i="59"/>
  <c r="I28" i="59"/>
  <c r="I27" i="59"/>
  <c r="I26" i="59"/>
  <c r="I25" i="59"/>
  <c r="J62" i="59"/>
  <c r="J61" i="59"/>
  <c r="J60" i="59"/>
  <c r="J54" i="59"/>
  <c r="J53" i="59"/>
  <c r="J45" i="59"/>
  <c r="J44" i="59"/>
  <c r="J37" i="59"/>
  <c r="J36" i="59"/>
  <c r="J35" i="59"/>
  <c r="J28" i="59"/>
  <c r="J27" i="59"/>
  <c r="J26" i="59"/>
  <c r="J25" i="59"/>
  <c r="M160" i="57" l="1"/>
  <c r="M158" i="57"/>
  <c r="M156" i="57"/>
  <c r="M154" i="57"/>
  <c r="M152" i="57"/>
  <c r="M150" i="57"/>
  <c r="M148" i="57"/>
  <c r="M146" i="57"/>
  <c r="M144" i="57"/>
  <c r="M142" i="57"/>
  <c r="M140" i="57"/>
  <c r="M138" i="57"/>
  <c r="M136" i="57"/>
  <c r="M134" i="57"/>
  <c r="M132" i="57"/>
  <c r="M130" i="57"/>
  <c r="M128" i="57"/>
  <c r="M126" i="57"/>
  <c r="M124" i="57"/>
  <c r="M122" i="57"/>
  <c r="M120" i="57"/>
  <c r="M118" i="57"/>
  <c r="M60" i="57"/>
  <c r="D206" i="55" l="1"/>
  <c r="D198" i="55"/>
  <c r="D201" i="55"/>
  <c r="D192" i="55"/>
  <c r="D188" i="55"/>
  <c r="D183" i="55"/>
  <c r="D173" i="55"/>
  <c r="D163" i="55"/>
  <c r="D152" i="55"/>
  <c r="D138" i="55"/>
  <c r="D133" i="55"/>
  <c r="D95" i="55"/>
  <c r="D87" i="55"/>
  <c r="D79" i="55"/>
  <c r="D61" i="55"/>
  <c r="D48" i="55"/>
  <c r="D10" i="55"/>
  <c r="D70" i="55"/>
  <c r="L82" i="57" l="1"/>
  <c r="E17" i="44"/>
  <c r="AH2" i="52" l="1"/>
  <c r="P83" i="45" l="1"/>
  <c r="P82" i="45"/>
  <c r="P81" i="45"/>
  <c r="N83" i="45"/>
  <c r="N82" i="45"/>
  <c r="N81" i="45"/>
  <c r="H83" i="45"/>
  <c r="H82" i="45"/>
  <c r="H81" i="45"/>
  <c r="J83" i="45"/>
  <c r="J82" i="45"/>
  <c r="J81" i="45"/>
  <c r="L83" i="45"/>
  <c r="L82" i="45"/>
  <c r="L81" i="45"/>
  <c r="O74" i="45"/>
  <c r="M74" i="45"/>
  <c r="K74" i="45"/>
  <c r="I74" i="45"/>
  <c r="G74" i="45"/>
  <c r="P80" i="45" l="1"/>
  <c r="N80" i="45"/>
  <c r="J80" i="45"/>
  <c r="H80" i="45"/>
  <c r="L80" i="45"/>
  <c r="P98" i="45" l="1"/>
  <c r="P115" i="45"/>
  <c r="N115" i="45"/>
  <c r="L115" i="45"/>
  <c r="H115" i="45"/>
  <c r="P105" i="45"/>
  <c r="N105" i="45"/>
  <c r="L105" i="45"/>
  <c r="J105" i="45"/>
  <c r="H105" i="45"/>
  <c r="P104" i="45"/>
  <c r="N104" i="45"/>
  <c r="L104" i="45"/>
  <c r="J104" i="45"/>
  <c r="H104" i="45"/>
  <c r="H90" i="45"/>
  <c r="J90" i="45"/>
  <c r="L90" i="45"/>
  <c r="N90" i="45"/>
  <c r="P90" i="45"/>
  <c r="O125" i="45"/>
  <c r="M125" i="45"/>
  <c r="K125" i="45"/>
  <c r="M25" i="44"/>
  <c r="O121" i="45" s="1"/>
  <c r="K25" i="44"/>
  <c r="M121" i="45" s="1"/>
  <c r="I25" i="44"/>
  <c r="K121" i="45" s="1"/>
  <c r="G25" i="44"/>
  <c r="I121" i="45" s="1"/>
  <c r="E25" i="44"/>
  <c r="G121" i="45" s="1"/>
  <c r="M24" i="44"/>
  <c r="O117" i="45" s="1"/>
  <c r="K24" i="44"/>
  <c r="M117" i="45" s="1"/>
  <c r="I24" i="44"/>
  <c r="K117" i="45" s="1"/>
  <c r="G24" i="44"/>
  <c r="I117" i="45" s="1"/>
  <c r="E24" i="44"/>
  <c r="G117" i="45" s="1"/>
  <c r="M23" i="44"/>
  <c r="O113" i="45" s="1"/>
  <c r="P114" i="45" s="1"/>
  <c r="K23" i="44"/>
  <c r="M113" i="45" s="1"/>
  <c r="N114" i="45" s="1"/>
  <c r="I23" i="44"/>
  <c r="K113" i="45" s="1"/>
  <c r="L114" i="45" s="1"/>
  <c r="G23" i="44"/>
  <c r="I113" i="45" s="1"/>
  <c r="J115" i="45" s="1"/>
  <c r="E23" i="44"/>
  <c r="G113" i="45" s="1"/>
  <c r="I125" i="45"/>
  <c r="G125" i="45"/>
  <c r="M35" i="44" l="1"/>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O111" i="45" s="1"/>
  <c r="L22" i="44"/>
  <c r="K22" i="44"/>
  <c r="M111" i="45" s="1"/>
  <c r="J22" i="44"/>
  <c r="I22" i="44"/>
  <c r="K111" i="45" s="1"/>
  <c r="H22" i="44"/>
  <c r="G22" i="44"/>
  <c r="I111" i="45" s="1"/>
  <c r="F22" i="44"/>
  <c r="E22" i="44"/>
  <c r="D22" i="44"/>
  <c r="M21" i="44"/>
  <c r="O94" i="45" s="1"/>
  <c r="L21" i="44"/>
  <c r="K21" i="44"/>
  <c r="M94" i="45" s="1"/>
  <c r="J21" i="44"/>
  <c r="I21" i="44"/>
  <c r="K94" i="45" s="1"/>
  <c r="H21" i="44"/>
  <c r="G21" i="44"/>
  <c r="I94" i="45" s="1"/>
  <c r="F21" i="44"/>
  <c r="E21" i="44"/>
  <c r="D21" i="44"/>
  <c r="M20" i="44"/>
  <c r="O92" i="45" s="1"/>
  <c r="L20" i="44"/>
  <c r="K20" i="44"/>
  <c r="M92" i="45" s="1"/>
  <c r="J20" i="44"/>
  <c r="I20" i="44"/>
  <c r="K92" i="45" s="1"/>
  <c r="H20" i="44"/>
  <c r="G20" i="44"/>
  <c r="I92" i="45" s="1"/>
  <c r="F20" i="44"/>
  <c r="E20" i="44"/>
  <c r="D20" i="44"/>
  <c r="M19" i="44"/>
  <c r="O58" i="45" s="1"/>
  <c r="L19" i="44"/>
  <c r="K19" i="44"/>
  <c r="M58" i="45" s="1"/>
  <c r="J19" i="44"/>
  <c r="I19" i="44"/>
  <c r="K58" i="45" s="1"/>
  <c r="H19" i="44"/>
  <c r="G19" i="44"/>
  <c r="I58" i="45" s="1"/>
  <c r="F19" i="44"/>
  <c r="E19" i="44"/>
  <c r="D19" i="44"/>
  <c r="M18" i="44"/>
  <c r="O54" i="45" s="1"/>
  <c r="L18" i="44"/>
  <c r="K18" i="44"/>
  <c r="M54" i="45" s="1"/>
  <c r="J18" i="44"/>
  <c r="I18" i="44"/>
  <c r="K54" i="45" s="1"/>
  <c r="H18" i="44"/>
  <c r="G18" i="44"/>
  <c r="I54" i="45" s="1"/>
  <c r="F18" i="44"/>
  <c r="E18" i="44"/>
  <c r="G54" i="45" s="1"/>
  <c r="D18" i="44"/>
  <c r="M17" i="44"/>
  <c r="O50" i="45" s="1"/>
  <c r="L17" i="44"/>
  <c r="K17" i="44"/>
  <c r="M50" i="45" s="1"/>
  <c r="J17" i="44"/>
  <c r="I17" i="44"/>
  <c r="K50" i="45" s="1"/>
  <c r="H17" i="44"/>
  <c r="G17" i="44"/>
  <c r="I50" i="45" s="1"/>
  <c r="F17" i="44"/>
  <c r="G50" i="45"/>
  <c r="D17" i="44"/>
  <c r="M16" i="44"/>
  <c r="O46" i="45" s="1"/>
  <c r="L16" i="44"/>
  <c r="K16" i="44"/>
  <c r="M46" i="45" s="1"/>
  <c r="J16" i="44"/>
  <c r="I16" i="44"/>
  <c r="K46" i="45" s="1"/>
  <c r="H16" i="44"/>
  <c r="G16" i="44"/>
  <c r="I46" i="45" s="1"/>
  <c r="F16" i="44"/>
  <c r="E16" i="44"/>
  <c r="G46" i="45" s="1"/>
  <c r="D16" i="44"/>
  <c r="M15" i="44"/>
  <c r="O44" i="45" s="1"/>
  <c r="L15" i="44"/>
  <c r="K15" i="44"/>
  <c r="M44" i="45" s="1"/>
  <c r="J15" i="44"/>
  <c r="I15" i="44"/>
  <c r="K44" i="45" s="1"/>
  <c r="H15" i="44"/>
  <c r="G15" i="44"/>
  <c r="I44" i="45" s="1"/>
  <c r="F15" i="44"/>
  <c r="E15" i="44"/>
  <c r="G44" i="45" s="1"/>
  <c r="D15" i="44"/>
  <c r="M14" i="44"/>
  <c r="O40" i="45" s="1"/>
  <c r="L14" i="44"/>
  <c r="K14" i="44"/>
  <c r="M40" i="45" s="1"/>
  <c r="J14" i="44"/>
  <c r="I14" i="44"/>
  <c r="K40" i="45" s="1"/>
  <c r="H14" i="44"/>
  <c r="G14" i="44"/>
  <c r="I40" i="45" s="1"/>
  <c r="F14" i="44"/>
  <c r="E14" i="44"/>
  <c r="G40" i="45" s="1"/>
  <c r="D14" i="44"/>
  <c r="M13" i="44"/>
  <c r="O35" i="45" s="1"/>
  <c r="L13" i="44"/>
  <c r="K13" i="44"/>
  <c r="M35" i="45" s="1"/>
  <c r="J13" i="44"/>
  <c r="I13" i="44"/>
  <c r="K35" i="45" s="1"/>
  <c r="H13" i="44"/>
  <c r="G13" i="44"/>
  <c r="I35" i="45" s="1"/>
  <c r="F13" i="44"/>
  <c r="E13" i="44"/>
  <c r="G35" i="45" s="1"/>
  <c r="D13" i="44"/>
  <c r="M12" i="44"/>
  <c r="O31" i="45" s="1"/>
  <c r="L12" i="44"/>
  <c r="K12" i="44"/>
  <c r="M31" i="45" s="1"/>
  <c r="J12" i="44"/>
  <c r="I12" i="44"/>
  <c r="K31" i="45" s="1"/>
  <c r="H12" i="44"/>
  <c r="G12" i="44"/>
  <c r="I31" i="45" s="1"/>
  <c r="F12" i="44"/>
  <c r="E12" i="44"/>
  <c r="G31" i="45" s="1"/>
  <c r="D12" i="44"/>
  <c r="M11" i="44"/>
  <c r="O29" i="45" s="1"/>
  <c r="L11" i="44"/>
  <c r="K11" i="44"/>
  <c r="M29" i="45" s="1"/>
  <c r="J11" i="44"/>
  <c r="I11" i="44"/>
  <c r="K29" i="45" s="1"/>
  <c r="H11" i="44"/>
  <c r="G11" i="44"/>
  <c r="I29" i="45" s="1"/>
  <c r="F11" i="44"/>
  <c r="E11" i="44"/>
  <c r="D11" i="44"/>
  <c r="M10" i="44"/>
  <c r="O11" i="45" s="1"/>
  <c r="L10" i="44"/>
  <c r="K10" i="44"/>
  <c r="M11" i="45" s="1"/>
  <c r="J10" i="44"/>
  <c r="I10" i="44"/>
  <c r="K11" i="45" s="1"/>
  <c r="H10" i="44"/>
  <c r="G10" i="44"/>
  <c r="I11" i="45" s="1"/>
  <c r="F10" i="44"/>
  <c r="E10" i="44"/>
  <c r="G11" i="45" s="1"/>
  <c r="D10" i="44"/>
  <c r="M9" i="44"/>
  <c r="O9" i="45" s="1"/>
  <c r="L9" i="44"/>
  <c r="K9" i="44"/>
  <c r="M9" i="45" s="1"/>
  <c r="J9" i="44"/>
  <c r="I9" i="44"/>
  <c r="K9" i="45" s="1"/>
  <c r="H9" i="44"/>
  <c r="G9" i="44"/>
  <c r="I9" i="45" s="1"/>
  <c r="F9" i="44"/>
  <c r="E9" i="44"/>
  <c r="D9" i="44"/>
  <c r="N13" i="45" l="1"/>
  <c r="N18" i="45"/>
  <c r="P13" i="45"/>
  <c r="P18" i="45"/>
  <c r="H13" i="45"/>
  <c r="H18" i="45"/>
  <c r="J13" i="45"/>
  <c r="J18" i="45"/>
  <c r="L13" i="45"/>
  <c r="L18" i="45"/>
  <c r="H24" i="45"/>
  <c r="H25" i="45"/>
  <c r="P24" i="45"/>
  <c r="P25" i="45"/>
  <c r="N24" i="45"/>
  <c r="N25" i="45"/>
  <c r="J24" i="45"/>
  <c r="J25" i="45"/>
  <c r="L24" i="45"/>
  <c r="L25" i="45"/>
  <c r="P15" i="45"/>
  <c r="P16" i="45"/>
  <c r="H15" i="45"/>
  <c r="H16" i="45"/>
  <c r="J15" i="45"/>
  <c r="J16" i="45"/>
  <c r="N15" i="45"/>
  <c r="N16" i="45"/>
  <c r="L15" i="45"/>
  <c r="L16" i="45"/>
  <c r="J23" i="45"/>
  <c r="J27" i="45"/>
  <c r="J20" i="45"/>
  <c r="J19" i="45"/>
  <c r="L21" i="45"/>
  <c r="L22" i="45"/>
  <c r="L26" i="45"/>
  <c r="L20" i="45"/>
  <c r="L23" i="45"/>
  <c r="L27" i="45"/>
  <c r="L19" i="45"/>
  <c r="N21" i="45"/>
  <c r="N26" i="45"/>
  <c r="N23" i="45"/>
  <c r="N27" i="45"/>
  <c r="N20" i="45"/>
  <c r="N19" i="45"/>
  <c r="N22" i="45"/>
  <c r="P21" i="45"/>
  <c r="P23" i="45"/>
  <c r="P26" i="45"/>
  <c r="P27" i="45"/>
  <c r="P19" i="45"/>
  <c r="P20" i="45"/>
  <c r="P22" i="45"/>
  <c r="G9" i="45"/>
  <c r="G94" i="45"/>
  <c r="G111" i="45"/>
  <c r="G29" i="45"/>
  <c r="G58" i="45"/>
  <c r="G92" i="45"/>
  <c r="J21" i="45"/>
  <c r="J22" i="45"/>
  <c r="J26" i="45"/>
  <c r="I36" i="45"/>
  <c r="I37" i="45"/>
  <c r="I38" i="45"/>
  <c r="L52" i="45"/>
  <c r="P128" i="45"/>
  <c r="P127" i="45"/>
  <c r="P126" i="45"/>
  <c r="N128" i="45"/>
  <c r="N127" i="45"/>
  <c r="N126" i="45"/>
  <c r="L128" i="45"/>
  <c r="L127" i="45"/>
  <c r="L126" i="45"/>
  <c r="J128" i="45"/>
  <c r="J127" i="45"/>
  <c r="J126" i="45"/>
  <c r="H128" i="45"/>
  <c r="H127" i="45"/>
  <c r="H126" i="45"/>
  <c r="H124" i="45"/>
  <c r="H123" i="45"/>
  <c r="H122" i="45"/>
  <c r="J124" i="45"/>
  <c r="J123" i="45"/>
  <c r="J122" i="45"/>
  <c r="L124" i="45"/>
  <c r="L123" i="45"/>
  <c r="L122" i="45"/>
  <c r="N124" i="45"/>
  <c r="N123" i="45"/>
  <c r="N122" i="45"/>
  <c r="P124" i="45"/>
  <c r="P123" i="45"/>
  <c r="P122" i="45"/>
  <c r="P120" i="45"/>
  <c r="P119" i="45"/>
  <c r="N120" i="45"/>
  <c r="N119" i="45"/>
  <c r="L120" i="45"/>
  <c r="L119" i="45"/>
  <c r="J120" i="45"/>
  <c r="J119" i="45"/>
  <c r="J118" i="45"/>
  <c r="H120" i="45"/>
  <c r="H119" i="45"/>
  <c r="H118" i="45"/>
  <c r="H116" i="45"/>
  <c r="H114" i="45"/>
  <c r="J116" i="45"/>
  <c r="J114" i="45"/>
  <c r="L116" i="45"/>
  <c r="N116" i="45"/>
  <c r="P116" i="45"/>
  <c r="P109" i="45"/>
  <c r="P108" i="45"/>
  <c r="N109" i="45"/>
  <c r="N108" i="45"/>
  <c r="L109" i="45"/>
  <c r="L108" i="45"/>
  <c r="J109" i="45"/>
  <c r="J108" i="45"/>
  <c r="H109" i="45"/>
  <c r="H108" i="45"/>
  <c r="H106" i="45"/>
  <c r="H102" i="45"/>
  <c r="J106" i="45"/>
  <c r="J102" i="45"/>
  <c r="L106" i="45"/>
  <c r="L102" i="45"/>
  <c r="N106" i="45"/>
  <c r="N102" i="45"/>
  <c r="P106" i="45"/>
  <c r="P102" i="45"/>
  <c r="P100" i="45"/>
  <c r="P97" i="45"/>
  <c r="N100" i="45"/>
  <c r="N97" i="45"/>
  <c r="L100" i="45"/>
  <c r="L97" i="45"/>
  <c r="J100" i="45"/>
  <c r="J97" i="45"/>
  <c r="H100" i="45"/>
  <c r="H97" i="45"/>
  <c r="P89" i="45"/>
  <c r="N89" i="45"/>
  <c r="L89" i="45"/>
  <c r="J89" i="45"/>
  <c r="H89" i="45"/>
  <c r="P87" i="45"/>
  <c r="P86" i="45"/>
  <c r="P85" i="45"/>
  <c r="N87" i="45"/>
  <c r="N86" i="45"/>
  <c r="N85" i="45"/>
  <c r="L87" i="45"/>
  <c r="L86" i="45"/>
  <c r="L85" i="45"/>
  <c r="J87" i="45"/>
  <c r="J86" i="45"/>
  <c r="J85" i="45"/>
  <c r="H87" i="45"/>
  <c r="H86" i="45"/>
  <c r="H85" i="45"/>
  <c r="P79" i="45"/>
  <c r="P78" i="45"/>
  <c r="P77" i="45"/>
  <c r="N79" i="45"/>
  <c r="N78" i="45"/>
  <c r="N77" i="45"/>
  <c r="L79" i="45"/>
  <c r="L78" i="45"/>
  <c r="L77" i="45"/>
  <c r="J79" i="45"/>
  <c r="J78" i="45"/>
  <c r="J77" i="45"/>
  <c r="H79" i="45"/>
  <c r="H78" i="45"/>
  <c r="H77" i="45"/>
  <c r="P56" i="45"/>
  <c r="N56" i="45"/>
  <c r="L56" i="45"/>
  <c r="J56" i="45"/>
  <c r="H56" i="45"/>
  <c r="P53" i="45"/>
  <c r="P52" i="45"/>
  <c r="N53" i="45"/>
  <c r="N52" i="45"/>
  <c r="L53" i="45"/>
  <c r="J53" i="45"/>
  <c r="J52" i="45"/>
  <c r="H53" i="45"/>
  <c r="H52" i="45"/>
  <c r="P49" i="45"/>
  <c r="P48" i="45"/>
  <c r="N49" i="45"/>
  <c r="N48" i="45"/>
  <c r="L49" i="45"/>
  <c r="L48" i="45"/>
  <c r="J49" i="45"/>
  <c r="J48" i="45"/>
  <c r="H49" i="45"/>
  <c r="H48" i="45"/>
  <c r="P42" i="45"/>
  <c r="N42" i="45"/>
  <c r="L42" i="45"/>
  <c r="J42" i="45"/>
  <c r="H42" i="45"/>
  <c r="P33" i="45"/>
  <c r="N33" i="45"/>
  <c r="L33" i="45"/>
  <c r="J33" i="45"/>
  <c r="P28" i="45"/>
  <c r="N28" i="45"/>
  <c r="L28" i="45"/>
  <c r="J28" i="45"/>
  <c r="H33" i="45"/>
  <c r="L60" i="45" l="1"/>
  <c r="N60" i="45"/>
  <c r="H60" i="45"/>
  <c r="P60" i="45"/>
  <c r="J60" i="45"/>
  <c r="J12" i="45"/>
  <c r="L55" i="45"/>
  <c r="J55" i="45"/>
  <c r="P51" i="45"/>
  <c r="N51" i="45"/>
  <c r="L51" i="45"/>
  <c r="J51" i="45"/>
  <c r="P47" i="45"/>
  <c r="N47" i="45"/>
  <c r="L47" i="45"/>
  <c r="L96" i="45"/>
  <c r="N96" i="45"/>
  <c r="P118" i="45"/>
  <c r="N118" i="45"/>
  <c r="L118" i="45"/>
  <c r="H121" i="45"/>
  <c r="H117" i="45"/>
  <c r="H101" i="45"/>
  <c r="H22" i="45" l="1"/>
  <c r="H20" i="45"/>
  <c r="H19" i="45"/>
  <c r="H21" i="45"/>
  <c r="H26" i="45"/>
  <c r="H27" i="45"/>
  <c r="H23" i="45"/>
  <c r="H28" i="45"/>
  <c r="N113" i="45"/>
  <c r="J113" i="45"/>
  <c r="P76" i="45"/>
  <c r="L101" i="45"/>
  <c r="N121" i="45"/>
  <c r="P121" i="45"/>
  <c r="L113" i="45"/>
  <c r="L117" i="45"/>
  <c r="J47" i="45"/>
  <c r="J46" i="45" s="1"/>
  <c r="P38" i="45"/>
  <c r="P37" i="45"/>
  <c r="N38" i="45"/>
  <c r="N37" i="45"/>
  <c r="L38" i="45"/>
  <c r="L37" i="45"/>
  <c r="J38" i="45"/>
  <c r="J37" i="45"/>
  <c r="H38" i="45"/>
  <c r="H37" i="45"/>
  <c r="P17" i="45"/>
  <c r="P14" i="45"/>
  <c r="P12" i="45"/>
  <c r="N17" i="45"/>
  <c r="N14" i="45"/>
  <c r="N12" i="45"/>
  <c r="L17" i="45"/>
  <c r="L14" i="45"/>
  <c r="L12" i="45"/>
  <c r="J17" i="45"/>
  <c r="J14" i="45"/>
  <c r="H12" i="45"/>
  <c r="H17" i="45"/>
  <c r="H14" i="45"/>
  <c r="J76" i="45"/>
  <c r="L84" i="45"/>
  <c r="J117" i="45"/>
  <c r="J54" i="45"/>
  <c r="L88" i="45"/>
  <c r="J50" i="45"/>
  <c r="P125" i="45"/>
  <c r="L125" i="45"/>
  <c r="H107" i="45"/>
  <c r="H84" i="45"/>
  <c r="J88" i="45"/>
  <c r="J121" i="45"/>
  <c r="H76" i="45"/>
  <c r="N76" i="45"/>
  <c r="J84" i="45"/>
  <c r="P84" i="45"/>
  <c r="N107" i="45"/>
  <c r="L54" i="45"/>
  <c r="P117" i="45"/>
  <c r="J125" i="45"/>
  <c r="N125" i="45"/>
  <c r="L76" i="45"/>
  <c r="N84" i="45"/>
  <c r="L50" i="45"/>
  <c r="L46" i="45"/>
  <c r="N50" i="45"/>
  <c r="L121" i="45"/>
  <c r="J107" i="45"/>
  <c r="P88" i="45"/>
  <c r="N46" i="45"/>
  <c r="P50" i="45"/>
  <c r="H125" i="45"/>
  <c r="P107" i="45"/>
  <c r="H88" i="45"/>
  <c r="N88" i="45"/>
  <c r="L107" i="45"/>
  <c r="P46" i="45"/>
  <c r="P101" i="45"/>
  <c r="P96" i="45"/>
  <c r="N101" i="45"/>
  <c r="N117" i="45"/>
  <c r="H113" i="45"/>
  <c r="J101" i="45"/>
  <c r="J96" i="45"/>
  <c r="H96" i="45"/>
  <c r="J74" i="45" l="1"/>
  <c r="J58" i="45" s="1"/>
  <c r="N74" i="45"/>
  <c r="N58" i="45" s="1"/>
  <c r="P74" i="45"/>
  <c r="P58" i="45" s="1"/>
  <c r="H74" i="45"/>
  <c r="H58" i="45" s="1"/>
  <c r="L74" i="45"/>
  <c r="L58" i="45" s="1"/>
  <c r="P113" i="45"/>
  <c r="L94" i="45"/>
  <c r="N94" i="45"/>
  <c r="L11" i="45"/>
  <c r="J11" i="45"/>
  <c r="H94" i="45"/>
  <c r="P11" i="45"/>
  <c r="N11" i="45"/>
  <c r="P94" i="45"/>
  <c r="J94" i="45"/>
  <c r="H11" i="45" l="1"/>
  <c r="D31" i="44" l="1"/>
  <c r="L31" i="44"/>
  <c r="I31" i="44"/>
  <c r="L41" i="45"/>
  <c r="L40" i="45" s="1"/>
  <c r="L36" i="45"/>
  <c r="L35" i="45" s="1"/>
  <c r="L32" i="45"/>
  <c r="L31" i="45" s="1"/>
  <c r="J41" i="45"/>
  <c r="J40" i="45" s="1"/>
  <c r="J36" i="45"/>
  <c r="J35" i="45" s="1"/>
  <c r="J32" i="45"/>
  <c r="J31" i="45" s="1"/>
  <c r="H36" i="45"/>
  <c r="H35" i="45" s="1"/>
  <c r="P32" i="45" l="1"/>
  <c r="P31" i="45" s="1"/>
  <c r="N32" i="45"/>
  <c r="N31" i="45" s="1"/>
  <c r="H41" i="45"/>
  <c r="H40" i="45" s="1"/>
  <c r="P36" i="45"/>
  <c r="P35" i="45" s="1"/>
  <c r="N36" i="45"/>
  <c r="N35" i="45" s="1"/>
  <c r="P41" i="45"/>
  <c r="P40" i="45" s="1"/>
  <c r="N41" i="45"/>
  <c r="N40" i="45" s="1"/>
  <c r="P55" i="45"/>
  <c r="P54" i="45" s="1"/>
  <c r="N55" i="45"/>
  <c r="N54" i="45" s="1"/>
  <c r="N44" i="45" s="1"/>
  <c r="H31" i="44"/>
  <c r="K31" i="44"/>
  <c r="H32" i="45"/>
  <c r="H31" i="45" s="1"/>
  <c r="N111" i="45"/>
  <c r="N92" i="45" s="1"/>
  <c r="H111" i="45"/>
  <c r="H92" i="45" s="1"/>
  <c r="J111" i="45"/>
  <c r="J92" i="45" s="1"/>
  <c r="L111" i="45"/>
  <c r="L92" i="45" s="1"/>
  <c r="P111" i="45"/>
  <c r="P92" i="45" s="1"/>
  <c r="F31" i="44"/>
  <c r="J31" i="44"/>
  <c r="O179" i="45"/>
  <c r="M179" i="45"/>
  <c r="K179" i="45"/>
  <c r="I179" i="45"/>
  <c r="G179" i="45"/>
  <c r="O177" i="45"/>
  <c r="M177" i="45"/>
  <c r="K177" i="45"/>
  <c r="I177" i="45"/>
  <c r="G177" i="45"/>
  <c r="O175" i="45"/>
  <c r="M175" i="45"/>
  <c r="K175" i="45"/>
  <c r="I175" i="45"/>
  <c r="G175" i="45"/>
  <c r="O173" i="45"/>
  <c r="M173" i="45"/>
  <c r="K173" i="45"/>
  <c r="I173" i="45"/>
  <c r="G173" i="45"/>
  <c r="O171" i="45"/>
  <c r="M171" i="45"/>
  <c r="K171" i="45"/>
  <c r="I171" i="45"/>
  <c r="G171" i="45"/>
  <c r="O169" i="45"/>
  <c r="M169" i="45"/>
  <c r="K169" i="45"/>
  <c r="I169" i="45"/>
  <c r="G169" i="45"/>
  <c r="O167" i="45"/>
  <c r="M167" i="45"/>
  <c r="K167" i="45"/>
  <c r="I167" i="45"/>
  <c r="G167" i="45"/>
  <c r="O165" i="45"/>
  <c r="M165" i="45"/>
  <c r="K165" i="45"/>
  <c r="I165" i="45"/>
  <c r="G165" i="45"/>
  <c r="O163" i="45"/>
  <c r="M163" i="45"/>
  <c r="K163" i="45"/>
  <c r="I163" i="45"/>
  <c r="G163" i="45"/>
  <c r="O161" i="45"/>
  <c r="M161" i="45"/>
  <c r="K161" i="45"/>
  <c r="I161" i="45"/>
  <c r="G161" i="45"/>
  <c r="O159" i="45"/>
  <c r="M159" i="45"/>
  <c r="K159" i="45"/>
  <c r="I159" i="45"/>
  <c r="G159" i="45"/>
  <c r="O157" i="45"/>
  <c r="M157" i="45"/>
  <c r="K157" i="45"/>
  <c r="I157" i="45"/>
  <c r="G157" i="45"/>
  <c r="O155" i="45"/>
  <c r="M155" i="45"/>
  <c r="K155" i="45"/>
  <c r="I155" i="45"/>
  <c r="G155" i="45"/>
  <c r="O153" i="45"/>
  <c r="M153" i="45"/>
  <c r="K153" i="45"/>
  <c r="I153" i="45"/>
  <c r="G153" i="45"/>
  <c r="O151" i="45"/>
  <c r="M151" i="45"/>
  <c r="K151" i="45"/>
  <c r="I151" i="45"/>
  <c r="G151" i="45"/>
  <c r="O149" i="45"/>
  <c r="M149" i="45"/>
  <c r="K149" i="45"/>
  <c r="I149" i="45"/>
  <c r="G149" i="45"/>
  <c r="O147" i="45"/>
  <c r="M147" i="45"/>
  <c r="K147" i="45"/>
  <c r="I147" i="45"/>
  <c r="G147" i="45"/>
  <c r="O145" i="45"/>
  <c r="M145" i="45"/>
  <c r="K145" i="45"/>
  <c r="I145" i="45"/>
  <c r="G145" i="45"/>
  <c r="O143" i="45"/>
  <c r="M143" i="45"/>
  <c r="K143" i="45"/>
  <c r="I143" i="45"/>
  <c r="G143" i="45"/>
  <c r="O141" i="45"/>
  <c r="M141" i="45"/>
  <c r="K141" i="45"/>
  <c r="I141" i="45"/>
  <c r="G141" i="45"/>
  <c r="O139" i="45"/>
  <c r="M139" i="45"/>
  <c r="K139" i="45"/>
  <c r="I139" i="45"/>
  <c r="G139" i="45"/>
  <c r="O137" i="45"/>
  <c r="M137" i="45"/>
  <c r="K137" i="45"/>
  <c r="I137" i="45"/>
  <c r="G137" i="45"/>
  <c r="N29" i="45" l="1"/>
  <c r="H29" i="45"/>
  <c r="M31" i="44"/>
  <c r="J29" i="45" l="1"/>
  <c r="L29" i="45"/>
  <c r="O134" i="45"/>
  <c r="D75" i="16" a="1"/>
  <c r="D75" i="16" s="1"/>
  <c r="D74" i="16" a="1"/>
  <c r="D74" i="16" s="1"/>
  <c r="D73" i="16" a="1"/>
  <c r="D73" i="16" s="1"/>
  <c r="D72" i="16" a="1"/>
  <c r="D72" i="16" s="1"/>
  <c r="D71" i="16" a="1"/>
  <c r="D71" i="16" s="1"/>
  <c r="D70" i="16" a="1"/>
  <c r="D70" i="16" s="1"/>
  <c r="D77" i="16"/>
  <c r="D76" i="16"/>
  <c r="P29" i="45" l="1"/>
  <c r="M134" i="45"/>
  <c r="N9" i="45" l="1"/>
  <c r="N134" i="45" s="1"/>
  <c r="E1" i="16" l="1"/>
  <c r="C3" i="16" l="1"/>
  <c r="E72" i="16" l="1"/>
  <c r="E74" i="16"/>
  <c r="E73" i="16"/>
  <c r="E71" i="16"/>
  <c r="E75" i="16"/>
  <c r="E70" i="16"/>
  <c r="H55" i="45" l="1"/>
  <c r="H54" i="45" s="1"/>
  <c r="H47" i="45"/>
  <c r="H46" i="45" s="1"/>
  <c r="H51" i="45"/>
  <c r="H50" i="45" s="1"/>
  <c r="P44" i="45" l="1"/>
  <c r="P9" i="45" s="1"/>
  <c r="P134" i="45" s="1"/>
  <c r="H44" i="45" l="1"/>
  <c r="L44" i="45" l="1"/>
  <c r="J44" i="45"/>
  <c r="L9" i="45" l="1"/>
  <c r="L134" i="45" s="1"/>
  <c r="E31" i="44" l="1"/>
  <c r="H9" i="45" l="1"/>
  <c r="H134" i="45" s="1"/>
  <c r="G134" i="45" l="1"/>
  <c r="G31" i="44" l="1"/>
  <c r="I134" i="45"/>
  <c r="J9" i="45"/>
  <c r="J134" i="45" s="1"/>
  <c r="M8" i="44" l="1"/>
  <c r="K8" i="44"/>
  <c r="I8" i="44"/>
  <c r="G8" i="44"/>
  <c r="E8" i="44"/>
  <c r="H53" i="59" l="1"/>
  <c r="E53" i="59" s="1"/>
  <c r="H54" i="59" l="1"/>
  <c r="E54" i="59" s="1"/>
  <c r="H61" i="59"/>
  <c r="E61" i="59" s="1"/>
  <c r="H60" i="59"/>
  <c r="E60" i="59" s="1"/>
  <c r="H62" i="59"/>
  <c r="E62" i="59" s="1"/>
  <c r="H25" i="59"/>
  <c r="E25" i="59" s="1"/>
  <c r="H37" i="59"/>
  <c r="E37" i="59" s="1"/>
  <c r="H26" i="59"/>
  <c r="E26" i="59" s="1"/>
  <c r="H35" i="59"/>
  <c r="E35" i="59" s="1"/>
  <c r="H44" i="59"/>
  <c r="E44" i="59" s="1"/>
  <c r="H45" i="59"/>
  <c r="E45" i="59" s="1"/>
  <c r="H27" i="59"/>
  <c r="E27" i="59" s="1"/>
  <c r="H36" i="59"/>
  <c r="E36" i="59" s="1"/>
  <c r="H28" i="59"/>
  <c r="E28" i="59" s="1"/>
  <c r="H55" i="59" l="1"/>
  <c r="E55" i="59" s="1"/>
  <c r="H56" i="59" l="1"/>
  <c r="E56" i="59" s="1"/>
  <c r="H29" i="59" l="1"/>
  <c r="E29" i="59" s="1"/>
  <c r="H30" i="59"/>
  <c r="E30" i="59" s="1"/>
  <c r="H15" i="59"/>
  <c r="E15" i="59" s="1"/>
  <c r="H16" i="59"/>
  <c r="E16" i="59" s="1"/>
  <c r="H14" i="59" l="1"/>
  <c r="E14" i="59" s="1"/>
  <c r="H18" i="59"/>
  <c r="E18" i="59" s="1"/>
  <c r="H57" i="59"/>
  <c r="E57" i="59" s="1"/>
  <c r="H17" i="59" l="1"/>
  <c r="E17" i="59" s="1"/>
  <c r="H31" i="59"/>
  <c r="E31" i="59" s="1"/>
  <c r="H19" i="59"/>
  <c r="E19" i="59" s="1"/>
  <c r="H63" i="59" l="1"/>
  <c r="E63" i="59" s="1"/>
  <c r="H32" i="59" l="1"/>
  <c r="E32" i="59" s="1"/>
  <c r="H64" i="59"/>
  <c r="E64" i="59" s="1"/>
  <c r="H20" i="59"/>
  <c r="E20" i="59" s="1"/>
  <c r="H38" i="59" l="1"/>
  <c r="E38" i="59" s="1"/>
  <c r="H65" i="59"/>
  <c r="E65" i="59" s="1"/>
  <c r="H39" i="59"/>
  <c r="E39" i="59" s="1"/>
  <c r="H40" i="59" l="1"/>
  <c r="E40" i="59" s="1"/>
  <c r="H41" i="59" l="1"/>
  <c r="E41" i="59" s="1"/>
  <c r="H46" i="59" l="1"/>
  <c r="E46" i="59" s="1"/>
  <c r="H47" i="59" l="1"/>
  <c r="E47" i="59" s="1"/>
  <c r="H48" i="59" l="1"/>
  <c r="E48" i="5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<sst xmlns="http://schemas.openxmlformats.org/spreadsheetml/2006/main" count="28864" uniqueCount="1976">
  <si>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</si>
  <si>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</si>
  <si>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</si>
  <si>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</si>
  <si>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</si>
  <si>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</si>
  <si>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</si>
  <si>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</si>
  <si>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WESTERN ASSET FIA BDR NÍVEL I</t>
  </si>
  <si>
    <t>B.Side</t>
  </si>
  <si>
    <t>Sofisticado</t>
  </si>
  <si>
    <t>Essence (N1)</t>
  </si>
  <si>
    <t>Essence (N2)</t>
  </si>
  <si>
    <t>Essence (N3)</t>
  </si>
  <si>
    <t>RF Pós - Longo Prazo</t>
  </si>
  <si>
    <t>Moeda</t>
  </si>
  <si>
    <t>Liq. (D+)</t>
  </si>
  <si>
    <t>% Total</t>
  </si>
  <si>
    <t>R$</t>
  </si>
  <si>
    <t>Renda Fixa</t>
  </si>
  <si>
    <t>x</t>
  </si>
  <si>
    <t>RF Pós - Curto Prazo</t>
  </si>
  <si>
    <t>RF Pré</t>
  </si>
  <si>
    <t>RF Inflação</t>
  </si>
  <si>
    <t>RF CP Livre</t>
  </si>
  <si>
    <t>Multimercado</t>
  </si>
  <si>
    <t>MM Low Vol</t>
  </si>
  <si>
    <t>MM High Vol</t>
  </si>
  <si>
    <t>Renda Variável</t>
  </si>
  <si>
    <t>Ações Long Bias</t>
  </si>
  <si>
    <t>Ações Long Only</t>
  </si>
  <si>
    <t>Ações Internacionais</t>
  </si>
  <si>
    <t>Alternativos</t>
  </si>
  <si>
    <t>Imobiliário</t>
  </si>
  <si>
    <t>Cambial</t>
  </si>
  <si>
    <t>Outros</t>
  </si>
  <si>
    <t>Base Clientes - Carteira Sugerida</t>
  </si>
  <si>
    <t>Lista de Carteiras</t>
  </si>
  <si>
    <t>Conservador</t>
  </si>
  <si>
    <t>Moderado</t>
  </si>
  <si>
    <t>Agressivo</t>
  </si>
  <si>
    <t>CDB BTG Pactual - Liquidez Diária 104% CDI</t>
  </si>
  <si>
    <t>SF2 TRÓPICO CASH FIM</t>
  </si>
  <si>
    <t>EVEREST HIGH YIELD FIC FIM - CP E1</t>
  </si>
  <si>
    <t>CDB Pós</t>
  </si>
  <si>
    <t>IBIUNA CREDIT FIC FIM CP</t>
  </si>
  <si>
    <t>BTG PACTUAL CRED CORP PLUS FI RF CP</t>
  </si>
  <si>
    <t>GÁVEA MACRO FIC FIM</t>
  </si>
  <si>
    <t>VINLAND MACRO ACCESS FIC FIM</t>
  </si>
  <si>
    <t>SPX NIMITZ ACCESS D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</si>
  <si>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</si>
  <si>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</si>
  <si>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</si>
  <si>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</si>
  <si>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</si>
  <si>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</si>
  <si>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</si>
  <si>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</si>
  <si>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</si>
  <si>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REAL INVESTOR FIA BDR NÍVEL I</t>
  </si>
  <si>
    <t>SCHRODER SUSTENTABILIDADE AÇÕES GLOBAIS FIC FIA IE</t>
  </si>
  <si>
    <t>GARÍN CÍCLICO LONG BIASED FIM</t>
  </si>
  <si>
    <t>CNPJ</t>
  </si>
  <si>
    <t>Status</t>
  </si>
  <si>
    <t>Liquidez (D+)</t>
  </si>
  <si>
    <t>IE</t>
  </si>
  <si>
    <t>-</t>
  </si>
  <si>
    <t>BTG PACTUAL CDB PLUS FI RF CP</t>
  </si>
  <si>
    <t>CAPTALYS PANORAMA FIC FIM CP</t>
  </si>
  <si>
    <t>LESTE CP BRASIL FIC FIM CP</t>
  </si>
  <si>
    <t>VINCI VALOREM FIM</t>
  </si>
  <si>
    <t>WESTERN ASSET IMA-B5 ATIVO FI RF</t>
  </si>
  <si>
    <t>OCCAM RETORNO ABSOLUTO ACCESS FIC FIM</t>
  </si>
  <si>
    <t>GENOA CAPITAL RADAR ACCESS FIC FIM</t>
  </si>
  <si>
    <t>NEO PROVECTUS I FIC FIM</t>
  </si>
  <si>
    <t>VERDE FIC FIM ACCESS</t>
  </si>
  <si>
    <t>IBIUNA HEDGE STH FIC FIM</t>
  </si>
  <si>
    <t>DAHLIA GLOBAL ALLOCATION FIC FIM</t>
  </si>
  <si>
    <t xml:space="preserve">TRUXT LONG BIAS FIC FIA ACCESS </t>
  </si>
  <si>
    <t>SHARP LONG BIASED FEEDER FIC FIA</t>
  </si>
  <si>
    <t>DAHLIA TOTAL RETURN FIC FIM</t>
  </si>
  <si>
    <t xml:space="preserve">KINEA GAMA FIC FIA </t>
  </si>
  <si>
    <t>SHARP EQUITY VALUE FEEDER FIC FIA</t>
  </si>
  <si>
    <t>CARTEIRA DE AÇÕES (CLIENTE)</t>
  </si>
  <si>
    <t>ABSOLUTO PARTNERS II ACCESS FIC FIA</t>
  </si>
  <si>
    <t>COMPASS NINETY ONE GLOBAL FRANCHISE IE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</si>
  <si>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</si>
  <si>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</si>
  <si>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</si>
  <si>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</si>
  <si>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</si>
  <si>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</si>
  <si>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</si>
  <si>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</si>
  <si>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</si>
  <si>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</si>
  <si>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</si>
  <si>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Taxa de Performance</t>
  </si>
  <si>
    <t>Movimentação Mínima</t>
  </si>
  <si>
    <t>Saldo Mínimo</t>
  </si>
  <si>
    <t>3R RE FIA</t>
  </si>
  <si>
    <t>3R Investimentos</t>
  </si>
  <si>
    <t>Itaú Unibanco</t>
  </si>
  <si>
    <t>IBOV</t>
  </si>
  <si>
    <t>4UM MARLIM DIVIDENDOS FIA</t>
  </si>
  <si>
    <t>4UM Investimentos</t>
  </si>
  <si>
    <t>4UM SMALL CAPS FIA</t>
  </si>
  <si>
    <t>A1 HEDGE FIC FIM</t>
  </si>
  <si>
    <t>Asset1 Investimentos</t>
  </si>
  <si>
    <t>CDI</t>
  </si>
  <si>
    <t>Absolute Investimentos</t>
  </si>
  <si>
    <t>ABSOLUTE ALPHA GLOBAL FIC FIM</t>
  </si>
  <si>
    <t>ABSOLUTE ALPHA MARB FIC FIM</t>
  </si>
  <si>
    <t>Não informado</t>
  </si>
  <si>
    <t>BTG Pactual WM Gestão de Recursos</t>
  </si>
  <si>
    <t>ABSOLUTE VERTEX II FIC FIM</t>
  </si>
  <si>
    <t>AC2 ALL EQUITIES FIA</t>
  </si>
  <si>
    <t>AC2 Investimentos</t>
  </si>
  <si>
    <t>AC2 ALL INVESTORS FIM</t>
  </si>
  <si>
    <t>AC2 ALL MARKETS FIC FIM</t>
  </si>
  <si>
    <t>Gama Investimentos</t>
  </si>
  <si>
    <t>Mongeral Aegon Investimentos</t>
  </si>
  <si>
    <t>ACCESS APEX EQUITY HEDGE FIC FIM</t>
  </si>
  <si>
    <t>BNP Paribas Asset Management</t>
  </si>
  <si>
    <t>ACE CAPITAL FIC FIM</t>
  </si>
  <si>
    <t>Ace Capital</t>
  </si>
  <si>
    <t>ADAM ADVANCED ACCESS IE FIC FIM CP</t>
  </si>
  <si>
    <t>Adam Capital</t>
  </si>
  <si>
    <t>ADAM MACRO STRATEGY II D60 FIC FIM</t>
  </si>
  <si>
    <t>ADAM MACRO STRATEGY II FIC FIM</t>
  </si>
  <si>
    <t>AF Invest</t>
  </si>
  <si>
    <t>AF INVEST GERAES 30 FI RF CP</t>
  </si>
  <si>
    <t>Áfira Investimentos</t>
  </si>
  <si>
    <t>Plural</t>
  </si>
  <si>
    <t>Alaska Asset Management</t>
  </si>
  <si>
    <t>ALASKA BLACK INSTITUCIONAL FIA</t>
  </si>
  <si>
    <t>Banco Alfa de Investimento</t>
  </si>
  <si>
    <t>ALFA AÇÕES PREMIUM FIA</t>
  </si>
  <si>
    <t>ALFA POLARIS FI RF CP</t>
  </si>
  <si>
    <t>ALFA SIRIUS FI RF CP</t>
  </si>
  <si>
    <t>ALGARVE ARROBA 3 FIM</t>
  </si>
  <si>
    <t>Algarve Investimentos</t>
  </si>
  <si>
    <t>Alpha Key Capital</t>
  </si>
  <si>
    <t>Âmago Capital</t>
  </si>
  <si>
    <t>Angá Asset Management</t>
  </si>
  <si>
    <t>ANGÁ PORTFOLIO FIM</t>
  </si>
  <si>
    <t>ANGÁ TOTAL RETURN FIM CP</t>
  </si>
  <si>
    <t>APEX AÇÕES 30 FIC FIA</t>
  </si>
  <si>
    <t>Apex Capital</t>
  </si>
  <si>
    <t>APEX EQUITY HEDGE FIM</t>
  </si>
  <si>
    <t>APEX INFINITY 8 LONG-BIASED FIC FIA</t>
  </si>
  <si>
    <t>APEX LONG BIASED 30 FIC FIM</t>
  </si>
  <si>
    <t>Arbor Capital</t>
  </si>
  <si>
    <t>ARBOR GLOBAL EQUITIES USD FIA IE</t>
  </si>
  <si>
    <t>ARCAH FIC FIM</t>
  </si>
  <si>
    <t>Tera Investimentos</t>
  </si>
  <si>
    <t>ARG HIKE FIC FIM</t>
  </si>
  <si>
    <t>Argumento Gestão de Investimentos</t>
  </si>
  <si>
    <t>NEO Investimentos</t>
  </si>
  <si>
    <t>Armor Capital</t>
  </si>
  <si>
    <t>ARTESANAL ACTUS FIC FIM CP</t>
  </si>
  <si>
    <t>Artesanal Investimentos</t>
  </si>
  <si>
    <t>ARTESANAL FI RF</t>
  </si>
  <si>
    <t>ARTESANAL FIC FIM</t>
  </si>
  <si>
    <t>ARX DENALI FIC RF CP</t>
  </si>
  <si>
    <t>ARX Investimentos</t>
  </si>
  <si>
    <t>ARX EXTRA FIC FIM</t>
  </si>
  <si>
    <t>ARX FIA</t>
  </si>
  <si>
    <t>ARX INCOME FIC FIA</t>
  </si>
  <si>
    <t>ARX LONG TERM FIC FIA</t>
  </si>
  <si>
    <t>ASA Investments</t>
  </si>
  <si>
    <t>Atena Capital</t>
  </si>
  <si>
    <t>ATALAYA ABSOLUTO FIC FIM</t>
  </si>
  <si>
    <t>Atalaya Capital</t>
  </si>
  <si>
    <t>Athena Capital</t>
  </si>
  <si>
    <t>ATHENA TOTAL RETURN FIC FIA</t>
  </si>
  <si>
    <t>ATHENA TOTAL RETURN II FIC FIA</t>
  </si>
  <si>
    <t>ATLAS ONE FIC FIA</t>
  </si>
  <si>
    <t>ATLAS ONE LONG BIAS FIC FIM</t>
  </si>
  <si>
    <t>Atmosphere Capital</t>
  </si>
  <si>
    <t>AUGME 180 FIC FIM CP</t>
  </si>
  <si>
    <t>Augme Capital</t>
  </si>
  <si>
    <t>AUGME 90 FIC FIM CP</t>
  </si>
  <si>
    <t>AUGME PRO FIM CP</t>
  </si>
  <si>
    <t>AVANTGARDE MULTIFATORES FIA</t>
  </si>
  <si>
    <t>Avantgarde Asset Management</t>
  </si>
  <si>
    <t>AZ Quest Investimentos</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</si>
  <si>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</si>
  <si>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</si>
  <si>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</si>
  <si>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</si>
  <si>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</si>
  <si>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</si>
  <si>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</si>
  <si>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</si>
  <si>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</si>
  <si>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</si>
  <si>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</si>
  <si>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Fronteira Invest</t>
  </si>
  <si>
    <t>BAHIA AM FIC FIM</t>
  </si>
  <si>
    <t>Bahia Asset Management</t>
  </si>
  <si>
    <t>BAHIA AM LONG BIASED FIC FIM</t>
  </si>
  <si>
    <t>BAHIA AM LONG BIASED II FIC FIM</t>
  </si>
  <si>
    <t>IPCA</t>
  </si>
  <si>
    <t>BAHIA AM SMID CAPS VALOR FIC FIA</t>
  </si>
  <si>
    <t>BAHIA AM VALUATION FIC FIA</t>
  </si>
  <si>
    <t>BAYES LONG BIASED SISTEMATICO FIM</t>
  </si>
  <si>
    <t>Bayes Capital Management</t>
  </si>
  <si>
    <t>BB Gestão de Recursos DTVM</t>
  </si>
  <si>
    <t>BDR AVARGA FIM</t>
  </si>
  <si>
    <t>BDR Asset Management</t>
  </si>
  <si>
    <t>M8 Partners</t>
  </si>
  <si>
    <t>BEST IDEAS FIA</t>
  </si>
  <si>
    <t>BLP AÇÕES I FIC FIA</t>
  </si>
  <si>
    <t>BLP Asset</t>
  </si>
  <si>
    <t>BLP LSH2 FIC FIM</t>
  </si>
  <si>
    <t>BlueLine Asset Management</t>
  </si>
  <si>
    <t>BlueGriffin Partners</t>
  </si>
  <si>
    <t>BNP PARIBAS ACTION FIC FIA</t>
  </si>
  <si>
    <t>BNP PARIBAS PREMIUM EQUITIES FIC FIA</t>
  </si>
  <si>
    <t>BNP PARIBAS PREMIUM FIC FIM</t>
  </si>
  <si>
    <t>BNP PARIBAS SMALL CAPS FIA</t>
  </si>
  <si>
    <t>Bogari Capital</t>
  </si>
  <si>
    <t>BOGARI VALUE D FIC FIA</t>
  </si>
  <si>
    <t>BOGARI VALUE FIC FIA</t>
  </si>
  <si>
    <t>BOGARI VALUE Q FIC FIA</t>
  </si>
  <si>
    <t>BRACCO FIM</t>
  </si>
  <si>
    <t>Galapagos Capital</t>
  </si>
  <si>
    <t>Bradesco Asset Management</t>
  </si>
  <si>
    <t>BRADESCO FIC FIA ESG GLOBAL BDR NIVEL I</t>
  </si>
  <si>
    <t>BRADESCO MULTIGESTORES GLOBAL FIXED INCOME ESG USD FIM IE</t>
  </si>
  <si>
    <t>Exclusivo</t>
  </si>
  <si>
    <t>Brasil Capital</t>
  </si>
  <si>
    <t>BRASIL CAPITAL B 30 FIC FIA</t>
  </si>
  <si>
    <t>BRASIL CAPITAL FIC FIA</t>
  </si>
  <si>
    <t>BRASIL PLURAL ESTRATÉGIA FIC FIA</t>
  </si>
  <si>
    <t>Genial Investimentos</t>
  </si>
  <si>
    <t>BRASIL PLURAL HIGH YIELD FI RF CP</t>
  </si>
  <si>
    <t>BRAVE I FIC FIM CP</t>
  </si>
  <si>
    <t>Brave Asset Management</t>
  </si>
  <si>
    <t>BRDR Asset Management</t>
  </si>
  <si>
    <t>BRESSER AÇÕES FIC FIA</t>
  </si>
  <si>
    <t>Bresser Asset Management</t>
  </si>
  <si>
    <t>BRESSER HEDGE FIM</t>
  </si>
  <si>
    <t>BRESSER HEDGE PLUS FIM</t>
  </si>
  <si>
    <t>BRZ HIGH GRADE FI RF CP</t>
  </si>
  <si>
    <t>BRZ Investimentos</t>
  </si>
  <si>
    <t>BTG AUTOINVEST MODERADO FIC FIM</t>
  </si>
  <si>
    <t>BTG AUTOINVEST SOFISTICADO FIC FIM</t>
  </si>
  <si>
    <t>BTG Pactual Gestora de Recursos</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</si>
  <si>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</si>
  <si>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</si>
  <si>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</si>
  <si>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</si>
  <si>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</si>
  <si>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</si>
  <si>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</si>
  <si>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</si>
  <si>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Ouro</t>
  </si>
  <si>
    <t>BTG PACTUAL S&amp;P 500 BRL FIM</t>
  </si>
  <si>
    <t>BTGP ACCESS ADAM MACRO FIC FIM</t>
  </si>
  <si>
    <t>Butiá Investimentos</t>
  </si>
  <si>
    <t>BUTIÁ EXCELLENCE FIC FIM</t>
  </si>
  <si>
    <t>BUTIÁ FUNDAMENTAL FIC FIA</t>
  </si>
  <si>
    <t>CA INDOSUEZ AGILITÉ FI RF CP</t>
  </si>
  <si>
    <t>CA Indosuez Wealth Management</t>
  </si>
  <si>
    <t>CA INDOSUEZ ALLOCATION ACTION FIC FIA</t>
  </si>
  <si>
    <t>CA INDOSUEZ GRAND VITESSE FI RF CP</t>
  </si>
  <si>
    <t>CA INDOSUEZ VITESSE FI RF CP</t>
  </si>
  <si>
    <t>Canvas Capital</t>
  </si>
  <si>
    <t>CANVAS DAKAR LONG BIAS FIC FIM</t>
  </si>
  <si>
    <t>CANVAS HIGH YIELD FIC FIM CP</t>
  </si>
  <si>
    <t>CANVAS VECTOR FIC FIM</t>
  </si>
  <si>
    <t>CAPSTONE MACRO FIC FIM</t>
  </si>
  <si>
    <t>Capstone Partners</t>
  </si>
  <si>
    <t>Captalys</t>
  </si>
  <si>
    <t>CARDINAL PARTNERS FIA</t>
  </si>
  <si>
    <t>Cardinal Partners</t>
  </si>
  <si>
    <t>CHESS ALPHA FIC FIM</t>
  </si>
  <si>
    <t>Chess Capital</t>
  </si>
  <si>
    <t>CL4 CAPITAL FIA</t>
  </si>
  <si>
    <t>CL4 Capital</t>
  </si>
  <si>
    <t>Claritas Investimentos</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</si>
  <si>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</si>
  <si>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</si>
  <si>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</si>
  <si>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</si>
  <si>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</si>
  <si>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</si>
  <si>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</si>
  <si>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</si>
  <si>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Group Asset Management</t>
  </si>
  <si>
    <t>COMPASS LONG BIASED FIC FIM</t>
  </si>
  <si>
    <t>COMPASS NINETY ONE GLOBAL FRANCHISE BRL FIC FIA IE</t>
  </si>
  <si>
    <t>Constância Investimentos</t>
  </si>
  <si>
    <t>Constellation Asset Management</t>
  </si>
  <si>
    <t>CONSTELLATION INSTITUCIONAL FIC FIA</t>
  </si>
  <si>
    <t>Verde Asset Management</t>
  </si>
  <si>
    <t>CTM ESTRATÉGIA FIA</t>
  </si>
  <si>
    <t>CTM Investimentos</t>
  </si>
  <si>
    <t>DAEMON NOUS GLOBAL FIC FIM</t>
  </si>
  <si>
    <t>Daemon Investimentos</t>
  </si>
  <si>
    <t>DAHLIA AÇÕES FIC FIA</t>
  </si>
  <si>
    <t>Dahlia Capital</t>
  </si>
  <si>
    <t>DAO MULTIFACTOR FIM</t>
  </si>
  <si>
    <t>DAO Capital</t>
  </si>
  <si>
    <t>DAYCOVAL CLASSIC FI RF CP</t>
  </si>
  <si>
    <t>Daycoval Asset Management</t>
  </si>
  <si>
    <t>DAYCOVAL IBOVESPA ATIVO FIA</t>
  </si>
  <si>
    <t>DAYCOVAL MULTIESTRATÉGIA FIM</t>
  </si>
  <si>
    <t>DEX FIC FIA</t>
  </si>
  <si>
    <t>DEX Capital</t>
  </si>
  <si>
    <t>Inter Asset</t>
  </si>
  <si>
    <t>E2M ARB FIM</t>
  </si>
  <si>
    <t>E2M Investimentos</t>
  </si>
  <si>
    <t>E2M ESTRATÉGIA FIM</t>
  </si>
  <si>
    <t>Empírica Investimentos</t>
  </si>
  <si>
    <t>ENTERCAPITAL TURING FIC FIM</t>
  </si>
  <si>
    <t>EnterCapital</t>
  </si>
  <si>
    <t>EOS TITANIUM FIM</t>
  </si>
  <si>
    <t>EOS Investimentos</t>
  </si>
  <si>
    <t>EOS TURMALINA FIA</t>
  </si>
  <si>
    <t>EQI FIC FIA</t>
  </si>
  <si>
    <t>EQI Asset</t>
  </si>
  <si>
    <t>EQI LIQUIDEZ FI RF</t>
  </si>
  <si>
    <t>EQI LONG BIAS FIC FIM</t>
  </si>
  <si>
    <t>EQI MACRO FIC FIM</t>
  </si>
  <si>
    <t>Equitas Investimentos</t>
  </si>
  <si>
    <t>EQUITAS SELECTION INSTITUCIONAL FIC FIA</t>
  </si>
  <si>
    <t>EQUITAS SELECTION MÃO AMIGA FIC FIA</t>
  </si>
  <si>
    <t>Iguana Investimentos</t>
  </si>
  <si>
    <t>EXES FIC FIM CP</t>
  </si>
  <si>
    <t>Exploritas</t>
  </si>
  <si>
    <t>FACT TOTAL RETURN FIC FIM</t>
  </si>
  <si>
    <t>Fact Investments</t>
  </si>
  <si>
    <t>FAMA FIC FIA</t>
  </si>
  <si>
    <t>Fama Investimentos</t>
  </si>
  <si>
    <t>FATOR ACOES FIC FIA</t>
  </si>
  <si>
    <t>Fator Administração de Recursos</t>
  </si>
  <si>
    <t>FATOR MAX CORPORATIVO FIRF LP CP</t>
  </si>
  <si>
    <t>FCL OPPORTUNITIES FIA IE</t>
  </si>
  <si>
    <t>FCL Capital</t>
  </si>
  <si>
    <t>FINACAP MAURITSSTAD FIA</t>
  </si>
  <si>
    <t>FORPUS AÇÕES FIC FIA</t>
  </si>
  <si>
    <t>Forpus Capital</t>
  </si>
  <si>
    <t>Franklin Templeton Investimentos</t>
  </si>
  <si>
    <t>FRANKLIN INNOVATION FIC FIA IE</t>
  </si>
  <si>
    <t>FRONTIER LONG BIAS FIC FIA</t>
  </si>
  <si>
    <t>Frontier Capital</t>
  </si>
  <si>
    <t>RF</t>
  </si>
  <si>
    <t>GAP ABSOLUTO FIC FIM</t>
  </si>
  <si>
    <t>GAP Asset Management</t>
  </si>
  <si>
    <t>Garde Asset Management</t>
  </si>
  <si>
    <t>Garín Investimentos</t>
  </si>
  <si>
    <t>Gauss Capital</t>
  </si>
  <si>
    <t>Gávea Investimentos</t>
  </si>
  <si>
    <t>GCB SMART CAPITAL FIM</t>
  </si>
  <si>
    <t>Genoa Capital</t>
  </si>
  <si>
    <t>GEO Capital</t>
  </si>
  <si>
    <t>GIANT AXIS FIC FIM</t>
  </si>
  <si>
    <t>Giant Steps Capital</t>
  </si>
  <si>
    <t>GIANT DARIUS FIC FIM</t>
  </si>
  <si>
    <t>GIANT SIGMA FIC FIM</t>
  </si>
  <si>
    <t>GIANT ZARATHUSTRA FIC FIM</t>
  </si>
  <si>
    <t>JP Morgan Asset Management</t>
  </si>
  <si>
    <t>GOLD CAPITAL FIA</t>
  </si>
  <si>
    <t>Trígono Capital</t>
  </si>
  <si>
    <t>GREENBAY CONVEX FIC FIM</t>
  </si>
  <si>
    <t>Greenbay Investimentos</t>
  </si>
  <si>
    <t>GROU ABSOLUTO FIC FIM</t>
  </si>
  <si>
    <t>Grou Capital</t>
  </si>
  <si>
    <t>GTI DIMONA BRASIL FIA</t>
  </si>
  <si>
    <t>GTI Administração de Recursos</t>
  </si>
  <si>
    <t>GTI NIMROD FIA</t>
  </si>
  <si>
    <t>GUEPARDO ALLOCATION FIC FIA</t>
  </si>
  <si>
    <t>Guepardo Investimentos</t>
  </si>
  <si>
    <t>GUEPARDO C FIC FIA</t>
  </si>
  <si>
    <t>GUEPARDO FIM LP</t>
  </si>
  <si>
    <t>GUEPARDO INSTITUCIONAL FIC FIA</t>
  </si>
  <si>
    <t>Hashdex</t>
  </si>
  <si>
    <t>HASHDEX OURO BITCOIN RISK PARITY FIC FIM</t>
  </si>
  <si>
    <t>HECTARE REAL ESTATE FIC FIM CP</t>
  </si>
  <si>
    <t>Hectare Capital</t>
  </si>
  <si>
    <t>HGI CRÉDITO PRIVADO FIC FIM</t>
  </si>
  <si>
    <t>HGI Capital</t>
  </si>
  <si>
    <t>Hix Capital</t>
  </si>
  <si>
    <t>HOGAN ABSOLUTO FIM</t>
  </si>
  <si>
    <t>Hogan Investimentos</t>
  </si>
  <si>
    <t>HOGAN HORIZONTE FIA</t>
  </si>
  <si>
    <t>I-TRACK FIM</t>
  </si>
  <si>
    <t>Ibiuna Investimentos</t>
  </si>
  <si>
    <t>IBIUNA EQUITIES 30 FIC FIA</t>
  </si>
  <si>
    <t>IBIUNA EQUITIES FIC FIA</t>
  </si>
  <si>
    <t>IBIUNA HEDGE FIC FIM</t>
  </si>
  <si>
    <t>IBIUNA LONG BIASED FIC FIM</t>
  </si>
  <si>
    <t>IBIUNA LONG SHORT STLS FIC FIM</t>
  </si>
  <si>
    <t>ICATU VANGUARDA CREDIT PLUS FIC RF CP</t>
  </si>
  <si>
    <t>Icatu Vanguarda</t>
  </si>
  <si>
    <t>ICATU VANGUARDA DIVIDENDOS FIA</t>
  </si>
  <si>
    <t>Impacto Investimentos</t>
  </si>
  <si>
    <t>INDIE FIC FIA</t>
  </si>
  <si>
    <t>Indie Capital</t>
  </si>
  <si>
    <t>INDIE PIPE I FIA</t>
  </si>
  <si>
    <t>INDIE PIPE II FIA</t>
  </si>
  <si>
    <t>INDIE PIPE III FIA</t>
  </si>
  <si>
    <t>Integral Investimentos</t>
  </si>
  <si>
    <t>IP Capital Partners</t>
  </si>
  <si>
    <t>IP PARTICIPAÇÕES FIC FIA BDR NÍVEL I</t>
  </si>
  <si>
    <t>IRIDIUM APOLLO FI RF CP LP</t>
  </si>
  <si>
    <t>Iridium Gestão de Recursos</t>
  </si>
  <si>
    <t>ITAÚ OPTIMUS TITAN DISTRIB FIC FIM</t>
  </si>
  <si>
    <t>Itaverá Investimentos</t>
  </si>
  <si>
    <t>JANUS HENDERSON GL TECH FIC FIA IE</t>
  </si>
  <si>
    <t>JBI FOCUS FIC FIA</t>
  </si>
  <si>
    <t>Jardim Botânico Investimentos</t>
  </si>
  <si>
    <t>JGP</t>
  </si>
  <si>
    <t>JGP CORPORATE PLUS FIC FIM CP</t>
  </si>
  <si>
    <t>JGP EQUITY FIC FIM</t>
  </si>
  <si>
    <t>JGP ESG FIC FIA</t>
  </si>
  <si>
    <t>JGP HEDGE FIC FIM</t>
  </si>
  <si>
    <t>JGP LONG ONLY FIC FIA</t>
  </si>
  <si>
    <t>JGP MAX PLATAFORMAS FIC FIM</t>
  </si>
  <si>
    <t>JGP SELECT FIC FIM CP</t>
  </si>
  <si>
    <t>JGP STRATEGY FIC FIM</t>
  </si>
  <si>
    <t>Joule Asset Management</t>
  </si>
  <si>
    <t>Journey Capital</t>
  </si>
  <si>
    <t>KADIMA EQUITIES FIC FIA</t>
  </si>
  <si>
    <t>Kadima Asset Management</t>
  </si>
  <si>
    <t>KADIMA II FIC FIM</t>
  </si>
  <si>
    <t>KADIMA LT FIM</t>
  </si>
  <si>
    <t>KAPITALO ALPHA GLOBAL FIC FIM</t>
  </si>
  <si>
    <t>Kapitalo Investimentos</t>
  </si>
  <si>
    <t>KAPITALO GAIA FIC FIM</t>
  </si>
  <si>
    <t>KAPITALO K10 FIC FIM</t>
  </si>
  <si>
    <t>KAPITALO KAPPA FIN FIC FIM</t>
  </si>
  <si>
    <t>KAPITALO ZETA FIC FIM</t>
  </si>
  <si>
    <t>Kinea Investimentos</t>
  </si>
  <si>
    <t>KINEA ATLAS II FIM</t>
  </si>
  <si>
    <t>Kiron Capital</t>
  </si>
  <si>
    <t>KINEA OPORTUNIDADE FIRF CP</t>
  </si>
  <si>
    <t>KIRON FIC FIA</t>
  </si>
  <si>
    <t>KIRON II FIC FIA</t>
  </si>
  <si>
    <t>KIRON INSTITUCIONAL FIA</t>
  </si>
  <si>
    <t>KONDOR MACRO FIC FIM</t>
  </si>
  <si>
    <t>Kondor Invest</t>
  </si>
  <si>
    <t>KP CP 35 FIC FIM</t>
  </si>
  <si>
    <t>KP Wealth</t>
  </si>
  <si>
    <t>KPR DIAGRAMA MACRO FIC FIM</t>
  </si>
  <si>
    <t>KPR Investimentos</t>
  </si>
  <si>
    <t>L2 ALPHA GLOBAL FIM CP</t>
  </si>
  <si>
    <t>L2 Capital Partners</t>
  </si>
  <si>
    <t>Skopos Investimentos</t>
  </si>
  <si>
    <t>LARUS FIC FIA</t>
  </si>
  <si>
    <t>Larus Gestora de Recursos</t>
  </si>
  <si>
    <t>LASP FUND FIA IE</t>
  </si>
  <si>
    <t>LEBLON AÇÕES FIC FIA</t>
  </si>
  <si>
    <t>Leblon Equities</t>
  </si>
  <si>
    <t>LEGACY CAPITAL FIC FIM</t>
  </si>
  <si>
    <t>Legacy Capital</t>
  </si>
  <si>
    <t>LEGACY CAPITAL II FIC FIM</t>
  </si>
  <si>
    <t>LEGACY CAPITAL P FIC FIM</t>
  </si>
  <si>
    <t>Western Asset</t>
  </si>
  <si>
    <t>Leste</t>
  </si>
  <si>
    <t>LESTE CREDIT IE FIM CP</t>
  </si>
  <si>
    <t>Lifetime Asset Management</t>
  </si>
  <si>
    <t>LIS VALUE FIA</t>
  </si>
  <si>
    <t>LIS Capital</t>
  </si>
  <si>
    <t>LOGOS LONG BIASED FIC FIM</t>
  </si>
  <si>
    <t>Logos Capital</t>
  </si>
  <si>
    <t>LOGOS TOTAL RETURN FIC FIM</t>
  </si>
  <si>
    <t>LUX FIA</t>
  </si>
  <si>
    <t>Luxor Investimentos</t>
  </si>
  <si>
    <t>M CA FIC FIM CP</t>
  </si>
  <si>
    <t>More Invest</t>
  </si>
  <si>
    <t>M CA II FIC FIM CP</t>
  </si>
  <si>
    <t>M Square</t>
  </si>
  <si>
    <t>M8 CREDIT OPPORTUNITIES FIC FIM CP</t>
  </si>
  <si>
    <t>M8 CREDIT STRATEGY PLUS FIC FIM CP</t>
  </si>
  <si>
    <t>MACRO CAPITAL ONE FIC FIM</t>
  </si>
  <si>
    <t>Macro Capital</t>
  </si>
  <si>
    <t>Exclusivo previdenciário</t>
  </si>
  <si>
    <t>Safra Asset Management</t>
  </si>
  <si>
    <t>MAPFRE Investimentos</t>
  </si>
  <si>
    <t>MAPFRE FIA</t>
  </si>
  <si>
    <t>MAPFRE INVERSION FIM</t>
  </si>
  <si>
    <t>MAR ABSOLUTO FIC FIM</t>
  </si>
  <si>
    <t>MAR Asset Management</t>
  </si>
  <si>
    <t>MAXWELL FIC FIM CP</t>
  </si>
  <si>
    <t>Meraki Capital</t>
  </si>
  <si>
    <t>Meta Asset Management</t>
  </si>
  <si>
    <t>MHX MULTIPLICA FIC FIM CP</t>
  </si>
  <si>
    <t>Miles Capital</t>
  </si>
  <si>
    <t>MILES ACER LONG BIAS I FIC FIM</t>
  </si>
  <si>
    <t>MILES VIRTUS B FIC FIA</t>
  </si>
  <si>
    <t>MILES VIRTUS I FIC FIA</t>
  </si>
  <si>
    <t>Mint Capital</t>
  </si>
  <si>
    <t>MINT PARTNERSHIP FIA BDR NÍVEL I</t>
  </si>
  <si>
    <t>Mirae Asset</t>
  </si>
  <si>
    <t>MOAT CAPITAL EQUITY HEDGE FIC FIM</t>
  </si>
  <si>
    <t>Moat Capital</t>
  </si>
  <si>
    <t>MOAT CAPITAL FIC FIA</t>
  </si>
  <si>
    <t>MOAT CAPITAL LONG BIAS FIC FIM</t>
  </si>
  <si>
    <t>Módulo Capital</t>
  </si>
  <si>
    <t>MOGNO AMAZÔNIA FIC FIA</t>
  </si>
  <si>
    <t>Mogno Capital</t>
  </si>
  <si>
    <t>MOGNO PANTANAL FIM CP</t>
  </si>
  <si>
    <t>MONGERAL AEGON FIA</t>
  </si>
  <si>
    <t>MORE BALANCEADO FIC FIM CP</t>
  </si>
  <si>
    <t>MORE CRÉDITO FIC FIM CP</t>
  </si>
  <si>
    <t>MOS Capital</t>
  </si>
  <si>
    <t>MOS FIA</t>
  </si>
  <si>
    <t>MURANO FIC FIM</t>
  </si>
  <si>
    <t>Murano Investimentos</t>
  </si>
  <si>
    <t>NAVI CRUISE FIC FIA</t>
  </si>
  <si>
    <t>Navi Capital</t>
  </si>
  <si>
    <t>NAVI INSTITUCIONAL FIC FIA</t>
  </si>
  <si>
    <t>NAVI LONG BIASED FIC FIM</t>
  </si>
  <si>
    <t>NAVI LONG SHORT FIC FIM</t>
  </si>
  <si>
    <t>NCH MARACANÃ FIA</t>
  </si>
  <si>
    <t>NCH Capital Brasil</t>
  </si>
  <si>
    <t>NEO FUTURE II FIC FIA</t>
  </si>
  <si>
    <t>NEO NAVITAS B FIC FIA</t>
  </si>
  <si>
    <t>NEO NAVITAS FIC FIA</t>
  </si>
  <si>
    <t>NEON SEGURANÇA FI RF</t>
  </si>
  <si>
    <t>Neon Investimentos</t>
  </si>
  <si>
    <t>NEON TURBO MAX FIM</t>
  </si>
  <si>
    <t>Nest Asset Management</t>
  </si>
  <si>
    <t>NEST FIA</t>
  </si>
  <si>
    <t xml:space="preserve">NORTE LONG BIAS FIC FIM </t>
  </si>
  <si>
    <t>Novus Capital</t>
  </si>
  <si>
    <t>NOVUS RETORNO ABSOLUTO FIC FIM</t>
  </si>
  <si>
    <t>NW3 Capital</t>
  </si>
  <si>
    <t>NW3 EVENT DRIVEN PLUS FIC FIM</t>
  </si>
  <si>
    <t>O3 Capital</t>
  </si>
  <si>
    <t>OAKTREE GLOBAL CREDIT USD FIC FIM IE</t>
  </si>
  <si>
    <t>OCCAM EQUITY HEDGE FIC FIM</t>
  </si>
  <si>
    <t>Occam Brasil</t>
  </si>
  <si>
    <t>OCCAM FIC FIA</t>
  </si>
  <si>
    <t>OCEANA LONG BIASED ACCESS FIC FIA</t>
  </si>
  <si>
    <t>OCEANA SELECTION ACCESS FIC FIA</t>
  </si>
  <si>
    <t>Oceana Investimentos</t>
  </si>
  <si>
    <t>Set Investimentos</t>
  </si>
  <si>
    <t>Opportunity</t>
  </si>
  <si>
    <t>OPPORTUNITY MARKET FIC FIM</t>
  </si>
  <si>
    <t>OPPORTUNITY MIDI FIC FIM</t>
  </si>
  <si>
    <t>OPPORTUNITY SELECTION FIC FIA</t>
  </si>
  <si>
    <t>OPPORTUNITY TOTAL FIC FIM</t>
  </si>
  <si>
    <t>Órama</t>
  </si>
  <si>
    <t>ORGANON FIC FIA</t>
  </si>
  <si>
    <t>Organon Capital</t>
  </si>
  <si>
    <t>OURO PRETO AÇÕES FIA</t>
  </si>
  <si>
    <t>Ouro Preto Investimentos</t>
  </si>
  <si>
    <t>OURO PRETO REAL FIC FIRF LP</t>
  </si>
  <si>
    <t>Pacifico Gestão de Recursos</t>
  </si>
  <si>
    <t>PACIFICO MACRO FIC FIM</t>
  </si>
  <si>
    <t>PANAMBY INNO FIC FIM</t>
  </si>
  <si>
    <t>Panamby Capital</t>
  </si>
  <si>
    <t>PANDHORA ESSENCIAL FIC FIM</t>
  </si>
  <si>
    <t>Pandhora Investimentos</t>
  </si>
  <si>
    <t>PANDHORA FEEDER I FIC FIM</t>
  </si>
  <si>
    <t>PANDHORA LONG BIAS FIC FIM</t>
  </si>
  <si>
    <t>PAVA FIA</t>
  </si>
  <si>
    <t>Rafter Investimentos</t>
  </si>
  <si>
    <t>PERFIN EQUITY HEDGE FIC FIM</t>
  </si>
  <si>
    <t>Perfin Investimentos</t>
  </si>
  <si>
    <t>PERFIN FORESIGHT FIC FIA</t>
  </si>
  <si>
    <t>PERFIN FORESIGHT INSTITUCIONAL FIC FIA</t>
  </si>
  <si>
    <t>PERSEVERA COMPASS FIC FIM</t>
  </si>
  <si>
    <t>Persevera Asset Management</t>
  </si>
  <si>
    <t>PICINGUABA FIM CP</t>
  </si>
  <si>
    <t>R2C Investimentos</t>
  </si>
  <si>
    <t>PICTET GLOBAL MT SEL DOLAR FIC FIM IE</t>
  </si>
  <si>
    <t xml:space="preserve">PIMCO GLOBAL FINANCIALS CREDIT IE  FIC FIM </t>
  </si>
  <si>
    <t>PIMCO</t>
  </si>
  <si>
    <t>PIMCO INCOME IE FIC FIM</t>
  </si>
  <si>
    <t>PLURAL SMALL CAPS FIA</t>
  </si>
  <si>
    <t>Polo Capital Management</t>
  </si>
  <si>
    <t>POLO MACRO FIM</t>
  </si>
  <si>
    <t>Porto Seguro Investimentos</t>
  </si>
  <si>
    <t>PORTO SEGURO FIC FIA</t>
  </si>
  <si>
    <t>PORTO SEGURO IMA-B5 FIC FIRF LP</t>
  </si>
  <si>
    <t>PORTO SEGURO MACRO FIC FIM</t>
  </si>
  <si>
    <t>PORTO SEGURO SELECTA FIC FIA</t>
  </si>
  <si>
    <t>Prumo Capital</t>
  </si>
  <si>
    <t>QUANTAMENTAL GEMS SMALL MID CAPS FIA</t>
  </si>
  <si>
    <t>QUANTAMENTAL HEDGE FIC FIM</t>
  </si>
  <si>
    <t>Quantitas Asset Management</t>
  </si>
  <si>
    <t>QUASAR ADVANTAGE FI RF CP LP</t>
  </si>
  <si>
    <t>Quasar Asset Management</t>
  </si>
  <si>
    <t>QUASAR ADVANTAGE PLUS FI RF CP LP</t>
  </si>
  <si>
    <t>R&amp;C HEDGE FIM</t>
  </si>
  <si>
    <t>RC Gestão de Recursos</t>
  </si>
  <si>
    <t>RB Capital Asset Management</t>
  </si>
  <si>
    <t>RBR REITS US DOLAR FIC FIA BDR NÍVEL I</t>
  </si>
  <si>
    <t>RBR Asset Management</t>
  </si>
  <si>
    <t>REACH FIA</t>
  </si>
  <si>
    <t>Reach Capital</t>
  </si>
  <si>
    <t>REACH TOTAL RETURN FIC FIA</t>
  </si>
  <si>
    <t>Real Investor</t>
  </si>
  <si>
    <t>RIO ABSOLUTO FIM</t>
  </si>
  <si>
    <t>Rio Gestão de Recursos</t>
  </si>
  <si>
    <t>RIO ARBITRAGEM FIM</t>
  </si>
  <si>
    <t>Rio Bravo Investimentos</t>
  </si>
  <si>
    <t>RIO MACRO FIC FIM</t>
  </si>
  <si>
    <t>RIO VERDE SMALL CAPS FIA</t>
  </si>
  <si>
    <t>Rio Verde Investimentos</t>
  </si>
  <si>
    <t>RIO VERDE VALOR PLUS FIA</t>
  </si>
  <si>
    <t>RIZA DAIKON FIC FIM CP</t>
  </si>
  <si>
    <t>RPS Capital</t>
  </si>
  <si>
    <t>RPS EQUITY HEDGE DIGITAL FIC FIM</t>
  </si>
  <si>
    <t>RPS LONG BIAS ACCESS FIC FIA</t>
  </si>
  <si>
    <t>RPS TOTAL RETURN D60 FIC FIM</t>
  </si>
  <si>
    <t>RYO LONG BIASED FIC FIM</t>
  </si>
  <si>
    <t>Ryo Asset</t>
  </si>
  <si>
    <t>RYO SELECTION FIC FIA</t>
  </si>
  <si>
    <t>Safari Capital</t>
  </si>
  <si>
    <t>SAFRA FERMAT FIC FIM</t>
  </si>
  <si>
    <t>SAFRA GALILEO FIC FIM</t>
  </si>
  <si>
    <t>SAFRA MAXWELL MACRO FIC FIM</t>
  </si>
  <si>
    <t>SAKS CBI HEDGE FIM</t>
  </si>
  <si>
    <t>SANTA FÉ AQUARIUS FIM</t>
  </si>
  <si>
    <t>Santa Fé Investimentos</t>
  </si>
  <si>
    <t>SCHRODER CORE PLUS FIC FIA</t>
  </si>
  <si>
    <t>Schroder Investment Management Brasil</t>
  </si>
  <si>
    <t>SEIVAL FGS AGRESSIVO FIC FIM</t>
  </si>
  <si>
    <t>Seival Investimentos</t>
  </si>
  <si>
    <t>SET FIA</t>
  </si>
  <si>
    <t>Trópico Latin America Investments</t>
  </si>
  <si>
    <t>SFA Investimentos</t>
  </si>
  <si>
    <t>Sharp Capital</t>
  </si>
  <si>
    <t>SHARP EQUITY VALUE INSTITUCIONAL FIA</t>
  </si>
  <si>
    <t>SHARP LONG BIASED FIC FIA ACCESS</t>
  </si>
  <si>
    <t>SHARP LONG SHORT FIM</t>
  </si>
  <si>
    <t>Simétrica Investimentos</t>
  </si>
  <si>
    <t>SKOPOS BLUE BIRDS FIA</t>
  </si>
  <si>
    <t>SMART FUND DEEP BLUE FIM</t>
  </si>
  <si>
    <t>Titan Capital</t>
  </si>
  <si>
    <t>Solana Capital</t>
  </si>
  <si>
    <t>SOLANA EQUITY HEDGE FIC FIM</t>
  </si>
  <si>
    <t>SOLIS ARGUS FIC FIA</t>
  </si>
  <si>
    <t>Solis Investimentos</t>
  </si>
  <si>
    <t>SOMMA FUNDAMENTAL FIA</t>
  </si>
  <si>
    <t>Somma Investimentos</t>
  </si>
  <si>
    <t>SOMMA SELECTION FIC FIA</t>
  </si>
  <si>
    <t>SPARTA CÍCLICO FIM</t>
  </si>
  <si>
    <t>Sparta Fundos de Investimento</t>
  </si>
  <si>
    <t>SPARTA DEB INC INFLA FIC FIRF INFRA</t>
  </si>
  <si>
    <t>SPARTA TOP FIC RF CP LP</t>
  </si>
  <si>
    <t>SPX FALCON FIC FIA</t>
  </si>
  <si>
    <t>SPX Capital</t>
  </si>
  <si>
    <t>SPX SEAHAWK ACCESS FIC RF CP LP</t>
  </si>
  <si>
    <t>SQUADRA LB ACCESS FIC FIA</t>
  </si>
  <si>
    <t>STK LONG BIASED FIC FIA</t>
  </si>
  <si>
    <t>STK Capital</t>
  </si>
  <si>
    <t>STK LONG ONLY FIA</t>
  </si>
  <si>
    <t>STOXOS FIA</t>
  </si>
  <si>
    <t>STUDIO 15 FIC FIA</t>
  </si>
  <si>
    <t>Studio Investimentos</t>
  </si>
  <si>
    <t>STUDIO 30 FIC FIA</t>
  </si>
  <si>
    <t>STUDIO FIC FIA</t>
  </si>
  <si>
    <t>SulAmérica Investimentos</t>
  </si>
  <si>
    <t>SUL AMERICA EQUITIES FIA</t>
  </si>
  <si>
    <t>SULAMERICA CREDITO ESG FIRF CP LP</t>
  </si>
  <si>
    <t>SULAMERICA SAUDE E BIOTECNOLOGIA FIA</t>
  </si>
  <si>
    <t>TAGUS ABSOLUTO FIM</t>
  </si>
  <si>
    <t>Tagus Investimentos</t>
  </si>
  <si>
    <t>TAGUS FUNDAMENTAL FIA</t>
  </si>
  <si>
    <t>Tarpon Investimentos</t>
  </si>
  <si>
    <t>TARPON GT FIC FIA</t>
  </si>
  <si>
    <t>TARPON WAHOO FIA</t>
  </si>
  <si>
    <t>Taruá Capital</t>
  </si>
  <si>
    <t>TAVOLA ABSOLUTO FIC FIA</t>
  </si>
  <si>
    <t>Távola Capital</t>
  </si>
  <si>
    <t>TAVOLA EQUITY HEDGE FIM</t>
  </si>
  <si>
    <t>TG LIQUIDEZ I FI RF</t>
  </si>
  <si>
    <t>TG Core Asset</t>
  </si>
  <si>
    <t>TORK 60 ACCESS FIC FIA</t>
  </si>
  <si>
    <t>TORK 60 FIC FIA</t>
  </si>
  <si>
    <t>Tork Capital</t>
  </si>
  <si>
    <t>TORK ACCESS FIC FIA</t>
  </si>
  <si>
    <t>TORK FIC FIA</t>
  </si>
  <si>
    <t>TORK LONG ONLY INSTITUCIONAL FIC FIA</t>
  </si>
  <si>
    <t>TRACK BOLSA AMERICANA FI MM</t>
  </si>
  <si>
    <t>Trafalgar Investimentos</t>
  </si>
  <si>
    <t>TRAFALGAR VICTORY FIC FIM</t>
  </si>
  <si>
    <t>TRILHA FIC FIA</t>
  </si>
  <si>
    <t>Trilha Investimentos</t>
  </si>
  <si>
    <t>TRIUS MACRO ADVANCED FIM</t>
  </si>
  <si>
    <t>Trius Capital</t>
  </si>
  <si>
    <t>TRIUS STAR FIA</t>
  </si>
  <si>
    <t>TRUXT I LONG BIAS FIC FIM</t>
  </si>
  <si>
    <t>Truxt Investimentos</t>
  </si>
  <si>
    <t>TRUXT I LONG SHORT FIC FIM</t>
  </si>
  <si>
    <t>TRUXT I MACRO FIC FIM</t>
  </si>
  <si>
    <t>UJAY Capital</t>
  </si>
  <si>
    <t>UJAY HEDGE FIC FIM</t>
  </si>
  <si>
    <t>V2 ALLOCATION FIC FIM CP</t>
  </si>
  <si>
    <t>V2 Investimentos</t>
  </si>
  <si>
    <t>V8 Capital</t>
  </si>
  <si>
    <t>V8 CASH FI RF CP</t>
  </si>
  <si>
    <t>V8 VANQUISH TERMO FI RF</t>
  </si>
  <si>
    <t>Valora Investimentos</t>
  </si>
  <si>
    <t>VALORA GUARDIAN FIC FIM CP</t>
  </si>
  <si>
    <t>VALORA GUARDIAN II FIC FIM CP</t>
  </si>
  <si>
    <t>VALORA OCEAN FIM CP IE</t>
  </si>
  <si>
    <t>VANQUISH RF ATIVO FI RF</t>
  </si>
  <si>
    <t>Vanquish Asset Management</t>
  </si>
  <si>
    <t>VELT Partners</t>
  </si>
  <si>
    <t>Vêneto Investimentos</t>
  </si>
  <si>
    <t>VENTOR AÇÕES FIA</t>
  </si>
  <si>
    <t>Ventor Investimentos</t>
  </si>
  <si>
    <t>VENTOR DÓLAR HEDGE FIC FIM</t>
  </si>
  <si>
    <t>VENTOR HEDGE FIC FIM</t>
  </si>
  <si>
    <t>VENTOR IMA-B HEDGE FIM</t>
  </si>
  <si>
    <t>VENTURE VALUE FIA</t>
  </si>
  <si>
    <t>VERDE AM LONG BIAS FIC FIA</t>
  </si>
  <si>
    <t>Versa Asset Management</t>
  </si>
  <si>
    <t>VERSA FIT LONG BIASED FIM</t>
  </si>
  <si>
    <t>VERSA TRACKER FIM</t>
  </si>
  <si>
    <t>VINCI ATLAS FIC FIM</t>
  </si>
  <si>
    <t>Vinci Partners</t>
  </si>
  <si>
    <t>VINCI MOSAICO FIA</t>
  </si>
  <si>
    <t>VINCI MULTIESTRATÉGIA FIM</t>
  </si>
  <si>
    <t>Vinland Capital</t>
  </si>
  <si>
    <t>VINLAND LONG ONLY FIC FIA</t>
  </si>
  <si>
    <t>VINLAND MACRO PLUS FIC FIM</t>
  </si>
  <si>
    <t>Vista Capital</t>
  </si>
  <si>
    <t>VITIS CAPITAL LONG BIASED FIC FIM</t>
  </si>
  <si>
    <t>Vitis Capital</t>
  </si>
  <si>
    <t>VOKIN GBV ACONCÁGUA FIC FIA</t>
  </si>
  <si>
    <t>VOKIN K2 LONG BIASED FIA</t>
  </si>
  <si>
    <t>VRB FIM</t>
  </si>
  <si>
    <t>WESTERN ASSET US INDEX 500 FIM</t>
  </si>
  <si>
    <t>WESTERN ASSET VALUATION FIA</t>
  </si>
  <si>
    <t>WMR Capital</t>
  </si>
  <si>
    <t>Zamboni Asset</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</si>
  <si>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</si>
  <si>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</si>
  <si>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</si>
  <si>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</si>
  <si>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</si>
  <si>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</si>
  <si>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</si>
  <si>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</si>
  <si>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</si>
  <si>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</si>
  <si>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</si>
  <si>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</si>
  <si>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</si>
  <si>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</si>
  <si>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</si>
  <si>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</si>
  <si>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</si>
  <si>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</si>
  <si>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</si>
  <si>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</si>
  <si>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 xml:space="preserve">Perfil do Cliente:         </t>
  </si>
  <si>
    <t xml:space="preserve"> Montante Total:                  </t>
  </si>
  <si>
    <t>CLAVE ALPHA MACRO FIC FIM ACCESS</t>
  </si>
  <si>
    <t>051 ALOCAÇÃO AÇÕES FIA</t>
  </si>
  <si>
    <t>051 Capital</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</si>
  <si>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</si>
  <si>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</si>
  <si>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</si>
  <si>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</si>
  <si>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</si>
  <si>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</si>
  <si>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</si>
  <si>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</si>
  <si>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</si>
  <si>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</si>
  <si>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</si>
  <si>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</si>
  <si>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</si>
  <si>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</si>
  <si>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</si>
  <si>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</si>
  <si>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</si>
  <si>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</si>
  <si>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</si>
  <si>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</si>
  <si>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</si>
  <si>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</si>
  <si>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</si>
  <si>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</si>
  <si>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</si>
  <si>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Multiplica Capital</t>
  </si>
  <si>
    <t>HOD SPECIAL SITUATION FIM CP</t>
  </si>
  <si>
    <t>SELECT LIGHT FIRF CP LP</t>
  </si>
  <si>
    <t>Quatá Investimentos</t>
  </si>
  <si>
    <t>SOLIS CAPITAL ANTARES LIGHT FIC FIM CP</t>
  </si>
  <si>
    <t>SPX SEAHAWK FIC FIRF CP LP</t>
  </si>
  <si>
    <t>SPX SEAHAWK GLOBAL FIC FIM CP</t>
  </si>
  <si>
    <t>UJAY HIGH YIELD FIC FIM CP</t>
  </si>
  <si>
    <t>INTERNACIONAL BONDS HY FIM IE CP LP</t>
  </si>
  <si>
    <t>3J Capital Partners</t>
  </si>
  <si>
    <t>OAKTREE GLOBAL CREDIT BRL FIC DE FIM IE</t>
  </si>
  <si>
    <t>BLACKROCK DYNAMIC HIGH INCOME FIC FIM</t>
  </si>
  <si>
    <t>BlackRock</t>
  </si>
  <si>
    <t>Exclusivo do administrador</t>
  </si>
  <si>
    <t>BTG PACTUAL REFERENCE SEMICONDUTORES FIM</t>
  </si>
  <si>
    <t>VITREO AGRO FIM</t>
  </si>
  <si>
    <t>Vitreo</t>
  </si>
  <si>
    <t>VITREO AGUA FIA</t>
  </si>
  <si>
    <t>VITREO BLOCKCHAIN ACOES FIA BDR NIVEL I</t>
  </si>
  <si>
    <t>VITREO CANABIDIOL FIA IE</t>
  </si>
  <si>
    <t>VITREO CANNABIS ATIVO FIM</t>
  </si>
  <si>
    <t>VITREO CARBONO FIM</t>
  </si>
  <si>
    <t>VITREO COBRE FIM</t>
  </si>
  <si>
    <t>VITREO COIN DEFI P FIM</t>
  </si>
  <si>
    <t>VITREO CRIPTO DEFI FIC FIM IE</t>
  </si>
  <si>
    <t>VITREO CRIPTO METALS BLEND FIC FIM</t>
  </si>
  <si>
    <t>VITREO CRIPTOMOEDAS P FIC FIM IE</t>
  </si>
  <si>
    <t>VITREO ENERGIA LIMPA FIA</t>
  </si>
  <si>
    <t>VITREO FOF COMMODITIES FIC FIM</t>
  </si>
  <si>
    <t>VITREO HIDROGENIO FIA</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</si>
  <si>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</si>
  <si>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</si>
  <si>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</si>
  <si>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</si>
  <si>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</si>
  <si>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</si>
  <si>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</si>
  <si>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</si>
  <si>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</si>
  <si>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Grimper Capital</t>
  </si>
  <si>
    <t>HOD 120 FIC FIM CP</t>
  </si>
  <si>
    <t>K2 FIC FIM CP</t>
  </si>
  <si>
    <t>Everest Asset Management</t>
  </si>
  <si>
    <t>KINEA APOLO FIC FIM</t>
  </si>
  <si>
    <t>NEST INTEGRAL FIC FIM CP</t>
  </si>
  <si>
    <t>NEST LEVEL FIM</t>
  </si>
  <si>
    <t>OCCAM INSTITUCIONAL FIC FIM</t>
  </si>
  <si>
    <t>PORTO SEGURO ALOCACAO FIC FIM</t>
  </si>
  <si>
    <t>ASA QUANT FIC FIM</t>
  </si>
  <si>
    <t>NCH SYSTEMATIC LONG SHORT FIA</t>
  </si>
  <si>
    <t>SAFRA KEPLER ADVANCED FIC FIM</t>
  </si>
  <si>
    <t>CITRINO GLOBAL FIM</t>
  </si>
  <si>
    <t>Citrino Gestão de Recursos</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</si>
  <si>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</si>
  <si>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</si>
  <si>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</si>
  <si>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</si>
  <si>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</si>
  <si>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</si>
  <si>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</si>
  <si>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</si>
  <si>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HUNTER FIM</t>
  </si>
  <si>
    <t>KINITRO 30 FIC FIM</t>
  </si>
  <si>
    <t>Kínitro Capital</t>
  </si>
  <si>
    <t>RAPIER T FIM</t>
  </si>
  <si>
    <t>Rapier Investimentos</t>
  </si>
  <si>
    <t>SPX NIMITZ FEEDER FIC DE FIM</t>
  </si>
  <si>
    <t>STERNA TOTAL RETURN FIC DE FIM</t>
  </si>
  <si>
    <t>Sterna Capital</t>
  </si>
  <si>
    <t>T3 FIC FIM CP LONG BIASED</t>
  </si>
  <si>
    <t>Tower Three</t>
  </si>
  <si>
    <t>UJAY FIC FIM CP 60</t>
  </si>
  <si>
    <t>UJAY VAULT FIM</t>
  </si>
  <si>
    <t>VERDE FIC FIM</t>
  </si>
  <si>
    <t>VITREO CARTEIRA UNIVERSA FIM</t>
  </si>
  <si>
    <t>VITREO FOF MELHORES FUNDOS FIC FIM CP</t>
  </si>
  <si>
    <t>WISE SELECTION FIC FIM CP</t>
  </si>
  <si>
    <t>RPS TOTAL RETURN RV DIGITAL D30 FIC FIM</t>
  </si>
  <si>
    <t>CLAVE CORTEX FIC FIM</t>
  </si>
  <si>
    <t>Clave Capital</t>
  </si>
  <si>
    <t>CAPITANIA REIT FIC FIM CP</t>
  </si>
  <si>
    <t>MAPFRE FI CAMBIAL</t>
  </si>
  <si>
    <t>SUL AMÉRICA FV FIA</t>
  </si>
  <si>
    <t>CHARLES RIVER FIA</t>
  </si>
  <si>
    <t>Charles River</t>
  </si>
  <si>
    <t>CONSTELLATION P II FIC FIA</t>
  </si>
  <si>
    <t>ESH PROSPERA FIA</t>
  </si>
  <si>
    <t>Esh Capital</t>
  </si>
  <si>
    <t>FATOR SINERGIA FIA</t>
  </si>
  <si>
    <t>FRONTIER LONG ONLY FIC FIA</t>
  </si>
  <si>
    <t>GIANT HANABI FIA</t>
  </si>
  <si>
    <t>INDIE 2 FIC FIA</t>
  </si>
  <si>
    <t>JOULE VALUE CLASSIC FIC FIA</t>
  </si>
  <si>
    <t>LARUS SO I FIA</t>
  </si>
  <si>
    <t>LESTE ACOES SELECTION FIC FIA</t>
  </si>
  <si>
    <t>MONGERAL AEGON FIC FIA</t>
  </si>
  <si>
    <t>MOS INSTITUCIONAL FIA</t>
  </si>
  <si>
    <t>NAVI FENDER FIC FIA</t>
  </si>
  <si>
    <t>PERFIN UTILITIES FIC FIA</t>
  </si>
  <si>
    <t>VITREO OPORTUNIDADES ESG FIA</t>
  </si>
  <si>
    <t>ASA LONG BIASED FIC FIM</t>
  </si>
  <si>
    <t>GRIMPER MERU LONG BIAS FIC FIM</t>
  </si>
  <si>
    <t>KADIMA LONG BIAS FIM</t>
  </si>
  <si>
    <t>NEWFOUNDLAND EAGLE LB FIA</t>
  </si>
  <si>
    <t>Newfoundland Capital Management</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</si>
  <si>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</si>
  <si>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</si>
  <si>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</si>
  <si>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</si>
  <si>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</si>
  <si>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</si>
  <si>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</si>
  <si>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</si>
  <si>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</si>
  <si>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</si>
  <si>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</si>
  <si>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</si>
  <si>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</si>
  <si>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</si>
  <si>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</si>
  <si>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Catarina Capital</t>
  </si>
  <si>
    <t>NEXTEP GLOBAL EQUITIES FIA IE</t>
  </si>
  <si>
    <t>Nextep Investimentos</t>
  </si>
  <si>
    <t>RBR REITS US EM REAIS FIC FIA BDR NIVEL I</t>
  </si>
  <si>
    <t>VITREO TECH ASIA FIA BDR NIVEL I</t>
  </si>
  <si>
    <t>VITREO TECH SELECT FIA BDR NIVEL I</t>
  </si>
  <si>
    <t>PLURAL FIA BDR NIVEL I</t>
  </si>
  <si>
    <t>PROPRIO CAPITAL FIA</t>
  </si>
  <si>
    <t>Próprio Capital</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</si>
  <si>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</si>
  <si>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</si>
  <si>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</si>
  <si>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</si>
  <si>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</si>
  <si>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</si>
  <si>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</si>
  <si>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</si>
  <si>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</si>
  <si>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</si>
  <si>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</si>
  <si>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</si>
  <si>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VITREO MONEY RIDER HF 4 ALL FIA BDR NIVEL I</t>
  </si>
  <si>
    <t>BTG PACTUAL REFERENCE BIOTECH FIM</t>
  </si>
  <si>
    <t>VITREO BIOTECH AÇÕES FIA BDR NIVEL I</t>
  </si>
  <si>
    <t>ETHE11</t>
  </si>
  <si>
    <t>VITREO CRIPTO NFT FIC FIM IE</t>
  </si>
  <si>
    <t>Sharpe 12M</t>
  </si>
  <si>
    <t>CDB/CRA/LCA Pós</t>
  </si>
  <si>
    <t>CDB/LCA/LCI Pré</t>
  </si>
  <si>
    <t>CRA/CRI/Debênture IPCA+</t>
  </si>
  <si>
    <t>CARTEIRA RECOMENDADA FII (BTG)</t>
  </si>
  <si>
    <t>IBIUNA TOTAL CREDIT FIC FIM CP</t>
  </si>
  <si>
    <t>Eduardo Scheffer</t>
  </si>
  <si>
    <t>Carteira Eduardo Scheffer</t>
  </si>
  <si>
    <t>De 0 a 2 dias</t>
  </si>
  <si>
    <t>Até 5 dias</t>
  </si>
  <si>
    <t>Até 15 dias</t>
  </si>
  <si>
    <t>Até 32 dias</t>
  </si>
  <si>
    <t>Até 62 dias</t>
  </si>
  <si>
    <t>Até 92 dias</t>
  </si>
  <si>
    <t>Até 1 ano</t>
  </si>
  <si>
    <t>Acima de 1 ano</t>
  </si>
  <si>
    <t>CDB BTG Pactual - Liquidez Diária 103% CDI</t>
  </si>
  <si>
    <r>
      <t xml:space="preserve">TOTAL                                                                                    </t>
    </r>
    <r>
      <rPr>
        <i/>
        <sz val="10"/>
        <color rgb="FF4E607B"/>
        <rFont val="Sarabun Regular"/>
      </rPr>
      <t>Exposição cambial:</t>
    </r>
  </si>
  <si>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</si>
  <si>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</si>
  <si>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</si>
  <si>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</si>
  <si>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</si>
  <si>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</si>
  <si>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</si>
  <si>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</si>
  <si>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</si>
  <si>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</si>
  <si>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</si>
  <si>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</si>
  <si>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</si>
  <si>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</si>
  <si>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</si>
  <si>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</si>
  <si>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r>
      <t xml:space="preserve">TOTAL                                                                                    </t>
    </r>
    <r>
      <rPr>
        <i/>
        <sz val="10"/>
        <color rgb="FF4E607B"/>
        <rFont val="Calibri"/>
        <family val="2"/>
        <scheme val="minor"/>
      </rPr>
      <t>Exposição cambial:</t>
    </r>
  </si>
  <si>
    <r>
      <rPr>
        <b/>
        <sz val="7"/>
        <color theme="1" tint="0.499984740745262"/>
        <rFont val="Calibri"/>
        <family val="2"/>
        <scheme val="minor"/>
      </rPr>
      <t xml:space="preserve">Disclaimer: </t>
    </r>
    <r>
      <rPr>
        <sz val="7"/>
        <color theme="1" tint="0.499984740745262"/>
        <rFont val="Calibri"/>
        <family val="2"/>
        <scheme val="minor"/>
      </rPr>
      <t>a liquidez de ativos de renda fixa não especificados acima (D+"-") não refletem a real liquidez dos eventuais ativos que virem a compor o portfolio do cliente. O portfolio acima não represanta qualquer recomendação de investimento por parte da B.Side Investimentos ("B.Side") ou do BTG Pactual (“BTG”). O portfolio acima é uma mera simulaçãode alocação, não configurando a abertura ou compromisso de início de relacionamento com o BTG ou com a B.Side e tampouco oferta de qualquer produto e/ou serviço.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 Esse material não deve ser reproduzido ou ter suas cópias circuladas sem sua prévia autorização. Apesar do presente material refletir as condições econômicas da época em que foi elaborada, não há segurança de que uma transação possa, de fato, ser contratada nos níveis aqui especificados, estando sujeitas às condições de fechamento da data de aplicação.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t>
    </r>
  </si>
  <si>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</si>
  <si>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</si>
  <si>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</si>
  <si>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</si>
  <si>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</si>
  <si>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</si>
  <si>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</si>
  <si>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</si>
  <si>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</si>
  <si>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</si>
  <si>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</si>
  <si>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</si>
  <si>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</si>
  <si>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</si>
  <si>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</si>
  <si>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</si>
  <si>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</si>
  <si>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</si>
  <si>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</si>
  <si>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</si>
  <si>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</si>
  <si>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</si>
  <si>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</si>
  <si>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NTNB 2026</t>
  </si>
  <si>
    <t>ABSOLUTE PACE LB FIC FIA</t>
  </si>
  <si>
    <t>GARIN CÍCLICO LB FIM</t>
  </si>
  <si>
    <t>GAVEA MACRO PLUS II FIC FIM</t>
  </si>
  <si>
    <t>OCCAM RETORNO ABSOLUTO  FIC FIM</t>
  </si>
  <si>
    <t>SOLANA LS FIC FIM</t>
  </si>
  <si>
    <t>SPX NIMITZ FIC FIM ACCESS D</t>
  </si>
  <si>
    <t>VINLAND MACRO ACCESS FIC MM</t>
  </si>
  <si>
    <t>BOVA11</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</si>
  <si>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</si>
  <si>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</si>
  <si>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</si>
  <si>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</si>
  <si>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</si>
  <si>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</si>
  <si>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</si>
  <si>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</si>
  <si>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</si>
  <si>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</si>
  <si>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</si>
  <si>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</si>
  <si>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</si>
  <si>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</si>
  <si>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</si>
  <si>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</si>
  <si>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</si>
  <si>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</si>
  <si>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</si>
  <si>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</si>
  <si>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Renda Fixa Duração Baixa Soberano</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</si>
  <si>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</si>
  <si>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</si>
  <si>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</si>
  <si>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</si>
  <si>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</si>
  <si>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</si>
  <si>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</si>
  <si>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</si>
  <si>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</si>
  <si>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</si>
  <si>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</si>
  <si>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</si>
  <si>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</si>
  <si>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</si>
  <si>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</si>
  <si>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</si>
  <si>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</si>
  <si>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</si>
  <si>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Índice de preços</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</si>
  <si>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</si>
  <si>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</si>
  <si>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</si>
  <si>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</si>
  <si>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</si>
  <si>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</si>
  <si>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</si>
  <si>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</si>
  <si>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</si>
  <si>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</si>
  <si>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</si>
  <si>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</si>
  <si>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</si>
  <si>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CGE</t>
  </si>
  <si>
    <t>Classe</t>
  </si>
  <si>
    <t>Duration</t>
  </si>
  <si>
    <t>Crédito</t>
  </si>
  <si>
    <t>Início do Fundo</t>
  </si>
  <si>
    <t>Gestão</t>
  </si>
  <si>
    <t>Custodiante</t>
  </si>
  <si>
    <t>Público Alvo</t>
  </si>
  <si>
    <t xml:space="preserve">Aplicação </t>
  </si>
  <si>
    <t>Categoria</t>
  </si>
  <si>
    <t>Subcategoria</t>
  </si>
  <si>
    <t>Classificação CVM</t>
  </si>
  <si>
    <t>Classificação Anbima</t>
  </si>
  <si>
    <t>Aplicação Mínima</t>
  </si>
  <si>
    <t>PL</t>
  </si>
  <si>
    <t>Retorno YTD</t>
  </si>
  <si>
    <t>Retorno %CDI YTD</t>
  </si>
  <si>
    <t>Retorno 12M</t>
  </si>
  <si>
    <t>Retorno %CDI 12M</t>
  </si>
  <si>
    <t>Retorno 24M</t>
  </si>
  <si>
    <t>Retorno %CDI 36M</t>
  </si>
  <si>
    <t>Volatilidade 12M</t>
  </si>
  <si>
    <t>BTG Pactual Serviços Financeiros</t>
  </si>
  <si>
    <t>Banco BTG Pactual</t>
  </si>
  <si>
    <t>Investidores qualificados</t>
  </si>
  <si>
    <t>Ativo</t>
  </si>
  <si>
    <t>RV</t>
  </si>
  <si>
    <t>Ações</t>
  </si>
  <si>
    <t>051 ALOCAÇÃO MODERADO FIC FIM CP</t>
  </si>
  <si>
    <t>MM</t>
  </si>
  <si>
    <t>Intrag DTVM</t>
  </si>
  <si>
    <t>Investidores em geral</t>
  </si>
  <si>
    <t>Inativo</t>
  </si>
  <si>
    <t>Valor Relativo</t>
  </si>
  <si>
    <t>3R RADIX FIA</t>
  </si>
  <si>
    <t>BEM DTVM</t>
  </si>
  <si>
    <t>Banco Bradesco</t>
  </si>
  <si>
    <t>BNY Mellon Serviços Financeiros</t>
  </si>
  <si>
    <t>BNY Mellon Banco</t>
  </si>
  <si>
    <t>ABSOLUTE HEDGE FIC DE FIM</t>
  </si>
  <si>
    <t>ABSOLUTE VERTEX FIC FIM ACCESS</t>
  </si>
  <si>
    <t>ACADIAN CHINA A SHARES RMB FIC FIA IE</t>
  </si>
  <si>
    <t>CNH</t>
  </si>
  <si>
    <t>ACADIAN GLOBAL MANAGED VOLATILITY EQUITY FIC FIM IE</t>
  </si>
  <si>
    <t>ACCESS BALANCEADO FIC FIM</t>
  </si>
  <si>
    <t>ACCESS CHINA ADVANT F22 FIA IE</t>
  </si>
  <si>
    <t>Investidores profissionais</t>
  </si>
  <si>
    <t>Não Informado</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</si>
  <si>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</si>
  <si>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</si>
  <si>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</si>
  <si>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</si>
  <si>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</si>
  <si>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</si>
  <si>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</si>
  <si>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</si>
  <si>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</si>
  <si>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</si>
  <si>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Renda Fixa Investimento no Exterior</t>
  </si>
  <si>
    <t>AF INVEST FI RF CP GERAES</t>
  </si>
  <si>
    <t>Curta</t>
  </si>
  <si>
    <t>Pós</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</si>
  <si>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</si>
  <si>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</si>
  <si>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</si>
  <si>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</si>
  <si>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</si>
  <si>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</si>
  <si>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</si>
  <si>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</si>
  <si>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</si>
  <si>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</si>
  <si>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Alphatree Capital</t>
  </si>
  <si>
    <t>ÂMAGO LONG-BIASED FIC FIM</t>
  </si>
  <si>
    <t>ANGA HIGH YIELD FEEDER FIC FIRF CP II</t>
  </si>
  <si>
    <t>ANGA HIGH YIELD FIRF CP</t>
  </si>
  <si>
    <t>ANGA PORTFOLIO FIM CP</t>
  </si>
  <si>
    <t>APEX ACOES PLUS FIC FIA</t>
  </si>
  <si>
    <t>APEX GLOBAL EQUITIES FIC FIA IE</t>
  </si>
  <si>
    <t>APEX INFINITY LB FIC FIA</t>
  </si>
  <si>
    <t>APEX LB FIC FIM</t>
  </si>
  <si>
    <t>APEX LONG BIASED ACCESS FIC MM</t>
  </si>
  <si>
    <t>APEX LONG BIASED II FIC FIM ACCESS</t>
  </si>
  <si>
    <t>AQR CORPORATE ARBITRAGE FIC FIM IE</t>
  </si>
  <si>
    <t>AQR LONG-BIASED EQUITIES IE FIC MM</t>
  </si>
  <si>
    <t>ARAZUL MATISSE FIM CP</t>
  </si>
  <si>
    <t>Arazul Capital</t>
  </si>
  <si>
    <t>Banco Genial</t>
  </si>
  <si>
    <t>ARAZUL RENOIR FIA LB</t>
  </si>
  <si>
    <t>ARBOR GLOBAL EQUITIES BRL FIC FIA - BDR NÍVEL I</t>
  </si>
  <si>
    <t>ARCAH FIC FIM CP</t>
  </si>
  <si>
    <t>ARG FIM I</t>
  </si>
  <si>
    <t>ARMOR AXE FIC FIM</t>
  </si>
  <si>
    <t>ARMOR SHIELD FIM CP</t>
  </si>
  <si>
    <t>ARMOR SWORD FIC FIM</t>
  </si>
  <si>
    <t>Banco B3</t>
  </si>
  <si>
    <t>ARTESANAL CP FIC FIM</t>
  </si>
  <si>
    <t>Crédito Estruturado</t>
  </si>
  <si>
    <t>ARTICA LONG TERM FIA</t>
  </si>
  <si>
    <t>Ártica Investimentos</t>
  </si>
  <si>
    <t>ARX DENALI FIRF CP</t>
  </si>
  <si>
    <t>ARX ELBRUS FIC FI INFRAESTRUTURA RF</t>
  </si>
  <si>
    <t>ARX ELBRUS PRO FI INFRAESTRUTURA RF</t>
  </si>
  <si>
    <t>ARX EVEREST FIC FIRF CP</t>
  </si>
  <si>
    <t>Não definido</t>
  </si>
  <si>
    <t>ARX MACRO FIC FIM</t>
  </si>
  <si>
    <t>ARX VINSON FIC FI RF CP</t>
  </si>
  <si>
    <t>ASA  HEDGE FIC FIM</t>
  </si>
  <si>
    <t>ASTER FIC FIA</t>
  </si>
  <si>
    <t>Aster Capital</t>
  </si>
  <si>
    <t>ASTER FIC FIA BDR NIVEL I</t>
  </si>
  <si>
    <t>ASTRO SMART FIA</t>
  </si>
  <si>
    <t>Astro Asset</t>
  </si>
  <si>
    <t>ATENA AÇÕES LONG BIAS FIC FIA</t>
  </si>
  <si>
    <t>ATENA HIGH YIELD FIC RF CP</t>
  </si>
  <si>
    <t>ATENA TAPYR FIC FIRF CP</t>
  </si>
  <si>
    <t>Atlas One</t>
  </si>
  <si>
    <t>IBX</t>
  </si>
  <si>
    <t>ATMOSPHERE GLOBAL TOTAL RETURN FIC FIM II</t>
  </si>
  <si>
    <t>AUGME 45 FIC FI RF CP</t>
  </si>
  <si>
    <t>AZ QUEST ACOES FIC FIA</t>
  </si>
  <si>
    <t>AZ QUEST AZIMUT EQUITY CHINA DOLAR FIC FIA IE</t>
  </si>
  <si>
    <t>AZ QUEST AZIMUT IMPACTO CP FIC FIM</t>
  </si>
  <si>
    <t>AZ QUEST DEB INCENTIVADAS FIC FIM CP</t>
  </si>
  <si>
    <t>AZ QUEST LUCE FIC FIRF CP LP</t>
  </si>
  <si>
    <t>AZ QUEST TERMO FIRF</t>
  </si>
  <si>
    <t>Álamos Gestão de Recursos</t>
  </si>
  <si>
    <t>BAHIA AM MARAÚ ACCESS FIC MM</t>
  </si>
  <si>
    <t>BAHIA AM MARAU FIC DE FIM</t>
  </si>
  <si>
    <t>BALANCED FIC FIM</t>
  </si>
  <si>
    <t>BAYES SISTEMATICO ACOES FIA</t>
  </si>
  <si>
    <t>BB AS. AÇÕES US BIOTECH BDR NVL I FICFI</t>
  </si>
  <si>
    <t>Banco do Brasil</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</si>
  <si>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</si>
  <si>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</si>
  <si>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</si>
  <si>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</si>
  <si>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</si>
  <si>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</si>
  <si>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</si>
  <si>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</si>
  <si>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</si>
  <si>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</si>
  <si>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</si>
  <si>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</si>
  <si>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</si>
  <si>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</si>
  <si>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</si>
  <si>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</si>
  <si>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</si>
  <si>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</si>
  <si>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</si>
  <si>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</si>
  <si>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</si>
  <si>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</si>
  <si>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</si>
  <si>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</si>
  <si>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</si>
  <si>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</si>
  <si>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</si>
  <si>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</si>
  <si>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</si>
  <si>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</si>
  <si>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</si>
  <si>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</si>
  <si>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</si>
  <si>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IGP-M</t>
  </si>
  <si>
    <t>BRASIL PLURAL DEBÊNTURES INCENTIVADAS 30 CP FIC FIM</t>
  </si>
  <si>
    <t>BRASIL PLURAL DEBÊNTURES INCENTIVADAS HEDGE 30 CP FIC FIM</t>
  </si>
  <si>
    <t>BRASIL PLURAL YIELD FI REF DI</t>
  </si>
  <si>
    <t>BRAVE II HIGH YIELD FIM CP IE</t>
  </si>
  <si>
    <t>BRDR QUANT FIM</t>
  </si>
  <si>
    <t>SimPaul</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</si>
  <si>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</si>
  <si>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</si>
  <si>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</si>
  <si>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</si>
  <si>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</si>
  <si>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</si>
  <si>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</si>
  <si>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</si>
  <si>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</si>
  <si>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</si>
  <si>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</si>
  <si>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</si>
  <si>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</si>
  <si>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</si>
  <si>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</si>
  <si>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</si>
  <si>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</si>
  <si>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</si>
  <si>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</si>
  <si>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</si>
  <si>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</si>
  <si>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</si>
  <si>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</si>
  <si>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</si>
  <si>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</si>
  <si>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</si>
  <si>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</si>
  <si>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</si>
  <si>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</si>
  <si>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</si>
  <si>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</si>
  <si>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</si>
  <si>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</si>
  <si>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</si>
  <si>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</si>
  <si>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</si>
  <si>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Pré</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</si>
  <si>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</si>
  <si>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</si>
  <si>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</si>
  <si>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</si>
  <si>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</si>
  <si>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</si>
  <si>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</si>
  <si>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</si>
  <si>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</si>
  <si>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</si>
  <si>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</si>
  <si>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</si>
  <si>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 xml:space="preserve">RF </t>
  </si>
  <si>
    <t xml:space="preserve">MM </t>
  </si>
  <si>
    <t>BUTIA FUNDAMENTAL LONG B FIC FI MULT</t>
  </si>
  <si>
    <t>BUTIÁ TOP CP FIC FI RF</t>
  </si>
  <si>
    <t>BV CREDITO ATIVO RF CP LP FI</t>
  </si>
  <si>
    <t>BV DOLAR CAMBIAL FIC DE FI</t>
  </si>
  <si>
    <t>Dólar</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</si>
  <si>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</si>
  <si>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</si>
  <si>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</si>
  <si>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</si>
  <si>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</si>
  <si>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</si>
  <si>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</si>
  <si>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</si>
  <si>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</si>
  <si>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</si>
  <si>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</si>
  <si>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t>
  </si>
  <si>
    <t>CANUMA CAPITAL USA REITS EM REAIS FIA BDR NIVEL I</t>
  </si>
  <si>
    <t>CANVAS ENDURO FIC FIM</t>
  </si>
  <si>
    <t>CAPITANIA ACCESS FUNDO DE INVESTIMENTO MULTIMERCADO CP LP</t>
  </si>
  <si>
    <t>Capitânia Investimentos</t>
  </si>
  <si>
    <t>CAPITÂNIA GOVERNANCE CP FIRF</t>
  </si>
  <si>
    <t>CAPITÂNIA INFRA 90 FIC DE FI INFRAESTRUTURA  RF CP</t>
  </si>
  <si>
    <t>Renda Fixa Duração Alta Crédito Livre</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</si>
  <si>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</si>
  <si>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</si>
  <si>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</si>
  <si>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</si>
  <si>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</si>
  <si>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</si>
  <si>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</si>
  <si>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</si>
  <si>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</si>
  <si>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</si>
  <si>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</si>
  <si>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</si>
  <si>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</si>
  <si>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</si>
  <si>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</si>
  <si>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</si>
  <si>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Cox Capital Management</t>
  </si>
  <si>
    <t>DAYCOVAL DEBENTURES INCENTIVADAS CP FIM</t>
  </si>
  <si>
    <t>DAYCOVAL FIA BDR NIVEL I</t>
  </si>
  <si>
    <t>DAYCOVAL FUNDO DE INVESTIMENTO RENDA FIXA IRFM 1</t>
  </si>
  <si>
    <t>DAYCOVAL MULTIFUNDS FIC FIM</t>
  </si>
  <si>
    <t>Nova Futura Investimentos</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</si>
  <si>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</si>
  <si>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</si>
  <si>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</si>
  <si>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</si>
  <si>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</si>
  <si>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</si>
  <si>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</si>
  <si>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</si>
  <si>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</si>
  <si>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</si>
  <si>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Exes Gestora de Recursos</t>
  </si>
  <si>
    <t>EXPLORITAS ALPHA AMÉRICA LATINA ACCESS FIC MM</t>
  </si>
  <si>
    <t>EXPLORITAS ALPHA AMERICA LATINA FIC FIM</t>
  </si>
  <si>
    <t>FABULA 87 FIC FIA</t>
  </si>
  <si>
    <t>Fabula Capital</t>
  </si>
  <si>
    <t>FATOR DEBENTURES INCENTIVADAS FIM CP</t>
  </si>
  <si>
    <t>FI ACOES ADVANCED NI</t>
  </si>
  <si>
    <t>FIC FIM CP TITAN TI</t>
  </si>
  <si>
    <t>FIC FIM TOP GESTOR EQUITY HEDGE</t>
  </si>
  <si>
    <t>FIC FIM TOP GESTOR MACRO</t>
  </si>
  <si>
    <t>FINACAP FIM MULTIESTRATÉGIA CP</t>
  </si>
  <si>
    <t>Finacap Investimentos</t>
  </si>
  <si>
    <t>FORPUS INSTITUCIONAL FIA</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</si>
  <si>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</si>
  <si>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</si>
  <si>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</si>
  <si>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</si>
  <si>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</si>
  <si>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</si>
  <si>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</si>
  <si>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</si>
  <si>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</si>
  <si>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</si>
  <si>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</si>
  <si>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</si>
  <si>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</si>
  <si>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</si>
  <si>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</si>
  <si>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</si>
  <si>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</si>
  <si>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</si>
  <si>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</si>
  <si>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</si>
  <si>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</si>
  <si>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GCB Capital</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</si>
  <si>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</si>
  <si>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</si>
  <si>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</si>
  <si>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</si>
  <si>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</si>
  <si>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</si>
  <si>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</si>
  <si>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</si>
  <si>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Dauer Capital</t>
  </si>
  <si>
    <t>HALFELD PROATIVO DAUERCAPITAL FIC FIM</t>
  </si>
  <si>
    <t>HASHDEX 100 NASDAQ CRYPTO INDEX FIM</t>
  </si>
  <si>
    <t>HASHDEX 20 NASDAQ CRYPTO INDEX FIC FIM</t>
  </si>
  <si>
    <t>HASHDEX 40 NASDAQ CRYPTO INDEX FIC FIM</t>
  </si>
  <si>
    <t>HASHDEX BITCOIN FIC FIM</t>
  </si>
  <si>
    <t>Vórtx</t>
  </si>
  <si>
    <t>Helius Capital</t>
  </si>
  <si>
    <t>HIX CAPITAL FIA</t>
  </si>
  <si>
    <t>HIX CAPITAL INSTITUCIONAL FIA</t>
  </si>
  <si>
    <t>CM Capital</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</si>
  <si>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</si>
  <si>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</si>
  <si>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</si>
  <si>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</si>
  <si>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</si>
  <si>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</si>
  <si>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</si>
  <si>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</si>
  <si>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</si>
  <si>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</si>
  <si>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</si>
  <si>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</si>
  <si>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</si>
  <si>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</si>
  <si>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Invexa Capital</t>
  </si>
  <si>
    <t>INVEXA BDR + FIC FIA BDR NÍVEL I</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</si>
  <si>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</si>
  <si>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</si>
  <si>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</si>
  <si>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</si>
  <si>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</si>
  <si>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</si>
  <si>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</si>
  <si>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</si>
  <si>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</si>
  <si>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Asset Management</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</si>
  <si>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</si>
  <si>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</si>
  <si>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</si>
  <si>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</si>
  <si>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</si>
  <si>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</si>
  <si>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</si>
  <si>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</si>
  <si>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</si>
  <si>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</si>
  <si>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</si>
  <si>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</si>
  <si>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IMA Geral</t>
  </si>
  <si>
    <t>JGP EQUITY FIC FIA</t>
  </si>
  <si>
    <t>JGP ESG INSTITUCIONAL FIC FIA</t>
  </si>
  <si>
    <t>JGP HEALTH CARE FIC FIA - IE</t>
  </si>
  <si>
    <t>JGP LONG ONLY INSTITUCIONAL FIA</t>
  </si>
  <si>
    <t>Investidores institucionais</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</si>
  <si>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</si>
  <si>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</si>
  <si>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</si>
  <si>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</si>
  <si>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</si>
  <si>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</si>
  <si>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</si>
  <si>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</si>
  <si>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</si>
  <si>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</si>
  <si>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</si>
  <si>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</si>
  <si>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</si>
  <si>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</si>
  <si>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</si>
  <si>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</si>
  <si>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</si>
  <si>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</si>
  <si>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</si>
  <si>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</si>
  <si>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</si>
  <si>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</si>
  <si>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</si>
  <si>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LARUS ALL EQUITIES FIC FIA</t>
  </si>
  <si>
    <t>Quartz</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</si>
  <si>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</si>
  <si>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</si>
  <si>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</si>
  <si>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</si>
  <si>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</si>
  <si>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</si>
  <si>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</si>
  <si>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</si>
  <si>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</si>
  <si>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</si>
  <si>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</si>
  <si>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</si>
  <si>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</si>
  <si>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</si>
  <si>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</si>
  <si>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</si>
  <si>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</si>
  <si>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</si>
  <si>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</si>
  <si>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</si>
  <si>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</si>
  <si>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</si>
  <si>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FIM</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</si>
  <si>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</si>
  <si>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</si>
  <si>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</si>
  <si>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</si>
  <si>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</si>
  <si>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</si>
  <si>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</si>
  <si>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</si>
  <si>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</si>
  <si>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</si>
  <si>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</si>
  <si>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</si>
  <si>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</si>
  <si>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</si>
  <si>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</si>
  <si>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</si>
  <si>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</si>
  <si>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</si>
  <si>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</si>
  <si>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</si>
  <si>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Mercury Wealth Management</t>
  </si>
  <si>
    <t>MORE JURO REAL INSTITUCIONAL RF FI</t>
  </si>
  <si>
    <t>MORE TOTAL RETURN FIC FIM CP</t>
  </si>
  <si>
    <t>MORGAN STANLEY GLOBAL INSIGHT FUND DOLAR FIC FIA IE</t>
  </si>
  <si>
    <t>MOS GLOBAL FIA IE</t>
  </si>
  <si>
    <t>MZK DINAMICO FIC FIM</t>
  </si>
  <si>
    <t>NAVI HIGH INCOME FIC DE FUNDOS INCENTIVADOS INFRA RF</t>
  </si>
  <si>
    <t>NCH MARACANA LONG SHORT FIM</t>
  </si>
  <si>
    <t>NEBRASKA ATLAS FIA BDR NIVEL I</t>
  </si>
  <si>
    <t>Nebraska Capital</t>
  </si>
  <si>
    <t>NEO ARGO LONG AND SHORT FIC DE FIM</t>
  </si>
  <si>
    <t>NEO FUTURE FIC FIA</t>
  </si>
  <si>
    <t>NEO MULTI ESTRATEGIA 30 FEEDER FIC FIM</t>
  </si>
  <si>
    <t>NEST ABSOLUTE EQUITY HEDGE FIM</t>
  </si>
  <si>
    <t>NEXTEP GLOBAL EQUITIES PG FIC FIA BDR NIVEL I</t>
  </si>
  <si>
    <t>NORTE INSTITUCIONAL FIC FIA</t>
  </si>
  <si>
    <t>Norte Asset Management</t>
  </si>
  <si>
    <t>NORTE LONG BIAS FIC FIM</t>
  </si>
  <si>
    <t>NORTE LONG ONLY FIC FIA</t>
  </si>
  <si>
    <t>NOVUS AÇÕES INSTITUCIONAL FIC FIM</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</si>
  <si>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</si>
  <si>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</si>
  <si>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</si>
  <si>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</si>
  <si>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</si>
  <si>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</si>
  <si>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</si>
  <si>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</si>
  <si>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</si>
  <si>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Oikos</t>
  </si>
  <si>
    <t>OPEN VISTA CIÊNCIAS MÉDICAS FIA IE</t>
  </si>
  <si>
    <t>Somma Multi-Family Office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</si>
  <si>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</si>
  <si>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</si>
  <si>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</si>
  <si>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</si>
  <si>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</si>
  <si>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</si>
  <si>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</si>
  <si>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</si>
  <si>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</si>
  <si>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t>
  </si>
  <si>
    <t>ORI CAPITAL II  FIC FIA</t>
  </si>
  <si>
    <t>OURO PRETO FIC FIM CP</t>
  </si>
  <si>
    <t>PACIFICO ACOES FIC FIA</t>
  </si>
  <si>
    <t>PACIFICO LB ACCESS FIC MM</t>
  </si>
  <si>
    <t>PACÍFICO LB FIC FIM</t>
  </si>
  <si>
    <t>PACIFICO MACRO ACCESS FIC MM</t>
  </si>
  <si>
    <t>PARAGON FIC FIM CP</t>
  </si>
  <si>
    <t>Milenio Capital</t>
  </si>
  <si>
    <t>PARCITAS HEDGE FIC FIM</t>
  </si>
  <si>
    <t>Parcitas Investimentos</t>
  </si>
  <si>
    <t>PATRIA PIPE FEEDER FIC FIA</t>
  </si>
  <si>
    <t>Pátria Investimentos</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</si>
  <si>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</si>
  <si>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</si>
  <si>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</si>
  <si>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</si>
  <si>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</si>
  <si>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</si>
  <si>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</si>
  <si>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</si>
  <si>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</si>
  <si>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</si>
  <si>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</si>
  <si>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</si>
  <si>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</si>
  <si>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</si>
  <si>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</si>
  <si>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</si>
  <si>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</si>
  <si>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</si>
  <si>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</si>
  <si>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</si>
  <si>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</si>
  <si>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</si>
  <si>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</si>
  <si>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</si>
  <si>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</si>
  <si>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</si>
  <si>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</si>
  <si>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</si>
  <si>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</si>
  <si>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</si>
  <si>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</si>
  <si>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</si>
  <si>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</si>
  <si>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</si>
  <si>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</si>
  <si>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</si>
  <si>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Asset Management</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</si>
  <si>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</si>
  <si>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</si>
  <si>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</si>
  <si>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</si>
  <si>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</si>
  <si>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</si>
  <si>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</si>
  <si>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</si>
  <si>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</si>
  <si>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30 FIC FIM II</t>
  </si>
  <si>
    <t>SAFARI FIC FIM II</t>
  </si>
  <si>
    <t>SAFRA ARQUIMEDES FIA</t>
  </si>
  <si>
    <t>Banco Safra</t>
  </si>
  <si>
    <t>Investidores private</t>
  </si>
  <si>
    <t>SAFRA CAPITAL MARKET SPECIAL FIC FIRF REF DI CP</t>
  </si>
  <si>
    <t>SAFRA CONSUMO AMERICANO FIA BDR-NÍVEL I PB</t>
  </si>
  <si>
    <t>SAFRA CONSUMO AMERICANO FIC FIA BDR - NIVEL I</t>
  </si>
  <si>
    <t>SAFRA GALILEO DISTRIBUIDORES FIC FIM</t>
  </si>
  <si>
    <t>SAFRA KEPLER EQUITY HEDGE FIM</t>
  </si>
  <si>
    <t>Saks Asset Management</t>
  </si>
  <si>
    <t>SANTA FÉ SCORPIUS FIA</t>
  </si>
  <si>
    <t>SCHRODER BEST IDEAS ESG FIA</t>
  </si>
  <si>
    <t>SCHRODER SUSTENTABILIDADE AÇÕES GLOBAIS</t>
  </si>
  <si>
    <t>SCHRODER TECH EQUITY LS IE FIC FIM</t>
  </si>
  <si>
    <t>Warren</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</si>
  <si>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</si>
  <si>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</si>
  <si>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</si>
  <si>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</si>
  <si>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</si>
  <si>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</si>
  <si>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</si>
  <si>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</si>
  <si>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</si>
  <si>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</si>
  <si>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</si>
  <si>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</si>
  <si>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</si>
  <si>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</si>
  <si>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</si>
  <si>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</si>
  <si>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</si>
  <si>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</si>
  <si>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</si>
  <si>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</si>
  <si>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STUDIO ABSOLUTO FIC FIM</t>
  </si>
  <si>
    <t>SUL AMERICA CREDITO ATIVO FIRF CP</t>
  </si>
  <si>
    <t>SUL AMERICA EVOLUTION FIM</t>
  </si>
  <si>
    <t>SUL AMERICA EXCELLENCE FIRF CP</t>
  </si>
  <si>
    <t>SUL AMERICA EXCLUSIVE FI RF REFERENCIADO DI</t>
  </si>
  <si>
    <t>SUL AMERICA FOCUS FUNDO DE FUNDOS FIC FIM</t>
  </si>
  <si>
    <t>Focus Invest</t>
  </si>
  <si>
    <t xml:space="preserve">RV </t>
  </si>
  <si>
    <t>SUL AMERICA INFLATIE FI RF CP</t>
  </si>
  <si>
    <t>SUL AMERICA RF ATIVO FI LP</t>
  </si>
  <si>
    <t>SUL AMÉRICA TOTAL ESG FIA</t>
  </si>
  <si>
    <t>SULAMÉRICA INFRA FUNDO INCENTIVADO DE INVESTIMENTO EM INFRA RF</t>
  </si>
  <si>
    <t>SUNO ACOES FIC FIA</t>
  </si>
  <si>
    <t>Suno Asset</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</si>
  <si>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</si>
  <si>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</si>
  <si>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</si>
  <si>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</si>
  <si>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</si>
  <si>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</si>
  <si>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</si>
  <si>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</si>
  <si>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</si>
  <si>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</si>
  <si>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</si>
  <si>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</si>
  <si>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</si>
  <si>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Capital</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</si>
  <si>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</si>
  <si>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</si>
  <si>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</si>
  <si>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</si>
  <si>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</si>
  <si>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</si>
  <si>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</si>
  <si>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</si>
  <si>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</si>
  <si>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</si>
  <si>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</si>
  <si>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</si>
  <si>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</si>
  <si>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</si>
  <si>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</si>
  <si>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</si>
  <si>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</si>
  <si>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V2 GLOBAL FIM IE</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</si>
  <si>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</si>
  <si>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</si>
  <si>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</si>
  <si>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</si>
  <si>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</si>
  <si>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</si>
  <si>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</si>
  <si>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</si>
  <si>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</si>
  <si>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VENTOR PH II FICFIM</t>
  </si>
  <si>
    <t>Biguá Capital</t>
  </si>
  <si>
    <t>VERDE AM GLOBAL ALPHA FIC FIM CP IE</t>
  </si>
  <si>
    <t>VERDE AM MUNDI AÇÕES GLOBAIS BRL FIC FIA IE</t>
  </si>
  <si>
    <t>VERDE AM MUNDI ACOES GLOBAIS FIC FIA IE</t>
  </si>
  <si>
    <t>VERITAS CRATOS IBOVESPA INSTITUCIONAL FIA</t>
  </si>
  <si>
    <t>Veritas Capital Management</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</si>
  <si>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</si>
  <si>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</si>
  <si>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</si>
  <si>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</si>
  <si>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</si>
  <si>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</si>
  <si>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</si>
  <si>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ACOES EXTREMAS FIA</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</si>
  <si>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</si>
  <si>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</si>
  <si>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</si>
  <si>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</si>
  <si>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</si>
  <si>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</si>
  <si>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</si>
  <si>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</si>
  <si>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</si>
  <si>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</si>
  <si>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</si>
  <si>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</si>
  <si>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</si>
  <si>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Vokin Investimentos</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</si>
  <si>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</si>
  <si>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</si>
  <si>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</si>
  <si>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</si>
  <si>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</si>
  <si>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</si>
  <si>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</si>
  <si>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</si>
  <si>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</si>
  <si>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</si>
  <si>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</si>
  <si>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</si>
  <si>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</si>
  <si>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</si>
  <si>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</si>
  <si>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</si>
  <si>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BTG-Pactual-WM-Gestão-de-Recursos</t>
  </si>
  <si>
    <t>BTG-Pactual-Serviços-Financeiros</t>
  </si>
  <si>
    <t>Banco-BTG-Pactual</t>
  </si>
  <si>
    <t>Investidores-qualificados</t>
  </si>
  <si>
    <t>LO</t>
  </si>
  <si>
    <t>Ações-Livre</t>
  </si>
  <si>
    <t>Não possui</t>
  </si>
  <si>
    <t>BB ASSET ATIVA PLUS FIC RENDA FIXA LP</t>
  </si>
  <si>
    <t>BB-Asset-Management</t>
  </si>
  <si>
    <t>Banco-do-Brasil</t>
  </si>
  <si>
    <t>Investidores-em-geral</t>
  </si>
  <si>
    <t>Renda-Fixa</t>
  </si>
  <si>
    <t>Renda-Fixa-Duração-Livre-Grau-de-Investimento</t>
  </si>
  <si>
    <t>BB ASSET FIC RENDA FIXA CRÉDITO PRIVADO LP</t>
  </si>
  <si>
    <t>CP -Pós</t>
  </si>
  <si>
    <t>BRADESCO DEBÊNTURES INCENTIVADAS FIC INFRA RF</t>
  </si>
  <si>
    <t>Bradesco-Asset-Management</t>
  </si>
  <si>
    <t>Banco-Bradesco</t>
  </si>
  <si>
    <t>Renda-Fixa-Duração-Livre-Crédito-Livre</t>
  </si>
  <si>
    <t>BRADESCO DEBÊNTURES INCENTIVADAS INFLAÇÃO FIC FIM CP</t>
  </si>
  <si>
    <t>Multimercados-Estratégia-Específica</t>
  </si>
  <si>
    <t>BRADESCO FIC RF CP LP INFLAÇÃO</t>
  </si>
  <si>
    <t>BTG PACTUAL FIA OPORTUNIDADES LISTADAS I</t>
  </si>
  <si>
    <t>BTG-Pactual-Gestora-de-Recursos</t>
  </si>
  <si>
    <t>Não-classificado</t>
  </si>
  <si>
    <t>EMPIRICUS OENO VINHOS FINOS FIMM IE</t>
  </si>
  <si>
    <t>Investidores-profissionais</t>
  </si>
  <si>
    <t>Multimercados-Investimento-no-Exterior</t>
  </si>
  <si>
    <t>ENCORE ACOES FIC FIA</t>
  </si>
  <si>
    <t>Encore-Asset-Management</t>
  </si>
  <si>
    <t>Santander-Caceis</t>
  </si>
  <si>
    <t>ENCORE LONG BIAS FIC FIM</t>
  </si>
  <si>
    <t>LB</t>
  </si>
  <si>
    <t>Multimercados-Livre</t>
  </si>
  <si>
    <t>FATOR HEDGE FIC FIM</t>
  </si>
  <si>
    <t>Fator-Administração-de-Recursos</t>
  </si>
  <si>
    <t>Multimercados-Macro</t>
  </si>
  <si>
    <t>ITAU GLOBAL DINAMICO RF DIST LP FICFI</t>
  </si>
  <si>
    <t>Itaú-Unibanco</t>
  </si>
  <si>
    <t>Intrag-DTVM</t>
  </si>
  <si>
    <t>KAPITALO ZETA MERÍDIA FIQ FIM</t>
  </si>
  <si>
    <t>Kapitalo-Investimentos</t>
  </si>
  <si>
    <t>BEM-DTVM</t>
  </si>
  <si>
    <t>KINEA IPCA DINÂMICO II FICFI RF</t>
  </si>
  <si>
    <t>Kinea-Investimentos</t>
  </si>
  <si>
    <t>KP BZ EQUITIES FIA</t>
  </si>
  <si>
    <t>KP-Wealth</t>
  </si>
  <si>
    <t>Banco-Genial</t>
  </si>
  <si>
    <t>MANAGER JSS SUSTAINABLE EQT GLOBAL THEMATIC FUN</t>
  </si>
  <si>
    <t>Safra-Asset-Management</t>
  </si>
  <si>
    <t>Banco-Safra</t>
  </si>
  <si>
    <t>MANAGER JSS SUSTAINABLE EQT GLOBAL THEMATIC USD</t>
  </si>
  <si>
    <t>NEST RF FIRF</t>
  </si>
  <si>
    <t>Nest-Asset-Management</t>
  </si>
  <si>
    <t>Singulare-Invest</t>
  </si>
  <si>
    <t>Renda-Fixa-Duração-Baixa-Crédito-Livre</t>
  </si>
  <si>
    <t>PERFIN UTILITIES ALOCADORES FIC FI MM</t>
  </si>
  <si>
    <t>Perfin-Investimentos</t>
  </si>
  <si>
    <t>ROOT CAPITAL CREDITO HG PLUS FIC FIM CP</t>
  </si>
  <si>
    <t>High Grade</t>
  </si>
  <si>
    <t>Root-Capital</t>
  </si>
  <si>
    <t>BNY-Mellon-Serviços-Financeiros</t>
  </si>
  <si>
    <t>BNY-Mellon-Banco</t>
  </si>
  <si>
    <t>SKADE FIC FIA</t>
  </si>
  <si>
    <t>Skade-Capital</t>
  </si>
  <si>
    <t>Modal-DTVM</t>
  </si>
  <si>
    <t>SPARTA DEB INCENTIVADAS 45 FIC FII INFRA RF</t>
  </si>
  <si>
    <t>Sparta-Fundos-de-Investimento</t>
  </si>
  <si>
    <t>SPX PATRIOT FIC FIA</t>
  </si>
  <si>
    <t>SPX-Capital</t>
  </si>
  <si>
    <t>TRIGONO PULSAR BLEND FIC FIMM CP</t>
  </si>
  <si>
    <t>Trígono-Capital</t>
  </si>
  <si>
    <t>VINLAND RF ATIVO LP FIC FI</t>
  </si>
  <si>
    <t>Vinland-Capital</t>
  </si>
  <si>
    <t>WELLINGTON SCHRODER GAIA IE FIC FIM</t>
  </si>
  <si>
    <t>Schroder-Investment-Management-Brasil</t>
  </si>
  <si>
    <t>WELLINGTON SCHRODER GAIA USD IE FIM</t>
  </si>
  <si>
    <t>WHG CHINA MACRO FIC FIM CP</t>
  </si>
  <si>
    <t>Wealth-High-Governance</t>
  </si>
  <si>
    <t>WHG GLOBAL OPPORTUNITIES BRL FIA IE</t>
  </si>
  <si>
    <t>Ações-Investimento-no-Exterior</t>
  </si>
  <si>
    <t>WHG GLOBAL OPPORTUNITIES USD FIC FIA IE</t>
  </si>
  <si>
    <t>WHG RF DINÂMICO FIC FIM CP</t>
  </si>
  <si>
    <t>Multimercados-Juros-e-Moedas</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</si>
  <si>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</si>
  <si>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</si>
  <si>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</si>
  <si>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</si>
  <si>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</si>
  <si>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</si>
  <si>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</si>
  <si>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</si>
  <si>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</si>
  <si>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</si>
  <si>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</si>
  <si>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</si>
  <si>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</si>
  <si>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</si>
  <si>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</si>
  <si>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</si>
  <si>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Repasse Taxa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</si>
  <si>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</si>
  <si>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</si>
  <si>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</si>
  <si>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</si>
  <si>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</si>
  <si>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</si>
  <si>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</si>
  <si>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</si>
  <si>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</si>
  <si>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</si>
  <si>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</si>
  <si>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</si>
  <si>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</si>
  <si>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</si>
  <si>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</si>
  <si>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</si>
  <si>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</si>
  <si>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</si>
  <si>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</si>
  <si>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Portfólios Sugerido</t>
  </si>
  <si>
    <t>Proxy de Performance</t>
  </si>
  <si>
    <t>% Benchmark</t>
  </si>
  <si>
    <t>Benchmark +</t>
  </si>
  <si>
    <t>Taxa</t>
  </si>
  <si>
    <t>CDI+</t>
  </si>
  <si>
    <t>%CDI</t>
  </si>
  <si>
    <t>Indexador</t>
  </si>
  <si>
    <t>IPCA+</t>
  </si>
  <si>
    <t>Vencimento</t>
  </si>
  <si>
    <t>NTN-B</t>
  </si>
  <si>
    <t>NTN-F</t>
  </si>
  <si>
    <t>Liquidez Diária</t>
  </si>
  <si>
    <t>Bancários</t>
  </si>
  <si>
    <t>Corporativos</t>
  </si>
  <si>
    <t>Títulos Bancários - Liquidez Diária (102.5% CDI)</t>
  </si>
  <si>
    <t>Títulos Bancários - 6 meses (122.0% CDI)</t>
  </si>
  <si>
    <t>Títulos Bancários - 1 ano (119.0% CDI)</t>
  </si>
  <si>
    <t>Títulos Bancários - 2 anos (116.5% CDI)</t>
  </si>
  <si>
    <t>Títulos Corporativos - 2 anos (CDI+1.90%)</t>
  </si>
  <si>
    <t>Títulos Corporativos - 3 anos (CDI+1.95%)</t>
  </si>
  <si>
    <t>Títulos Bancários - 5 anos (IPCA+8.10%)</t>
  </si>
  <si>
    <t>Títulos Corporativos - 5 anos (IPCA+8.35%)</t>
  </si>
  <si>
    <t>Tipo</t>
  </si>
  <si>
    <t>Título Público</t>
  </si>
  <si>
    <t>LFT</t>
  </si>
  <si>
    <t>Selic+</t>
  </si>
  <si>
    <t>LFT 2025 - Liquidez Diária (Selic+0.10%)</t>
  </si>
  <si>
    <t>Características</t>
  </si>
  <si>
    <t xml:space="preserve">Nome Cliente / Fundo: </t>
  </si>
  <si>
    <t xml:space="preserve">Perfil: </t>
  </si>
  <si>
    <t xml:space="preserve">Volume: </t>
  </si>
  <si>
    <t>Selecione:</t>
  </si>
  <si>
    <t>Inflação Longa (7-11)</t>
  </si>
  <si>
    <t>Pré Longa (6-10)</t>
  </si>
  <si>
    <t>RF Pós - Longa Prazo</t>
  </si>
  <si>
    <t>Inflação Curta (0-4)</t>
  </si>
  <si>
    <t>Pré Curta (0-3)</t>
  </si>
  <si>
    <t>RF Pós - Curta Prazo</t>
  </si>
  <si>
    <t>PL Média 12M</t>
  </si>
  <si>
    <t>Renda Fixa Duração Média Grau de Investimento</t>
  </si>
  <si>
    <t>Renda Fixa Duração Média Crédito Livre</t>
  </si>
  <si>
    <t>Renda-Fixa-Duração-Média-Crédito-Livre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</si>
  <si>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</si>
  <si>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</si>
  <si>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</si>
  <si>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</si>
  <si>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</si>
  <si>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</si>
  <si>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</si>
  <si>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</si>
  <si>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</si>
  <si>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</si>
  <si>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</si>
  <si>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</si>
  <si>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</si>
  <si>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</si>
  <si>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</si>
  <si>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</si>
  <si>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</si>
  <si>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</si>
  <si>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</si>
  <si>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</si>
  <si>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Títulos Corporativos - 8 anos (IPCA+8.80%)</t>
  </si>
  <si>
    <t>Títulos Corporativos - 9 anos (IPCA+8.85%)</t>
  </si>
  <si>
    <t>Títulos Bancários - 2 anos (14.15%)</t>
  </si>
  <si>
    <t>Títulos Bancários - 3 anos (13.95%)</t>
  </si>
  <si>
    <t>Títulos Bancários - 4 anos (14.15%)</t>
  </si>
  <si>
    <t>Títulos Bancários - 5 anos (14.35%)</t>
  </si>
  <si>
    <t>Renda Fixa e Variável Selecionados</t>
  </si>
  <si>
    <t>IBOV11</t>
  </si>
  <si>
    <t>XINA11</t>
  </si>
  <si>
    <t>EURP11</t>
  </si>
  <si>
    <t>WRLD11</t>
  </si>
  <si>
    <t>ETF</t>
  </si>
  <si>
    <t>ASIA11</t>
  </si>
  <si>
    <t>NTN-B 2026 (IPCA+5.65%)</t>
  </si>
  <si>
    <t>Títulos Corporativos - 4 anos (IPCA+8.20%)</t>
  </si>
  <si>
    <t>NTN-B 2027 (IPCA+5.65%)</t>
  </si>
  <si>
    <t>NTN-B 2028 (IPCA+5.65%)</t>
  </si>
  <si>
    <t>NTN-B 2030 (IPCA+5.60%)</t>
  </si>
  <si>
    <t>Títulos Corporativos - 6 anos (IPCA+8.45%)</t>
  </si>
  <si>
    <t>Títulos Bancários - 2 anos (14.00%)</t>
  </si>
  <si>
    <t>Títulos Bancários - 3 anos (13.75%)</t>
  </si>
  <si>
    <t>Ativo e Neutro</t>
  </si>
  <si>
    <t>Títulos Bancários - 3 anos (117.5% CDI)</t>
  </si>
  <si>
    <t>Títulos Corporativos - 4 anos (CDI+2.15%)</t>
  </si>
  <si>
    <t>NTN-B 2023 (IPCA+7.80%)</t>
  </si>
  <si>
    <t>NTN-B 2024 (IPCA+6.60%)</t>
  </si>
  <si>
    <t>NTN-B 2025 (IPCA+5.95%)</t>
  </si>
  <si>
    <t>Títulos Bancários - 1 ano (IPCA+9.75%)</t>
  </si>
  <si>
    <t>Títulos Bancários - 2 anos (IPCA+8.45%)</t>
  </si>
  <si>
    <t>Títulos Bancários - 3 anos (IPCA+7.85%)</t>
  </si>
  <si>
    <t>Títulos Corporativos - 7 anos (IPCA+8.60%)</t>
  </si>
  <si>
    <t>NTN-B 2032 (IPCA+5.70%)</t>
  </si>
  <si>
    <t>NTN-B 2035 (IPCA+5.75%)</t>
  </si>
  <si>
    <t>Títulos Corporativos - 8 anos (IPCA+8.70%)</t>
  </si>
  <si>
    <t>Títulos Corporativos - 9 anos (IPCA+8.80%)</t>
  </si>
  <si>
    <t>Títulos Corporativos - 10 anos (IPCA+8.85%)</t>
  </si>
  <si>
    <t>NTN-F 2023 (13.60%)</t>
  </si>
  <si>
    <t>NTN-F 2025 (12.15%)</t>
  </si>
  <si>
    <t>Títulos Bancários - 1 ano (15.80%)</t>
  </si>
  <si>
    <t>NTN-F 2027 (11.95%)</t>
  </si>
  <si>
    <t>NTN-F 2029 (12.10%)</t>
  </si>
  <si>
    <t>NTN-F 2031 (12.15%)</t>
  </si>
  <si>
    <t>Títulos Bancários - 4 anos (13.90%)</t>
  </si>
  <si>
    <t>Títulos Bancários - 5 anos (14.15%)</t>
  </si>
  <si>
    <t>Títulos Bancários - 6 anos (14.35%)</t>
  </si>
  <si>
    <t>Perifl 2</t>
  </si>
  <si>
    <t>S/ Under</t>
  </si>
  <si>
    <t>Under</t>
  </si>
  <si>
    <t>Over</t>
  </si>
  <si>
    <t>S/ Over</t>
  </si>
  <si>
    <t>FIQ FIDC VIA MULTICREDITO - SENIOR</t>
  </si>
  <si>
    <t>LIQUIDEZ</t>
  </si>
  <si>
    <t>Títulos Bancários - 1 ano (115.0% CDI)</t>
  </si>
  <si>
    <t>Títulos Bancários - 2 anos (110.0% CDI)</t>
  </si>
  <si>
    <t>Títulos Bancários - 5 anos (IPCA+6.50%)</t>
  </si>
  <si>
    <t>Títulos Corporativos - 5 anos (IPCA+7.35%)</t>
  </si>
  <si>
    <t>Títulos Corporativos - 8 anos (IPCA+7.80%)</t>
  </si>
  <si>
    <t>Títulos Corporativos - 9 anos (IPCA+7.85%)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</si>
</sst>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_(* \(#,##0.00\);_(* &quot;-&quot;??_);_(@_)"/>
    <numFmt numFmtId="164" formatCode="0.0%"/>
    <numFmt numFmtId="165" formatCode="_-[$R$-416]\ * #,##0_-;\-[$R$-416]\ * #,##0_-;_-[$R$-416]\ * &quot;-&quot;_-;_-@_-"/>
    <numFmt numFmtId="166" formatCode="0;&quot;-&quot;"/>
    <numFmt numFmtId="167" formatCode="#,##0;#,##0;&quot;-&quot;;_(@_)"/>
    <numFmt numFmtId="168" formatCode="#,##0;#,##0;0;_(@_)"/>
    <numFmt numFmtId="169" formatCode="dd/mm/yy;@"/>
    <numFmt numFmtId="170" formatCode="0.000%"/>
    <numFmt numFmtId="171" formatCode="0.00000000000000%"/>
    <numFmt numFmtId="172" formatCode="0.0000%"/>
    <numFmt numFmtId="173" formatCode="_-&quot;R$&quot;\ * #,##0.00_-;\-&quot;R$&quot;\ * #,##0.00_-;_-&quot;R$&quot;\ * &quot;-&quot;??_-;_-@_-"/>
    <numFmt numFmtId="174" formatCode="&quot; &quot;00&quot;.&quot;000&quot;.&quot;000&quot;/&quot;0000\-00"/>
    <numFmt numFmtId="175" formatCode="dd/mm/yyyy;@"/>
    <numFmt numFmtId="176" formatCode="dd/mm/yy"/>
    <numFmt numFmtId="177" formatCode="dd/mm/yy\ hh:mm;@"/>
    <numFmt numFmtId="178" formatCode="m/d/yyyy\ &quot;, &quot;h:mm"/>
    <numFmt numFmtId="179" formatCode="dd/mm/yyyy"/>
    <numFmt numFmtId="180" formatCode="_-&quot;R$&quot;\ * #,##0_-;\-&quot;R$&quot;\ * #,##0_-;_-&quot;R$&quot;\ * &quot;-&quot;??_-;_-@_-"/>
    <numFmt numFmtId="181" formatCode="0.0"/>
    <numFmt numFmtId="182" formatCode="yyyy"/>
    <numFmt numFmtId="183" formatCode="&quot;D+&quot;0"/>
  </numFmts>
  <fonts count="120">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b/>
      <sz val="22"/>
      <color rgb="FF343A51"/>
      <name val="Archia Regular"/>
    </font>
    <font>
      <sz val="14"/>
      <color theme="0"/>
      <name val="Sarabun Regular"/>
    </font>
    <font>
      <b/>
      <sz val="14"/>
      <color rgb="FF343A51"/>
      <name val="Archia Regular"/>
    </font>
    <font>
      <sz val="11"/>
      <color theme="0"/>
      <name val="Archia Regular"/>
    </font>
    <font>
      <sz val="10"/>
      <color theme="1"/>
      <name val="Sarabun Regular"/>
    </font>
    <font>
      <b/>
      <sz val="10"/>
      <color theme="0"/>
      <name val="Sarabun Regular"/>
    </font>
    <font>
      <sz val="10"/>
      <color theme="0"/>
      <name val="Sarabun Regular"/>
    </font>
    <font>
      <b/>
      <sz val="10"/>
      <color theme="1"/>
      <name val="Archia Regular"/>
    </font>
    <font>
      <sz val="10"/>
      <color theme="0"/>
      <name val="Archia Regular"/>
    </font>
    <font>
      <b/>
      <sz val="10"/>
      <color theme="1"/>
      <name val="Sarabun Regular"/>
    </font>
    <font>
      <sz val="10"/>
      <color theme="0" tint="-4.9989318521683403E-2"/>
      <name val="Sarabun Regular"/>
    </font>
    <font>
      <sz val="9"/>
      <color rgb="FF343A51"/>
      <name val="Archia Regular"/>
    </font>
    <font>
      <sz val="9"/>
      <color theme="1"/>
      <name val="Sarabun Regular"/>
    </font>
    <font>
      <sz val="9"/>
      <color theme="0" tint="-0.14999847407452621"/>
      <name val="Sarabun Regular"/>
    </font>
    <font>
      <b/>
      <sz val="11"/>
      <color theme="2" tint="-9.9978637043366805E-2"/>
      <name val="Archia Regular"/>
    </font>
    <font>
      <sz val="18"/>
      <color rgb="FF343A51"/>
      <name val="Calibri"/>
      <family val="2"/>
      <scheme val="minor"/>
    </font>
    <font>
      <b/>
      <sz val="18"/>
      <color rgb="FF343A51"/>
      <name val="Calibri"/>
      <family val="2"/>
      <scheme val="minor"/>
    </font>
    <font>
      <b/>
      <sz val="10"/>
      <color rgb="FFFAB47A"/>
      <name val="Archia Regular"/>
    </font>
    <font>
      <b/>
      <sz val="9"/>
      <color rgb="FF343A51"/>
      <name val="Archia Regular"/>
    </font>
    <font>
      <sz val="7"/>
      <color theme="1" tint="0.499984740745262"/>
      <name val="Sarabun Regular"/>
    </font>
    <font>
      <b/>
      <sz val="16"/>
      <color rgb="FF343A51"/>
      <name val="Archia Regular"/>
    </font>
    <font>
      <b/>
      <sz val="14"/>
      <color theme="1"/>
      <name val="Archia Regular"/>
    </font>
    <font>
      <i/>
      <sz val="10"/>
      <color rgb="FF4E607B"/>
      <name val="Sarabun Regular"/>
    </font>
    <font>
      <sz val="14"/>
      <color theme="1"/>
      <name val="Archia Regular"/>
    </font>
    <font>
      <sz val="11"/>
      <color theme="1"/>
      <name val="Calibri"/>
      <family val="2"/>
      <scheme val="mino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sz val="14"/>
      <color rgb="FF0000C0"/>
      <name val="Calibri"/>
      <family val="2"/>
      <scheme val="minor"/>
    </font>
    <font>
      <sz val="10"/>
      <color theme="0" tint="-4.9989318521683403E-2"/>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rgb="FF343A51"/>
      <name val="Calibri"/>
      <family val="2"/>
      <scheme val="minor"/>
    </font>
    <font>
      <b/>
      <sz val="9"/>
      <color rgb="FF343A51"/>
      <name val="Calibri"/>
      <family val="2"/>
      <scheme val="minor"/>
    </font>
    <font>
      <b/>
      <sz val="10"/>
      <color rgb="FFFAB47A"/>
      <name val="Calibri"/>
      <family val="2"/>
      <scheme val="minor"/>
    </font>
    <font>
      <sz val="10"/>
      <color theme="0"/>
      <name val="Calibri"/>
      <family val="2"/>
      <scheme val="minor"/>
    </font>
    <font>
      <b/>
      <sz val="10"/>
      <color theme="1"/>
      <name val="Calibri"/>
      <family val="2"/>
      <scheme val="minor"/>
    </font>
    <font>
      <b/>
      <sz val="10"/>
      <color theme="0"/>
      <name val="Calibri"/>
      <family val="2"/>
      <scheme val="minor"/>
    </font>
    <font>
      <sz val="9"/>
      <color theme="1"/>
      <name val="Calibri"/>
      <family val="2"/>
      <scheme val="minor"/>
    </font>
    <font>
      <i/>
      <sz val="10"/>
      <color rgb="FF4E607B"/>
      <name val="Calibri"/>
      <family val="2"/>
      <scheme val="minor"/>
    </font>
    <font>
      <sz val="9"/>
      <color theme="0"/>
      <name val="Calibri"/>
      <family val="2"/>
      <scheme val="minor"/>
    </font>
    <font>
      <sz val="7"/>
      <color theme="1" tint="0.499984740745262"/>
      <name val="Calibri"/>
      <family val="2"/>
      <scheme val="minor"/>
    </font>
    <font>
      <b/>
      <sz val="7"/>
      <color theme="1" tint="0.499984740745262"/>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4"/>
      <color rgb="FFD9D9D9"/>
      <name val="Calibri"/>
      <family val="2"/>
      <scheme val="minor"/>
    </font>
    <font>
      <sz val="12"/>
      <color theme="1"/>
      <name val="Archia Regular"/>
    </font>
    <font>
      <sz val="11"/>
      <color rgb="FFC00000"/>
      <name val="Calibri"/>
      <family val="2"/>
      <scheme val="mino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color theme="3"/>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s>
  <fills count="15">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4" tint="0.79998168889431442"/>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s>
  <borders count="78">
    <border>
      <left/>
      <right/>
      <top/>
      <bottom/>
      <diagonal/>
    </border>
    <border>
      <left/>
      <right/>
      <top/>
      <bottom style="medium">
        <color theme="0"/>
      </bottom>
      <diagonal/>
    </border>
    <border>
      <left/>
      <right style="medium">
        <color theme="2" tint="-9.9948118533890809E-2"/>
      </right>
      <top/>
      <bottom/>
      <diagonal/>
    </border>
    <border>
      <left/>
      <right/>
      <top style="thin">
        <color theme="2" tint="-0.24994659260841701"/>
      </top>
      <bottom/>
      <diagonal/>
    </border>
    <border>
      <left/>
      <right/>
      <top/>
      <bottom style="medium">
        <color auto="1"/>
      </bottom>
      <diagonal/>
    </border>
    <border>
      <left style="medium">
        <color theme="2" tint="-9.9948118533890809E-2"/>
      </left>
      <right style="medium">
        <color theme="2" tint="-9.9948118533890809E-2"/>
      </right>
      <top/>
      <bottom/>
      <diagonal/>
    </border>
    <border>
      <left/>
      <right/>
      <top style="thin">
        <color rgb="FF4E607B"/>
      </top>
      <bottom style="thin">
        <color rgb="FF4E607B"/>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medium">
        <color theme="3"/>
      </left>
      <right/>
      <top style="medium">
        <color theme="3"/>
      </top>
      <bottom/>
      <diagonal/>
    </border>
    <border>
      <left/>
      <right/>
      <top style="medium">
        <color theme="3"/>
      </top>
      <bottom/>
      <diagonal/>
    </border>
    <border>
      <left/>
      <right style="medium">
        <color theme="3"/>
      </right>
      <top style="medium">
        <color theme="3"/>
      </top>
      <bottom/>
      <diagonal/>
    </border>
    <border>
      <left style="medium">
        <color theme="3"/>
      </left>
      <right/>
      <top/>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style="thin">
        <color auto="1"/>
      </left>
      <right style="thick">
        <color theme="0"/>
      </right>
      <top style="thin">
        <color auto="1"/>
      </top>
      <bottom style="double">
        <color auto="1"/>
      </bottom>
      <diagonal/>
    </border>
    <border>
      <left style="thin">
        <color auto="1"/>
      </left>
      <right style="thick">
        <color theme="0"/>
      </right>
      <top/>
      <bottom/>
      <diagonal/>
    </border>
    <border>
      <left style="thin">
        <color auto="1"/>
      </left>
      <right style="thick">
        <color theme="0"/>
      </right>
      <top style="medium">
        <color auto="1"/>
      </top>
      <bottom/>
      <diagonal/>
    </border>
    <border>
      <left style="thin">
        <color auto="1"/>
      </left>
      <right style="thick">
        <color theme="0"/>
      </right>
      <top/>
      <bottom style="medium">
        <color auto="1"/>
      </bottom>
      <diagonal/>
    </border>
    <border>
      <left style="thin">
        <color auto="1"/>
      </left>
      <right style="thick">
        <color theme="0"/>
      </right>
      <top/>
      <bottom style="thin">
        <color auto="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s>
  <cellStyleXfs count="5">
    <xf numFmtId="0" fontId="0" fillId="0" borderId="0"/>
    <xf numFmtId="43" fontId="10" fillId="0" borderId="0" applyFont="0" applyFill="0" applyBorder="0" applyAlignment="0" applyProtection="0"/>
    <xf numFmtId="9" fontId="10" fillId="0" borderId="0" applyFont="0" applyFill="0" applyBorder="0" applyAlignment="0" applyProtection="0"/>
    <xf numFmtId="0" fontId="9" fillId="0" borderId="0"/>
    <xf numFmtId="9" fontId="9" fillId="0" borderId="0" applyFont="0" applyFill="0" applyBorder="0" applyAlignment="0" applyProtection="0"/>
  </cellStyleXfs>
  <cellXfs count="688">
    <xf numFmtId="0" fontId="0" fillId="0" borderId="0" xfId="0"/>
    <xf numFmtId="0" fontId="0" fillId="0" borderId="0" xfId="0" applyAlignment="1">
      <alignment horizontal="center"/>
    </xf>
    <xf numFmtId="0" fontId="12" fillId="0" borderId="0" xfId="0" applyFont="1"/>
    <xf numFmtId="0" fontId="14" fillId="0" borderId="0" xfId="0" applyFont="1"/>
    <xf numFmtId="0" fontId="15" fillId="0" borderId="0" xfId="0" applyFont="1" applyAlignment="1">
      <alignment horizontal="center"/>
    </xf>
    <xf numFmtId="0" fontId="15" fillId="0" borderId="0" xfId="0" applyFont="1"/>
    <xf numFmtId="166" fontId="17" fillId="2" borderId="0" xfId="0" applyNumberFormat="1" applyFont="1" applyFill="1" applyAlignment="1">
      <alignment horizontal="center" vertical="center"/>
    </xf>
    <xf numFmtId="0" fontId="18" fillId="0" borderId="0" xfId="0" applyFont="1"/>
    <xf numFmtId="0" fontId="20" fillId="0" borderId="0" xfId="0" applyFont="1" applyAlignment="1">
      <alignment horizontal="center"/>
    </xf>
    <xf numFmtId="0" fontId="21" fillId="2" borderId="0" xfId="0" applyFont="1" applyFill="1" applyAlignment="1">
      <alignment vertical="center"/>
    </xf>
    <xf numFmtId="0" fontId="22" fillId="2" borderId="0" xfId="0" applyFont="1" applyFill="1" applyAlignment="1">
      <alignment horizontal="center" vertical="center"/>
    </xf>
    <xf numFmtId="0" fontId="18" fillId="0" borderId="0" xfId="0" applyFont="1" applyAlignment="1">
      <alignment horizontal="center"/>
    </xf>
    <xf numFmtId="166" fontId="15" fillId="0" borderId="0" xfId="0" applyNumberFormat="1" applyFont="1"/>
    <xf numFmtId="0" fontId="24" fillId="0" borderId="0" xfId="0" applyFont="1" applyAlignment="1">
      <alignment horizontal="center"/>
    </xf>
    <xf numFmtId="167" fontId="19" fillId="4" borderId="0" xfId="1" applyNumberFormat="1" applyFont="1" applyFill="1" applyAlignment="1" applyProtection="1">
      <alignment horizontal="center"/>
    </xf>
    <xf numFmtId="164" fontId="20" fillId="4" borderId="0" xfId="2" applyNumberFormat="1" applyFont="1" applyFill="1" applyAlignment="1" applyProtection="1">
      <alignment horizontal="center"/>
    </xf>
    <xf numFmtId="165" fontId="20" fillId="4" borderId="0" xfId="2" applyNumberFormat="1" applyFont="1" applyFill="1" applyAlignment="1" applyProtection="1">
      <alignment horizontal="center"/>
    </xf>
    <xf numFmtId="167" fontId="23" fillId="3" borderId="0" xfId="1" applyNumberFormat="1" applyFont="1" applyFill="1" applyAlignment="1" applyProtection="1">
      <alignment horizontal="center"/>
    </xf>
    <xf numFmtId="164" fontId="23" fillId="3" borderId="0" xfId="2" applyNumberFormat="1" applyFont="1" applyFill="1" applyAlignment="1" applyProtection="1">
      <alignment horizontal="center"/>
    </xf>
    <xf numFmtId="165" fontId="23" fillId="3" borderId="0" xfId="2" applyNumberFormat="1" applyFont="1" applyFill="1" applyAlignment="1" applyProtection="1">
      <alignment horizontal="center"/>
    </xf>
    <xf numFmtId="0" fontId="12" fillId="0" borderId="0" xfId="0" applyFont="1" applyAlignment="1">
      <alignment vertical="top" wrapText="1"/>
    </xf>
    <xf numFmtId="0" fontId="26" fillId="0" borderId="0" xfId="0" applyFont="1" applyProtection="1">
      <protection locked="0"/>
    </xf>
    <xf numFmtId="168" fontId="26" fillId="0" borderId="0" xfId="1" applyNumberFormat="1" applyFont="1" applyFill="1" applyAlignment="1" applyProtection="1">
      <alignment horizontal="center"/>
    </xf>
    <xf numFmtId="164" fontId="26" fillId="0" borderId="0" xfId="2" applyNumberFormat="1" applyFont="1" applyFill="1" applyAlignment="1" applyProtection="1">
      <alignment horizontal="center"/>
    </xf>
    <xf numFmtId="165" fontId="26" fillId="0" borderId="0" xfId="2" applyNumberFormat="1" applyFont="1" applyFill="1" applyAlignment="1" applyProtection="1">
      <alignment horizontal="center"/>
    </xf>
    <xf numFmtId="0" fontId="17" fillId="2" borderId="0" xfId="0" applyFont="1" applyFill="1" applyAlignment="1">
      <alignment horizontal="left" vertical="center"/>
    </xf>
    <xf numFmtId="0" fontId="17" fillId="2" borderId="2" xfId="0" applyFont="1" applyFill="1" applyBorder="1" applyAlignment="1">
      <alignment horizontal="center" vertical="center"/>
    </xf>
    <xf numFmtId="0" fontId="27" fillId="0" borderId="0" xfId="0" quotePrefix="1" applyFont="1"/>
    <xf numFmtId="0" fontId="27" fillId="0" borderId="0" xfId="0" applyFont="1"/>
    <xf numFmtId="0" fontId="28" fillId="0" borderId="0" xfId="0" applyFont="1" applyAlignment="1">
      <alignment horizontal="right"/>
    </xf>
    <xf numFmtId="0" fontId="29" fillId="0" borderId="0" xfId="0" applyFont="1" applyAlignment="1">
      <alignment horizontal="center" vertical="center"/>
    </xf>
    <xf numFmtId="0" fontId="0" fillId="0" borderId="3" xfId="0" applyBorder="1"/>
    <xf numFmtId="0" fontId="25" fillId="0" borderId="0" xfId="0" applyFont="1" applyAlignment="1">
      <alignment horizontal="right" vertical="center"/>
    </xf>
    <xf numFmtId="0" fontId="20" fillId="4" borderId="0" xfId="0" applyFont="1" applyFill="1"/>
    <xf numFmtId="0" fontId="23" fillId="3" borderId="0" xfId="0" applyFont="1" applyFill="1"/>
    <xf numFmtId="43" fontId="0" fillId="0" borderId="0" xfId="1" applyFont="1"/>
    <xf numFmtId="0" fontId="33" fillId="0" borderId="0" xfId="0" applyFont="1" applyAlignment="1">
      <alignment vertical="top" wrapText="1"/>
    </xf>
    <xf numFmtId="169" fontId="32" fillId="0" borderId="0" xfId="0" applyNumberFormat="1" applyFont="1" applyAlignment="1">
      <alignment horizontal="right" vertical="center"/>
    </xf>
    <xf numFmtId="0" fontId="25" fillId="0" borderId="6" xfId="0" applyFont="1" applyBorder="1" applyAlignment="1">
      <alignment vertical="center"/>
    </xf>
    <xf numFmtId="0" fontId="32" fillId="0" borderId="6" xfId="0" applyFont="1" applyBorder="1" applyAlignment="1">
      <alignment horizontal="right" vertical="center"/>
    </xf>
    <xf numFmtId="0" fontId="31" fillId="0" borderId="6" xfId="0" applyFont="1" applyBorder="1" applyAlignment="1">
      <alignment horizontal="right"/>
    </xf>
    <xf numFmtId="0" fontId="25" fillId="0" borderId="6" xfId="0" applyFont="1" applyBorder="1" applyAlignment="1">
      <alignment horizontal="left" vertical="center"/>
    </xf>
    <xf numFmtId="165" fontId="31" fillId="0" borderId="6" xfId="2" applyNumberFormat="1" applyFont="1" applyBorder="1" applyAlignment="1" applyProtection="1">
      <alignment horizontal="right" vertical="center"/>
      <protection locked="0"/>
    </xf>
    <xf numFmtId="0" fontId="0" fillId="0" borderId="7" xfId="0" applyBorder="1"/>
    <xf numFmtId="0" fontId="23" fillId="5" borderId="0" xfId="0" applyFont="1" applyFill="1"/>
    <xf numFmtId="164" fontId="23" fillId="5" borderId="0" xfId="2" applyNumberFormat="1" applyFont="1" applyFill="1" applyAlignment="1" applyProtection="1">
      <alignment horizontal="center"/>
    </xf>
    <xf numFmtId="165" fontId="23" fillId="5" borderId="0" xfId="2" applyNumberFormat="1" applyFont="1" applyFill="1" applyAlignment="1" applyProtection="1">
      <alignment horizontal="center"/>
    </xf>
    <xf numFmtId="0" fontId="30" fillId="0" borderId="0" xfId="0" applyFont="1" applyAlignment="1">
      <alignment horizontal="center" vertical="center"/>
    </xf>
    <xf numFmtId="10" fontId="27" fillId="0" borderId="0" xfId="0" applyNumberFormat="1" applyFont="1"/>
    <xf numFmtId="0" fontId="16" fillId="0" borderId="0" xfId="0" applyFont="1" applyAlignment="1">
      <alignment horizontal="left"/>
    </xf>
    <xf numFmtId="164" fontId="36" fillId="5" borderId="0" xfId="2" applyNumberFormat="1" applyFont="1" applyFill="1" applyAlignment="1" applyProtection="1">
      <alignment horizontal="center"/>
    </xf>
    <xf numFmtId="0" fontId="37" fillId="0" borderId="0" xfId="0" applyFont="1"/>
    <xf numFmtId="0" fontId="38" fillId="0" borderId="0" xfId="0" applyFont="1"/>
    <xf numFmtId="0" fontId="38" fillId="0" borderId="2" xfId="0" applyFont="1" applyBorder="1"/>
    <xf numFmtId="0" fontId="39" fillId="0" borderId="5" xfId="0" applyFont="1" applyBorder="1"/>
    <xf numFmtId="0" fontId="40" fillId="4" borderId="0" xfId="0" applyFont="1" applyFill="1"/>
    <xf numFmtId="164" fontId="40" fillId="4" borderId="2" xfId="2" applyNumberFormat="1" applyFont="1" applyFill="1" applyBorder="1" applyAlignment="1" applyProtection="1">
      <alignment horizontal="center"/>
    </xf>
    <xf numFmtId="0" fontId="40" fillId="0" borderId="0" xfId="0" applyFont="1"/>
    <xf numFmtId="0" fontId="40" fillId="0" borderId="2" xfId="0" applyFont="1" applyBorder="1"/>
    <xf numFmtId="0" fontId="41" fillId="3" borderId="0" xfId="0" applyFont="1" applyFill="1"/>
    <xf numFmtId="164" fontId="41" fillId="3" borderId="2" xfId="2" applyNumberFormat="1" applyFont="1" applyFill="1" applyBorder="1" applyAlignment="1" applyProtection="1">
      <alignment horizontal="center"/>
    </xf>
    <xf numFmtId="9" fontId="38" fillId="0" borderId="2" xfId="2" applyFont="1" applyBorder="1" applyAlignment="1" applyProtection="1">
      <alignment horizontal="center"/>
    </xf>
    <xf numFmtId="0" fontId="40" fillId="0" borderId="2" xfId="0" applyFont="1" applyBorder="1" applyAlignment="1">
      <alignment horizontal="center"/>
    </xf>
    <xf numFmtId="10" fontId="40" fillId="0" borderId="2" xfId="0" applyNumberFormat="1" applyFont="1" applyBorder="1" applyAlignment="1">
      <alignment horizontal="center"/>
    </xf>
    <xf numFmtId="9" fontId="38" fillId="0" borderId="2" xfId="2" applyFont="1" applyFill="1" applyBorder="1" applyAlignment="1" applyProtection="1">
      <alignment horizontal="center"/>
    </xf>
    <xf numFmtId="164" fontId="40" fillId="0" borderId="2" xfId="2" applyNumberFormat="1" applyFont="1" applyFill="1" applyBorder="1" applyAlignment="1" applyProtection="1">
      <alignment horizontal="center"/>
    </xf>
    <xf numFmtId="171" fontId="39" fillId="0" borderId="5" xfId="0" applyNumberFormat="1" applyFont="1" applyBorder="1"/>
    <xf numFmtId="164" fontId="39" fillId="0" borderId="5" xfId="0" applyNumberFormat="1" applyFont="1" applyBorder="1"/>
    <xf numFmtId="10" fontId="39" fillId="0" borderId="5" xfId="0" applyNumberFormat="1" applyFont="1" applyBorder="1"/>
    <xf numFmtId="170" fontId="39" fillId="0" borderId="5" xfId="0" applyNumberFormat="1" applyFont="1" applyBorder="1"/>
    <xf numFmtId="0" fontId="41" fillId="0" borderId="0" xfId="0" applyFont="1"/>
    <xf numFmtId="164" fontId="41" fillId="0" borderId="2" xfId="2" applyNumberFormat="1" applyFont="1" applyFill="1" applyBorder="1" applyAlignment="1" applyProtection="1">
      <alignment horizontal="center"/>
    </xf>
    <xf numFmtId="172" fontId="39" fillId="0" borderId="5" xfId="0" applyNumberFormat="1" applyFont="1" applyBorder="1"/>
    <xf numFmtId="0" fontId="47" fillId="0" borderId="0" xfId="0" applyFont="1" applyAlignment="1">
      <alignment horizontal="center"/>
    </xf>
    <xf numFmtId="0" fontId="47" fillId="0" borderId="0" xfId="0" applyFont="1"/>
    <xf numFmtId="166" fontId="47" fillId="0" borderId="0" xfId="0" applyNumberFormat="1" applyFont="1"/>
    <xf numFmtId="0" fontId="54" fillId="0" borderId="0" xfId="0" applyFont="1" applyAlignment="1">
      <alignment horizontal="center"/>
    </xf>
    <xf numFmtId="0" fontId="55" fillId="3" borderId="4" xfId="0" applyFont="1" applyFill="1" applyBorder="1" applyAlignment="1">
      <alignment horizontal="center"/>
    </xf>
    <xf numFmtId="0" fontId="58" fillId="0" borderId="0" xfId="0" applyFont="1"/>
    <xf numFmtId="0" fontId="58" fillId="0" borderId="0" xfId="0" applyFont="1" applyAlignment="1">
      <alignment horizontal="center"/>
    </xf>
    <xf numFmtId="0" fontId="59" fillId="0" borderId="0" xfId="0" applyFont="1" applyAlignment="1">
      <alignment horizontal="right" vertical="center"/>
    </xf>
    <xf numFmtId="169" fontId="60" fillId="0" borderId="0" xfId="0" applyNumberFormat="1" applyFont="1" applyAlignment="1">
      <alignment horizontal="center" vertical="center"/>
    </xf>
    <xf numFmtId="0" fontId="59" fillId="0" borderId="6" xfId="0" applyFont="1" applyBorder="1" applyAlignment="1">
      <alignment vertical="center"/>
    </xf>
    <xf numFmtId="0" fontId="60" fillId="0" borderId="6" xfId="0" applyFont="1" applyBorder="1" applyAlignment="1">
      <alignment horizontal="right" vertical="center"/>
    </xf>
    <xf numFmtId="0" fontId="61" fillId="0" borderId="6" xfId="0" applyFont="1" applyBorder="1" applyAlignment="1">
      <alignment horizontal="right"/>
    </xf>
    <xf numFmtId="0" fontId="59" fillId="0" borderId="6" xfId="0" applyFont="1" applyBorder="1" applyAlignment="1">
      <alignment horizontal="left" vertical="center"/>
    </xf>
    <xf numFmtId="165" fontId="61" fillId="0" borderId="6" xfId="2" applyNumberFormat="1" applyFont="1" applyBorder="1" applyAlignment="1" applyProtection="1">
      <alignment horizontal="right" vertical="center"/>
      <protection locked="0"/>
    </xf>
    <xf numFmtId="0" fontId="62" fillId="0" borderId="0" xfId="0" applyFont="1" applyAlignment="1">
      <alignment horizontal="center"/>
    </xf>
    <xf numFmtId="0" fontId="63" fillId="2" borderId="0" xfId="0" applyFont="1" applyFill="1" applyAlignment="1">
      <alignment vertical="center"/>
    </xf>
    <xf numFmtId="166" fontId="40" fillId="2" borderId="0" xfId="0" applyNumberFormat="1" applyFont="1" applyFill="1" applyAlignment="1">
      <alignment horizontal="center" vertical="center"/>
    </xf>
    <xf numFmtId="0" fontId="62" fillId="2" borderId="0" xfId="0" applyFont="1" applyFill="1" applyAlignment="1">
      <alignment horizontal="center" vertical="center"/>
    </xf>
    <xf numFmtId="0" fontId="62" fillId="4" borderId="0" xfId="0" applyFont="1" applyFill="1"/>
    <xf numFmtId="167" fontId="64" fillId="4" borderId="0" xfId="1" applyNumberFormat="1" applyFont="1" applyFill="1" applyAlignment="1" applyProtection="1">
      <alignment horizontal="center"/>
    </xf>
    <xf numFmtId="164" fontId="62" fillId="4" borderId="0" xfId="2" applyNumberFormat="1" applyFont="1" applyFill="1" applyAlignment="1" applyProtection="1">
      <alignment horizontal="center"/>
    </xf>
    <xf numFmtId="165" fontId="62" fillId="4" borderId="0" xfId="2" applyNumberFormat="1" applyFont="1" applyFill="1" applyAlignment="1" applyProtection="1">
      <alignment horizontal="center"/>
    </xf>
    <xf numFmtId="0" fontId="63" fillId="3" borderId="0" xfId="0" applyFont="1" applyFill="1"/>
    <xf numFmtId="167" fontId="63" fillId="3" borderId="0" xfId="1" applyNumberFormat="1" applyFont="1" applyFill="1" applyAlignment="1" applyProtection="1">
      <alignment horizontal="center"/>
    </xf>
    <xf numFmtId="164" fontId="63" fillId="3" borderId="0" xfId="2" applyNumberFormat="1" applyFont="1" applyFill="1" applyAlignment="1" applyProtection="1">
      <alignment horizontal="center"/>
    </xf>
    <xf numFmtId="165" fontId="63" fillId="3" borderId="0" xfId="2" applyNumberFormat="1" applyFont="1" applyFill="1" applyAlignment="1" applyProtection="1">
      <alignment horizontal="center"/>
    </xf>
    <xf numFmtId="0" fontId="65" fillId="0" borderId="0" xfId="0" applyFont="1" applyProtection="1">
      <protection locked="0"/>
    </xf>
    <xf numFmtId="168" fontId="65" fillId="0" borderId="0" xfId="1" applyNumberFormat="1" applyFont="1" applyFill="1" applyAlignment="1" applyProtection="1">
      <alignment horizontal="center"/>
    </xf>
    <xf numFmtId="164" fontId="65" fillId="0" borderId="0" xfId="2" applyNumberFormat="1" applyFont="1" applyFill="1" applyAlignment="1" applyProtection="1">
      <alignment horizontal="center"/>
    </xf>
    <xf numFmtId="165" fontId="65" fillId="0" borderId="0" xfId="2" applyNumberFormat="1" applyFont="1" applyFill="1" applyAlignment="1" applyProtection="1">
      <alignment horizontal="center"/>
    </xf>
    <xf numFmtId="0" fontId="62" fillId="0" borderId="0" xfId="0" applyFont="1"/>
    <xf numFmtId="167" fontId="64" fillId="0" borderId="0" xfId="1" applyNumberFormat="1" applyFont="1" applyFill="1" applyAlignment="1" applyProtection="1">
      <alignment horizontal="center"/>
    </xf>
    <xf numFmtId="164" fontId="62" fillId="0" borderId="0" xfId="2" applyNumberFormat="1" applyFont="1" applyFill="1" applyAlignment="1" applyProtection="1">
      <alignment horizontal="center"/>
    </xf>
    <xf numFmtId="0" fontId="63" fillId="0" borderId="0" xfId="0" applyFont="1"/>
    <xf numFmtId="167" fontId="63" fillId="0" borderId="0" xfId="1" applyNumberFormat="1" applyFont="1" applyFill="1" applyAlignment="1" applyProtection="1">
      <alignment horizontal="center"/>
    </xf>
    <xf numFmtId="164" fontId="63" fillId="0" borderId="0" xfId="2" applyNumberFormat="1" applyFont="1" applyFill="1" applyAlignment="1" applyProtection="1">
      <alignment horizontal="center"/>
    </xf>
    <xf numFmtId="165" fontId="63" fillId="0" borderId="0" xfId="2" applyNumberFormat="1" applyFont="1" applyFill="1" applyAlignment="1" applyProtection="1">
      <alignment horizontal="center"/>
    </xf>
    <xf numFmtId="164" fontId="66" fillId="0" borderId="0" xfId="2" applyNumberFormat="1" applyFont="1" applyFill="1" applyAlignment="1" applyProtection="1">
      <alignment horizontal="center"/>
    </xf>
    <xf numFmtId="0" fontId="63" fillId="5" borderId="0" xfId="0" applyFont="1" applyFill="1"/>
    <xf numFmtId="164" fontId="66" fillId="5" borderId="0" xfId="2" applyNumberFormat="1" applyFont="1" applyFill="1" applyAlignment="1" applyProtection="1">
      <alignment horizontal="center"/>
    </xf>
    <xf numFmtId="164" fontId="63" fillId="5" borderId="0" xfId="2" applyNumberFormat="1" applyFont="1" applyFill="1" applyAlignment="1" applyProtection="1">
      <alignment horizontal="center"/>
    </xf>
    <xf numFmtId="165" fontId="63" fillId="5" borderId="0" xfId="2" applyNumberFormat="1" applyFont="1" applyFill="1" applyAlignment="1" applyProtection="1">
      <alignment horizontal="center"/>
    </xf>
    <xf numFmtId="164" fontId="58" fillId="0" borderId="0" xfId="2" applyNumberFormat="1" applyFont="1" applyFill="1"/>
    <xf numFmtId="164" fontId="62" fillId="0" borderId="0" xfId="2" applyNumberFormat="1" applyFont="1" applyFill="1"/>
    <xf numFmtId="165" fontId="67" fillId="0" borderId="0" xfId="2" applyNumberFormat="1" applyFont="1" applyFill="1" applyAlignment="1" applyProtection="1">
      <alignment horizontal="center"/>
    </xf>
    <xf numFmtId="9" fontId="62" fillId="0" borderId="0" xfId="2" applyFont="1" applyFill="1"/>
    <xf numFmtId="0" fontId="68" fillId="0" borderId="0" xfId="0" applyFont="1" applyAlignment="1">
      <alignment vertical="top" wrapText="1"/>
    </xf>
    <xf numFmtId="0" fontId="0" fillId="0" borderId="0" xfId="0" applyAlignment="1">
      <alignment vertical="top" wrapText="1"/>
    </xf>
    <xf numFmtId="0" fontId="12" fillId="0" borderId="0" xfId="0" applyFont="1" applyProtection="1">
      <protection locked="0"/>
    </xf>
    <xf numFmtId="0" fontId="13" fillId="0" borderId="0" xfId="0" applyFont="1" applyProtection="1">
      <protection locked="0"/>
    </xf>
    <xf numFmtId="1" fontId="37" fillId="0" borderId="0" xfId="1" applyNumberFormat="1" applyFont="1" applyProtection="1">
      <protection locked="0"/>
    </xf>
    <xf numFmtId="0" fontId="35" fillId="0" borderId="0" xfId="0" applyFont="1" applyProtection="1">
      <protection locked="0"/>
    </xf>
    <xf numFmtId="0" fontId="37" fillId="0" borderId="0" xfId="0" applyFont="1" applyProtection="1">
      <protection locked="0"/>
    </xf>
    <xf numFmtId="0" fontId="44" fillId="0" borderId="0" xfId="0" applyFont="1" applyAlignment="1" applyProtection="1">
      <alignment horizontal="center"/>
      <protection locked="0"/>
    </xf>
    <xf numFmtId="0" fontId="45" fillId="0" borderId="0" xfId="0" applyFont="1" applyAlignment="1" applyProtection="1">
      <alignment horizontal="center"/>
      <protection locked="0"/>
    </xf>
    <xf numFmtId="0" fontId="42" fillId="0" borderId="0" xfId="0" applyFont="1" applyAlignment="1" applyProtection="1">
      <alignment vertical="center"/>
      <protection locked="0"/>
    </xf>
    <xf numFmtId="164" fontId="42" fillId="0" borderId="18" xfId="2" applyNumberFormat="1" applyFont="1" applyBorder="1" applyAlignment="1" applyProtection="1">
      <alignment vertical="center"/>
      <protection locked="0"/>
    </xf>
    <xf numFmtId="0" fontId="42" fillId="0" borderId="18" xfId="0" applyFont="1" applyBorder="1" applyAlignment="1" applyProtection="1">
      <alignment vertical="center"/>
      <protection locked="0"/>
    </xf>
    <xf numFmtId="164" fontId="11" fillId="4" borderId="32" xfId="2" applyNumberFormat="1" applyFont="1" applyFill="1" applyBorder="1" applyAlignment="1" applyProtection="1">
      <alignment horizontal="center" vertical="center"/>
    </xf>
    <xf numFmtId="164" fontId="42" fillId="5" borderId="32" xfId="2" applyNumberFormat="1" applyFont="1" applyFill="1" applyBorder="1" applyAlignment="1" applyProtection="1">
      <alignment horizontal="center" vertical="center"/>
    </xf>
    <xf numFmtId="164" fontId="10" fillId="3" borderId="24" xfId="2" applyNumberFormat="1" applyFont="1" applyFill="1" applyBorder="1" applyAlignment="1" applyProtection="1">
      <alignment horizontal="center" vertical="center"/>
    </xf>
    <xf numFmtId="164" fontId="10" fillId="3" borderId="26" xfId="2" applyNumberFormat="1" applyFont="1" applyFill="1" applyBorder="1" applyAlignment="1" applyProtection="1">
      <alignment horizontal="center" vertical="center"/>
    </xf>
    <xf numFmtId="164" fontId="10" fillId="3" borderId="28" xfId="2" applyNumberFormat="1" applyFont="1" applyFill="1" applyBorder="1" applyAlignment="1" applyProtection="1">
      <alignment horizontal="center" vertical="center"/>
    </xf>
    <xf numFmtId="164" fontId="10" fillId="3" borderId="39" xfId="2" applyNumberFormat="1" applyFont="1" applyFill="1" applyBorder="1" applyAlignment="1" applyProtection="1">
      <alignment horizontal="center" vertical="center"/>
    </xf>
    <xf numFmtId="164" fontId="42" fillId="3" borderId="31" xfId="2" applyNumberFormat="1" applyFont="1" applyFill="1" applyBorder="1" applyAlignment="1" applyProtection="1">
      <alignment horizontal="center" vertical="center"/>
    </xf>
    <xf numFmtId="164" fontId="42" fillId="3" borderId="32" xfId="2" applyNumberFormat="1" applyFont="1" applyFill="1" applyBorder="1" applyAlignment="1" applyProtection="1">
      <alignment horizontal="center" vertical="center"/>
    </xf>
    <xf numFmtId="0" fontId="42" fillId="0" borderId="18" xfId="0" applyFont="1" applyBorder="1" applyAlignment="1">
      <alignment horizontal="center" vertical="center"/>
    </xf>
    <xf numFmtId="0" fontId="42" fillId="0" borderId="0" xfId="0" applyFont="1" applyAlignment="1">
      <alignment horizontal="center" vertical="center"/>
    </xf>
    <xf numFmtId="0" fontId="11" fillId="0" borderId="18" xfId="0" applyFont="1" applyBorder="1" applyAlignment="1">
      <alignment horizontal="center" vertical="center"/>
    </xf>
    <xf numFmtId="0" fontId="12" fillId="0" borderId="0" xfId="0" applyFont="1" applyAlignment="1" applyProtection="1">
      <alignment horizontal="center"/>
      <protection locked="0"/>
    </xf>
    <xf numFmtId="0" fontId="43" fillId="0" borderId="0" xfId="0" applyFont="1" applyAlignment="1" applyProtection="1">
      <alignment vertical="center"/>
      <protection locked="0"/>
    </xf>
    <xf numFmtId="1" fontId="48" fillId="0" borderId="0" xfId="1" applyNumberFormat="1" applyFont="1" applyFill="1" applyAlignment="1" applyProtection="1">
      <alignment horizontal="center" vertical="center"/>
      <protection locked="0"/>
    </xf>
    <xf numFmtId="0" fontId="42" fillId="0" borderId="0" xfId="0" applyFont="1" applyAlignment="1" applyProtection="1">
      <alignment horizontal="center" vertical="center"/>
      <protection locked="0"/>
    </xf>
    <xf numFmtId="164" fontId="11" fillId="4" borderId="31" xfId="2" applyNumberFormat="1" applyFont="1" applyFill="1" applyBorder="1" applyAlignment="1" applyProtection="1">
      <alignment horizontal="center" vertical="center"/>
    </xf>
    <xf numFmtId="164" fontId="42" fillId="5" borderId="31" xfId="2" applyNumberFormat="1" applyFont="1" applyFill="1" applyBorder="1" applyAlignment="1" applyProtection="1">
      <alignment horizontal="center" vertical="center"/>
    </xf>
    <xf numFmtId="164" fontId="10" fillId="3" borderId="1" xfId="2" applyNumberFormat="1" applyFont="1" applyFill="1" applyBorder="1" applyAlignment="1" applyProtection="1">
      <alignment horizontal="center" vertical="center"/>
    </xf>
    <xf numFmtId="1" fontId="12" fillId="0" borderId="0" xfId="1" applyNumberFormat="1" applyFont="1" applyProtection="1"/>
    <xf numFmtId="0" fontId="13" fillId="0" borderId="0" xfId="0" applyFont="1"/>
    <xf numFmtId="0" fontId="10" fillId="0" borderId="0" xfId="0" applyFont="1"/>
    <xf numFmtId="1" fontId="37" fillId="0" borderId="0" xfId="1" applyNumberFormat="1" applyFont="1" applyProtection="1"/>
    <xf numFmtId="0" fontId="73" fillId="0" borderId="0" xfId="0" applyFont="1"/>
    <xf numFmtId="0" fontId="56" fillId="0" borderId="0" xfId="0" applyFont="1"/>
    <xf numFmtId="0" fontId="35" fillId="0" borderId="0" xfId="0" applyFont="1"/>
    <xf numFmtId="0" fontId="44" fillId="0" borderId="0" xfId="0" applyFont="1" applyAlignment="1">
      <alignment horizontal="center"/>
    </xf>
    <xf numFmtId="0" fontId="45" fillId="0" borderId="0" xfId="0" applyFont="1" applyAlignment="1">
      <alignment horizontal="center"/>
    </xf>
    <xf numFmtId="1" fontId="37" fillId="0" borderId="0" xfId="1" applyNumberFormat="1" applyFont="1" applyAlignment="1" applyProtection="1">
      <alignment vertical="center"/>
    </xf>
    <xf numFmtId="0" fontId="37" fillId="0" borderId="0" xfId="0" applyFont="1" applyAlignment="1">
      <alignment vertical="center"/>
    </xf>
    <xf numFmtId="0" fontId="10" fillId="0" borderId="0" xfId="0" applyFont="1" applyAlignment="1">
      <alignment vertical="center"/>
    </xf>
    <xf numFmtId="1" fontId="0" fillId="0" borderId="0" xfId="1" applyNumberFormat="1" applyFont="1" applyAlignment="1" applyProtection="1">
      <alignment vertical="center"/>
    </xf>
    <xf numFmtId="0" fontId="46" fillId="0" borderId="18" xfId="0" applyFont="1" applyBorder="1" applyAlignment="1">
      <alignment horizontal="center" vertical="center"/>
    </xf>
    <xf numFmtId="0" fontId="43" fillId="0" borderId="19" xfId="0" applyFont="1" applyBorder="1" applyAlignment="1">
      <alignment horizontal="center" vertical="center"/>
    </xf>
    <xf numFmtId="0" fontId="46" fillId="0" borderId="0" xfId="0" applyFont="1" applyAlignment="1">
      <alignment horizontal="center" vertical="center"/>
    </xf>
    <xf numFmtId="0" fontId="43" fillId="0" borderId="0" xfId="0" applyFont="1" applyAlignment="1">
      <alignment horizontal="center" vertical="center"/>
    </xf>
    <xf numFmtId="1" fontId="47" fillId="0" borderId="0" xfId="1" applyNumberFormat="1" applyFont="1" applyFill="1" applyAlignment="1" applyProtection="1">
      <alignment horizontal="center" vertical="center"/>
    </xf>
    <xf numFmtId="164" fontId="11" fillId="2" borderId="17" xfId="2" applyNumberFormat="1" applyFont="1" applyFill="1" applyBorder="1" applyAlignment="1" applyProtection="1">
      <alignment horizontal="center" vertical="center" wrapText="1"/>
    </xf>
    <xf numFmtId="164" fontId="11" fillId="2" borderId="20" xfId="2" applyNumberFormat="1" applyFont="1" applyFill="1" applyBorder="1" applyAlignment="1" applyProtection="1">
      <alignment horizontal="center" vertical="center" wrapText="1"/>
    </xf>
    <xf numFmtId="164" fontId="11" fillId="2" borderId="21" xfId="2" applyNumberFormat="1" applyFont="1" applyFill="1" applyBorder="1" applyAlignment="1" applyProtection="1">
      <alignment horizontal="center" vertical="center" wrapText="1"/>
    </xf>
    <xf numFmtId="0" fontId="10" fillId="0" borderId="0" xfId="0" applyFont="1" applyAlignment="1">
      <alignment horizontal="center" vertical="center"/>
    </xf>
    <xf numFmtId="43" fontId="46" fillId="0" borderId="23" xfId="1" applyFont="1" applyFill="1" applyBorder="1" applyAlignment="1" applyProtection="1">
      <alignment horizontal="center" vertical="center" wrapText="1"/>
    </xf>
    <xf numFmtId="43" fontId="46" fillId="0" borderId="22" xfId="1" applyFont="1" applyFill="1" applyBorder="1" applyAlignment="1" applyProtection="1">
      <alignment horizontal="center" vertical="center" wrapText="1"/>
    </xf>
    <xf numFmtId="43" fontId="46" fillId="0" borderId="36" xfId="1" applyFont="1" applyFill="1" applyBorder="1" applyAlignment="1" applyProtection="1">
      <alignment horizontal="center" vertical="center" wrapText="1"/>
    </xf>
    <xf numFmtId="1" fontId="42" fillId="0" borderId="0" xfId="1" applyNumberFormat="1" applyFont="1" applyAlignment="1" applyProtection="1">
      <alignment vertical="center"/>
    </xf>
    <xf numFmtId="0" fontId="47" fillId="2" borderId="31" xfId="0" applyFont="1" applyFill="1" applyBorder="1" applyAlignment="1">
      <alignment vertical="center"/>
    </xf>
    <xf numFmtId="0" fontId="42" fillId="0" borderId="0" xfId="0" applyFont="1" applyAlignment="1">
      <alignment vertical="center"/>
    </xf>
    <xf numFmtId="1" fontId="48" fillId="0" borderId="0" xfId="1" applyNumberFormat="1" applyFont="1" applyAlignment="1" applyProtection="1">
      <alignment horizontal="center" vertical="center"/>
    </xf>
    <xf numFmtId="0" fontId="42" fillId="5" borderId="31" xfId="0" applyFont="1" applyFill="1" applyBorder="1" applyAlignment="1">
      <alignment vertical="center"/>
    </xf>
    <xf numFmtId="0" fontId="51" fillId="5" borderId="31" xfId="0" applyFont="1" applyFill="1" applyBorder="1" applyAlignment="1">
      <alignment horizontal="center" vertical="center"/>
    </xf>
    <xf numFmtId="1" fontId="70" fillId="0" borderId="0" xfId="1" applyNumberFormat="1" applyFont="1" applyAlignment="1" applyProtection="1">
      <alignment horizontal="center" vertical="center"/>
    </xf>
    <xf numFmtId="0" fontId="42" fillId="3" borderId="1" xfId="0" applyFont="1" applyFill="1" applyBorder="1" applyAlignment="1">
      <alignment horizontal="left" vertical="center" indent="1"/>
    </xf>
    <xf numFmtId="0" fontId="51" fillId="3" borderId="1" xfId="0" applyFont="1" applyFill="1" applyBorder="1" applyAlignment="1">
      <alignment horizontal="center" vertical="center"/>
    </xf>
    <xf numFmtId="0" fontId="42" fillId="3" borderId="25" xfId="0" applyFont="1" applyFill="1" applyBorder="1" applyAlignment="1">
      <alignment horizontal="left" vertical="center" indent="1"/>
    </xf>
    <xf numFmtId="0" fontId="51" fillId="3" borderId="25" xfId="0" applyFont="1" applyFill="1" applyBorder="1" applyAlignment="1">
      <alignment horizontal="center" vertical="center"/>
    </xf>
    <xf numFmtId="0" fontId="42" fillId="3" borderId="27" xfId="0" applyFont="1" applyFill="1" applyBorder="1" applyAlignment="1">
      <alignment horizontal="left" vertical="center" indent="1"/>
    </xf>
    <xf numFmtId="0" fontId="51" fillId="3" borderId="27" xfId="0" applyFont="1" applyFill="1" applyBorder="1" applyAlignment="1">
      <alignment horizontal="center" vertical="center"/>
    </xf>
    <xf numFmtId="0" fontId="71" fillId="2" borderId="31" xfId="0" applyFont="1" applyFill="1" applyBorder="1" applyAlignment="1">
      <alignment horizontal="center" vertical="center"/>
    </xf>
    <xf numFmtId="0" fontId="42" fillId="3" borderId="31" xfId="0" applyFont="1" applyFill="1" applyBorder="1" applyAlignment="1">
      <alignment vertical="center"/>
    </xf>
    <xf numFmtId="0" fontId="0" fillId="0" borderId="0" xfId="0" applyAlignment="1">
      <alignment vertical="center"/>
    </xf>
    <xf numFmtId="164" fontId="42" fillId="0" borderId="18" xfId="2" applyNumberFormat="1" applyFont="1" applyBorder="1" applyAlignment="1" applyProtection="1">
      <alignment vertical="center"/>
    </xf>
    <xf numFmtId="164" fontId="0" fillId="0" borderId="19" xfId="2" applyNumberFormat="1" applyFont="1" applyBorder="1" applyAlignment="1" applyProtection="1">
      <alignment vertical="center"/>
    </xf>
    <xf numFmtId="164" fontId="42" fillId="0" borderId="0" xfId="2" applyNumberFormat="1" applyFont="1" applyAlignment="1" applyProtection="1">
      <alignment vertical="center"/>
    </xf>
    <xf numFmtId="164" fontId="0" fillId="0" borderId="0" xfId="2" applyNumberFormat="1" applyFont="1" applyAlignment="1" applyProtection="1">
      <alignment vertical="center"/>
    </xf>
    <xf numFmtId="0" fontId="42" fillId="0" borderId="18" xfId="0" applyFont="1" applyBorder="1" applyAlignment="1">
      <alignment vertical="center"/>
    </xf>
    <xf numFmtId="0" fontId="42" fillId="0" borderId="19"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11" fillId="9" borderId="29" xfId="0" applyFont="1" applyFill="1" applyBorder="1" applyAlignment="1">
      <alignment vertical="center"/>
    </xf>
    <xf numFmtId="0" fontId="11" fillId="9" borderId="37" xfId="0" applyFont="1" applyFill="1" applyBorder="1" applyAlignment="1">
      <alignment vertical="center"/>
    </xf>
    <xf numFmtId="0" fontId="11" fillId="9" borderId="31" xfId="0" applyFont="1" applyFill="1" applyBorder="1" applyAlignment="1">
      <alignment vertical="center"/>
    </xf>
    <xf numFmtId="0" fontId="11" fillId="9" borderId="35" xfId="0" applyFont="1" applyFill="1" applyBorder="1" applyAlignment="1">
      <alignment vertical="center"/>
    </xf>
    <xf numFmtId="0" fontId="11" fillId="9" borderId="33" xfId="0" applyFont="1" applyFill="1" applyBorder="1" applyAlignment="1">
      <alignment vertical="center"/>
    </xf>
    <xf numFmtId="0" fontId="11" fillId="9" borderId="38" xfId="0" applyFont="1" applyFill="1" applyBorder="1" applyAlignment="1">
      <alignment vertical="center"/>
    </xf>
    <xf numFmtId="1" fontId="10" fillId="0" borderId="0" xfId="1" applyNumberFormat="1" applyFont="1" applyProtection="1"/>
    <xf numFmtId="0" fontId="42" fillId="0" borderId="0" xfId="0" applyFont="1" applyAlignment="1">
      <alignment horizontal="center"/>
    </xf>
    <xf numFmtId="0" fontId="49" fillId="0" borderId="0" xfId="0" applyFont="1" applyAlignment="1">
      <alignment horizontal="center"/>
    </xf>
    <xf numFmtId="0" fontId="10" fillId="0" borderId="0" xfId="0" applyFont="1" applyAlignment="1">
      <alignment horizontal="center"/>
    </xf>
    <xf numFmtId="0" fontId="42" fillId="0" borderId="0" xfId="0" applyFont="1"/>
    <xf numFmtId="2" fontId="49" fillId="0" borderId="0" xfId="0" applyNumberFormat="1" applyFont="1" applyAlignment="1">
      <alignment horizontal="center"/>
    </xf>
    <xf numFmtId="0" fontId="58" fillId="0" borderId="40" xfId="0" applyFont="1" applyBorder="1" applyAlignment="1">
      <alignment horizontal="left"/>
    </xf>
    <xf numFmtId="165" fontId="58" fillId="0" borderId="40" xfId="0" applyNumberFormat="1" applyFont="1" applyBorder="1" applyAlignment="1">
      <alignment horizontal="left"/>
    </xf>
    <xf numFmtId="0" fontId="58" fillId="0" borderId="40" xfId="0" applyFont="1" applyBorder="1" applyAlignment="1">
      <alignment horizontal="center"/>
    </xf>
    <xf numFmtId="10" fontId="58" fillId="0" borderId="40" xfId="2" applyNumberFormat="1" applyFont="1" applyBorder="1" applyAlignment="1">
      <alignment horizontal="center"/>
    </xf>
    <xf numFmtId="0" fontId="50" fillId="10" borderId="0" xfId="0" applyFont="1" applyFill="1" applyAlignment="1">
      <alignment horizontal="center" vertical="center" wrapText="1"/>
    </xf>
    <xf numFmtId="0" fontId="39" fillId="0" borderId="0" xfId="0" applyFont="1" applyAlignment="1">
      <alignment horizontal="center" vertical="center" wrapText="1"/>
    </xf>
    <xf numFmtId="0" fontId="58" fillId="0" borderId="40" xfId="0" applyFont="1" applyBorder="1"/>
    <xf numFmtId="0" fontId="58" fillId="0" borderId="41" xfId="0" applyFont="1" applyBorder="1"/>
    <xf numFmtId="0" fontId="58" fillId="0" borderId="41" xfId="0" applyFont="1" applyBorder="1" applyAlignment="1">
      <alignment horizontal="center"/>
    </xf>
    <xf numFmtId="4" fontId="58" fillId="0" borderId="40" xfId="2" applyNumberFormat="1" applyFont="1" applyBorder="1" applyAlignment="1">
      <alignment horizontal="center"/>
    </xf>
    <xf numFmtId="173" fontId="58"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174" fontId="58" fillId="0" borderId="40" xfId="0" applyNumberFormat="1" applyFont="1" applyBorder="1" applyAlignment="1">
      <alignment horizontal="center"/>
    </xf>
    <xf numFmtId="0" fontId="58" fillId="0" borderId="0" xfId="0" applyFont="1" applyAlignment="1">
      <alignment horizontal="left"/>
    </xf>
    <xf numFmtId="165" fontId="58" fillId="0" borderId="0" xfId="0" applyNumberFormat="1" applyFont="1" applyAlignment="1">
      <alignment horizontal="left"/>
    </xf>
    <xf numFmtId="10" fontId="58" fillId="0" borderId="0" xfId="2" applyNumberFormat="1" applyFont="1" applyBorder="1" applyAlignment="1">
      <alignment horizontal="center"/>
    </xf>
    <xf numFmtId="178" fontId="75" fillId="0" borderId="0" xfId="0" applyNumberFormat="1" applyFont="1" applyAlignment="1">
      <alignment horizontal="center"/>
    </xf>
    <xf numFmtId="177" fontId="52" fillId="0" borderId="0" xfId="0" applyNumberFormat="1" applyFont="1" applyAlignment="1">
      <alignment horizontal="center"/>
    </xf>
    <xf numFmtId="0" fontId="76" fillId="0" borderId="42" xfId="0" applyFont="1" applyBorder="1"/>
    <xf numFmtId="0" fontId="76" fillId="0" borderId="43" xfId="0" applyFont="1" applyBorder="1"/>
    <xf numFmtId="0" fontId="76" fillId="0" borderId="43" xfId="0" applyFont="1" applyBorder="1" applyAlignment="1">
      <alignment horizontal="center"/>
    </xf>
    <xf numFmtId="0" fontId="76" fillId="0" borderId="44" xfId="0" applyFont="1" applyBorder="1"/>
    <xf numFmtId="0" fontId="76" fillId="0" borderId="10" xfId="0" applyFont="1" applyBorder="1"/>
    <xf numFmtId="0" fontId="76" fillId="0" borderId="10" xfId="0" applyFont="1" applyBorder="1" applyAlignment="1">
      <alignment horizontal="center"/>
    </xf>
    <xf numFmtId="0" fontId="39" fillId="0" borderId="45" xfId="0" applyFont="1" applyBorder="1"/>
    <xf numFmtId="0" fontId="39" fillId="0" borderId="0" xfId="0" applyFont="1"/>
    <xf numFmtId="0" fontId="76" fillId="0" borderId="0" xfId="0" applyFont="1" applyAlignment="1" applyProtection="1">
      <alignment vertical="center"/>
      <protection locked="0"/>
    </xf>
    <xf numFmtId="0" fontId="39" fillId="0" borderId="0" xfId="0" applyFont="1" applyProtection="1">
      <protection locked="0"/>
    </xf>
    <xf numFmtId="179" fontId="58" fillId="0" borderId="40" xfId="0" applyNumberFormat="1" applyFont="1" applyBorder="1" applyAlignment="1">
      <alignment horizontal="center"/>
    </xf>
    <xf numFmtId="1" fontId="58" fillId="0" borderId="40" xfId="2" applyNumberFormat="1" applyFont="1" applyBorder="1" applyAlignment="1">
      <alignment horizontal="center"/>
    </xf>
    <xf numFmtId="180" fontId="58" fillId="0" borderId="40" xfId="2" applyNumberFormat="1" applyFont="1" applyBorder="1" applyAlignment="1">
      <alignment horizontal="center"/>
    </xf>
    <xf numFmtId="0" fontId="42" fillId="3" borderId="1" xfId="0" applyFont="1" applyFill="1" applyBorder="1" applyAlignment="1" applyProtection="1">
      <alignment horizontal="left" vertical="center" indent="1"/>
      <protection locked="0"/>
    </xf>
    <xf numFmtId="0" fontId="42" fillId="3" borderId="25" xfId="0" applyFont="1" applyFill="1" applyBorder="1" applyAlignment="1" applyProtection="1">
      <alignment horizontal="left" vertical="center" indent="1"/>
      <protection locked="0"/>
    </xf>
    <xf numFmtId="0" fontId="42" fillId="3" borderId="27" xfId="0" applyFont="1" applyFill="1" applyBorder="1" applyAlignment="1" applyProtection="1">
      <alignment horizontal="left" vertical="center" indent="1"/>
      <protection locked="0"/>
    </xf>
    <xf numFmtId="0" fontId="42" fillId="5" borderId="31" xfId="0" applyFont="1" applyFill="1" applyBorder="1" applyAlignment="1" applyProtection="1">
      <alignment vertical="center"/>
      <protection locked="0"/>
    </xf>
    <xf numFmtId="0" fontId="50"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1" fontId="42" fillId="0" borderId="0" xfId="1" applyNumberFormat="1" applyFont="1" applyAlignment="1" applyProtection="1">
      <alignment horizontal="center" vertical="center"/>
      <protection locked="0"/>
    </xf>
    <xf numFmtId="1" fontId="0" fillId="0" borderId="0" xfId="1" applyNumberFormat="1" applyFont="1" applyAlignment="1" applyProtection="1">
      <alignment horizontal="center"/>
      <protection locked="0"/>
    </xf>
    <xf numFmtId="175" fontId="58" fillId="11" borderId="40" xfId="0" applyNumberFormat="1" applyFont="1" applyFill="1" applyBorder="1" applyAlignment="1">
      <alignment horizontal="center"/>
    </xf>
    <xf numFmtId="0" fontId="50" fillId="12" borderId="0" xfId="0" applyFont="1" applyFill="1" applyAlignment="1">
      <alignment horizontal="center" vertical="center" wrapText="1"/>
    </xf>
    <xf numFmtId="0" fontId="39" fillId="0" borderId="46" xfId="0" applyFont="1" applyBorder="1"/>
    <xf numFmtId="0" fontId="78" fillId="0" borderId="47" xfId="0" applyFont="1" applyBorder="1"/>
    <xf numFmtId="0" fontId="76" fillId="0" borderId="48" xfId="0" applyFont="1" applyBorder="1"/>
    <xf numFmtId="0" fontId="39" fillId="0" borderId="48" xfId="0" applyFont="1" applyBorder="1"/>
    <xf numFmtId="0" fontId="78" fillId="0" borderId="48" xfId="0" applyFont="1" applyBorder="1"/>
    <xf numFmtId="0" fontId="39" fillId="0" borderId="49" xfId="0" applyFont="1" applyBorder="1"/>
    <xf numFmtId="0" fontId="78" fillId="0" borderId="8" xfId="0" applyFont="1" applyBorder="1"/>
    <xf numFmtId="0" fontId="76" fillId="0" borderId="0" xfId="0" applyFont="1"/>
    <xf numFmtId="0" fontId="78" fillId="0" borderId="0" xfId="0" applyFont="1"/>
    <xf numFmtId="0" fontId="39" fillId="0" borderId="50" xfId="0" applyFont="1" applyBorder="1"/>
    <xf numFmtId="0" fontId="79" fillId="0" borderId="8" xfId="0" applyFont="1" applyBorder="1"/>
    <xf numFmtId="0" fontId="80" fillId="0" borderId="0" xfId="0" applyFont="1"/>
    <xf numFmtId="0" fontId="79" fillId="0" borderId="0" xfId="0" applyFont="1"/>
    <xf numFmtId="0" fontId="79" fillId="0" borderId="9" xfId="0" applyFont="1" applyBorder="1"/>
    <xf numFmtId="0" fontId="39" fillId="0" borderId="10" xfId="0" applyFont="1" applyBorder="1"/>
    <xf numFmtId="0" fontId="80" fillId="0" borderId="10" xfId="0" applyFont="1" applyBorder="1"/>
    <xf numFmtId="0" fontId="79" fillId="0" borderId="10" xfId="0" applyFont="1" applyBorder="1"/>
    <xf numFmtId="0" fontId="39" fillId="0" borderId="51" xfId="0" applyFont="1" applyBorder="1"/>
    <xf numFmtId="0" fontId="81" fillId="0" borderId="48" xfId="0" applyFont="1" applyBorder="1"/>
    <xf numFmtId="0" fontId="81" fillId="0" borderId="0" xfId="0" applyFont="1"/>
    <xf numFmtId="0" fontId="78" fillId="0" borderId="9" xfId="0" applyFont="1" applyBorder="1"/>
    <xf numFmtId="0" fontId="78" fillId="0" borderId="10" xfId="0" applyFont="1" applyBorder="1"/>
    <xf numFmtId="0" fontId="81" fillId="0" borderId="10" xfId="0" applyFont="1" applyBorder="1"/>
    <xf numFmtId="0" fontId="80" fillId="0" borderId="48" xfId="0" applyFont="1" applyBorder="1"/>
    <xf numFmtId="0" fontId="39" fillId="0" borderId="52" xfId="0" applyFont="1" applyBorder="1"/>
    <xf numFmtId="0" fontId="39" fillId="0" borderId="4" xfId="0" applyFont="1" applyBorder="1"/>
    <xf numFmtId="0" fontId="39" fillId="0" borderId="53" xfId="0" applyFont="1" applyBorder="1"/>
    <xf numFmtId="0" fontId="39" fillId="0" borderId="9" xfId="0" applyFont="1" applyBorder="1"/>
    <xf numFmtId="0" fontId="0" fillId="0" borderId="0" xfId="0" applyAlignment="1" applyProtection="1">
      <alignment vertical="center"/>
      <protection locked="0"/>
    </xf>
    <xf numFmtId="0" fontId="41" fillId="0" borderId="0" xfId="0" applyFont="1" applyAlignment="1" applyProtection="1">
      <alignment horizontal="left" vertical="center" indent="1"/>
      <protection locked="0"/>
    </xf>
    <xf numFmtId="0" fontId="41" fillId="0" borderId="0" xfId="0" applyFont="1" applyAlignment="1" applyProtection="1">
      <alignment vertical="center"/>
      <protection locked="0"/>
    </xf>
    <xf numFmtId="1" fontId="41" fillId="0" borderId="0" xfId="1" applyNumberFormat="1" applyFont="1" applyAlignment="1" applyProtection="1">
      <alignment horizontal="center" vertical="center"/>
      <protection locked="0"/>
    </xf>
    <xf numFmtId="0" fontId="41" fillId="5" borderId="0" xfId="0" applyFont="1" applyFill="1" applyAlignment="1" applyProtection="1">
      <alignment vertical="center"/>
      <protection locked="0"/>
    </xf>
    <xf numFmtId="0" fontId="41" fillId="5" borderId="0" xfId="0" applyFont="1" applyFill="1" applyAlignment="1" applyProtection="1">
      <alignment horizontal="center" vertical="center"/>
      <protection locked="0"/>
    </xf>
    <xf numFmtId="39" fontId="41" fillId="5" borderId="0" xfId="0" applyNumberFormat="1" applyFont="1" applyFill="1" applyAlignment="1" applyProtection="1">
      <alignment vertical="center"/>
      <protection locked="0"/>
    </xf>
    <xf numFmtId="1" fontId="82" fillId="0" borderId="0" xfId="1" applyNumberFormat="1" applyFont="1" applyAlignment="1" applyProtection="1">
      <alignment horizontal="center" vertical="center"/>
      <protection locked="0"/>
    </xf>
    <xf numFmtId="39" fontId="41" fillId="0" borderId="0" xfId="0" applyNumberFormat="1" applyFont="1" applyAlignment="1" applyProtection="1">
      <alignment vertical="center"/>
      <protection locked="0"/>
    </xf>
    <xf numFmtId="0" fontId="41" fillId="3" borderId="0" xfId="0" applyFont="1" applyFill="1" applyAlignment="1" applyProtection="1">
      <alignment horizontal="left" vertical="center" indent="1"/>
      <protection locked="0"/>
    </xf>
    <xf numFmtId="0" fontId="41" fillId="3" borderId="0" xfId="0" applyFont="1" applyFill="1" applyAlignment="1" applyProtection="1">
      <alignment horizontal="center" vertical="center"/>
      <protection locked="0"/>
    </xf>
    <xf numFmtId="39" fontId="41" fillId="3" borderId="0" xfId="0" applyNumberFormat="1" applyFont="1" applyFill="1" applyAlignment="1" applyProtection="1">
      <alignment horizontal="left" vertical="center" indent="1"/>
      <protection locked="0"/>
    </xf>
    <xf numFmtId="0" fontId="8" fillId="0" borderId="15" xfId="0" applyFont="1" applyBorder="1" applyAlignment="1" applyProtection="1">
      <alignment horizontal="left" indent="2"/>
      <protection locked="0"/>
    </xf>
    <xf numFmtId="0" fontId="8" fillId="0" borderId="15" xfId="0" applyFont="1" applyBorder="1" applyAlignment="1">
      <alignment horizontal="center"/>
    </xf>
    <xf numFmtId="174" fontId="8" fillId="0" borderId="15" xfId="0" applyNumberFormat="1" applyFont="1" applyBorder="1" applyAlignment="1">
      <alignment horizontal="center"/>
    </xf>
    <xf numFmtId="10" fontId="8" fillId="0" borderId="15" xfId="2" applyNumberFormat="1" applyFont="1" applyBorder="1" applyAlignment="1">
      <alignment horizontal="center"/>
    </xf>
    <xf numFmtId="0" fontId="8" fillId="0" borderId="0" xfId="0" applyFont="1" applyProtection="1">
      <protection locked="0"/>
    </xf>
    <xf numFmtId="0" fontId="83" fillId="0" borderId="16" xfId="0" applyFont="1" applyBorder="1" applyProtection="1">
      <protection locked="0"/>
    </xf>
    <xf numFmtId="0" fontId="8" fillId="0" borderId="0" xfId="0" applyFont="1" applyAlignment="1" applyProtection="1">
      <alignment horizontal="center"/>
      <protection locked="0"/>
    </xf>
    <xf numFmtId="39" fontId="8" fillId="0" borderId="0" xfId="0" applyNumberFormat="1" applyFont="1" applyProtection="1">
      <protection locked="0"/>
    </xf>
    <xf numFmtId="0" fontId="8" fillId="0" borderId="0" xfId="0" applyFont="1" applyAlignment="1" applyProtection="1">
      <alignment vertical="center"/>
      <protection locked="0"/>
    </xf>
    <xf numFmtId="1" fontId="8" fillId="0" borderId="0" xfId="1" applyNumberFormat="1" applyFont="1" applyAlignment="1" applyProtection="1">
      <alignment horizontal="center" vertical="center"/>
      <protection locked="0"/>
    </xf>
    <xf numFmtId="39" fontId="8" fillId="0" borderId="0" xfId="0" applyNumberFormat="1" applyFont="1" applyAlignment="1" applyProtection="1">
      <alignment vertical="center"/>
      <protection locked="0"/>
    </xf>
    <xf numFmtId="0" fontId="41" fillId="0" borderId="13" xfId="0" applyFont="1" applyBorder="1" applyProtection="1">
      <protection locked="0"/>
    </xf>
    <xf numFmtId="1" fontId="8" fillId="0" borderId="0" xfId="1" applyNumberFormat="1" applyFont="1" applyAlignment="1" applyProtection="1">
      <alignment horizontal="center"/>
      <protection locked="0"/>
    </xf>
    <xf numFmtId="0" fontId="40" fillId="8" borderId="8" xfId="0" applyFont="1" applyFill="1" applyBorder="1" applyProtection="1">
      <protection locked="0"/>
    </xf>
    <xf numFmtId="0" fontId="8" fillId="0" borderId="11" xfId="0" applyFont="1" applyBorder="1" applyProtection="1">
      <protection locked="0"/>
    </xf>
    <xf numFmtId="0" fontId="8" fillId="0" borderId="8" xfId="0" applyFont="1" applyBorder="1" applyProtection="1">
      <protection locked="0"/>
    </xf>
    <xf numFmtId="0" fontId="8" fillId="0" borderId="12" xfId="0" applyFont="1" applyBorder="1" applyProtection="1">
      <protection locked="0"/>
    </xf>
    <xf numFmtId="0" fontId="40" fillId="6" borderId="8" xfId="0" applyFont="1" applyFill="1" applyBorder="1" applyProtection="1">
      <protection locked="0"/>
    </xf>
    <xf numFmtId="0" fontId="40" fillId="6" borderId="12" xfId="0" applyFont="1" applyFill="1" applyBorder="1" applyProtection="1">
      <protection locked="0"/>
    </xf>
    <xf numFmtId="0" fontId="40" fillId="7" borderId="8" xfId="0" applyFont="1" applyFill="1" applyBorder="1" applyProtection="1">
      <protection locked="0"/>
    </xf>
    <xf numFmtId="0" fontId="40" fillId="7" borderId="9" xfId="0" applyFont="1" applyFill="1" applyBorder="1" applyProtection="1">
      <protection locked="0"/>
    </xf>
    <xf numFmtId="0" fontId="41" fillId="0" borderId="0" xfId="0" applyFont="1" applyProtection="1">
      <protection locked="0"/>
    </xf>
    <xf numFmtId="0" fontId="40" fillId="8" borderId="12" xfId="0" applyFont="1" applyFill="1" applyBorder="1" applyProtection="1">
      <protection locked="0"/>
    </xf>
    <xf numFmtId="180" fontId="8" fillId="0" borderId="15" xfId="2" applyNumberFormat="1" applyFont="1" applyBorder="1" applyAlignment="1">
      <alignment horizontal="center"/>
    </xf>
    <xf numFmtId="0" fontId="84" fillId="0" borderId="0" xfId="0" applyFont="1" applyAlignment="1" applyProtection="1">
      <alignment horizontal="left" vertical="center" indent="1"/>
      <protection locked="0"/>
    </xf>
    <xf numFmtId="180" fontId="41" fillId="0" borderId="0" xfId="0" applyNumberFormat="1" applyFont="1" applyAlignment="1" applyProtection="1">
      <alignment vertical="center"/>
      <protection locked="0"/>
    </xf>
    <xf numFmtId="180" fontId="41" fillId="5" borderId="0" xfId="0" applyNumberFormat="1" applyFont="1" applyFill="1" applyAlignment="1" applyProtection="1">
      <alignment vertical="center"/>
      <protection locked="0"/>
    </xf>
    <xf numFmtId="180" fontId="41" fillId="3" borderId="0" xfId="0" applyNumberFormat="1" applyFont="1" applyFill="1" applyAlignment="1" applyProtection="1">
      <alignment horizontal="left" vertical="center" indent="1"/>
      <protection locked="0"/>
    </xf>
    <xf numFmtId="180" fontId="8" fillId="0" borderId="0" xfId="0" applyNumberFormat="1" applyFont="1" applyProtection="1">
      <protection locked="0"/>
    </xf>
    <xf numFmtId="0" fontId="39" fillId="0" borderId="55" xfId="0" applyFont="1" applyBorder="1" applyAlignment="1" applyProtection="1">
      <alignment horizontal="center" vertical="center"/>
      <protection locked="0"/>
    </xf>
    <xf numFmtId="0" fontId="0" fillId="0" borderId="0" xfId="0" applyProtection="1">
      <protection locked="0"/>
    </xf>
    <xf numFmtId="0" fontId="0" fillId="0" borderId="0" xfId="0" applyAlignment="1" applyProtection="1">
      <alignment horizontal="center"/>
      <protection locked="0"/>
    </xf>
    <xf numFmtId="0" fontId="85" fillId="0" borderId="0" xfId="0" applyFont="1" applyAlignment="1" applyProtection="1">
      <alignment vertical="center"/>
      <protection locked="0"/>
    </xf>
    <xf numFmtId="0" fontId="86" fillId="6" borderId="0" xfId="0" applyFont="1" applyFill="1" applyAlignment="1" applyProtection="1">
      <alignment vertical="center"/>
      <protection locked="0"/>
    </xf>
    <xf numFmtId="0" fontId="86" fillId="6" borderId="0" xfId="0" applyFont="1" applyFill="1" applyAlignment="1" applyProtection="1">
      <alignment horizontal="center" vertical="center"/>
      <protection locked="0"/>
    </xf>
    <xf numFmtId="0" fontId="7" fillId="0" borderId="0" xfId="0" applyFont="1" applyAlignment="1" applyProtection="1">
      <alignment vertical="center"/>
      <protection locked="0"/>
    </xf>
    <xf numFmtId="0" fontId="8" fillId="0" borderId="0" xfId="0" applyFont="1" applyAlignment="1">
      <alignment horizontal="center"/>
    </xf>
    <xf numFmtId="174" fontId="8" fillId="0" borderId="0" xfId="0" applyNumberFormat="1" applyFont="1" applyAlignment="1">
      <alignment horizontal="center"/>
    </xf>
    <xf numFmtId="10" fontId="8" fillId="0" borderId="0" xfId="2" applyNumberFormat="1" applyFont="1" applyBorder="1" applyAlignment="1">
      <alignment horizontal="center"/>
    </xf>
    <xf numFmtId="173" fontId="8" fillId="0" borderId="0" xfId="2" applyNumberFormat="1" applyFont="1" applyBorder="1" applyAlignment="1">
      <alignment horizontal="center"/>
    </xf>
    <xf numFmtId="4" fontId="8" fillId="0" borderId="0" xfId="2" applyNumberFormat="1" applyFont="1" applyBorder="1" applyAlignment="1">
      <alignment horizontal="center"/>
    </xf>
    <xf numFmtId="39" fontId="8" fillId="0" borderId="0" xfId="2" applyNumberFormat="1" applyFont="1" applyBorder="1" applyAlignment="1">
      <alignment horizontal="center"/>
    </xf>
    <xf numFmtId="0" fontId="76" fillId="0" borderId="0" xfId="0" applyFont="1" applyAlignment="1" applyProtection="1">
      <alignment horizontal="center" vertical="center"/>
      <protection locked="0"/>
    </xf>
    <xf numFmtId="0" fontId="41" fillId="0" borderId="0" xfId="0" applyFont="1" applyAlignment="1" applyProtection="1">
      <alignment horizontal="center" vertical="center"/>
      <protection locked="0"/>
    </xf>
    <xf numFmtId="0" fontId="50" fillId="13" borderId="0" xfId="0" applyFont="1" applyFill="1" applyAlignment="1" applyProtection="1">
      <alignment horizontal="center" vertical="center"/>
      <protection locked="0"/>
    </xf>
    <xf numFmtId="0" fontId="41" fillId="0" borderId="0" xfId="0" applyFont="1" applyAlignment="1" applyProtection="1">
      <alignment horizontal="center"/>
      <protection locked="0"/>
    </xf>
    <xf numFmtId="0" fontId="42" fillId="0" borderId="0" xfId="0" applyFont="1" applyAlignment="1" applyProtection="1">
      <alignment horizontal="center"/>
      <protection locked="0"/>
    </xf>
    <xf numFmtId="0" fontId="76" fillId="0" borderId="0" xfId="0" applyFont="1" applyAlignment="1" applyProtection="1">
      <alignment horizontal="center"/>
      <protection locked="0"/>
    </xf>
    <xf numFmtId="0" fontId="87" fillId="0" borderId="0" xfId="0" applyFont="1" applyAlignment="1" applyProtection="1">
      <alignment horizontal="center" vertical="center"/>
      <protection locked="0"/>
    </xf>
    <xf numFmtId="0" fontId="50" fillId="14" borderId="0" xfId="0" applyFont="1" applyFill="1" applyAlignment="1" applyProtection="1">
      <alignment horizontal="center" vertical="center"/>
      <protection locked="0"/>
    </xf>
    <xf numFmtId="0" fontId="50" fillId="14" borderId="0" xfId="0" applyFont="1" applyFill="1" applyAlignment="1">
      <alignment horizontal="center" vertical="center" wrapText="1"/>
    </xf>
    <xf numFmtId="0" fontId="8" fillId="0" borderId="0" xfId="0" applyFont="1" applyAlignment="1" applyProtection="1">
      <alignment horizontal="left"/>
      <protection locked="0"/>
    </xf>
    <xf numFmtId="180" fontId="8" fillId="0" borderId="0" xfId="2" applyNumberFormat="1" applyFont="1" applyBorder="1" applyAlignment="1">
      <alignment horizontal="center"/>
    </xf>
    <xf numFmtId="0" fontId="88" fillId="0" borderId="0" xfId="0" applyFont="1" applyAlignment="1" applyProtection="1">
      <alignment horizontal="center" vertical="center"/>
      <protection locked="0"/>
    </xf>
    <xf numFmtId="0" fontId="89" fillId="0" borderId="0" xfId="0" applyFont="1" applyAlignment="1">
      <alignment horizontal="center"/>
    </xf>
    <xf numFmtId="10" fontId="89" fillId="0" borderId="0" xfId="2" applyNumberFormat="1" applyFont="1" applyAlignment="1">
      <alignment horizontal="center"/>
    </xf>
    <xf numFmtId="2" fontId="89" fillId="0" borderId="0" xfId="0" applyNumberFormat="1" applyFont="1" applyAlignment="1">
      <alignment horizontal="center"/>
    </xf>
    <xf numFmtId="180" fontId="8" fillId="0" borderId="0" xfId="0" applyNumberFormat="1" applyFont="1" applyAlignment="1" applyProtection="1">
      <alignment vertical="center"/>
      <protection locked="0"/>
    </xf>
    <xf numFmtId="180" fontId="86" fillId="6" borderId="0" xfId="0" applyNumberFormat="1" applyFont="1" applyFill="1" applyAlignment="1" applyProtection="1">
      <alignment vertical="center"/>
      <protection locked="0"/>
    </xf>
    <xf numFmtId="180" fontId="42" fillId="0" borderId="0" xfId="0" applyNumberFormat="1" applyFont="1" applyAlignment="1" applyProtection="1">
      <alignment vertical="center"/>
      <protection locked="0"/>
    </xf>
    <xf numFmtId="9" fontId="58" fillId="0" borderId="40" xfId="2" applyFont="1" applyBorder="1" applyAlignment="1">
      <alignment horizontal="center"/>
    </xf>
    <xf numFmtId="10" fontId="58" fillId="0" borderId="15" xfId="2" applyNumberFormat="1" applyFont="1" applyBorder="1" applyAlignment="1">
      <alignment horizontal="center"/>
    </xf>
    <xf numFmtId="9" fontId="58" fillId="0" borderId="15" xfId="2" applyFont="1" applyBorder="1" applyAlignment="1">
      <alignment horizontal="center"/>
    </xf>
    <xf numFmtId="4" fontId="58" fillId="0" borderId="15" xfId="2" applyNumberFormat="1" applyFont="1" applyBorder="1" applyAlignment="1">
      <alignment horizontal="center"/>
    </xf>
    <xf numFmtId="179" fontId="41" fillId="5" borderId="0" xfId="0" applyNumberFormat="1" applyFont="1" applyFill="1" applyAlignment="1" applyProtection="1">
      <alignment vertical="center"/>
      <protection locked="0"/>
    </xf>
    <xf numFmtId="179" fontId="8" fillId="0" borderId="15" xfId="0" applyNumberFormat="1" applyFont="1" applyBorder="1" applyAlignment="1">
      <alignment horizontal="center"/>
    </xf>
    <xf numFmtId="179" fontId="41" fillId="0" borderId="0" xfId="0" applyNumberFormat="1" applyFont="1" applyAlignment="1" applyProtection="1">
      <alignment vertical="center"/>
      <protection locked="0"/>
    </xf>
    <xf numFmtId="179" fontId="41" fillId="3" borderId="0" xfId="0" applyNumberFormat="1" applyFont="1" applyFill="1" applyAlignment="1" applyProtection="1">
      <alignment horizontal="left" vertical="center" indent="1"/>
      <protection locked="0"/>
    </xf>
    <xf numFmtId="179" fontId="8" fillId="0" borderId="0" xfId="0" applyNumberFormat="1" applyFont="1" applyProtection="1">
      <protection locked="0"/>
    </xf>
    <xf numFmtId="179" fontId="86" fillId="6" borderId="0" xfId="0" applyNumberFormat="1" applyFont="1" applyFill="1" applyAlignment="1" applyProtection="1">
      <alignment vertical="center"/>
      <protection locked="0"/>
    </xf>
    <xf numFmtId="179" fontId="8" fillId="0" borderId="0" xfId="0" applyNumberFormat="1" applyFont="1" applyAlignment="1" applyProtection="1">
      <alignment vertical="center"/>
      <protection locked="0"/>
    </xf>
    <xf numFmtId="0" fontId="7" fillId="0" borderId="15" xfId="0" applyFont="1" applyBorder="1" applyAlignment="1">
      <alignment horizontal="center"/>
    </xf>
    <xf numFmtId="0" fontId="7" fillId="0" borderId="15" xfId="0" applyFont="1" applyBorder="1" applyAlignment="1" applyProtection="1">
      <alignment horizontal="left" indent="2"/>
      <protection locked="0"/>
    </xf>
    <xf numFmtId="10" fontId="7" fillId="0" borderId="15" xfId="2" applyNumberFormat="1" applyFont="1" applyBorder="1" applyAlignment="1">
      <alignment horizontal="center"/>
    </xf>
    <xf numFmtId="164" fontId="8" fillId="0" borderId="15" xfId="2" applyNumberFormat="1" applyFont="1" applyBorder="1" applyAlignment="1">
      <alignment horizontal="center"/>
    </xf>
    <xf numFmtId="164" fontId="91" fillId="0" borderId="15" xfId="2" applyNumberFormat="1" applyFont="1" applyBorder="1" applyAlignment="1">
      <alignment horizontal="center"/>
    </xf>
    <xf numFmtId="181" fontId="91" fillId="0" borderId="15" xfId="0" applyNumberFormat="1" applyFont="1" applyBorder="1" applyAlignment="1">
      <alignment horizontal="center"/>
    </xf>
    <xf numFmtId="10" fontId="91" fillId="0" borderId="15" xfId="2" applyNumberFormat="1" applyFont="1" applyBorder="1" applyAlignment="1">
      <alignment horizontal="center"/>
    </xf>
    <xf numFmtId="10" fontId="8" fillId="0" borderId="0" xfId="2" applyNumberFormat="1" applyFont="1" applyAlignment="1" applyProtection="1">
      <alignment horizontal="center"/>
      <protection locked="0"/>
    </xf>
    <xf numFmtId="10" fontId="41" fillId="3" borderId="0" xfId="2" applyNumberFormat="1" applyFont="1" applyFill="1" applyBorder="1" applyAlignment="1" applyProtection="1">
      <alignment horizontal="center" vertical="center"/>
      <protection locked="0"/>
    </xf>
    <xf numFmtId="10" fontId="41" fillId="0" borderId="0" xfId="2" applyNumberFormat="1" applyFont="1" applyAlignment="1" applyProtection="1">
      <alignment horizontal="center" vertical="center"/>
      <protection locked="0"/>
    </xf>
    <xf numFmtId="10" fontId="41" fillId="5" borderId="0" xfId="2" applyNumberFormat="1" applyFont="1" applyFill="1" applyAlignment="1" applyProtection="1">
      <alignment horizontal="center" vertical="center"/>
      <protection locked="0"/>
    </xf>
    <xf numFmtId="10" fontId="82" fillId="0" borderId="0" xfId="2" applyNumberFormat="1" applyFont="1" applyAlignment="1" applyProtection="1">
      <alignment horizontal="center" vertical="center"/>
      <protection locked="0"/>
    </xf>
    <xf numFmtId="1" fontId="91" fillId="0" borderId="15" xfId="0" applyNumberFormat="1" applyFont="1" applyBorder="1" applyAlignment="1">
      <alignment horizontal="center"/>
    </xf>
    <xf numFmtId="1" fontId="8" fillId="0" borderId="0" xfId="0" applyNumberFormat="1" applyFont="1" applyAlignment="1" applyProtection="1">
      <alignment horizontal="center"/>
      <protection locked="0"/>
    </xf>
    <xf numFmtId="1" fontId="41" fillId="3" borderId="0" xfId="0" applyNumberFormat="1" applyFont="1" applyFill="1" applyAlignment="1" applyProtection="1">
      <alignment horizontal="center" vertical="center"/>
      <protection locked="0"/>
    </xf>
    <xf numFmtId="1" fontId="41" fillId="5" borderId="0" xfId="0" applyNumberFormat="1" applyFont="1" applyFill="1" applyAlignment="1" applyProtection="1">
      <alignment horizontal="center" vertical="center"/>
      <protection locked="0"/>
    </xf>
    <xf numFmtId="0" fontId="6" fillId="0" borderId="15" xfId="0" applyFont="1" applyBorder="1" applyAlignment="1">
      <alignment horizontal="center"/>
    </xf>
    <xf numFmtId="182" fontId="8" fillId="0" borderId="15" xfId="0" applyNumberFormat="1" applyFont="1" applyBorder="1" applyAlignment="1">
      <alignment horizontal="center"/>
    </xf>
    <xf numFmtId="182" fontId="6" fillId="0" borderId="15" xfId="0" applyNumberFormat="1" applyFont="1" applyBorder="1" applyAlignment="1">
      <alignment horizontal="center"/>
    </xf>
    <xf numFmtId="10" fontId="6" fillId="0" borderId="15" xfId="2" applyNumberFormat="1" applyFont="1" applyBorder="1" applyAlignment="1">
      <alignment horizontal="center"/>
    </xf>
    <xf numFmtId="179" fontId="58" fillId="0" borderId="0" xfId="0" applyNumberFormat="1" applyFont="1" applyAlignment="1">
      <alignment horizontal="center"/>
    </xf>
    <xf numFmtId="0" fontId="5" fillId="0" borderId="15" xfId="0" applyFont="1" applyBorder="1" applyAlignment="1">
      <alignment horizontal="center"/>
    </xf>
    <xf numFmtId="0" fontId="39" fillId="0" borderId="0" xfId="0" applyFont="1" applyAlignment="1" applyProtection="1">
      <alignment vertical="center"/>
      <protection locked="0"/>
    </xf>
    <xf numFmtId="164" fontId="50" fillId="2" borderId="18" xfId="2" applyNumberFormat="1" applyFont="1" applyFill="1" applyBorder="1" applyAlignment="1" applyProtection="1">
      <alignment horizontal="center" vertical="center" wrapText="1"/>
      <protection locked="0"/>
    </xf>
    <xf numFmtId="0" fontId="50" fillId="0" borderId="0" xfId="0" applyFont="1" applyAlignment="1" applyProtection="1">
      <alignment horizontal="center" vertical="center" wrapText="1"/>
      <protection locked="0"/>
    </xf>
    <xf numFmtId="164" fontId="50" fillId="2" borderId="0" xfId="2" applyNumberFormat="1" applyFont="1" applyFill="1" applyBorder="1" applyAlignment="1" applyProtection="1">
      <alignment horizontal="center" vertical="center" wrapText="1"/>
      <protection locked="0"/>
    </xf>
    <xf numFmtId="0" fontId="90" fillId="0" borderId="0" xfId="0" applyFont="1" applyProtection="1">
      <protection locked="0"/>
    </xf>
    <xf numFmtId="0" fontId="90" fillId="0" borderId="0" xfId="0" applyFont="1" applyAlignment="1" applyProtection="1">
      <alignment vertical="center"/>
      <protection locked="0"/>
    </xf>
    <xf numFmtId="0" fontId="92" fillId="0" borderId="0" xfId="0" applyFont="1" applyAlignment="1" applyProtection="1">
      <alignment horizontal="center" vertical="center"/>
      <protection locked="0"/>
    </xf>
    <xf numFmtId="1" fontId="39" fillId="0" borderId="0" xfId="1" applyNumberFormat="1" applyFont="1" applyAlignment="1" applyProtection="1">
      <alignment vertical="center"/>
      <protection locked="0"/>
    </xf>
    <xf numFmtId="1" fontId="39" fillId="0" borderId="0" xfId="1" applyNumberFormat="1" applyFont="1" applyProtection="1">
      <protection locked="0"/>
    </xf>
    <xf numFmtId="0" fontId="94" fillId="0" borderId="0" xfId="0" applyFont="1" applyAlignment="1" applyProtection="1">
      <alignment horizontal="center" vertical="center"/>
      <protection locked="0"/>
    </xf>
    <xf numFmtId="0" fontId="95" fillId="0" borderId="0" xfId="0" applyFont="1" applyAlignment="1" applyProtection="1">
      <alignment horizontal="center" vertical="center"/>
      <protection locked="0"/>
    </xf>
    <xf numFmtId="0" fontId="39" fillId="0" borderId="18" xfId="0" applyFont="1" applyBorder="1" applyAlignment="1" applyProtection="1">
      <alignment vertical="center"/>
      <protection locked="0"/>
    </xf>
    <xf numFmtId="0" fontId="94" fillId="0" borderId="18" xfId="0" applyFont="1" applyBorder="1" applyAlignment="1" applyProtection="1">
      <alignment horizontal="center" vertical="center"/>
      <protection locked="0"/>
    </xf>
    <xf numFmtId="0" fontId="76" fillId="0" borderId="18" xfId="0" applyFont="1" applyBorder="1" applyAlignment="1" applyProtection="1">
      <alignment vertical="center"/>
      <protection locked="0"/>
    </xf>
    <xf numFmtId="10" fontId="76" fillId="0" borderId="0" xfId="0" applyNumberFormat="1" applyFont="1" applyAlignment="1" applyProtection="1">
      <alignment horizontal="center" vertical="center"/>
      <protection locked="0"/>
    </xf>
    <xf numFmtId="0" fontId="39" fillId="0" borderId="19" xfId="0" applyFont="1" applyBorder="1" applyAlignment="1" applyProtection="1">
      <alignment vertical="center"/>
      <protection locked="0"/>
    </xf>
    <xf numFmtId="0" fontId="94" fillId="0" borderId="19" xfId="0" applyFont="1" applyBorder="1" applyAlignment="1" applyProtection="1">
      <alignment horizontal="center" vertical="center"/>
      <protection locked="0"/>
    </xf>
    <xf numFmtId="10" fontId="95" fillId="6" borderId="18" xfId="2" applyNumberFormat="1" applyFont="1" applyFill="1" applyBorder="1" applyAlignment="1" applyProtection="1">
      <alignment horizontal="center" vertical="center"/>
      <protection locked="0"/>
    </xf>
    <xf numFmtId="10" fontId="95" fillId="6" borderId="19" xfId="2" applyNumberFormat="1" applyFont="1" applyFill="1" applyBorder="1" applyAlignment="1" applyProtection="1">
      <alignment horizontal="center" vertical="center"/>
      <protection locked="0"/>
    </xf>
    <xf numFmtId="0" fontId="76" fillId="0" borderId="0" xfId="0" applyFont="1" applyProtection="1">
      <protection locked="0"/>
    </xf>
    <xf numFmtId="0" fontId="96" fillId="0" borderId="0" xfId="0" applyFont="1" applyProtection="1">
      <protection locked="0"/>
    </xf>
    <xf numFmtId="0" fontId="96" fillId="0" borderId="0" xfId="0" applyFont="1" applyAlignment="1" applyProtection="1">
      <alignment horizontal="center"/>
      <protection locked="0"/>
    </xf>
    <xf numFmtId="0" fontId="97" fillId="0" borderId="0" xfId="0" applyFont="1" applyProtection="1">
      <protection locked="0"/>
    </xf>
    <xf numFmtId="0" fontId="100" fillId="0" borderId="0" xfId="0" applyFont="1" applyAlignment="1" applyProtection="1">
      <alignment horizontal="center" vertical="center"/>
      <protection locked="0"/>
    </xf>
    <xf numFmtId="0" fontId="100" fillId="0" borderId="0" xfId="0" applyFont="1" applyProtection="1">
      <protection locked="0"/>
    </xf>
    <xf numFmtId="1" fontId="39" fillId="0" borderId="60" xfId="1" applyNumberFormat="1" applyFont="1" applyBorder="1" applyAlignment="1" applyProtection="1">
      <alignment vertical="center"/>
      <protection locked="0"/>
    </xf>
    <xf numFmtId="0" fontId="100" fillId="0" borderId="61" xfId="0" applyFont="1" applyBorder="1" applyAlignment="1" applyProtection="1">
      <alignment horizontal="right" vertical="center"/>
      <protection locked="0"/>
    </xf>
    <xf numFmtId="0" fontId="100" fillId="0" borderId="61" xfId="0" applyFont="1" applyBorder="1" applyAlignment="1" applyProtection="1">
      <alignment vertical="center"/>
      <protection locked="0"/>
    </xf>
    <xf numFmtId="1" fontId="90" fillId="0" borderId="63" xfId="1" applyNumberFormat="1" applyFont="1" applyBorder="1" applyProtection="1">
      <protection locked="0"/>
    </xf>
    <xf numFmtId="1" fontId="39" fillId="0" borderId="63" xfId="1" applyNumberFormat="1" applyFont="1" applyBorder="1" applyAlignment="1" applyProtection="1">
      <alignment vertical="center"/>
      <protection locked="0"/>
    </xf>
    <xf numFmtId="1" fontId="39" fillId="0" borderId="63" xfId="1" applyNumberFormat="1" applyFont="1" applyBorder="1" applyProtection="1">
      <protection locked="0"/>
    </xf>
    <xf numFmtId="1" fontId="39" fillId="0" borderId="65" xfId="1" applyNumberFormat="1" applyFont="1" applyBorder="1" applyAlignment="1" applyProtection="1">
      <alignment vertical="center"/>
      <protection locked="0"/>
    </xf>
    <xf numFmtId="0" fontId="100" fillId="0" borderId="66" xfId="0" applyFont="1" applyBorder="1" applyAlignment="1" applyProtection="1">
      <alignment horizontal="right" vertical="center"/>
      <protection locked="0"/>
    </xf>
    <xf numFmtId="0" fontId="100" fillId="0" borderId="66" xfId="0" applyFont="1" applyBorder="1" applyAlignment="1" applyProtection="1">
      <alignment vertical="center"/>
      <protection locked="0"/>
    </xf>
    <xf numFmtId="10" fontId="0" fillId="0" borderId="0" xfId="2" applyNumberFormat="1" applyFont="1" applyBorder="1" applyAlignment="1" applyProtection="1">
      <alignment horizontal="center"/>
      <protection locked="0"/>
    </xf>
    <xf numFmtId="9" fontId="0" fillId="0" borderId="0" xfId="2" applyFont="1" applyBorder="1" applyAlignment="1" applyProtection="1">
      <alignment horizontal="center"/>
      <protection locked="0"/>
    </xf>
    <xf numFmtId="179" fontId="101" fillId="0" borderId="0" xfId="2" applyNumberFormat="1" applyFont="1" applyBorder="1" applyAlignment="1" applyProtection="1">
      <alignment horizontal="center"/>
      <protection locked="0"/>
    </xf>
    <xf numFmtId="9" fontId="53" fillId="0" borderId="0" xfId="2" applyFont="1" applyBorder="1" applyAlignment="1" applyProtection="1">
      <alignment horizontal="center"/>
      <protection locked="0"/>
    </xf>
    <xf numFmtId="10" fontId="53" fillId="0" borderId="0" xfId="2" applyNumberFormat="1" applyFont="1" applyBorder="1" applyAlignment="1" applyProtection="1">
      <alignment horizontal="center"/>
      <protection locked="0"/>
    </xf>
    <xf numFmtId="164" fontId="0" fillId="0" borderId="0" xfId="2" applyNumberFormat="1" applyFont="1" applyBorder="1" applyAlignment="1" applyProtection="1">
      <alignment vertical="center"/>
      <protection locked="0"/>
    </xf>
    <xf numFmtId="164" fontId="42" fillId="0" borderId="0" xfId="2" applyNumberFormat="1" applyFont="1" applyBorder="1" applyAlignment="1" applyProtection="1">
      <alignment vertical="center"/>
      <protection locked="0"/>
    </xf>
    <xf numFmtId="0" fontId="77" fillId="0" borderId="0" xfId="0" applyFont="1" applyAlignment="1" applyProtection="1">
      <alignment vertical="center"/>
      <protection locked="0"/>
    </xf>
    <xf numFmtId="0" fontId="96" fillId="0" borderId="19" xfId="0" applyFont="1" applyBorder="1" applyProtection="1">
      <protection locked="0"/>
    </xf>
    <xf numFmtId="0" fontId="96" fillId="0" borderId="59" xfId="0" applyFont="1" applyBorder="1" applyProtection="1">
      <protection locked="0"/>
    </xf>
    <xf numFmtId="0" fontId="96" fillId="0" borderId="18" xfId="0" applyFont="1" applyBorder="1" applyProtection="1">
      <protection locked="0"/>
    </xf>
    <xf numFmtId="0" fontId="93" fillId="0" borderId="19" xfId="0" applyFont="1" applyBorder="1" applyProtection="1">
      <protection locked="0"/>
    </xf>
    <xf numFmtId="0" fontId="39" fillId="0" borderId="59" xfId="0" applyFont="1" applyBorder="1" applyAlignment="1" applyProtection="1">
      <alignment vertical="center"/>
      <protection locked="0"/>
    </xf>
    <xf numFmtId="0" fontId="90" fillId="0" borderId="18" xfId="0" applyFont="1" applyBorder="1" applyAlignment="1" applyProtection="1">
      <alignment vertical="center"/>
      <protection locked="0"/>
    </xf>
    <xf numFmtId="0" fontId="90" fillId="0" borderId="19" xfId="0" applyFont="1" applyBorder="1" applyProtection="1">
      <protection locked="0"/>
    </xf>
    <xf numFmtId="0" fontId="90" fillId="0" borderId="59" xfId="0" applyFont="1" applyBorder="1" applyProtection="1">
      <protection locked="0"/>
    </xf>
    <xf numFmtId="0" fontId="90" fillId="0" borderId="18" xfId="0" applyFont="1" applyBorder="1" applyProtection="1">
      <protection locked="0"/>
    </xf>
    <xf numFmtId="0" fontId="93" fillId="0" borderId="59" xfId="0" applyFont="1" applyBorder="1" applyAlignment="1" applyProtection="1">
      <alignment horizontal="left" vertical="center"/>
      <protection locked="0"/>
    </xf>
    <xf numFmtId="0" fontId="39" fillId="0" borderId="59" xfId="0" applyFont="1" applyBorder="1" applyProtection="1">
      <protection locked="0"/>
    </xf>
    <xf numFmtId="0" fontId="39" fillId="0" borderId="19" xfId="0" applyFont="1" applyBorder="1" applyProtection="1">
      <protection locked="0"/>
    </xf>
    <xf numFmtId="0" fontId="39" fillId="0" borderId="18" xfId="0" applyFont="1" applyBorder="1" applyProtection="1">
      <protection locked="0"/>
    </xf>
    <xf numFmtId="0" fontId="42" fillId="0" borderId="19" xfId="0" applyFont="1" applyBorder="1" applyAlignment="1" applyProtection="1">
      <alignment vertical="center"/>
      <protection locked="0"/>
    </xf>
    <xf numFmtId="0" fontId="42" fillId="0" borderId="59" xfId="0" applyFont="1" applyBorder="1" applyAlignment="1" applyProtection="1">
      <alignment vertical="center"/>
      <protection locked="0"/>
    </xf>
    <xf numFmtId="0" fontId="0" fillId="0" borderId="19" xfId="0" applyBorder="1" applyAlignment="1" applyProtection="1">
      <alignment vertical="center"/>
      <protection locked="0"/>
    </xf>
    <xf numFmtId="164" fontId="42" fillId="0" borderId="59" xfId="2" applyNumberFormat="1" applyFont="1" applyBorder="1" applyAlignment="1" applyProtection="1">
      <alignment vertical="center"/>
      <protection locked="0"/>
    </xf>
    <xf numFmtId="0" fontId="0" fillId="0" borderId="59" xfId="0" applyBorder="1" applyAlignment="1" applyProtection="1">
      <alignment vertical="center"/>
      <protection locked="0"/>
    </xf>
    <xf numFmtId="0" fontId="0" fillId="0" borderId="18" xfId="0" applyBorder="1" applyAlignment="1" applyProtection="1">
      <alignment vertical="center"/>
      <protection locked="0"/>
    </xf>
    <xf numFmtId="0" fontId="76" fillId="0" borderId="70" xfId="0" applyFont="1" applyBorder="1" applyProtection="1">
      <protection locked="0"/>
    </xf>
    <xf numFmtId="0" fontId="50" fillId="8" borderId="71" xfId="0" applyFont="1" applyFill="1" applyBorder="1" applyProtection="1">
      <protection locked="0"/>
    </xf>
    <xf numFmtId="0" fontId="39" fillId="0" borderId="72" xfId="0" applyFont="1" applyBorder="1" applyProtection="1">
      <protection locked="0"/>
    </xf>
    <xf numFmtId="0" fontId="39" fillId="0" borderId="71" xfId="0" applyFont="1" applyBorder="1" applyProtection="1">
      <protection locked="0"/>
    </xf>
    <xf numFmtId="0" fontId="39" fillId="0" borderId="73" xfId="0" applyFont="1" applyBorder="1" applyProtection="1">
      <protection locked="0"/>
    </xf>
    <xf numFmtId="0" fontId="50" fillId="6" borderId="71" xfId="0" applyFont="1" applyFill="1" applyBorder="1" applyProtection="1">
      <protection locked="0"/>
    </xf>
    <xf numFmtId="0" fontId="50" fillId="6" borderId="73" xfId="0" applyFont="1" applyFill="1" applyBorder="1" applyProtection="1">
      <protection locked="0"/>
    </xf>
    <xf numFmtId="0" fontId="50" fillId="7" borderId="71" xfId="0" applyFont="1" applyFill="1" applyBorder="1" applyProtection="1">
      <protection locked="0"/>
    </xf>
    <xf numFmtId="0" fontId="50" fillId="7" borderId="74" xfId="0" applyFont="1" applyFill="1" applyBorder="1" applyProtection="1">
      <protection locked="0"/>
    </xf>
    <xf numFmtId="0" fontId="50" fillId="8" borderId="73" xfId="0" applyFont="1" applyFill="1" applyBorder="1" applyProtection="1">
      <protection locked="0"/>
    </xf>
    <xf numFmtId="0" fontId="92" fillId="0" borderId="0" xfId="0" applyFont="1" applyAlignment="1" applyProtection="1">
      <alignment vertical="center"/>
      <protection locked="0"/>
    </xf>
    <xf numFmtId="0" fontId="102" fillId="0" borderId="0" xfId="0" applyFont="1" applyProtection="1">
      <protection locked="0"/>
    </xf>
    <xf numFmtId="0" fontId="103" fillId="0" borderId="0" xfId="0" applyFont="1" applyProtection="1">
      <protection locked="0"/>
    </xf>
    <xf numFmtId="0" fontId="104" fillId="0" borderId="0" xfId="0" applyFont="1" applyAlignment="1" applyProtection="1">
      <alignment vertical="center"/>
      <protection locked="0"/>
    </xf>
    <xf numFmtId="0" fontId="106" fillId="0" borderId="0" xfId="0" applyFont="1" applyProtection="1">
      <protection locked="0"/>
    </xf>
    <xf numFmtId="0" fontId="107" fillId="0" borderId="0" xfId="0" applyFont="1" applyAlignment="1" applyProtection="1">
      <alignment vertical="center"/>
      <protection locked="0"/>
    </xf>
    <xf numFmtId="0" fontId="108" fillId="0" borderId="0" xfId="0" applyFont="1" applyProtection="1">
      <protection locked="0"/>
    </xf>
    <xf numFmtId="0" fontId="107" fillId="0" borderId="0" xfId="0" applyFont="1" applyProtection="1">
      <protection locked="0"/>
    </xf>
    <xf numFmtId="0" fontId="104" fillId="0" borderId="0" xfId="0" applyFont="1" applyAlignment="1" applyProtection="1">
      <alignment horizontal="center" vertical="center" wrapText="1"/>
      <protection locked="0"/>
    </xf>
    <xf numFmtId="0" fontId="105" fillId="0" borderId="0" xfId="0" applyFont="1" applyAlignment="1" applyProtection="1">
      <alignment vertical="center"/>
      <protection locked="0"/>
    </xf>
    <xf numFmtId="9" fontId="0" fillId="0" borderId="59" xfId="2" applyFont="1" applyBorder="1" applyAlignment="1" applyProtection="1">
      <alignment horizontal="center"/>
      <protection locked="0"/>
    </xf>
    <xf numFmtId="0" fontId="39" fillId="0" borderId="64" xfId="0" applyFont="1" applyBorder="1" applyAlignment="1" applyProtection="1">
      <alignment vertical="center"/>
      <protection locked="0"/>
    </xf>
    <xf numFmtId="0" fontId="90" fillId="0" borderId="64" xfId="0" applyFont="1" applyBorder="1" applyProtection="1">
      <protection locked="0"/>
    </xf>
    <xf numFmtId="0" fontId="39" fillId="0" borderId="64" xfId="0" applyFont="1" applyBorder="1" applyProtection="1">
      <protection locked="0"/>
    </xf>
    <xf numFmtId="0" fontId="39" fillId="0" borderId="62" xfId="0" applyFont="1" applyBorder="1" applyAlignment="1" applyProtection="1">
      <alignment vertical="center"/>
      <protection locked="0"/>
    </xf>
    <xf numFmtId="0" fontId="39" fillId="0" borderId="67" xfId="0" applyFont="1" applyBorder="1" applyAlignment="1" applyProtection="1">
      <alignment vertical="center"/>
      <protection locked="0"/>
    </xf>
    <xf numFmtId="0" fontId="110" fillId="0" borderId="0" xfId="0" applyFont="1" applyProtection="1">
      <protection locked="0"/>
    </xf>
    <xf numFmtId="183" fontId="4" fillId="0" borderId="68" xfId="2" applyNumberFormat="1" applyFont="1" applyBorder="1" applyAlignment="1" applyProtection="1">
      <alignment horizontal="center"/>
      <protection locked="0"/>
    </xf>
    <xf numFmtId="10" fontId="4" fillId="0" borderId="68" xfId="2" applyNumberFormat="1" applyFont="1" applyBorder="1" applyAlignment="1" applyProtection="1">
      <alignment horizontal="center"/>
      <protection locked="0"/>
    </xf>
    <xf numFmtId="10" fontId="4" fillId="0" borderId="69" xfId="2" applyNumberFormat="1" applyFont="1" applyBorder="1" applyAlignment="1" applyProtection="1">
      <alignment horizontal="center"/>
      <protection locked="0"/>
    </xf>
    <xf numFmtId="179" fontId="111" fillId="0" borderId="14" xfId="2" applyNumberFormat="1" applyFont="1" applyBorder="1" applyAlignment="1" applyProtection="1">
      <alignment horizontal="center"/>
      <protection locked="0"/>
    </xf>
    <xf numFmtId="0" fontId="4" fillId="0" borderId="0" xfId="0" applyFont="1" applyProtection="1">
      <protection locked="0"/>
    </xf>
    <xf numFmtId="10" fontId="83" fillId="0" borderId="14" xfId="2" applyNumberFormat="1" applyFont="1" applyBorder="1" applyAlignment="1" applyProtection="1">
      <alignment horizontal="center"/>
      <protection locked="0"/>
    </xf>
    <xf numFmtId="9" fontId="112" fillId="0" borderId="14" xfId="2" applyFont="1" applyBorder="1" applyAlignment="1" applyProtection="1">
      <alignment horizontal="center"/>
      <protection locked="0"/>
    </xf>
    <xf numFmtId="10" fontId="4" fillId="0" borderId="14" xfId="2" applyNumberFormat="1" applyFont="1" applyBorder="1" applyAlignment="1" applyProtection="1">
      <alignment horizontal="center"/>
      <protection locked="0"/>
    </xf>
    <xf numFmtId="9" fontId="4" fillId="0" borderId="14" xfId="2" applyFont="1" applyBorder="1" applyAlignment="1" applyProtection="1">
      <alignment horizontal="center"/>
      <protection locked="0"/>
    </xf>
    <xf numFmtId="164" fontId="4" fillId="0" borderId="14" xfId="2" applyNumberFormat="1" applyFont="1" applyBorder="1" applyAlignment="1" applyProtection="1">
      <alignment horizontal="center"/>
      <protection locked="0"/>
    </xf>
    <xf numFmtId="39" fontId="4" fillId="0" borderId="14" xfId="2" applyNumberFormat="1" applyFont="1" applyBorder="1" applyAlignment="1" applyProtection="1">
      <alignment horizontal="center"/>
      <protection locked="0"/>
    </xf>
    <xf numFmtId="9" fontId="83" fillId="0" borderId="14" xfId="2" applyFont="1" applyBorder="1" applyAlignment="1" applyProtection="1">
      <alignment horizontal="center"/>
      <protection locked="0"/>
    </xf>
    <xf numFmtId="0" fontId="113" fillId="0" borderId="0" xfId="0" applyFont="1" applyAlignment="1" applyProtection="1">
      <alignment vertical="center"/>
      <protection locked="0"/>
    </xf>
    <xf numFmtId="0" fontId="41" fillId="3" borderId="19" xfId="0" applyFont="1" applyFill="1" applyBorder="1" applyAlignment="1" applyProtection="1">
      <alignment horizontal="left" vertical="center" indent="1"/>
      <protection locked="0"/>
    </xf>
    <xf numFmtId="164" fontId="41" fillId="3" borderId="59" xfId="2" applyNumberFormat="1" applyFont="1" applyFill="1" applyBorder="1" applyAlignment="1" applyProtection="1">
      <alignment horizontal="center" vertical="center"/>
      <protection locked="0"/>
    </xf>
    <xf numFmtId="164" fontId="41" fillId="3" borderId="18" xfId="2" applyNumberFormat="1" applyFont="1" applyFill="1" applyBorder="1" applyAlignment="1" applyProtection="1">
      <alignment horizontal="center" vertical="center"/>
      <protection locked="0"/>
    </xf>
    <xf numFmtId="10" fontId="84" fillId="3" borderId="0" xfId="2" applyNumberFormat="1" applyFont="1" applyFill="1" applyBorder="1" applyAlignment="1" applyProtection="1">
      <alignment horizontal="center" vertical="center"/>
      <protection locked="0"/>
    </xf>
    <xf numFmtId="164" fontId="41" fillId="3" borderId="0" xfId="2" applyNumberFormat="1" applyFont="1" applyFill="1" applyBorder="1" applyAlignment="1" applyProtection="1">
      <alignment horizontal="center" vertical="center"/>
      <protection locked="0"/>
    </xf>
    <xf numFmtId="0" fontId="41" fillId="5" borderId="19" xfId="0" applyFont="1" applyFill="1" applyBorder="1" applyAlignment="1" applyProtection="1">
      <alignment vertical="center"/>
      <protection locked="0"/>
    </xf>
    <xf numFmtId="164" fontId="41" fillId="5" borderId="59" xfId="2" applyNumberFormat="1" applyFont="1" applyFill="1" applyBorder="1" applyAlignment="1" applyProtection="1">
      <alignment horizontal="center" vertical="center"/>
      <protection locked="0"/>
    </xf>
    <xf numFmtId="164" fontId="41" fillId="5" borderId="18" xfId="2" applyNumberFormat="1" applyFont="1" applyFill="1" applyBorder="1" applyAlignment="1" applyProtection="1">
      <alignment horizontal="center" vertical="center"/>
      <protection locked="0"/>
    </xf>
    <xf numFmtId="10" fontId="84" fillId="5" borderId="0" xfId="2" applyNumberFormat="1" applyFont="1" applyFill="1" applyBorder="1" applyAlignment="1" applyProtection="1">
      <alignment horizontal="center" vertical="center"/>
      <protection locked="0"/>
    </xf>
    <xf numFmtId="164" fontId="41" fillId="5" borderId="0" xfId="2" applyNumberFormat="1" applyFont="1" applyFill="1" applyBorder="1" applyAlignment="1" applyProtection="1">
      <alignment horizontal="center" vertical="center"/>
      <protection locked="0"/>
    </xf>
    <xf numFmtId="0" fontId="83" fillId="0" borderId="14" xfId="0" applyFont="1" applyBorder="1" applyAlignment="1" applyProtection="1">
      <alignment horizontal="left" indent="2"/>
      <protection locked="0"/>
    </xf>
    <xf numFmtId="0" fontId="40" fillId="2" borderId="19" xfId="0" applyFont="1" applyFill="1" applyBorder="1" applyAlignment="1" applyProtection="1">
      <alignment vertical="center"/>
      <protection locked="0"/>
    </xf>
    <xf numFmtId="164" fontId="99" fillId="2" borderId="59" xfId="2" applyNumberFormat="1" applyFont="1" applyFill="1" applyBorder="1" applyAlignment="1" applyProtection="1">
      <alignment horizontal="center" vertical="center"/>
      <protection locked="0"/>
    </xf>
    <xf numFmtId="164" fontId="99" fillId="2" borderId="18" xfId="2" applyNumberFormat="1" applyFont="1" applyFill="1" applyBorder="1" applyAlignment="1" applyProtection="1">
      <alignment horizontal="center" vertical="center"/>
      <protection locked="0"/>
    </xf>
    <xf numFmtId="10" fontId="99" fillId="2" borderId="0" xfId="2" applyNumberFormat="1" applyFont="1" applyFill="1" applyBorder="1" applyAlignment="1" applyProtection="1">
      <alignment horizontal="center" vertical="center"/>
      <protection locked="0"/>
    </xf>
    <xf numFmtId="164" fontId="99" fillId="2" borderId="0" xfId="2" applyNumberFormat="1" applyFont="1" applyFill="1" applyBorder="1" applyAlignment="1" applyProtection="1">
      <alignment horizontal="center" vertical="center"/>
      <protection locked="0"/>
    </xf>
    <xf numFmtId="164" fontId="84" fillId="3" borderId="59" xfId="2" applyNumberFormat="1" applyFont="1" applyFill="1" applyBorder="1" applyAlignment="1" applyProtection="1">
      <alignment horizontal="center" vertical="center"/>
      <protection locked="0"/>
    </xf>
    <xf numFmtId="164" fontId="84" fillId="3" borderId="18" xfId="2" applyNumberFormat="1" applyFont="1" applyFill="1" applyBorder="1" applyAlignment="1" applyProtection="1">
      <alignment horizontal="center" vertical="center"/>
      <protection locked="0"/>
    </xf>
    <xf numFmtId="164" fontId="84" fillId="3" borderId="0" xfId="2" applyNumberFormat="1" applyFont="1" applyFill="1" applyBorder="1" applyAlignment="1" applyProtection="1">
      <alignment horizontal="center" vertical="center"/>
      <protection locked="0"/>
    </xf>
    <xf numFmtId="0" fontId="107" fillId="0" borderId="0" xfId="0" applyFont="1" applyAlignment="1" applyProtection="1">
      <alignment horizontal="center" vertical="center" wrapText="1"/>
      <protection locked="0"/>
    </xf>
    <xf numFmtId="164" fontId="50" fillId="2" borderId="19" xfId="2" applyNumberFormat="1" applyFont="1" applyFill="1" applyBorder="1" applyAlignment="1" applyProtection="1">
      <alignment horizontal="center" vertical="center" wrapText="1"/>
      <protection locked="0"/>
    </xf>
    <xf numFmtId="0" fontId="46" fillId="6" borderId="0" xfId="0" applyFont="1" applyFill="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110" fillId="0" borderId="0" xfId="0" applyFont="1" applyAlignment="1" applyProtection="1">
      <alignment vertical="center"/>
      <protection locked="0"/>
    </xf>
    <xf numFmtId="0" fontId="4" fillId="0" borderId="19" xfId="0" applyFont="1" applyBorder="1" applyAlignment="1" applyProtection="1">
      <alignment vertical="center"/>
      <protection locked="0"/>
    </xf>
    <xf numFmtId="0" fontId="4" fillId="0" borderId="59" xfId="0" applyFont="1" applyBorder="1" applyAlignment="1" applyProtection="1">
      <alignment vertical="center"/>
      <protection locked="0"/>
    </xf>
    <xf numFmtId="0" fontId="4" fillId="0" borderId="18" xfId="0" applyFont="1" applyBorder="1" applyAlignment="1" applyProtection="1">
      <alignment vertical="center"/>
      <protection locked="0"/>
    </xf>
    <xf numFmtId="0" fontId="4" fillId="0" borderId="0" xfId="0" applyFont="1" applyAlignment="1" applyProtection="1">
      <alignment vertical="center"/>
      <protection locked="0"/>
    </xf>
    <xf numFmtId="0" fontId="83" fillId="0" borderId="0" xfId="0" applyFont="1" applyAlignment="1" applyProtection="1">
      <alignment vertical="center"/>
      <protection locked="0"/>
    </xf>
    <xf numFmtId="0" fontId="98" fillId="0" borderId="0" xfId="0" applyFont="1" applyAlignment="1" applyProtection="1">
      <alignment horizontal="right" vertical="center"/>
      <protection locked="0"/>
    </xf>
    <xf numFmtId="0" fontId="98" fillId="0" borderId="0" xfId="0" applyFont="1" applyAlignment="1" applyProtection="1">
      <alignment vertical="center"/>
      <protection locked="0"/>
    </xf>
    <xf numFmtId="0" fontId="109" fillId="0" borderId="0" xfId="0" applyFont="1" applyAlignment="1">
      <alignment horizontal="center" vertical="center" wrapText="1"/>
    </xf>
    <xf numFmtId="0" fontId="76" fillId="0" borderId="0" xfId="0" applyFont="1" applyAlignment="1">
      <alignment horizontal="center" vertical="center" wrapText="1"/>
    </xf>
    <xf numFmtId="164" fontId="99" fillId="0" borderId="18" xfId="2" applyNumberFormat="1" applyFont="1" applyBorder="1" applyAlignment="1" applyProtection="1">
      <alignment horizontal="center" vertical="center"/>
      <protection locked="0"/>
    </xf>
    <xf numFmtId="10" fontId="99" fillId="0" borderId="0" xfId="2" applyNumberFormat="1" applyFont="1" applyBorder="1" applyAlignment="1" applyProtection="1">
      <alignment horizontal="center" vertical="center"/>
      <protection locked="0"/>
    </xf>
    <xf numFmtId="1" fontId="41" fillId="0" borderId="0" xfId="1" applyNumberFormat="1" applyFont="1" applyAlignment="1" applyProtection="1">
      <alignment vertical="center"/>
      <protection locked="0"/>
    </xf>
    <xf numFmtId="10" fontId="41" fillId="5" borderId="19" xfId="2" applyNumberFormat="1" applyFont="1" applyFill="1" applyBorder="1" applyAlignment="1" applyProtection="1">
      <alignment horizontal="center" vertical="center"/>
      <protection locked="0"/>
    </xf>
    <xf numFmtId="10" fontId="41" fillId="5" borderId="0" xfId="2" applyNumberFormat="1" applyFont="1" applyFill="1" applyBorder="1" applyAlignment="1" applyProtection="1">
      <alignment horizontal="center" vertical="center"/>
      <protection locked="0"/>
    </xf>
    <xf numFmtId="10" fontId="3" fillId="0" borderId="14" xfId="2" applyNumberFormat="1" applyFont="1" applyBorder="1" applyAlignment="1" applyProtection="1">
      <alignment horizontal="center"/>
      <protection locked="0"/>
    </xf>
    <xf numFmtId="0" fontId="3" fillId="0" borderId="0" xfId="0" applyFont="1" applyProtection="1">
      <protection locked="0"/>
    </xf>
    <xf numFmtId="9" fontId="3" fillId="0" borderId="16" xfId="2" applyFont="1" applyBorder="1" applyAlignment="1" applyProtection="1">
      <alignment horizontal="center"/>
      <protection locked="0"/>
    </xf>
    <xf numFmtId="10" fontId="3" fillId="0" borderId="16" xfId="2" applyNumberFormat="1" applyFont="1" applyBorder="1" applyAlignment="1" applyProtection="1">
      <alignment horizontal="center"/>
      <protection locked="0"/>
    </xf>
    <xf numFmtId="0" fontId="3" fillId="0" borderId="0" xfId="0" applyFont="1" applyAlignment="1" applyProtection="1">
      <alignment vertical="center"/>
      <protection locked="0"/>
    </xf>
    <xf numFmtId="164" fontId="41" fillId="0" borderId="18" xfId="2" applyNumberFormat="1" applyFont="1" applyBorder="1" applyAlignment="1" applyProtection="1">
      <alignment vertical="center"/>
      <protection locked="0"/>
    </xf>
    <xf numFmtId="164" fontId="3" fillId="0" borderId="19" xfId="2" applyNumberFormat="1" applyFont="1" applyBorder="1" applyAlignment="1" applyProtection="1">
      <alignment vertical="center"/>
      <protection locked="0"/>
    </xf>
    <xf numFmtId="164" fontId="41" fillId="0" borderId="0" xfId="2" applyNumberFormat="1" applyFont="1" applyAlignment="1" applyProtection="1">
      <alignment vertical="center"/>
      <protection locked="0"/>
    </xf>
    <xf numFmtId="164" fontId="3" fillId="0" borderId="0" xfId="2" applyNumberFormat="1" applyFont="1" applyAlignment="1" applyProtection="1">
      <alignment vertical="center"/>
      <protection locked="0"/>
    </xf>
    <xf numFmtId="0" fontId="41" fillId="0" borderId="18" xfId="0" applyFont="1" applyBorder="1" applyAlignment="1" applyProtection="1">
      <alignment vertical="center"/>
      <protection locked="0"/>
    </xf>
    <xf numFmtId="1" fontId="3" fillId="0" borderId="0" xfId="1" applyNumberFormat="1" applyFont="1" applyAlignment="1" applyProtection="1">
      <alignment vertical="center"/>
      <protection locked="0"/>
    </xf>
    <xf numFmtId="10" fontId="41" fillId="0" borderId="0" xfId="0" applyNumberFormat="1" applyFont="1" applyAlignment="1" applyProtection="1">
      <alignment horizontal="center" vertical="center"/>
      <protection locked="0"/>
    </xf>
    <xf numFmtId="0" fontId="41" fillId="0" borderId="18" xfId="0" applyFont="1" applyBorder="1" applyAlignment="1" applyProtection="1">
      <alignment horizontal="center" vertical="center"/>
      <protection locked="0"/>
    </xf>
    <xf numFmtId="0" fontId="3" fillId="0" borderId="19" xfId="0" applyFont="1" applyBorder="1" applyAlignment="1" applyProtection="1">
      <alignment vertical="center"/>
      <protection locked="0"/>
    </xf>
    <xf numFmtId="0" fontId="99" fillId="0" borderId="18" xfId="0" applyFont="1" applyBorder="1" applyAlignment="1" applyProtection="1">
      <alignment horizontal="center" vertical="center"/>
      <protection locked="0"/>
    </xf>
    <xf numFmtId="0" fontId="99" fillId="0" borderId="19" xfId="0" applyFont="1" applyBorder="1" applyAlignment="1" applyProtection="1">
      <alignment horizontal="center" vertical="center"/>
      <protection locked="0"/>
    </xf>
    <xf numFmtId="0" fontId="99" fillId="0" borderId="0" xfId="0" applyFont="1" applyAlignment="1" applyProtection="1">
      <alignment horizontal="center" vertical="center"/>
      <protection locked="0"/>
    </xf>
    <xf numFmtId="1" fontId="3" fillId="0" borderId="0" xfId="1" applyNumberFormat="1" applyFont="1" applyProtection="1">
      <protection locked="0"/>
    </xf>
    <xf numFmtId="10" fontId="114" fillId="6" borderId="18" xfId="2" applyNumberFormat="1" applyFont="1" applyFill="1" applyBorder="1" applyAlignment="1" applyProtection="1">
      <alignment horizontal="center" vertical="center"/>
      <protection locked="0"/>
    </xf>
    <xf numFmtId="10" fontId="114" fillId="6" borderId="19" xfId="2" applyNumberFormat="1" applyFont="1" applyFill="1" applyBorder="1" applyAlignment="1" applyProtection="1">
      <alignment horizontal="center" vertical="center"/>
      <protection locked="0"/>
    </xf>
    <xf numFmtId="10" fontId="114" fillId="6" borderId="0" xfId="2" applyNumberFormat="1" applyFont="1" applyFill="1" applyBorder="1" applyAlignment="1" applyProtection="1">
      <alignment horizontal="center" vertical="center"/>
      <protection locked="0"/>
    </xf>
    <xf numFmtId="0" fontId="3" fillId="0" borderId="11" xfId="0" applyFont="1" applyBorder="1" applyProtection="1">
      <protection locked="0"/>
    </xf>
    <xf numFmtId="0" fontId="3" fillId="0" borderId="8" xfId="0" applyFont="1" applyBorder="1" applyProtection="1">
      <protection locked="0"/>
    </xf>
    <xf numFmtId="0" fontId="3" fillId="0" borderId="12" xfId="0" applyFont="1" applyBorder="1" applyProtection="1">
      <protection locked="0"/>
    </xf>
    <xf numFmtId="0" fontId="115" fillId="0" borderId="0" xfId="0" applyFont="1" applyProtection="1">
      <protection locked="0"/>
    </xf>
    <xf numFmtId="0" fontId="116" fillId="0" borderId="0" xfId="0" applyFont="1" applyProtection="1">
      <protection locked="0"/>
    </xf>
    <xf numFmtId="0" fontId="117" fillId="0" borderId="0" xfId="0" applyFont="1" applyProtection="1">
      <protection locked="0"/>
    </xf>
    <xf numFmtId="0" fontId="116" fillId="0" borderId="0" xfId="0" applyFont="1" applyAlignment="1" applyProtection="1">
      <alignment horizontal="center"/>
      <protection locked="0"/>
    </xf>
    <xf numFmtId="164" fontId="99" fillId="0" borderId="18" xfId="2" applyNumberFormat="1" applyFont="1" applyFill="1" applyBorder="1" applyAlignment="1" applyProtection="1">
      <alignment horizontal="center" vertical="center"/>
      <protection locked="0"/>
    </xf>
    <xf numFmtId="10" fontId="99" fillId="0" borderId="0" xfId="2" applyNumberFormat="1" applyFont="1" applyFill="1" applyBorder="1" applyAlignment="1" applyProtection="1">
      <alignment horizontal="center" vertical="center"/>
      <protection locked="0"/>
    </xf>
    <xf numFmtId="1" fontId="82" fillId="0" borderId="0" xfId="1" applyNumberFormat="1" applyFont="1" applyFill="1" applyAlignment="1" applyProtection="1">
      <alignment horizontal="center" vertical="center"/>
      <protection locked="0"/>
    </xf>
    <xf numFmtId="164" fontId="84" fillId="5" borderId="18" xfId="2" applyNumberFormat="1" applyFont="1" applyFill="1" applyBorder="1" applyAlignment="1" applyProtection="1">
      <alignment horizontal="center" vertical="center"/>
      <protection locked="0"/>
    </xf>
    <xf numFmtId="9" fontId="99" fillId="0" borderId="18" xfId="2" applyFont="1" applyBorder="1" applyAlignment="1" applyProtection="1">
      <alignment horizontal="center" vertical="center"/>
      <protection locked="0"/>
    </xf>
    <xf numFmtId="10" fontId="3" fillId="0" borderId="14" xfId="2" applyNumberFormat="1" applyFont="1" applyBorder="1" applyAlignment="1" applyProtection="1">
      <alignment horizontal="center"/>
    </xf>
    <xf numFmtId="0" fontId="95" fillId="0" borderId="18" xfId="0" applyFont="1" applyBorder="1" applyAlignment="1" applyProtection="1">
      <alignment horizontal="center" vertical="center"/>
      <protection locked="0"/>
    </xf>
    <xf numFmtId="0" fontId="92" fillId="0" borderId="19" xfId="0" applyFont="1" applyBorder="1" applyAlignment="1" applyProtection="1">
      <alignment horizontal="center" vertical="center"/>
      <protection locked="0"/>
    </xf>
    <xf numFmtId="0" fontId="107" fillId="0" borderId="0" xfId="0" applyFont="1" applyAlignment="1" applyProtection="1">
      <alignment horizontal="center" vertical="center"/>
      <protection locked="0"/>
    </xf>
    <xf numFmtId="164" fontId="94" fillId="2" borderId="18" xfId="2" applyNumberFormat="1" applyFont="1" applyFill="1" applyBorder="1" applyAlignment="1" applyProtection="1">
      <alignment horizontal="center" vertical="center"/>
      <protection locked="0"/>
    </xf>
    <xf numFmtId="164" fontId="94" fillId="2" borderId="19" xfId="2" applyNumberFormat="1" applyFont="1" applyFill="1" applyBorder="1" applyAlignment="1" applyProtection="1">
      <alignment horizontal="center" vertical="center" wrapText="1"/>
      <protection locked="0"/>
    </xf>
    <xf numFmtId="164" fontId="94" fillId="2" borderId="0" xfId="2" applyNumberFormat="1" applyFont="1" applyFill="1" applyBorder="1" applyAlignment="1" applyProtection="1">
      <alignment horizontal="center" vertical="center" wrapText="1"/>
      <protection locked="0"/>
    </xf>
    <xf numFmtId="0" fontId="50" fillId="0" borderId="0" xfId="0" applyFont="1" applyAlignment="1" applyProtection="1">
      <alignment horizontal="center" vertical="center"/>
      <protection locked="0"/>
    </xf>
    <xf numFmtId="1" fontId="50" fillId="0" borderId="0" xfId="1" applyNumberFormat="1" applyFont="1" applyFill="1" applyAlignment="1" applyProtection="1">
      <alignment horizontal="center" vertical="center"/>
      <protection locked="0"/>
    </xf>
    <xf numFmtId="0" fontId="118" fillId="0" borderId="0" xfId="0" applyFont="1" applyAlignment="1" applyProtection="1">
      <alignment vertical="center"/>
      <protection locked="0"/>
    </xf>
    <xf numFmtId="10" fontId="94" fillId="2" borderId="0" xfId="2" applyNumberFormat="1" applyFont="1" applyFill="1" applyBorder="1" applyAlignment="1" applyProtection="1">
      <alignment horizontal="center" vertical="center"/>
      <protection locked="0"/>
    </xf>
    <xf numFmtId="1" fontId="76" fillId="0" borderId="0" xfId="1" applyNumberFormat="1" applyFont="1" applyAlignment="1" applyProtection="1">
      <alignment vertical="center"/>
      <protection locked="0"/>
    </xf>
    <xf numFmtId="0" fontId="84" fillId="0" borderId="16" xfId="0" applyFont="1" applyBorder="1" applyAlignment="1" applyProtection="1">
      <alignment horizontal="left" vertical="center" indent="1"/>
      <protection locked="0"/>
    </xf>
    <xf numFmtId="9" fontId="83" fillId="0" borderId="16" xfId="2" applyFont="1" applyBorder="1" applyAlignment="1" applyProtection="1">
      <alignment horizontal="center"/>
      <protection locked="0"/>
    </xf>
    <xf numFmtId="9" fontId="83" fillId="0" borderId="0" xfId="2" applyFont="1" applyBorder="1" applyAlignment="1" applyProtection="1">
      <alignment horizontal="center"/>
      <protection locked="0"/>
    </xf>
    <xf numFmtId="0" fontId="2" fillId="0" borderId="15" xfId="0" applyFont="1" applyBorder="1" applyAlignment="1" applyProtection="1">
      <alignment horizontal="left" indent="2"/>
      <protection locked="0"/>
    </xf>
    <xf numFmtId="0" fontId="2" fillId="0" borderId="15" xfId="0" applyFont="1" applyBorder="1" applyAlignment="1">
      <alignment horizontal="center"/>
    </xf>
    <xf numFmtId="10" fontId="2" fillId="0" borderId="15" xfId="2" applyNumberFormat="1" applyFont="1" applyBorder="1" applyAlignment="1">
      <alignment horizontal="center"/>
    </xf>
    <xf numFmtId="180" fontId="2" fillId="0" borderId="15" xfId="2" applyNumberFormat="1" applyFont="1" applyBorder="1" applyAlignment="1">
      <alignment horizontal="center"/>
    </xf>
    <xf numFmtId="179" fontId="2" fillId="0" borderId="15" xfId="0" applyNumberFormat="1" applyFont="1" applyBorder="1" applyAlignment="1">
      <alignment horizontal="center"/>
    </xf>
    <xf numFmtId="0" fontId="2" fillId="0" borderId="0" xfId="0" applyFont="1" applyProtection="1">
      <protection locked="0"/>
    </xf>
    <xf numFmtId="180" fontId="99" fillId="2" borderId="18" xfId="2" applyNumberFormat="1" applyFont="1" applyFill="1" applyBorder="1" applyAlignment="1" applyProtection="1">
      <alignment horizontal="center" vertical="center"/>
      <protection locked="0"/>
    </xf>
    <xf numFmtId="180" fontId="39" fillId="0" borderId="18" xfId="0" applyNumberFormat="1" applyFont="1" applyBorder="1" applyAlignment="1" applyProtection="1">
      <alignment vertical="center"/>
      <protection locked="0"/>
    </xf>
    <xf numFmtId="180" fontId="41" fillId="5" borderId="18" xfId="2" applyNumberFormat="1" applyFont="1" applyFill="1" applyBorder="1" applyAlignment="1" applyProtection="1">
      <alignment horizontal="center" vertical="center"/>
      <protection locked="0"/>
    </xf>
    <xf numFmtId="180" fontId="4" fillId="0" borderId="14" xfId="2" applyNumberFormat="1" applyFont="1" applyBorder="1" applyAlignment="1" applyProtection="1">
      <alignment horizontal="center"/>
      <protection locked="0"/>
    </xf>
    <xf numFmtId="180" fontId="4" fillId="0" borderId="18" xfId="0" applyNumberFormat="1" applyFont="1" applyBorder="1" applyAlignment="1" applyProtection="1">
      <alignment vertical="center"/>
      <protection locked="0"/>
    </xf>
    <xf numFmtId="180" fontId="41" fillId="3" borderId="18" xfId="2" applyNumberFormat="1" applyFont="1" applyFill="1" applyBorder="1" applyAlignment="1" applyProtection="1">
      <alignment horizontal="center" vertical="center"/>
      <protection locked="0"/>
    </xf>
    <xf numFmtId="1" fontId="12" fillId="0" borderId="0" xfId="1" applyNumberFormat="1" applyFont="1"/>
    <xf numFmtId="1" fontId="37" fillId="0" borderId="0" xfId="1" applyNumberFormat="1" applyFont="1"/>
    <xf numFmtId="1" fontId="37" fillId="0" borderId="0" xfId="1" applyNumberFormat="1" applyFont="1" applyAlignment="1">
      <alignment vertical="center"/>
    </xf>
    <xf numFmtId="1" fontId="0" fillId="0" borderId="0" xfId="1" applyNumberFormat="1" applyFont="1" applyAlignment="1">
      <alignment vertical="center"/>
    </xf>
    <xf numFmtId="1" fontId="47" fillId="0" borderId="0" xfId="1" applyNumberFormat="1" applyFont="1" applyFill="1" applyAlignment="1">
      <alignment horizontal="center" vertical="center"/>
    </xf>
    <xf numFmtId="164" fontId="11" fillId="2" borderId="18" xfId="2" quotePrefix="1" applyNumberFormat="1" applyFont="1" applyFill="1" applyBorder="1" applyAlignment="1">
      <alignment horizontal="center" vertical="center"/>
    </xf>
    <xf numFmtId="164" fontId="11" fillId="2" borderId="0" xfId="2" applyNumberFormat="1" applyFont="1" applyFill="1" applyBorder="1" applyAlignment="1">
      <alignment horizontal="center" vertical="center"/>
    </xf>
    <xf numFmtId="164" fontId="11" fillId="2" borderId="75" xfId="2" applyNumberFormat="1" applyFont="1" applyFill="1" applyBorder="1" applyAlignment="1">
      <alignment horizontal="center" vertical="center" wrapText="1"/>
    </xf>
    <xf numFmtId="164" fontId="11" fillId="2" borderId="76" xfId="2" quotePrefix="1" applyNumberFormat="1" applyFont="1" applyFill="1" applyBorder="1" applyAlignment="1">
      <alignment horizontal="center" vertical="center" wrapText="1"/>
    </xf>
    <xf numFmtId="164" fontId="11" fillId="2" borderId="75" xfId="2" quotePrefix="1" applyNumberFormat="1" applyFont="1" applyFill="1" applyBorder="1" applyAlignment="1">
      <alignment horizontal="center" vertical="center" wrapText="1"/>
    </xf>
    <xf numFmtId="0" fontId="47" fillId="0" borderId="0" xfId="0" applyFont="1" applyAlignment="1">
      <alignment horizontal="center" vertical="center"/>
    </xf>
    <xf numFmtId="1" fontId="42" fillId="0" borderId="0" xfId="1" applyNumberFormat="1" applyFont="1" applyAlignment="1">
      <alignment vertical="center"/>
    </xf>
    <xf numFmtId="164" fontId="11" fillId="4" borderId="32" xfId="2" applyNumberFormat="1" applyFont="1" applyFill="1" applyBorder="1" applyAlignment="1">
      <alignment horizontal="center" vertical="center"/>
    </xf>
    <xf numFmtId="164" fontId="11" fillId="4" borderId="31" xfId="2" applyNumberFormat="1" applyFont="1" applyFill="1" applyBorder="1" applyAlignment="1">
      <alignment horizontal="center" vertical="center"/>
    </xf>
    <xf numFmtId="164" fontId="11" fillId="2" borderId="31" xfId="2" applyNumberFormat="1" applyFont="1" applyFill="1" applyBorder="1" applyAlignment="1">
      <alignment horizontal="center" vertical="center"/>
    </xf>
    <xf numFmtId="1" fontId="48" fillId="0" borderId="0" xfId="1" applyNumberFormat="1" applyFont="1" applyAlignment="1">
      <alignment horizontal="center" vertical="center"/>
    </xf>
    <xf numFmtId="164" fontId="42" fillId="5" borderId="32" xfId="2" applyNumberFormat="1" applyFont="1" applyFill="1" applyBorder="1" applyAlignment="1">
      <alignment horizontal="center" vertical="center"/>
    </xf>
    <xf numFmtId="164" fontId="42" fillId="5" borderId="31" xfId="2" applyNumberFormat="1" applyFont="1" applyFill="1" applyBorder="1" applyAlignment="1">
      <alignment horizontal="center" vertical="center"/>
    </xf>
    <xf numFmtId="164" fontId="42" fillId="14" borderId="31" xfId="2" applyNumberFormat="1" applyFont="1" applyFill="1" applyBorder="1" applyAlignment="1">
      <alignment horizontal="center" vertical="center"/>
    </xf>
    <xf numFmtId="164" fontId="42" fillId="5" borderId="35" xfId="2" applyNumberFormat="1" applyFont="1" applyFill="1" applyBorder="1" applyAlignment="1">
      <alignment horizontal="center" vertical="center"/>
    </xf>
    <xf numFmtId="0" fontId="11" fillId="0" borderId="0" xfId="0" applyFont="1" applyAlignment="1">
      <alignment horizontal="center" vertical="center"/>
    </xf>
    <xf numFmtId="164" fontId="42" fillId="3" borderId="32" xfId="2" applyNumberFormat="1" applyFont="1" applyFill="1" applyBorder="1" applyAlignment="1">
      <alignment horizontal="center" vertical="center"/>
    </xf>
    <xf numFmtId="164" fontId="42" fillId="3" borderId="31" xfId="2" applyNumberFormat="1" applyFont="1" applyFill="1" applyBorder="1" applyAlignment="1">
      <alignment horizontal="center" vertical="center"/>
    </xf>
    <xf numFmtId="164" fontId="42" fillId="0" borderId="18" xfId="2" applyNumberFormat="1" applyFont="1" applyBorder="1" applyAlignment="1">
      <alignment vertical="center"/>
    </xf>
    <xf numFmtId="164" fontId="42"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9" xfId="2" applyNumberFormat="1" applyFont="1" applyBorder="1" applyAlignment="1">
      <alignment vertical="center"/>
    </xf>
    <xf numFmtId="164" fontId="42"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119" fillId="0" borderId="77" xfId="0" applyFont="1" applyBorder="1"/>
    <xf numFmtId="0" fontId="11" fillId="0" borderId="19" xfId="0" applyFont="1" applyBorder="1" applyAlignment="1">
      <alignment horizontal="center" vertical="center"/>
    </xf>
    <xf numFmtId="0" fontId="47" fillId="8" borderId="8" xfId="0" applyFont="1" applyFill="1" applyBorder="1"/>
    <xf numFmtId="10" fontId="46" fillId="6" borderId="18" xfId="2" applyNumberFormat="1" applyFont="1" applyFill="1" applyBorder="1" applyAlignment="1">
      <alignment horizontal="center" vertical="center"/>
    </xf>
    <xf numFmtId="10" fontId="46" fillId="6" borderId="0" xfId="2" applyNumberFormat="1" applyFont="1" applyFill="1" applyBorder="1" applyAlignment="1">
      <alignment horizontal="center" vertical="center"/>
    </xf>
    <xf numFmtId="10" fontId="46" fillId="6" borderId="19" xfId="2" applyNumberFormat="1" applyFont="1" applyFill="1" applyBorder="1" applyAlignment="1">
      <alignment horizontal="center" vertical="center"/>
    </xf>
    <xf numFmtId="0" fontId="0" fillId="0" borderId="11" xfId="0" applyBorder="1"/>
    <xf numFmtId="0" fontId="0" fillId="0" borderId="8" xfId="0" applyBorder="1"/>
    <xf numFmtId="0" fontId="0" fillId="0" borderId="12" xfId="0" applyBorder="1"/>
    <xf numFmtId="0" fontId="47" fillId="6" borderId="8" xfId="0" applyFont="1" applyFill="1" applyBorder="1"/>
    <xf numFmtId="0" fontId="47" fillId="6" borderId="12" xfId="0" applyFont="1" applyFill="1" applyBorder="1"/>
    <xf numFmtId="0" fontId="47" fillId="7" borderId="8" xfId="0" applyFont="1" applyFill="1" applyBorder="1"/>
    <xf numFmtId="0" fontId="47" fillId="7" borderId="9" xfId="0" applyFont="1" applyFill="1" applyBorder="1"/>
    <xf numFmtId="0" fontId="119" fillId="0" borderId="13" xfId="0" applyFont="1" applyBorder="1"/>
    <xf numFmtId="0" fontId="47" fillId="8" borderId="12" xfId="0" applyFont="1" applyFill="1" applyBorder="1"/>
    <xf numFmtId="1" fontId="10" fillId="0" borderId="0" xfId="1" applyNumberFormat="1" applyFont="1"/>
    <xf numFmtId="2" fontId="42" fillId="0" borderId="0" xfId="0" applyNumberFormat="1" applyFont="1" applyAlignment="1">
      <alignment horizontal="center"/>
    </xf>
    <xf numFmtId="0" fontId="1" fillId="0" borderId="15" xfId="0" applyFont="1" applyBorder="1" applyAlignment="1">
      <alignment horizontal="center"/>
    </xf>
    <xf numFmtId="10" fontId="1" fillId="0" borderId="15" xfId="2" applyNumberFormat="1" applyFont="1" applyBorder="1" applyAlignment="1">
      <alignment horizontal="center"/>
    </xf>
    <xf numFmtId="1" fontId="1" fillId="0" borderId="15" xfId="0" applyNumberFormat="1" applyFont="1" applyBorder="1" applyAlignment="1">
      <alignment horizontal="center"/>
    </xf>
    <xf numFmtId="181" fontId="1" fillId="0" borderId="15" xfId="0" applyNumberFormat="1" applyFont="1" applyBorder="1" applyAlignment="1">
      <alignment horizontal="center"/>
    </xf>
    <xf numFmtId="0" fontId="1" fillId="0" borderId="15" xfId="0" applyFont="1" applyBorder="1" applyAlignment="1" applyProtection="1">
      <alignment horizontal="left" indent="2"/>
      <protection locked="0"/>
    </xf>
    <xf numFmtId="0" fontId="40" fillId="8" borderId="0" xfId="0" applyFont="1" applyFill="1" applyProtection="1">
      <protection locked="0"/>
    </xf>
    <xf numFmtId="0" fontId="40" fillId="6" borderId="0" xfId="0" applyFont="1" applyFill="1" applyProtection="1">
      <protection locked="0"/>
    </xf>
    <xf numFmtId="0" fontId="40" fillId="7" borderId="0" xfId="0" applyFont="1" applyFill="1" applyProtection="1">
      <protection locked="0"/>
    </xf>
    <xf numFmtId="164" fontId="94" fillId="2" borderId="19" xfId="2" applyNumberFormat="1" applyFont="1" applyFill="1" applyBorder="1" applyAlignment="1" applyProtection="1">
      <alignment horizontal="center" vertical="center"/>
      <protection locked="0"/>
    </xf>
    <xf numFmtId="0" fontId="56" fillId="0" borderId="0" xfId="0" applyFont="1" applyProtection="1">
      <protection locked="0"/>
    </xf>
    <xf numFmtId="0" fontId="95" fillId="6" borderId="0" xfId="0" applyFont="1" applyFill="1" applyAlignment="1" applyProtection="1">
      <alignment vertical="center"/>
      <protection locked="0"/>
    </xf>
    <xf numFmtId="0" fontId="50" fillId="2" borderId="0" xfId="0" applyFont="1" applyFill="1" applyAlignment="1" applyProtection="1">
      <alignment vertical="center"/>
      <protection locked="0"/>
    </xf>
    <xf numFmtId="0" fontId="57" fillId="0" borderId="0" xfId="0" applyFont="1" applyAlignment="1">
      <alignment horizontal="left" vertical="center"/>
    </xf>
    <xf numFmtId="176" fontId="74" fillId="0" borderId="54" xfId="2" applyNumberFormat="1" applyFont="1" applyBorder="1" applyAlignment="1">
      <alignment horizontal="center"/>
    </xf>
    <xf numFmtId="0" fontId="56" fillId="0" borderId="0" xfId="0" applyFont="1" applyAlignment="1" applyProtection="1">
      <alignment horizontal="left"/>
      <protection locked="0"/>
    </xf>
    <xf numFmtId="1" fontId="77" fillId="5" borderId="56" xfId="1" applyNumberFormat="1" applyFont="1" applyFill="1" applyBorder="1" applyAlignment="1" applyProtection="1">
      <alignment horizontal="center" vertical="center"/>
      <protection locked="0"/>
    </xf>
    <xf numFmtId="1" fontId="77" fillId="5" borderId="57" xfId="1" applyNumberFormat="1" applyFont="1" applyFill="1" applyBorder="1" applyAlignment="1" applyProtection="1">
      <alignment horizontal="center" vertical="center"/>
      <protection locked="0"/>
    </xf>
    <xf numFmtId="164" fontId="11" fillId="9" borderId="32" xfId="2" applyNumberFormat="1" applyFont="1" applyFill="1" applyBorder="1" applyAlignment="1">
      <alignment horizontal="center" vertical="center"/>
    </xf>
    <xf numFmtId="164" fontId="11" fillId="9" borderId="31" xfId="2" applyNumberFormat="1" applyFont="1" applyFill="1" applyBorder="1" applyAlignment="1">
      <alignment horizontal="center" vertical="center"/>
    </xf>
    <xf numFmtId="164" fontId="11" fillId="9" borderId="35" xfId="2" applyNumberFormat="1" applyFont="1" applyFill="1" applyBorder="1" applyAlignment="1">
      <alignment horizontal="center" vertical="center"/>
    </xf>
    <xf numFmtId="164" fontId="11" fillId="9" borderId="34" xfId="2" applyNumberFormat="1" applyFont="1" applyFill="1" applyBorder="1" applyAlignment="1">
      <alignment horizontal="center" vertical="center"/>
    </xf>
    <xf numFmtId="164" fontId="11" fillId="9" borderId="33" xfId="2" applyNumberFormat="1" applyFont="1" applyFill="1" applyBorder="1" applyAlignment="1">
      <alignment horizontal="center" vertical="center"/>
    </xf>
    <xf numFmtId="164" fontId="11" fillId="9" borderId="38" xfId="2" applyNumberFormat="1" applyFont="1" applyFill="1" applyBorder="1" applyAlignment="1">
      <alignment horizontal="center" vertical="center"/>
    </xf>
    <xf numFmtId="164" fontId="11" fillId="9" borderId="30" xfId="2" applyNumberFormat="1" applyFont="1" applyFill="1" applyBorder="1" applyAlignment="1">
      <alignment horizontal="center" vertical="center"/>
    </xf>
    <xf numFmtId="164" fontId="11" fillId="9" borderId="29" xfId="2" applyNumberFormat="1" applyFont="1" applyFill="1" applyBorder="1" applyAlignment="1">
      <alignment horizontal="center" vertical="center"/>
    </xf>
    <xf numFmtId="164" fontId="11" fillId="9" borderId="37" xfId="2" applyNumberFormat="1" applyFont="1" applyFill="1" applyBorder="1" applyAlignment="1">
      <alignment horizontal="center" vertical="center"/>
    </xf>
    <xf numFmtId="0" fontId="34" fillId="6" borderId="18" xfId="0" applyFont="1" applyFill="1" applyBorder="1" applyAlignment="1">
      <alignment horizontal="center" vertical="center"/>
    </xf>
    <xf numFmtId="0" fontId="34" fillId="6" borderId="0" xfId="0" applyFont="1" applyFill="1" applyAlignment="1">
      <alignment horizontal="center" vertical="center"/>
    </xf>
    <xf numFmtId="0" fontId="72" fillId="6" borderId="0" xfId="0" applyFont="1" applyFill="1" applyAlignment="1">
      <alignment horizontal="center" vertical="center"/>
    </xf>
    <xf numFmtId="0" fontId="34" fillId="6" borderId="19" xfId="0" applyFont="1" applyFill="1" applyBorder="1" applyAlignment="1">
      <alignment horizontal="center" vertical="center"/>
    </xf>
    <xf numFmtId="164" fontId="11" fillId="9" borderId="30" xfId="2" applyNumberFormat="1" applyFont="1" applyFill="1" applyBorder="1" applyAlignment="1" applyProtection="1">
      <alignment horizontal="center" vertical="center"/>
    </xf>
    <xf numFmtId="164" fontId="11" fillId="9" borderId="37" xfId="2" applyNumberFormat="1" applyFont="1" applyFill="1" applyBorder="1" applyAlignment="1" applyProtection="1">
      <alignment horizontal="center" vertical="center"/>
    </xf>
    <xf numFmtId="164" fontId="11" fillId="2" borderId="18" xfId="2" applyNumberFormat="1" applyFont="1" applyFill="1" applyBorder="1" applyAlignment="1" applyProtection="1">
      <alignment horizontal="center" vertical="center"/>
    </xf>
    <xf numFmtId="164" fontId="11" fillId="2" borderId="30" xfId="2" applyNumberFormat="1" applyFont="1" applyFill="1" applyBorder="1" applyAlignment="1" applyProtection="1">
      <alignment horizontal="center" vertical="center"/>
    </xf>
    <xf numFmtId="164" fontId="11" fillId="9" borderId="32" xfId="2" applyNumberFormat="1" applyFont="1" applyFill="1" applyBorder="1" applyAlignment="1" applyProtection="1">
      <alignment horizontal="center" vertical="center"/>
    </xf>
    <xf numFmtId="164" fontId="11" fillId="9" borderId="35" xfId="2" applyNumberFormat="1" applyFont="1" applyFill="1" applyBorder="1" applyAlignment="1" applyProtection="1">
      <alignment horizontal="center" vertical="center"/>
    </xf>
    <xf numFmtId="164" fontId="11" fillId="9" borderId="34" xfId="2" applyNumberFormat="1" applyFont="1" applyFill="1" applyBorder="1" applyAlignment="1" applyProtection="1">
      <alignment horizontal="center" vertical="center"/>
    </xf>
    <xf numFmtId="164" fontId="11" fillId="9" borderId="38" xfId="2" applyNumberFormat="1" applyFont="1" applyFill="1" applyBorder="1" applyAlignment="1" applyProtection="1">
      <alignment horizontal="center" vertical="center"/>
    </xf>
    <xf numFmtId="164" fontId="11" fillId="9" borderId="33" xfId="2" applyNumberFormat="1" applyFont="1" applyFill="1" applyBorder="1" applyAlignment="1" applyProtection="1">
      <alignment horizontal="center" vertical="center"/>
    </xf>
    <xf numFmtId="164" fontId="11" fillId="9" borderId="31" xfId="2" applyNumberFormat="1" applyFont="1" applyFill="1" applyBorder="1" applyAlignment="1" applyProtection="1">
      <alignment horizontal="center" vertical="center"/>
    </xf>
    <xf numFmtId="0" fontId="72" fillId="6" borderId="19" xfId="0" applyFont="1" applyFill="1" applyBorder="1" applyAlignment="1">
      <alignment horizontal="center" vertical="center"/>
    </xf>
    <xf numFmtId="0" fontId="72" fillId="6" borderId="29" xfId="0" applyFont="1" applyFill="1" applyBorder="1" applyAlignment="1">
      <alignment horizontal="center" vertical="center"/>
    </xf>
    <xf numFmtId="0" fontId="72" fillId="6" borderId="37" xfId="0" applyFont="1" applyFill="1" applyBorder="1" applyAlignment="1">
      <alignment horizontal="center" vertical="center"/>
    </xf>
    <xf numFmtId="164" fontId="11" fillId="9" borderId="29" xfId="2" applyNumberFormat="1" applyFont="1" applyFill="1" applyBorder="1" applyAlignment="1" applyProtection="1">
      <alignment horizontal="center" vertical="center"/>
    </xf>
    <xf numFmtId="0" fontId="46" fillId="6" borderId="18" xfId="0" applyFont="1" applyFill="1" applyBorder="1" applyAlignment="1" applyProtection="1">
      <alignment horizontal="center" vertical="center"/>
      <protection locked="0"/>
    </xf>
    <xf numFmtId="0" fontId="46" fillId="6" borderId="19" xfId="0" applyFont="1" applyFill="1" applyBorder="1" applyAlignment="1" applyProtection="1">
      <alignment horizontal="center" vertical="center"/>
      <protection locked="0"/>
    </xf>
    <xf numFmtId="0" fontId="46" fillId="6" borderId="0" xfId="0" applyFont="1" applyFill="1" applyAlignment="1" applyProtection="1">
      <alignment horizontal="center" vertical="center"/>
      <protection locked="0"/>
    </xf>
    <xf numFmtId="0" fontId="46" fillId="6" borderId="18" xfId="0" applyFont="1" applyFill="1" applyBorder="1" applyAlignment="1" applyProtection="1">
      <alignment horizontal="center" vertical="center" wrapText="1"/>
      <protection locked="0"/>
    </xf>
    <xf numFmtId="0" fontId="46" fillId="6" borderId="0" xfId="0" applyFont="1" applyFill="1" applyAlignment="1" applyProtection="1">
      <alignment horizontal="center" vertical="center" wrapText="1"/>
      <protection locked="0"/>
    </xf>
    <xf numFmtId="0" fontId="46" fillId="6" borderId="58" xfId="0" applyFont="1" applyFill="1" applyBorder="1" applyAlignment="1" applyProtection="1">
      <alignment horizontal="center" vertical="center" wrapText="1"/>
      <protection locked="0"/>
    </xf>
    <xf numFmtId="173" fontId="84" fillId="3" borderId="0" xfId="0" applyNumberFormat="1" applyFont="1" applyFill="1" applyAlignment="1" applyProtection="1">
      <alignment horizontal="center" vertical="center"/>
      <protection locked="0"/>
    </xf>
    <xf numFmtId="0" fontId="84" fillId="3" borderId="0" xfId="0" applyFont="1" applyFill="1" applyAlignment="1" applyProtection="1">
      <alignment horizontal="center" vertical="center"/>
      <protection locked="0"/>
    </xf>
    <xf numFmtId="0" fontId="39" fillId="0" borderId="55" xfId="0" applyFont="1" applyBorder="1" applyAlignment="1" applyProtection="1">
      <alignment horizontal="center" vertical="center"/>
      <protection locked="0"/>
    </xf>
    <xf numFmtId="0" fontId="39" fillId="0" borderId="56" xfId="0" applyFont="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68" fillId="0" borderId="0" xfId="0" applyFont="1" applyAlignment="1">
      <alignment horizontal="left" vertical="top" wrapText="1"/>
    </xf>
    <xf numFmtId="0" fontId="46" fillId="0" borderId="0" xfId="0" applyFont="1" applyAlignment="1">
      <alignment horizontal="left"/>
    </xf>
  </cellXfs>
  <cellStyles count="5">
    <cellStyle name="Comma" xfId="1" builtinId="3"/>
    <cellStyle name="Normal" xfId="0" builtinId="0"/>
    <cellStyle name="Normal 2" xfId="3" xr:uid="{391952D2-EF15-4E00-A350-E677397A12E8}"/>
    <cellStyle name="Per cent 2" xfId="4" xr:uid="{ED6A3AF3-CB7D-4883-8BDE-109D264286DC}"/>
    <cellStyle name="Percent" xfId="2" builtinId="5"/>
  </cellStyles>
  <dxfs count="592">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s>
  <tableStyles count="0" defaultTableStyle="TableStyleMedium2" defaultPivotStyle="PivotStyleLight16"/>
  <colors>
    <mruColors>
      <color rgb="FFFFC35C"/>
      <color rgb="FF0000C0"/>
      <color rgb="FF343A51"/>
      <color rgb="FFFFFFCD"/>
      <color rgb="FFFAB47A"/>
      <color rgb="FF4E607B"/>
      <color rgb="FFFDD5D5"/>
      <color rgb="FFED5A6E"/>
      <color rgb="FF5280FF"/>
      <color rgb="FF00AE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rgbClr val="343A51"/>
                </a:solidFill>
                <a:latin typeface="Archia Bold" panose="02000503000000020004" pitchFamily="2" charset="77"/>
                <a:ea typeface="+mn-ea"/>
                <a:cs typeface="+mn-cs"/>
              </a:defRPr>
            </a:pPr>
            <a:r>
              <a:rPr lang="en-US" sz="1600" b="1">
                <a:solidFill>
                  <a:srgbClr val="343A51"/>
                </a:solidFill>
                <a:latin typeface="Archia Bold" panose="02000503000000020004" pitchFamily="2" charset="77"/>
              </a:rPr>
              <a:t>Alocação por Estratégia</a:t>
            </a:r>
          </a:p>
        </c:rich>
      </c:tx>
      <c:layout>
        <c:manualLayout>
          <c:xMode val="edge"/>
          <c:yMode val="edge"/>
          <c:x val="0.12225479262270272"/>
          <c:y val="2.2363653118208284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rgbClr val="343A51"/>
              </a:solidFill>
              <a:latin typeface="Archia Bold" panose="02000503000000020004" pitchFamily="2" charset="77"/>
              <a:ea typeface="+mn-ea"/>
              <a:cs typeface="+mn-cs"/>
            </a:defRPr>
          </a:pPr>
          <a:endParaRPr lang="pt-BR"/>
        </a:p>
      </c:txPr>
    </c:title>
    <c:autoTitleDeleted val="0"/>
    <c:plotArea>
      <c:layout>
        <c:manualLayout>
          <c:layoutTarget val="inner"/>
          <c:xMode val="edge"/>
          <c:yMode val="edge"/>
          <c:x val="0.22442771329960598"/>
          <c:y val="0.1915784566150896"/>
          <c:w val="0.31067791307939335"/>
          <c:h val="0.3957258049094039"/>
        </c:manualLayout>
      </c:layout>
      <c:doughnutChart>
        <c:varyColors val="1"/>
        <c:ser>
          <c:idx val="0"/>
          <c:order val="0"/>
          <c:dPt>
            <c:idx val="0"/>
            <c:bubble3D val="0"/>
            <c:spPr>
              <a:solidFill>
                <a:srgbClr val="343A51"/>
              </a:solidFill>
              <a:ln w="19050">
                <a:solidFill>
                  <a:schemeClr val="lt1"/>
                </a:solidFill>
              </a:ln>
              <a:effectLst/>
            </c:spPr>
            <c:extLst>
              <c:ext xmlns:c16="http://schemas.microsoft.com/office/drawing/2014/chart" uri="{C3380CC4-5D6E-409C-BE32-E72D297353CC}">
                <c16:uniqueId val="{00000002-8A63-E54C-B6B7-48D4F697BF1B}"/>
              </c:ext>
            </c:extLst>
          </c:dPt>
          <c:dPt>
            <c:idx val="1"/>
            <c:bubble3D val="0"/>
            <c:spPr>
              <a:solidFill>
                <a:srgbClr val="FAB47A"/>
              </a:solidFill>
              <a:ln w="19050">
                <a:solidFill>
                  <a:schemeClr val="lt1"/>
                </a:solidFill>
              </a:ln>
              <a:effectLst/>
            </c:spPr>
            <c:extLst>
              <c:ext xmlns:c16="http://schemas.microsoft.com/office/drawing/2014/chart" uri="{C3380CC4-5D6E-409C-BE32-E72D297353CC}">
                <c16:uniqueId val="{00000003-2B1F-A442-8F0F-5F2F08DEE7BE}"/>
              </c:ext>
            </c:extLst>
          </c:dPt>
          <c:dPt>
            <c:idx val="2"/>
            <c:bubble3D val="0"/>
            <c:spPr>
              <a:solidFill>
                <a:srgbClr val="4E607B"/>
              </a:solidFill>
              <a:ln w="19050">
                <a:solidFill>
                  <a:schemeClr val="lt1"/>
                </a:solidFill>
              </a:ln>
              <a:effectLst/>
            </c:spPr>
            <c:extLst>
              <c:ext xmlns:c16="http://schemas.microsoft.com/office/drawing/2014/chart" uri="{C3380CC4-5D6E-409C-BE32-E72D297353CC}">
                <c16:uniqueId val="{00000005-2B1F-A442-8F0F-5F2F08DEE7BE}"/>
              </c:ext>
            </c:extLst>
          </c:dPt>
          <c:dPt>
            <c:idx val="3"/>
            <c:bubble3D val="0"/>
            <c:spPr>
              <a:solidFill>
                <a:srgbClr val="ED5A6E"/>
              </a:solidFill>
              <a:ln w="19050">
                <a:solidFill>
                  <a:schemeClr val="lt1"/>
                </a:solidFill>
              </a:ln>
              <a:effectLst/>
            </c:spPr>
            <c:extLst>
              <c:ext xmlns:c16="http://schemas.microsoft.com/office/drawing/2014/chart" uri="{C3380CC4-5D6E-409C-BE32-E72D297353CC}">
                <c16:uniqueId val="{00000007-2B1F-A442-8F0F-5F2F08DEE7BE}"/>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arabun" pitchFamily="2" charset="-34"/>
                    <a:ea typeface="+mn-ea"/>
                    <a:cs typeface="Sarabun" pitchFamily="2" charset="-34"/>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'Documento PDF'!$B$70:$B$73</c:f>
              <c:strCache>
                <c:ptCount val="4"/>
                <c:pt idx="0">
                  <c:v>Renda Fixa</c:v>
                </c:pt>
                <c:pt idx="1">
                  <c:v>Multimercado</c:v>
                </c:pt>
                <c:pt idx="2">
                  <c:v>Renda Variável</c:v>
                </c:pt>
                <c:pt idx="3">
                  <c:v>Alternativos</c:v>
                </c:pt>
              </c:strCache>
            </c:strRef>
          </c:cat>
          <c:val>
            <c:numRef>
              <c:f>'Documento PDF'!$C$70:$C$73</c:f>
              <c:numCache>
                <c:formatCode>0.0%</c:formatCode>
                <c:ptCount val="4"/>
                <c:pt idx="0">
                  <c:v>0.70000000000000007</c:v>
                </c:pt>
                <c:pt idx="1">
                  <c:v>0.1</c:v>
                </c:pt>
                <c:pt idx="2">
                  <c:v>0.14499999999999999</c:v>
                </c:pt>
                <c:pt idx="3">
                  <c:v>5.5000000000000007E-2</c:v>
                </c:pt>
              </c:numCache>
            </c:numRef>
          </c:val>
          <c:extLst>
            <c:ext xmlns:c16="http://schemas.microsoft.com/office/drawing/2014/chart" uri="{C3380CC4-5D6E-409C-BE32-E72D297353CC}">
              <c16:uniqueId val="{00000000-8A63-E54C-B6B7-48D4F697BF1B}"/>
            </c:ext>
          </c:extLst>
        </c:ser>
        <c:dLbls>
          <c:showLegendKey val="0"/>
          <c:showVal val="0"/>
          <c:showCatName val="0"/>
          <c:showSerName val="0"/>
          <c:showPercent val="1"/>
          <c:showBubbleSize val="0"/>
          <c:showLeaderLines val="1"/>
        </c:dLbls>
        <c:firstSliceAng val="0"/>
        <c:holeSize val="65"/>
      </c:doughnutChart>
      <c:spPr>
        <a:noFill/>
        <a:ln>
          <a:noFill/>
        </a:ln>
        <a:effectLst/>
      </c:spPr>
    </c:plotArea>
    <c:legend>
      <c:legendPos val="t"/>
      <c:layout>
        <c:manualLayout>
          <c:xMode val="edge"/>
          <c:yMode val="edge"/>
          <c:x val="3.3598926714857702E-2"/>
          <c:y val="0.21270081523669679"/>
          <c:w val="0.1842273168231367"/>
          <c:h val="0.34092577509252403"/>
        </c:manualLayout>
      </c:layout>
      <c:overlay val="0"/>
      <c:spPr>
        <a:noFill/>
        <a:ln>
          <a:noFill/>
        </a:ln>
        <a:effectLst/>
      </c:spPr>
      <c:txPr>
        <a:bodyPr rot="0" spcFirstLastPara="1" vertOverflow="ellipsis" vert="horz" wrap="square" anchor="t" anchorCtr="0"/>
        <a:lstStyle/>
        <a:p>
          <a:pPr>
            <a:defRPr sz="1050" b="0" i="0" u="none" strike="noStrike" kern="1200" baseline="0">
              <a:solidFill>
                <a:srgbClr val="475466"/>
              </a:solidFill>
              <a:latin typeface="Sarabun" pitchFamily="2" charset="-34"/>
              <a:ea typeface="+mn-ea"/>
              <a:cs typeface="Sarabun" pitchFamily="2" charset="-34"/>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rgbClr val="343A51"/>
                </a:solidFill>
                <a:latin typeface="+mn-lt"/>
                <a:ea typeface="+mn-ea"/>
                <a:cs typeface="+mn-cs"/>
              </a:defRPr>
            </a:pPr>
            <a:r>
              <a:rPr lang="en-US" sz="1600" b="1">
                <a:solidFill>
                  <a:srgbClr val="343A51"/>
                </a:solidFill>
                <a:latin typeface="Archia Bold" panose="02000503000000020004" pitchFamily="2" charset="77"/>
              </a:rPr>
              <a:t>Liquidez da Carteira</a:t>
            </a:r>
          </a:p>
        </c:rich>
      </c:tx>
      <c:overlay val="0"/>
      <c:spPr>
        <a:noFill/>
        <a:ln>
          <a:noFill/>
        </a:ln>
        <a:effectLst/>
      </c:spPr>
    </c:title>
    <c:autoTitleDeleted val="0"/>
    <c:plotArea>
      <c:layout>
        <c:manualLayout>
          <c:layoutTarget val="inner"/>
          <c:xMode val="edge"/>
          <c:yMode val="edge"/>
          <c:x val="0.47985492272363595"/>
          <c:y val="0.16715076271637672"/>
          <c:w val="0.3199325013693039"/>
          <c:h val="0.78885720233292167"/>
        </c:manualLayout>
      </c:layout>
      <c:barChart>
        <c:barDir val="bar"/>
        <c:grouping val="clustered"/>
        <c:varyColors val="0"/>
        <c:ser>
          <c:idx val="0"/>
          <c:order val="0"/>
          <c:spPr>
            <a:solidFill>
              <a:srgbClr val="475466"/>
            </a:solidFill>
            <a:ln>
              <a:noFill/>
            </a:ln>
            <a:effectLst/>
          </c:spPr>
          <c:invertIfNegative val="0"/>
          <c:dPt>
            <c:idx val="0"/>
            <c:invertIfNegative val="0"/>
            <c:bubble3D val="0"/>
            <c:spPr>
              <a:solidFill>
                <a:srgbClr val="FAB47A"/>
              </a:solidFill>
              <a:ln>
                <a:noFill/>
              </a:ln>
              <a:effectLst/>
            </c:spPr>
            <c:extLst>
              <c:ext xmlns:c16="http://schemas.microsoft.com/office/drawing/2014/chart" uri="{C3380CC4-5D6E-409C-BE32-E72D297353CC}">
                <c16:uniqueId val="{00000002-BBAC-964A-9224-6E98FC8BF1E9}"/>
              </c:ext>
            </c:extLst>
          </c:dPt>
          <c:dLbls>
            <c:spPr>
              <a:noFill/>
              <a:ln>
                <a:noFill/>
              </a:ln>
              <a:effectLst/>
            </c:spPr>
            <c:txPr>
              <a:bodyPr rot="0" spcFirstLastPara="1" vertOverflow="ellipsis" vert="horz" wrap="none" lIns="38100" tIns="19050" rIns="38100" bIns="19050" anchor="ctr" anchorCtr="1">
                <a:spAutoFit/>
              </a:bodyPr>
              <a:lstStyle/>
              <a:p>
                <a:pPr>
                  <a:defRPr sz="900" b="0" i="0" u="none" strike="noStrike" kern="1200" baseline="0">
                    <a:solidFill>
                      <a:srgbClr val="475466"/>
                    </a:solidFill>
                    <a:latin typeface="Sarabun" pitchFamily="2" charset="-34"/>
                    <a:ea typeface="+mn-ea"/>
                    <a:cs typeface="Sarabun" pitchFamily="2" charset="-34"/>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'Documento PDF'!$A$70:$A$77</c:f>
              <c:strCache>
                <c:ptCount val="8"/>
                <c:pt idx="0">
                  <c:v>De 0 a 2 dias</c:v>
                </c:pt>
                <c:pt idx="1">
                  <c:v>Até 5 dias</c:v>
                </c:pt>
                <c:pt idx="2">
                  <c:v>Até 15 dias</c:v>
                </c:pt>
                <c:pt idx="3">
                  <c:v>Até 32 dias</c:v>
                </c:pt>
                <c:pt idx="4">
                  <c:v>Até 62 dias</c:v>
                </c:pt>
                <c:pt idx="5">
                  <c:v>Até 92 dias</c:v>
                </c:pt>
                <c:pt idx="6">
                  <c:v>Até 1 ano</c:v>
                </c:pt>
                <c:pt idx="7">
                  <c:v>Acima de 1 ano</c:v>
                </c:pt>
              </c:strCache>
            </c:strRef>
          </c:cat>
          <c:val>
            <c:numRef>
              <c:f>'Documento PDF'!$D$70:$D$77</c:f>
              <c:numCache>
                <c:formatCode>_-[$R$-416]\ * #,##0_-;\-[$R$-416]\ * #,##0_-;_-[$R$-416]\ * "-"_-;_-@_-</c:formatCode>
                <c:ptCount val="8"/>
                <c:pt idx="0">
                  <c:v>40000</c:v>
                </c:pt>
                <c:pt idx="1">
                  <c:v>90000</c:v>
                </c:pt>
                <c:pt idx="2">
                  <c:v>302500</c:v>
                </c:pt>
                <c:pt idx="3">
                  <c:v>302500</c:v>
                </c:pt>
                <c:pt idx="4">
                  <c:v>368500</c:v>
                </c:pt>
                <c:pt idx="5">
                  <c:v>368500</c:v>
                </c:pt>
                <c:pt idx="6">
                  <c:v>1000000</c:v>
                </c:pt>
                <c:pt idx="7">
                  <c:v>1000000</c:v>
                </c:pt>
              </c:numCache>
            </c:numRef>
          </c:val>
          <c:extLst>
            <c:ext xmlns:c16="http://schemas.microsoft.com/office/drawing/2014/chart" uri="{C3380CC4-5D6E-409C-BE32-E72D297353CC}">
              <c16:uniqueId val="{00000001-BBAC-964A-9224-6E98FC8BF1E9}"/>
            </c:ext>
          </c:extLst>
        </c:ser>
        <c:dLbls>
          <c:showLegendKey val="0"/>
          <c:showVal val="0"/>
          <c:showCatName val="0"/>
          <c:showSerName val="0"/>
          <c:showPercent val="0"/>
          <c:showBubbleSize val="0"/>
        </c:dLbls>
        <c:gapWidth val="147"/>
        <c:axId val="1099108447"/>
        <c:axId val="1099723119"/>
      </c:barChart>
      <c:catAx>
        <c:axId val="1099108447"/>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rgbClr val="475466"/>
                </a:solidFill>
                <a:latin typeface="Sarabun" pitchFamily="2" charset="-34"/>
                <a:ea typeface="+mn-ea"/>
                <a:cs typeface="Sarabun" pitchFamily="2" charset="-34"/>
              </a:defRPr>
            </a:pPr>
            <a:endParaRPr lang="pt-BR"/>
          </a:p>
        </c:txPr>
        <c:crossAx val="1099723119"/>
        <c:crosses val="autoZero"/>
        <c:auto val="1"/>
        <c:lblAlgn val="ctr"/>
        <c:lblOffset val="100"/>
        <c:noMultiLvlLbl val="0"/>
      </c:catAx>
      <c:valAx>
        <c:axId val="1099723119"/>
        <c:scaling>
          <c:orientation val="minMax"/>
        </c:scaling>
        <c:delete val="1"/>
        <c:axPos val="t"/>
        <c:numFmt formatCode="_-[$R$-416]\ * #,##0_-;\-[$R$-416]\ * #,##0_-;_-[$R$-416]\ * &quot;-&quot;_-;_-@_-" sourceLinked="1"/>
        <c:majorTickMark val="none"/>
        <c:minorTickMark val="none"/>
        <c:tickLblPos val="nextTo"/>
        <c:crossAx val="1099108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F090D527-7A20-2247-B32C-5E6D91CF17B2}"/>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BAA128D5-042A-6B43-884F-160994AC825A}"/>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42A7575A-98A1-714E-8ECF-8C3883E28D4D}"/>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F548505B-01EA-5D45-A815-6C93C4C743CB}"/>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51B721EB-8F97-D044-8F31-A97E12ED5298}"/>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3396FB2B-8003-AB45-907E-98E569F9A573}"/>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2137AFB0-3EA9-8365-34D7-F9569BBFB01D}"/>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0</xdr:row>
      <xdr:rowOff>74084</xdr:rowOff>
    </xdr:from>
    <xdr:to>
      <xdr:col>1</xdr:col>
      <xdr:colOff>2614083</xdr:colOff>
      <xdr:row>2</xdr:row>
      <xdr:rowOff>84668</xdr:rowOff>
    </xdr:to>
    <xdr:sp macro="[0]!copy_fund_guide" textlink="">
      <xdr:nvSpPr>
        <xdr:cNvPr id="2" name="Rectangle: Rounded Corners 1">
          <a:extLst>
            <a:ext uri="{FF2B5EF4-FFF2-40B4-BE49-F238E27FC236}">
              <a16:creationId xmlns:a16="http://schemas.microsoft.com/office/drawing/2014/main" id="{06041AE7-A7EA-6F57-793E-8040D1B1B200}"/>
            </a:ext>
          </a:extLst>
        </xdr:cNvPr>
        <xdr:cNvSpPr/>
      </xdr:nvSpPr>
      <xdr:spPr>
        <a:xfrm>
          <a:off x="296333" y="74084"/>
          <a:ext cx="2614083" cy="359834"/>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76200</xdr:colOff>
      <xdr:row>0</xdr:row>
      <xdr:rowOff>0</xdr:rowOff>
    </xdr:from>
    <xdr:to>
      <xdr:col>11</xdr:col>
      <xdr:colOff>9333</xdr:colOff>
      <xdr:row>3</xdr:row>
      <xdr:rowOff>24077</xdr:rowOff>
    </xdr:to>
    <xdr:pic>
      <xdr:nvPicPr>
        <xdr:cNvPr id="2" name="Picture 1">
          <a:extLst>
            <a:ext uri="{FF2B5EF4-FFF2-40B4-BE49-F238E27FC236}">
              <a16:creationId xmlns:a16="http://schemas.microsoft.com/office/drawing/2014/main" id="{66399F0B-5FEF-8C46-9635-643A42220936}"/>
            </a:ext>
          </a:extLst>
        </xdr:cNvPr>
        <xdr:cNvPicPr>
          <a:picLocks noChangeAspect="1"/>
        </xdr:cNvPicPr>
      </xdr:nvPicPr>
      <xdr:blipFill>
        <a:blip xmlns:r="http://schemas.openxmlformats.org/officeDocument/2006/relationships" r:embed="rId1"/>
        <a:stretch>
          <a:fillRect/>
        </a:stretch>
      </xdr:blipFill>
      <xdr:spPr>
        <a:xfrm>
          <a:off x="8020050" y="0"/>
          <a:ext cx="1809558" cy="7003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228600</xdr:colOff>
      <xdr:row>1</xdr:row>
      <xdr:rowOff>314324</xdr:rowOff>
    </xdr:from>
    <xdr:to>
      <xdr:col>14</xdr:col>
      <xdr:colOff>114300</xdr:colOff>
      <xdr:row>3</xdr:row>
      <xdr:rowOff>47624</xdr:rowOff>
    </xdr:to>
    <xdr:sp macro="[0]!select_products" textlink="">
      <xdr:nvSpPr>
        <xdr:cNvPr id="3" name="Rectangle: Rounded Corners 2">
          <a:extLst>
            <a:ext uri="{FF2B5EF4-FFF2-40B4-BE49-F238E27FC236}">
              <a16:creationId xmlns:a16="http://schemas.microsoft.com/office/drawing/2014/main" id="{7CDC4B9A-2644-DCD7-29EA-9AFF97EAEE4C}"/>
            </a:ext>
          </a:extLst>
        </xdr:cNvPr>
        <xdr:cNvSpPr/>
      </xdr:nvSpPr>
      <xdr:spPr>
        <a:xfrm>
          <a:off x="8953500" y="371474"/>
          <a:ext cx="1647825"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24</xdr:col>
      <xdr:colOff>370680</xdr:colOff>
      <xdr:row>1</xdr:row>
      <xdr:rowOff>27782</xdr:rowOff>
    </xdr:from>
    <xdr:to>
      <xdr:col>27</xdr:col>
      <xdr:colOff>4569</xdr:colOff>
      <xdr:row>2</xdr:row>
      <xdr:rowOff>339990</xdr:rowOff>
    </xdr:to>
    <xdr:pic>
      <xdr:nvPicPr>
        <xdr:cNvPr id="2" name="Picture 1">
          <a:extLst>
            <a:ext uri="{FF2B5EF4-FFF2-40B4-BE49-F238E27FC236}">
              <a16:creationId xmlns:a16="http://schemas.microsoft.com/office/drawing/2014/main" id="{9839E7B0-23CC-4548-AF46-8E889ED128E1}"/>
            </a:ext>
          </a:extLst>
        </xdr:cNvPr>
        <xdr:cNvPicPr>
          <a:picLocks noChangeAspect="1"/>
        </xdr:cNvPicPr>
      </xdr:nvPicPr>
      <xdr:blipFill>
        <a:blip xmlns:r="http://schemas.openxmlformats.org/officeDocument/2006/relationships" r:embed="rId1"/>
        <a:stretch>
          <a:fillRect/>
        </a:stretch>
      </xdr:blipFill>
      <xdr:spPr>
        <a:xfrm>
          <a:off x="18506280" y="84932"/>
          <a:ext cx="1862739" cy="70273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420687</xdr:colOff>
      <xdr:row>1</xdr:row>
      <xdr:rowOff>15876</xdr:rowOff>
    </xdr:from>
    <xdr:to>
      <xdr:col>12</xdr:col>
      <xdr:colOff>554637</xdr:colOff>
      <xdr:row>2</xdr:row>
      <xdr:rowOff>328084</xdr:rowOff>
    </xdr:to>
    <xdr:pic>
      <xdr:nvPicPr>
        <xdr:cNvPr id="2" name="Picture 1">
          <a:extLst>
            <a:ext uri="{FF2B5EF4-FFF2-40B4-BE49-F238E27FC236}">
              <a16:creationId xmlns:a16="http://schemas.microsoft.com/office/drawing/2014/main" id="{E4AF7750-B094-418F-B915-82BA7854C7F9}"/>
            </a:ext>
          </a:extLst>
        </xdr:cNvPr>
        <xdr:cNvPicPr>
          <a:picLocks noChangeAspect="1"/>
        </xdr:cNvPicPr>
      </xdr:nvPicPr>
      <xdr:blipFill>
        <a:blip xmlns:r="http://schemas.openxmlformats.org/officeDocument/2006/relationships" r:embed="rId1"/>
        <a:stretch>
          <a:fillRect/>
        </a:stretch>
      </xdr:blipFill>
      <xdr:spPr>
        <a:xfrm>
          <a:off x="8707437" y="75407"/>
          <a:ext cx="1848449" cy="70511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384967</xdr:colOff>
      <xdr:row>0</xdr:row>
      <xdr:rowOff>27782</xdr:rowOff>
    </xdr:from>
    <xdr:to>
      <xdr:col>15</xdr:col>
      <xdr:colOff>685605</xdr:colOff>
      <xdr:row>2</xdr:row>
      <xdr:rowOff>280459</xdr:rowOff>
    </xdr:to>
    <xdr:pic>
      <xdr:nvPicPr>
        <xdr:cNvPr id="2" name="Picture 1">
          <a:extLst>
            <a:ext uri="{FF2B5EF4-FFF2-40B4-BE49-F238E27FC236}">
              <a16:creationId xmlns:a16="http://schemas.microsoft.com/office/drawing/2014/main" id="{7BC9A35E-B332-40BA-BD51-F58DC8AB40BD}"/>
            </a:ext>
          </a:extLst>
        </xdr:cNvPr>
        <xdr:cNvPicPr>
          <a:picLocks noChangeAspect="1"/>
        </xdr:cNvPicPr>
      </xdr:nvPicPr>
      <xdr:blipFill>
        <a:blip xmlns:r="http://schemas.openxmlformats.org/officeDocument/2006/relationships" r:embed="rId1"/>
        <a:stretch>
          <a:fillRect/>
        </a:stretch>
      </xdr:blipFill>
      <xdr:spPr>
        <a:xfrm>
          <a:off x="11314905" y="27782"/>
          <a:ext cx="1848450" cy="70511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19</xdr:col>
      <xdr:colOff>335756</xdr:colOff>
      <xdr:row>6</xdr:row>
      <xdr:rowOff>109538</xdr:rowOff>
    </xdr:from>
    <xdr:to>
      <xdr:col>21</xdr:col>
      <xdr:colOff>478631</xdr:colOff>
      <xdr:row>8</xdr:row>
      <xdr:rowOff>97631</xdr:rowOff>
    </xdr:to>
    <xdr:sp macro="[0]!limpa_carteira" textlink="">
      <xdr:nvSpPr>
        <xdr:cNvPr id="4" name="Rectangle: Rounded Corners 3">
          <a:extLst>
            <a:ext uri="{FF2B5EF4-FFF2-40B4-BE49-F238E27FC236}">
              <a16:creationId xmlns:a16="http://schemas.microsoft.com/office/drawing/2014/main" id="{0E83D4F9-B4CF-40C1-FF5A-27CEA9547F0B}"/>
            </a:ext>
          </a:extLst>
        </xdr:cNvPr>
        <xdr:cNvSpPr/>
      </xdr:nvSpPr>
      <xdr:spPr>
        <a:xfrm>
          <a:off x="12251531" y="1062038"/>
          <a:ext cx="1447800" cy="292893"/>
        </a:xfrm>
        <a:prstGeom prst="roundRect">
          <a:avLst/>
        </a:prstGeom>
        <a:solidFill>
          <a:srgbClr val="FFC35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Archia Medium" panose="02000503000000020004" pitchFamily="50" charset="0"/>
            </a:rPr>
            <a:t>Limpar Carteira</a:t>
          </a:r>
        </a:p>
      </xdr:txBody>
    </xdr:sp>
    <xdr:clientData/>
  </xdr:twoCellAnchor>
  <xdr:twoCellAnchor>
    <xdr:from>
      <xdr:col>19</xdr:col>
      <xdr:colOff>330994</xdr:colOff>
      <xdr:row>3</xdr:row>
      <xdr:rowOff>57150</xdr:rowOff>
    </xdr:from>
    <xdr:to>
      <xdr:col>21</xdr:col>
      <xdr:colOff>473869</xdr:colOff>
      <xdr:row>5</xdr:row>
      <xdr:rowOff>45243</xdr:rowOff>
    </xdr:to>
    <xdr:sp macro="[0]!del_linha" textlink="">
      <xdr:nvSpPr>
        <xdr:cNvPr id="5" name="Rectangle: Rounded Corners 4">
          <a:extLst>
            <a:ext uri="{FF2B5EF4-FFF2-40B4-BE49-F238E27FC236}">
              <a16:creationId xmlns:a16="http://schemas.microsoft.com/office/drawing/2014/main" id="{F1A91970-9CCB-4225-98B6-CF970DCDADD0}"/>
            </a:ext>
          </a:extLst>
        </xdr:cNvPr>
        <xdr:cNvSpPr/>
      </xdr:nvSpPr>
      <xdr:spPr>
        <a:xfrm>
          <a:off x="12246769" y="638175"/>
          <a:ext cx="1447800" cy="292893"/>
        </a:xfrm>
        <a:prstGeom prst="round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Archia Medium" panose="02000503000000020004" pitchFamily="50" charset="0"/>
            </a:rPr>
            <a:t>Remover Linha</a:t>
          </a:r>
        </a:p>
      </xdr:txBody>
    </xdr:sp>
    <xdr:clientData/>
  </xdr:twoCellAnchor>
  <xdr:twoCellAnchor>
    <xdr:from>
      <xdr:col>19</xdr:col>
      <xdr:colOff>338137</xdr:colOff>
      <xdr:row>0</xdr:row>
      <xdr:rowOff>230982</xdr:rowOff>
    </xdr:from>
    <xdr:to>
      <xdr:col>21</xdr:col>
      <xdr:colOff>481012</xdr:colOff>
      <xdr:row>2</xdr:row>
      <xdr:rowOff>183357</xdr:rowOff>
    </xdr:to>
    <xdr:sp macro="[0]!add_linha" textlink="">
      <xdr:nvSpPr>
        <xdr:cNvPr id="6" name="Rectangle: Rounded Corners 5">
          <a:extLst>
            <a:ext uri="{FF2B5EF4-FFF2-40B4-BE49-F238E27FC236}">
              <a16:creationId xmlns:a16="http://schemas.microsoft.com/office/drawing/2014/main" id="{62935E70-A73F-4328-B999-46DD5BA6845D}"/>
            </a:ext>
          </a:extLst>
        </xdr:cNvPr>
        <xdr:cNvSpPr/>
      </xdr:nvSpPr>
      <xdr:spPr>
        <a:xfrm>
          <a:off x="12253912" y="230982"/>
          <a:ext cx="1447800" cy="295275"/>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Archia Medium" panose="02000503000000020004" pitchFamily="50" charset="0"/>
            </a:rPr>
            <a:t>Adicionar Linha</a:t>
          </a:r>
        </a:p>
      </xdr:txBody>
    </xdr:sp>
    <xdr:clientData/>
  </xdr:twoCellAnchor>
  <xdr:twoCellAnchor editAs="oneCell">
    <xdr:from>
      <xdr:col>4</xdr:col>
      <xdr:colOff>273844</xdr:colOff>
      <xdr:row>0</xdr:row>
      <xdr:rowOff>95251</xdr:rowOff>
    </xdr:from>
    <xdr:to>
      <xdr:col>4</xdr:col>
      <xdr:colOff>2110388</xdr:colOff>
      <xdr:row>4</xdr:row>
      <xdr:rowOff>138629</xdr:rowOff>
    </xdr:to>
    <xdr:pic>
      <xdr:nvPicPr>
        <xdr:cNvPr id="7" name="Picture 6">
          <a:extLst>
            <a:ext uri="{FF2B5EF4-FFF2-40B4-BE49-F238E27FC236}">
              <a16:creationId xmlns:a16="http://schemas.microsoft.com/office/drawing/2014/main" id="{6932C79D-65D7-472B-A390-D368841B2168}"/>
            </a:ext>
          </a:extLst>
        </xdr:cNvPr>
        <xdr:cNvPicPr>
          <a:picLocks noChangeAspect="1"/>
        </xdr:cNvPicPr>
      </xdr:nvPicPr>
      <xdr:blipFill>
        <a:blip xmlns:r="http://schemas.openxmlformats.org/officeDocument/2006/relationships" r:embed="rId1"/>
        <a:stretch>
          <a:fillRect/>
        </a:stretch>
      </xdr:blipFill>
      <xdr:spPr>
        <a:xfrm>
          <a:off x="416719" y="95251"/>
          <a:ext cx="1836544" cy="698222"/>
        </a:xfrm>
        <a:prstGeom prst="rect">
          <a:avLst/>
        </a:prstGeom>
      </xdr:spPr>
    </xdr:pic>
    <xdr:clientData/>
  </xdr:twoCellAnchor>
  <xdr:twoCellAnchor>
    <xdr:from>
      <xdr:col>6</xdr:col>
      <xdr:colOff>321468</xdr:colOff>
      <xdr:row>3</xdr:row>
      <xdr:rowOff>38101</xdr:rowOff>
    </xdr:from>
    <xdr:to>
      <xdr:col>8</xdr:col>
      <xdr:colOff>464343</xdr:colOff>
      <xdr:row>5</xdr:row>
      <xdr:rowOff>26194</xdr:rowOff>
    </xdr:to>
    <xdr:sp macro="[0]!copiar_modelo" textlink="">
      <xdr:nvSpPr>
        <xdr:cNvPr id="2" name="Rectangle: Rounded Corners 1">
          <a:extLst>
            <a:ext uri="{FF2B5EF4-FFF2-40B4-BE49-F238E27FC236}">
              <a16:creationId xmlns:a16="http://schemas.microsoft.com/office/drawing/2014/main" id="{48648BD8-19BD-4C66-86B0-4C6C420AD67B}"/>
            </a:ext>
          </a:extLst>
        </xdr:cNvPr>
        <xdr:cNvSpPr/>
      </xdr:nvSpPr>
      <xdr:spPr>
        <a:xfrm>
          <a:off x="4167187" y="621507"/>
          <a:ext cx="1440656" cy="29765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latin typeface="Archia Medium" panose="02000503000000020004" pitchFamily="50" charset="0"/>
            </a:rPr>
            <a:t>Buscar</a:t>
          </a:r>
          <a:r>
            <a:rPr lang="pt-BR" sz="1100" baseline="0">
              <a:latin typeface="Archia Medium" panose="02000503000000020004" pitchFamily="50" charset="0"/>
            </a:rPr>
            <a:t> Carteira</a:t>
          </a:r>
          <a:endParaRPr lang="pt-BR" sz="1100">
            <a:latin typeface="Archia Medium" panose="02000503000000020004" pitchFamily="50"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66</xdr:row>
      <xdr:rowOff>59593</xdr:rowOff>
    </xdr:from>
    <xdr:to>
      <xdr:col>4</xdr:col>
      <xdr:colOff>1024141</xdr:colOff>
      <xdr:row>94</xdr:row>
      <xdr:rowOff>128630</xdr:rowOff>
    </xdr:to>
    <xdr:graphicFrame macro="">
      <xdr:nvGraphicFramePr>
        <xdr:cNvPr id="6" name="Chart 5">
          <a:extLst>
            <a:ext uri="{FF2B5EF4-FFF2-40B4-BE49-F238E27FC236}">
              <a16:creationId xmlns:a16="http://schemas.microsoft.com/office/drawing/2014/main" id="{9585F088-982C-DA4D-A664-1452B27939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8141</xdr:colOff>
      <xdr:row>0</xdr:row>
      <xdr:rowOff>24424</xdr:rowOff>
    </xdr:from>
    <xdr:to>
      <xdr:col>1</xdr:col>
      <xdr:colOff>2385320</xdr:colOff>
      <xdr:row>5</xdr:row>
      <xdr:rowOff>57115</xdr:rowOff>
    </xdr:to>
    <xdr:pic>
      <xdr:nvPicPr>
        <xdr:cNvPr id="7" name="Picture 6">
          <a:extLst>
            <a:ext uri="{FF2B5EF4-FFF2-40B4-BE49-F238E27FC236}">
              <a16:creationId xmlns:a16="http://schemas.microsoft.com/office/drawing/2014/main" id="{182351A5-C5F5-104F-94A4-6289760F7127}"/>
            </a:ext>
          </a:extLst>
        </xdr:cNvPr>
        <xdr:cNvPicPr>
          <a:picLocks noChangeAspect="1"/>
        </xdr:cNvPicPr>
      </xdr:nvPicPr>
      <xdr:blipFill>
        <a:blip xmlns:r="http://schemas.openxmlformats.org/officeDocument/2006/relationships" r:embed="rId2"/>
        <a:stretch>
          <a:fillRect/>
        </a:stretch>
      </xdr:blipFill>
      <xdr:spPr>
        <a:xfrm>
          <a:off x="146538" y="24424"/>
          <a:ext cx="2377179" cy="599118"/>
        </a:xfrm>
        <a:prstGeom prst="rect">
          <a:avLst/>
        </a:prstGeom>
      </xdr:spPr>
    </xdr:pic>
    <xdr:clientData/>
  </xdr:twoCellAnchor>
  <xdr:twoCellAnchor>
    <xdr:from>
      <xdr:col>1</xdr:col>
      <xdr:colOff>3682016</xdr:colOff>
      <xdr:row>66</xdr:row>
      <xdr:rowOff>105833</xdr:rowOff>
    </xdr:from>
    <xdr:to>
      <xdr:col>4</xdr:col>
      <xdr:colOff>994341</xdr:colOff>
      <xdr:row>90</xdr:row>
      <xdr:rowOff>48846</xdr:rowOff>
    </xdr:to>
    <xdr:graphicFrame macro="">
      <xdr:nvGraphicFramePr>
        <xdr:cNvPr id="9" name="Chart 8">
          <a:extLst>
            <a:ext uri="{FF2B5EF4-FFF2-40B4-BE49-F238E27FC236}">
              <a16:creationId xmlns:a16="http://schemas.microsoft.com/office/drawing/2014/main" id="{BE84E7D6-EF84-0447-9879-9EE34FEF5C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ideinvest.sharepoint.com/sites/Materiaisdesuporte/Documentos%20Compartilhados/3-%20Carteira%20Sugerida/3.1-%20B.Side/2.%20Carteira%20Recomendada%20(fundos)/Rebalanceamento%20-%20vNuve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5)%20Produtos/5.1)%20RUN%20e%20Pipeline/RUN%20-%20Renda%20Fix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Rebalanceamento"/>
      <sheetName val="Editar Rebalanceamento"/>
      <sheetName val="Resumo Clientes"/>
      <sheetName val="Menu de Produtos"/>
      <sheetName val="Base Fundos BTG (todos)"/>
      <sheetName val="Ranges"/>
      <sheetName val="Documento PDF"/>
      <sheetName val="Base Clientes"/>
      <sheetName val="Base Clientes (2)"/>
      <sheetName val="Template"/>
      <sheetName val="Base Fundos - Input"/>
      <sheetName val="Base Assessores"/>
    </sheetNames>
    <sheetDataSet>
      <sheetData sheetId="0" refreshError="1"/>
      <sheetData sheetId="1" refreshError="1"/>
      <sheetData sheetId="2" refreshError="1"/>
      <sheetData sheetId="3" refreshError="1"/>
      <sheetData sheetId="4"/>
      <sheetData sheetId="5"/>
      <sheetData sheetId="6" refreshError="1"/>
      <sheetData sheetId="7" refreshError="1"/>
      <sheetData sheetId="8"/>
      <sheetData sheetId="9" refreshError="1"/>
      <sheetData sheetId="10" refreshError="1"/>
      <sheetData sheetId="11" refreshError="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tivos"/>
      <sheetName val="Ativos Selecionados"/>
      <sheetName val="Inflação"/>
      <sheetName val="Pós"/>
      <sheetName val="Pré"/>
      <sheetName val="Inputs Refs"/>
      <sheetName val="Projeções Macro"/>
      <sheetName val="Bloomberg_Est"/>
      <sheetName val="Bloomberg_Din"/>
      <sheetName val="Consulta NTN-B"/>
      <sheetName val="Produtos Manuais"/>
      <sheetName val="Classificações Manuais"/>
      <sheetName val="RUN BTG Bancario"/>
      <sheetName val="RUN BTG Deb Inc"/>
      <sheetName val="RUN BTG Deb N Inc"/>
      <sheetName val="Tabela Rating"/>
      <sheetName val="RUN BTG CRI-CRA"/>
      <sheetName val="FUNDOS"/>
      <sheetName val="ETTJ"/>
      <sheetName val="Tabela Pós"/>
      <sheetName val="Tabela Pré"/>
      <sheetName val="Feriados"/>
    </sheetNames>
    <sheetDataSet>
      <sheetData sheetId="0"/>
      <sheetData sheetId="1"/>
      <sheetData sheetId="2"/>
      <sheetData sheetId="3"/>
      <sheetData sheetId="4"/>
      <sheetData sheetId="5">
        <row r="5">
          <cell r="E5">
            <v>2023</v>
          </cell>
          <cell r="F5">
            <v>0.67271364340330786</v>
          </cell>
          <cell r="G5">
            <v>8.1677E-2</v>
          </cell>
        </row>
        <row r="6">
          <cell r="E6">
            <v>2024</v>
          </cell>
          <cell r="F6">
            <v>1.8489222950371191</v>
          </cell>
          <cell r="G6">
            <v>6.7680999999999991E-2</v>
          </cell>
        </row>
        <row r="7">
          <cell r="E7">
            <v>2025</v>
          </cell>
          <cell r="F7">
            <v>2.4728736515093286</v>
          </cell>
          <cell r="G7">
            <v>6.1521999999999993E-2</v>
          </cell>
        </row>
        <row r="8">
          <cell r="E8">
            <v>2026</v>
          </cell>
          <cell r="F8">
            <v>3.5623494832232732</v>
          </cell>
          <cell r="G8">
            <v>5.9128E-2</v>
          </cell>
        </row>
        <row r="9">
          <cell r="E9">
            <v>2027</v>
          </cell>
          <cell r="F9">
            <v>4.085066131145239</v>
          </cell>
          <cell r="G9">
            <v>5.8741000000000002E-2</v>
          </cell>
        </row>
        <row r="10">
          <cell r="E10">
            <v>2028</v>
          </cell>
          <cell r="F10">
            <v>5.0756232382138711</v>
          </cell>
          <cell r="G10">
            <v>5.8282999999999995E-2</v>
          </cell>
        </row>
        <row r="11">
          <cell r="E11">
            <v>2030</v>
          </cell>
          <cell r="F11">
            <v>6.4192974700096661</v>
          </cell>
          <cell r="G11">
            <v>5.8457000000000002E-2</v>
          </cell>
        </row>
        <row r="12">
          <cell r="E12">
            <v>2032</v>
          </cell>
          <cell r="F12">
            <v>7.6216342219862483</v>
          </cell>
          <cell r="G12">
            <v>5.9175999999999999E-2</v>
          </cell>
        </row>
        <row r="13">
          <cell r="E13">
            <v>2035</v>
          </cell>
          <cell r="F13">
            <v>8.9306081505745833</v>
          </cell>
          <cell r="G13">
            <v>5.9410999999999999E-2</v>
          </cell>
        </row>
        <row r="23">
          <cell r="BK23">
            <v>1.2375894831037664</v>
          </cell>
        </row>
        <row r="24">
          <cell r="BK24">
            <v>1.2031419382481683</v>
          </cell>
          <cell r="CI24">
            <v>0.15928831915105951</v>
          </cell>
          <cell r="CU24">
            <v>9.9972283774416582E-2</v>
          </cell>
        </row>
        <row r="26">
          <cell r="AK26">
            <v>2.2187866075216167E-2</v>
          </cell>
          <cell r="AL26">
            <v>2.0423160192863499E-2</v>
          </cell>
          <cell r="AM26">
            <v>1.9246689604627942E-2</v>
          </cell>
          <cell r="BK26">
            <v>1.1777862457204842</v>
          </cell>
          <cell r="CI26">
            <v>0.1429831573100713</v>
          </cell>
          <cell r="CU26">
            <v>8.6347149719266936E-2</v>
          </cell>
        </row>
        <row r="28">
          <cell r="AK28">
            <v>2.2866890053540923E-2</v>
          </cell>
          <cell r="AL28">
            <v>2.1102184171188032E-2</v>
          </cell>
          <cell r="AM28">
            <v>1.992571358295292E-2</v>
          </cell>
          <cell r="BK28">
            <v>1.1873536618846028</v>
          </cell>
          <cell r="CI28">
            <v>0.14130776389708485</v>
          </cell>
          <cell r="CU28">
            <v>8.1270079458928279E-2</v>
          </cell>
        </row>
        <row r="30">
          <cell r="AK30">
            <v>2.4947521952182861E-2</v>
          </cell>
          <cell r="AL30">
            <v>2.318281606982997E-2</v>
          </cell>
          <cell r="AM30">
            <v>2.2006345481594414E-2</v>
          </cell>
          <cell r="CI30">
            <v>0.14360598028380889</v>
          </cell>
          <cell r="CR30">
            <v>8.8325552718075961E-2</v>
          </cell>
          <cell r="CS30">
            <v>8.5211443658499864E-2</v>
          </cell>
          <cell r="CT30">
            <v>8.334297822275416E-2</v>
          </cell>
          <cell r="CU30">
            <v>8.2097334598923322E-2</v>
          </cell>
        </row>
        <row r="32">
          <cell r="CI32">
            <v>0.1456526535811849</v>
          </cell>
          <cell r="CR32">
            <v>8.9344746164785827E-2</v>
          </cell>
          <cell r="CS32">
            <v>8.6232065101316868E-2</v>
          </cell>
          <cell r="CT32">
            <v>8.4364456463235982E-2</v>
          </cell>
          <cell r="CU32">
            <v>8.3119384037848354E-2</v>
          </cell>
        </row>
        <row r="34">
          <cell r="CI34">
            <v>0.14736336929070451</v>
          </cell>
          <cell r="CR34">
            <v>9.0915920660237903E-2</v>
          </cell>
          <cell r="CS34">
            <v>8.7374634703902165E-2</v>
          </cell>
          <cell r="CT34">
            <v>8.5506850471210427E-2</v>
          </cell>
          <cell r="CU34">
            <v>8.4261660982748898E-2</v>
          </cell>
        </row>
        <row r="36">
          <cell r="CR36">
            <v>9.2614094791769963E-2</v>
          </cell>
          <cell r="CS36">
            <v>8.8576209759780644E-2</v>
          </cell>
          <cell r="CT36">
            <v>8.6707677337980682E-2</v>
          </cell>
          <cell r="CU36">
            <v>8.5461989056780485E-2</v>
          </cell>
        </row>
        <row r="38">
          <cell r="CR38">
            <v>9.4091331404889011E-2</v>
          </cell>
          <cell r="CS38">
            <v>8.9549599015030568E-2</v>
          </cell>
          <cell r="CT38">
            <v>8.7680331090189023E-2</v>
          </cell>
          <cell r="CU38">
            <v>8.6434152473628068E-2</v>
          </cell>
        </row>
        <row r="40">
          <cell r="CR40">
            <v>9.5170573293723582E-2</v>
          </cell>
          <cell r="CS40">
            <v>9.0222223358873643E-2</v>
          </cell>
          <cell r="CT40">
            <v>8.8352681502383179E-2</v>
          </cell>
          <cell r="CU40">
            <v>8.710632026472287E-2</v>
          </cell>
        </row>
        <row r="42">
          <cell r="CR42">
            <v>9.5154037016448312E-2</v>
          </cell>
          <cell r="CS42">
            <v>9.0740471860112804E-2</v>
          </cell>
          <cell r="CT42">
            <v>8.8871019665858864E-2</v>
          </cell>
          <cell r="CU42">
            <v>8.7624718203022756E-2</v>
          </cell>
        </row>
        <row r="64">
          <cell r="E64">
            <v>2023</v>
          </cell>
          <cell r="F64">
            <v>0.29873624061242254</v>
          </cell>
          <cell r="G64">
            <v>0.13764799999999999</v>
          </cell>
        </row>
        <row r="65">
          <cell r="E65">
            <v>2025</v>
          </cell>
          <cell r="F65">
            <v>2.0926153530806135</v>
          </cell>
          <cell r="G65">
            <v>0.12160600000000001</v>
          </cell>
        </row>
        <row r="66">
          <cell r="E66">
            <v>2027</v>
          </cell>
          <cell r="F66">
            <v>3.5345861179884825</v>
          </cell>
          <cell r="G66">
            <v>0.11974700000000001</v>
          </cell>
        </row>
        <row r="67">
          <cell r="E67">
            <v>2029</v>
          </cell>
          <cell r="F67">
            <v>4.6852407670528837</v>
          </cell>
          <cell r="G67">
            <v>0.121409</v>
          </cell>
        </row>
        <row r="68">
          <cell r="E68">
            <v>2031</v>
          </cell>
          <cell r="F68">
            <v>5.6041561249112064</v>
          </cell>
          <cell r="G68">
            <v>0.122042</v>
          </cell>
        </row>
      </sheetData>
      <sheetData sheetId="6"/>
      <sheetData sheetId="7">
        <row r="57">
          <cell r="C57">
            <v>1.1250000000000001E-3</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BTG (todos)"/>
      <sheetName val="Menu de Produtos"/>
      <sheetName val="Base Fundos - Input"/>
      <sheetName val="Ranges NT"/>
      <sheetName val="Asset Allocation Estrutural"/>
      <sheetName val="Asset Allocation Tático"/>
      <sheetName val="Notches"/>
      <sheetName val="Carteira Recomendada"/>
      <sheetName val="Documento PDF"/>
      <sheetName val="Processo de Atualização"/>
      <sheetName val="Classificação"/>
      <sheetName val="Sheet3"/>
      <sheetName val="Template"/>
    </sheetNames>
    <sheetDataSet>
      <sheetData sheetId="0"/>
      <sheetData sheetId="1"/>
      <sheetData sheetId="2"/>
      <sheetData sheetId="3"/>
      <sheetData sheetId="4"/>
      <sheetData sheetId="5"/>
      <sheetData sheetId="6"/>
      <sheetData sheetId="7"/>
      <sheetData sheetId="8">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0.05</v>
          </cell>
          <cell r="J12">
            <v>0.1</v>
          </cell>
          <cell r="K12">
            <v>0.15</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4.9999999999999992E-3</v>
          </cell>
          <cell r="L17">
            <v>1.3000000000000001E-2</v>
          </cell>
          <cell r="M17">
            <v>0</v>
          </cell>
          <cell r="O17">
            <v>9.9999999999999985E-3</v>
          </cell>
          <cell r="Q17">
            <v>2.4E-2</v>
          </cell>
          <cell r="R17">
            <v>0</v>
          </cell>
          <cell r="T17">
            <v>2.285714285714285E-2</v>
          </cell>
          <cell r="V17">
            <v>4.6000000000000006E-2</v>
          </cell>
          <cell r="W17">
            <v>0</v>
          </cell>
          <cell r="Y17">
            <v>3.8571428571428562E-2</v>
          </cell>
          <cell r="AA17">
            <v>7.3999999999999996E-2</v>
          </cell>
        </row>
      </sheetData>
      <sheetData sheetId="9">
        <row r="8">
          <cell r="G8" t="str">
            <v>setembro</v>
          </cell>
          <cell r="K8" t="str">
            <v>setembro</v>
          </cell>
          <cell r="O8" t="str">
            <v>setembro</v>
          </cell>
          <cell r="S8" t="str">
            <v>setembro</v>
          </cell>
          <cell r="W8" t="str">
            <v>setembro</v>
          </cell>
        </row>
        <row r="9">
          <cell r="D9">
            <v>1</v>
          </cell>
          <cell r="G9">
            <v>1</v>
          </cell>
          <cell r="H9">
            <v>0.85</v>
          </cell>
          <cell r="K9">
            <v>0.8600000000000001</v>
          </cell>
          <cell r="L9">
            <v>0.7</v>
          </cell>
          <cell r="O9">
            <v>0.71500000000000008</v>
          </cell>
          <cell r="P9">
            <v>0.5</v>
          </cell>
          <cell r="S9">
            <v>0.52</v>
          </cell>
          <cell r="T9">
            <v>0.3</v>
          </cell>
          <cell r="W9">
            <v>0.33500000000000002</v>
          </cell>
        </row>
        <row r="10">
          <cell r="D10">
            <v>0.85</v>
          </cell>
          <cell r="G10">
            <v>0.82</v>
          </cell>
          <cell r="H10">
            <v>0.7</v>
          </cell>
          <cell r="K10">
            <v>0.66</v>
          </cell>
          <cell r="L10">
            <v>0.6</v>
          </cell>
          <cell r="O10">
            <v>0.55500000000000005</v>
          </cell>
          <cell r="P10">
            <v>0.30000000000000004</v>
          </cell>
          <cell r="S10">
            <v>0.25</v>
          </cell>
          <cell r="T10">
            <v>0.15</v>
          </cell>
          <cell r="W10">
            <v>0.105</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v>
          </cell>
          <cell r="L19">
            <v>0.2</v>
          </cell>
          <cell r="O19">
            <v>0.2</v>
          </cell>
          <cell r="P19">
            <v>0.3</v>
          </cell>
          <cell r="S19">
            <v>0.3</v>
          </cell>
          <cell r="T19">
            <v>0.35</v>
          </cell>
          <cell r="W19">
            <v>0.35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5.2499999999999995E-3</v>
          </cell>
          <cell r="O29">
            <v>1.0499999999999999E-2</v>
          </cell>
          <cell r="S29">
            <v>2.3999999999999994E-2</v>
          </cell>
          <cell r="W29">
            <v>4.0499999999999994E-2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B.Side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5280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643" t="s">
        <v>0</v>
      </c>
    </row>
    <row r="3" spans="2:9" ht="25.5" customHeight="1" thickBot="1">
      <c r="B3" s="643"/>
      <c r="D3" s="77" t="s">
        <v>1</v>
      </c>
    </row>
    <row r="4" spans="2:9" ht="21" customHeight="1"/>
    <row r="5" spans="2:9" ht="25.5" customHeight="1">
      <c r="D5" s="30" t="s">
        <v>2</v>
      </c>
    </row>
    <row r="6" spans="2:9" ht="21" customHeight="1"/>
    <row r="7" spans="2:9" ht="21" customHeight="1">
      <c r="B7" s="31"/>
      <c r="C7" s="31"/>
      <c r="D7" s="31"/>
    </row>
    <row r="8" spans="2:9" ht="25.5" customHeight="1">
      <c r="D8" s="47" t="s">
        <v>3</v>
      </c>
    </row>
    <row r="9" spans="2:9" ht="21" customHeight="1"/>
    <row r="10" spans="2:9" ht="21" customHeight="1">
      <c r="B10" s="31"/>
      <c r="C10" s="31"/>
      <c r="D10" s="31"/>
    </row>
    <row r="11" spans="2:9" ht="23.25">
      <c r="D11" s="47" t="s">
        <v>4</v>
      </c>
      <c r="I11" s="35"/>
    </row>
    <row r="13" spans="2:9">
      <c r="B13" s="31"/>
      <c r="C13" s="31"/>
      <c r="D13" s="31"/>
    </row>
    <row r="14" spans="2:9" ht="23.25">
      <c r="D14" s="47" t="s">
        <v>5</v>
      </c>
    </row>
    <row r="15" spans="2:9">
      <c r="B15" s="43"/>
      <c r="C15" s="43"/>
      <c r="D15" s="43"/>
    </row>
    <row r="16" spans="2:9">
      <c r="B16" s="31"/>
      <c r="C16" s="31"/>
      <c r="D16" s="31"/>
    </row>
    <row r="17" spans="2:4" ht="23.25">
      <c r="D17" s="47" t="s">
        <v>6</v>
      </c>
    </row>
    <row r="19" spans="2:4" ht="21" customHeight="1">
      <c r="B19" s="31"/>
      <c r="C19" s="31"/>
      <c r="D19" s="31"/>
    </row>
    <row r="20" spans="2:4" ht="25.5" customHeight="1">
      <c r="D20" s="47" t="s">
        <v>7</v>
      </c>
    </row>
    <row r="21" spans="2:4" ht="21" customHeight="1"/>
  </sheetData>
  <mergeCells count="1">
    <mergeCell ref="B2:B3"/>
  </mergeCells>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769EE-9606-9748-BA38-1662B66FAB1F}">
  <sheetPr codeName="Sheet15">
    <tabColor theme="2" tint="-9.9978637043366805E-2"/>
  </sheetPr>
  <dimension ref="B1:AE82"/>
  <sheetViews>
    <sheetView showGridLines="0" zoomScaleNormal="100" workbookViewId="0">
      <pane ySplit="6" topLeftCell="A13" activePane="bottomLeft" state="frozen"/>
      <selection pane="bottomLeft" activeCell="F12" sqref="F12"/>
    </sheetView>
  </sheetViews>
  <sheetFormatPr defaultColWidth="10.69921875" defaultRowHeight="30.75"/>
  <cols>
    <col min="1" max="1" width="1.59765625" style="2" customWidth="1"/>
    <col min="2" max="2" width="24" style="2" customWidth="1"/>
    <col min="3" max="3" width="3.296875" style="2" customWidth="1"/>
    <col min="4" max="4" width="24" style="2" customWidth="1"/>
    <col min="5" max="5" width="10.8984375" style="2" customWidth="1"/>
    <col min="6" max="6" width="24" style="2" customWidth="1"/>
    <col min="7" max="7" width="10.8984375" style="2" customWidth="1"/>
    <col min="8" max="8" width="24" style="2" customWidth="1"/>
    <col min="9" max="9" width="10.8984375" style="2" customWidth="1"/>
    <col min="10" max="10" width="24" style="2" customWidth="1"/>
    <col min="11" max="11" width="10.8984375" style="2" customWidth="1"/>
    <col min="12" max="12" width="24" style="2" customWidth="1"/>
    <col min="13" max="13" width="10.8984375" style="2" customWidth="1"/>
    <col min="14" max="14" width="24" style="2" customWidth="1"/>
    <col min="15" max="15" width="10.8984375" style="2" customWidth="1"/>
    <col min="16" max="16" width="24" style="2" customWidth="1"/>
    <col min="17" max="17" width="10.8984375" style="2" customWidth="1"/>
    <col min="18" max="18" width="24" style="2" customWidth="1"/>
    <col min="19" max="19" width="10.8984375" style="2" customWidth="1"/>
    <col min="20" max="20" width="24" style="2" customWidth="1"/>
    <col min="21" max="21" width="10.8984375" style="2" customWidth="1"/>
    <col min="22" max="22" width="24" style="2" customWidth="1"/>
    <col min="23" max="23" width="10.8984375" style="2" customWidth="1"/>
    <col min="24" max="24" width="24" style="2" customWidth="1"/>
    <col min="25" max="25" width="10.8984375" style="2" customWidth="1"/>
    <col min="26" max="26" width="24" style="2" customWidth="1"/>
    <col min="27" max="27" width="10.8984375" style="2" customWidth="1"/>
    <col min="28" max="28" width="24" style="2" customWidth="1"/>
    <col min="29" max="29" width="10.8984375" style="2" customWidth="1"/>
    <col min="30" max="30" width="24" style="2" customWidth="1"/>
    <col min="31" max="31" width="10.8984375" style="2" customWidth="1"/>
    <col min="32" max="16384" width="10.69921875" style="2"/>
  </cols>
  <sheetData>
    <row r="1" spans="2:31" s="28" customFormat="1" ht="15.95" customHeight="1">
      <c r="B1" s="27"/>
      <c r="I1" s="48"/>
    </row>
    <row r="2" spans="2:31" s="28" customFormat="1" ht="19.5"/>
    <row r="3" spans="2:31" s="29" customFormat="1" ht="27.75">
      <c r="B3" s="3" t="s">
        <v>36</v>
      </c>
    </row>
    <row r="4" spans="2:31" ht="5.25" customHeight="1"/>
    <row r="5" spans="2:31" s="51" customFormat="1" ht="30" customHeight="1">
      <c r="B5" s="25" t="s">
        <v>37</v>
      </c>
      <c r="D5" s="25" t="s">
        <v>9</v>
      </c>
      <c r="E5" s="26" t="s">
        <v>38</v>
      </c>
      <c r="F5" s="25" t="s">
        <v>9</v>
      </c>
      <c r="G5" s="26" t="s">
        <v>39</v>
      </c>
      <c r="H5" s="25" t="s">
        <v>9</v>
      </c>
      <c r="I5" s="26" t="s">
        <v>10</v>
      </c>
      <c r="J5" s="25" t="s">
        <v>9</v>
      </c>
      <c r="K5" s="26" t="s">
        <v>40</v>
      </c>
      <c r="L5" s="25" t="s">
        <v>11</v>
      </c>
      <c r="M5" s="26" t="s">
        <v>38</v>
      </c>
      <c r="N5" s="25" t="s">
        <v>12</v>
      </c>
      <c r="O5" s="26" t="s">
        <v>38</v>
      </c>
      <c r="P5" s="25" t="s">
        <v>13</v>
      </c>
      <c r="Q5" s="26" t="s">
        <v>38</v>
      </c>
      <c r="R5" s="25" t="s">
        <v>11</v>
      </c>
      <c r="S5" s="26" t="s">
        <v>39</v>
      </c>
      <c r="T5" s="25" t="s">
        <v>12</v>
      </c>
      <c r="U5" s="26" t="s">
        <v>39</v>
      </c>
      <c r="V5" s="25" t="s">
        <v>13</v>
      </c>
      <c r="W5" s="26" t="s">
        <v>39</v>
      </c>
      <c r="X5" s="25" t="s">
        <v>11</v>
      </c>
      <c r="Y5" s="26" t="s">
        <v>10</v>
      </c>
      <c r="Z5" s="25" t="s">
        <v>12</v>
      </c>
      <c r="AA5" s="26" t="s">
        <v>10</v>
      </c>
      <c r="AB5" s="25" t="s">
        <v>13</v>
      </c>
      <c r="AC5" s="26" t="s">
        <v>10</v>
      </c>
      <c r="AD5" s="25"/>
      <c r="AE5" s="26"/>
    </row>
    <row r="6" spans="2:31" customFormat="1" ht="5.25" customHeight="1">
      <c r="D6" s="52"/>
      <c r="E6" s="53"/>
      <c r="F6" s="52"/>
      <c r="G6" s="53"/>
      <c r="H6" s="52"/>
      <c r="I6" s="53"/>
      <c r="J6" s="52"/>
      <c r="K6" s="53"/>
      <c r="L6" s="52"/>
      <c r="M6" s="53"/>
      <c r="N6" s="52"/>
      <c r="O6" s="53"/>
      <c r="P6" s="52"/>
      <c r="Q6" s="53"/>
      <c r="R6" s="52"/>
      <c r="S6" s="53"/>
      <c r="T6" s="52"/>
      <c r="U6" s="53"/>
      <c r="V6" s="52"/>
      <c r="W6" s="53"/>
      <c r="X6" s="52"/>
      <c r="Y6" s="53"/>
      <c r="Z6" s="52"/>
      <c r="AA6" s="53"/>
      <c r="AB6" s="52"/>
      <c r="AC6" s="53"/>
      <c r="AD6" s="52"/>
      <c r="AE6" s="53"/>
    </row>
    <row r="7" spans="2:31" customFormat="1" ht="18.75">
      <c r="B7" s="54" t="s">
        <v>9</v>
      </c>
      <c r="D7" s="55" t="s">
        <v>19</v>
      </c>
      <c r="E7" s="56">
        <v>0.90499999999999992</v>
      </c>
      <c r="F7" s="55" t="s">
        <v>19</v>
      </c>
      <c r="G7" s="56">
        <v>0.74</v>
      </c>
      <c r="H7" s="55" t="s">
        <v>19</v>
      </c>
      <c r="I7" s="56">
        <v>0.6100000000000001</v>
      </c>
      <c r="J7" s="55" t="s">
        <v>19</v>
      </c>
      <c r="K7" s="56">
        <v>0.51500000000000001</v>
      </c>
      <c r="L7" s="55" t="s">
        <v>19</v>
      </c>
      <c r="M7" s="56">
        <v>0.90499999999999992</v>
      </c>
      <c r="N7" s="55" t="s">
        <v>19</v>
      </c>
      <c r="O7" s="56">
        <v>0.90499999999999992</v>
      </c>
      <c r="P7" s="55" t="s">
        <v>19</v>
      </c>
      <c r="Q7" s="56">
        <v>0.90499999999999992</v>
      </c>
      <c r="R7" s="55" t="s">
        <v>19</v>
      </c>
      <c r="S7" s="56">
        <v>0.74</v>
      </c>
      <c r="T7" s="55" t="s">
        <v>19</v>
      </c>
      <c r="U7" s="56">
        <v>0.74</v>
      </c>
      <c r="V7" s="55" t="s">
        <v>19</v>
      </c>
      <c r="W7" s="56">
        <v>0.74</v>
      </c>
      <c r="X7" s="55" t="s">
        <v>19</v>
      </c>
      <c r="Y7" s="56">
        <v>0.6100000000000001</v>
      </c>
      <c r="Z7" s="55" t="s">
        <v>19</v>
      </c>
      <c r="AA7" s="56">
        <v>0.6100000000000001</v>
      </c>
      <c r="AB7" s="55" t="s">
        <v>19</v>
      </c>
      <c r="AC7" s="56">
        <v>0.6100000000000001</v>
      </c>
      <c r="AD7" s="55"/>
      <c r="AE7" s="56"/>
    </row>
    <row r="8" spans="2:31" customFormat="1" ht="18.75">
      <c r="B8" s="54" t="s">
        <v>11</v>
      </c>
      <c r="D8" s="57"/>
      <c r="E8" s="58"/>
      <c r="F8" s="57"/>
      <c r="G8" s="58"/>
      <c r="H8" s="57"/>
      <c r="I8" s="58"/>
      <c r="J8" s="57"/>
      <c r="K8" s="58"/>
      <c r="L8" s="57"/>
      <c r="M8" s="58"/>
      <c r="N8" s="57"/>
      <c r="O8" s="58"/>
      <c r="P8" s="57"/>
      <c r="Q8" s="58"/>
      <c r="R8" s="57"/>
      <c r="S8" s="58"/>
      <c r="T8" s="57"/>
      <c r="U8" s="58"/>
      <c r="V8" s="57"/>
      <c r="W8" s="58"/>
      <c r="X8" s="57"/>
      <c r="Y8" s="58"/>
      <c r="Z8" s="57"/>
      <c r="AA8" s="58"/>
      <c r="AB8" s="57"/>
      <c r="AC8" s="58"/>
      <c r="AD8" s="57"/>
      <c r="AE8" s="58"/>
    </row>
    <row r="9" spans="2:31" customFormat="1" ht="18.75">
      <c r="B9" s="54" t="s">
        <v>12</v>
      </c>
      <c r="D9" s="59" t="s">
        <v>21</v>
      </c>
      <c r="E9" s="60">
        <v>0.57499999999999996</v>
      </c>
      <c r="F9" s="59" t="s">
        <v>21</v>
      </c>
      <c r="G9" s="60">
        <v>0.33500000000000002</v>
      </c>
      <c r="H9" s="59" t="s">
        <v>21</v>
      </c>
      <c r="I9" s="60">
        <v>0.23</v>
      </c>
      <c r="J9" s="59" t="s">
        <v>21</v>
      </c>
      <c r="K9" s="60">
        <v>0.16500000000000001</v>
      </c>
      <c r="L9" s="59" t="s">
        <v>21</v>
      </c>
      <c r="M9" s="60">
        <v>0.57499999999999996</v>
      </c>
      <c r="N9" s="59" t="s">
        <v>21</v>
      </c>
      <c r="O9" s="60">
        <v>0.57499999999999996</v>
      </c>
      <c r="P9" s="59" t="s">
        <v>21</v>
      </c>
      <c r="Q9" s="60">
        <v>0.57499999999999996</v>
      </c>
      <c r="R9" s="59" t="s">
        <v>21</v>
      </c>
      <c r="S9" s="60">
        <v>0.33500000000000002</v>
      </c>
      <c r="T9" s="59" t="s">
        <v>21</v>
      </c>
      <c r="U9" s="60">
        <v>0.33500000000000002</v>
      </c>
      <c r="V9" s="59" t="s">
        <v>21</v>
      </c>
      <c r="W9" s="60">
        <v>0.33500000000000002</v>
      </c>
      <c r="X9" s="59" t="s">
        <v>21</v>
      </c>
      <c r="Y9" s="60">
        <v>0.23</v>
      </c>
      <c r="Z9" s="59" t="s">
        <v>21</v>
      </c>
      <c r="AA9" s="60">
        <v>0.23</v>
      </c>
      <c r="AB9" s="59" t="s">
        <v>21</v>
      </c>
      <c r="AC9" s="60">
        <v>0.23</v>
      </c>
      <c r="AD9" s="59"/>
      <c r="AE9" s="60"/>
    </row>
    <row r="10" spans="2:31" customFormat="1" ht="18.75">
      <c r="B10" s="54" t="s">
        <v>13</v>
      </c>
      <c r="D10" s="52" t="s">
        <v>948</v>
      </c>
      <c r="E10" s="61">
        <v>0.84347826086956523</v>
      </c>
      <c r="F10" s="52" t="s">
        <v>948</v>
      </c>
      <c r="G10" s="61">
        <v>0.73134328358208955</v>
      </c>
      <c r="H10" s="52" t="s">
        <v>948</v>
      </c>
      <c r="I10" s="61">
        <v>0.60869565217391308</v>
      </c>
      <c r="J10" s="52" t="s">
        <v>948</v>
      </c>
      <c r="K10" s="61">
        <v>0.69696969696969702</v>
      </c>
      <c r="L10" s="52" t="s">
        <v>948</v>
      </c>
      <c r="M10" s="61">
        <v>0.84347826086956523</v>
      </c>
      <c r="N10" s="52" t="s">
        <v>948</v>
      </c>
      <c r="O10" s="61">
        <v>0.84347826086956523</v>
      </c>
      <c r="P10" s="52" t="s">
        <v>948</v>
      </c>
      <c r="Q10" s="61">
        <v>0.84347826086956523</v>
      </c>
      <c r="R10" s="52" t="s">
        <v>948</v>
      </c>
      <c r="S10" s="61">
        <v>0.73134328358208955</v>
      </c>
      <c r="T10" s="52" t="s">
        <v>948</v>
      </c>
      <c r="U10" s="61">
        <v>0.73134328358208955</v>
      </c>
      <c r="V10" s="52" t="s">
        <v>948</v>
      </c>
      <c r="W10" s="61">
        <v>0.73134328358208955</v>
      </c>
      <c r="X10" s="52" t="s">
        <v>948</v>
      </c>
      <c r="Y10" s="61">
        <v>0.60869565217391308</v>
      </c>
      <c r="Z10" s="52" t="s">
        <v>948</v>
      </c>
      <c r="AA10" s="61">
        <v>0.60869565217391308</v>
      </c>
      <c r="AB10" s="52" t="s">
        <v>948</v>
      </c>
      <c r="AC10" s="61">
        <v>0.60869565217391308</v>
      </c>
      <c r="AD10" s="52"/>
      <c r="AE10" s="61"/>
    </row>
    <row r="11" spans="2:31" customFormat="1" ht="18.75">
      <c r="B11" s="54"/>
      <c r="D11" s="52" t="s">
        <v>145</v>
      </c>
      <c r="E11" s="61">
        <v>8.6956521739130446E-2</v>
      </c>
      <c r="F11" s="52" t="s">
        <v>145</v>
      </c>
      <c r="G11" s="61">
        <v>0.14925373134328357</v>
      </c>
      <c r="H11" s="52" t="s">
        <v>145</v>
      </c>
      <c r="I11" s="61">
        <v>0.21739130434782608</v>
      </c>
      <c r="J11" s="52" t="s">
        <v>145</v>
      </c>
      <c r="K11" s="61">
        <v>0.30303030303030304</v>
      </c>
      <c r="L11" s="52" t="s">
        <v>145</v>
      </c>
      <c r="M11" s="61">
        <v>8.6956521739130446E-2</v>
      </c>
      <c r="N11" s="52" t="s">
        <v>145</v>
      </c>
      <c r="O11" s="61">
        <v>8.6956521739130446E-2</v>
      </c>
      <c r="P11" s="52" t="s">
        <v>145</v>
      </c>
      <c r="Q11" s="61">
        <v>8.6956521739130446E-2</v>
      </c>
      <c r="R11" s="52" t="s">
        <v>145</v>
      </c>
      <c r="S11" s="61">
        <v>0.14925373134328357</v>
      </c>
      <c r="T11" s="52" t="s">
        <v>145</v>
      </c>
      <c r="U11" s="61">
        <v>0.14925373134328357</v>
      </c>
      <c r="V11" s="52" t="s">
        <v>145</v>
      </c>
      <c r="W11" s="61">
        <v>0.14925373134328357</v>
      </c>
      <c r="X11" s="52" t="s">
        <v>145</v>
      </c>
      <c r="Y11" s="61">
        <v>0.21739130434782608</v>
      </c>
      <c r="Z11" s="52" t="s">
        <v>145</v>
      </c>
      <c r="AA11" s="61">
        <v>0.21739130434782608</v>
      </c>
      <c r="AB11" s="52" t="s">
        <v>145</v>
      </c>
      <c r="AC11" s="61">
        <v>0.21739130434782608</v>
      </c>
      <c r="AD11" s="52"/>
      <c r="AE11" s="61"/>
    </row>
    <row r="12" spans="2:31" customFormat="1" ht="18.75">
      <c r="B12" s="54"/>
      <c r="D12" s="52" t="s">
        <v>42</v>
      </c>
      <c r="E12" s="61">
        <v>6.9565217391304349E-2</v>
      </c>
      <c r="F12" s="52" t="s">
        <v>42</v>
      </c>
      <c r="G12" s="61">
        <v>0.11940298507462686</v>
      </c>
      <c r="H12" s="52" t="s">
        <v>42</v>
      </c>
      <c r="I12" s="61">
        <v>0.17391304347826086</v>
      </c>
      <c r="J12" s="52"/>
      <c r="K12" s="61"/>
      <c r="L12" s="52" t="s">
        <v>42</v>
      </c>
      <c r="M12" s="61">
        <v>6.9565217391304349E-2</v>
      </c>
      <c r="N12" s="52" t="s">
        <v>42</v>
      </c>
      <c r="O12" s="61">
        <v>6.9565217391304349E-2</v>
      </c>
      <c r="P12" s="52" t="s">
        <v>42</v>
      </c>
      <c r="Q12" s="61">
        <v>6.9565217391304349E-2</v>
      </c>
      <c r="R12" s="52" t="s">
        <v>42</v>
      </c>
      <c r="S12" s="61">
        <v>0.11940298507462686</v>
      </c>
      <c r="T12" s="52" t="s">
        <v>42</v>
      </c>
      <c r="U12" s="61">
        <v>0.11940298507462686</v>
      </c>
      <c r="V12" s="52" t="s">
        <v>42</v>
      </c>
      <c r="W12" s="61">
        <v>0.11940298507462686</v>
      </c>
      <c r="X12" s="52" t="s">
        <v>42</v>
      </c>
      <c r="Y12" s="61">
        <v>0.17391304347826086</v>
      </c>
      <c r="Z12" s="52" t="s">
        <v>42</v>
      </c>
      <c r="AA12" s="61">
        <v>0.17391304347826086</v>
      </c>
      <c r="AB12" s="52" t="s">
        <v>42</v>
      </c>
      <c r="AC12" s="61">
        <v>0.17391304347826086</v>
      </c>
      <c r="AD12" s="52"/>
      <c r="AE12" s="61"/>
    </row>
    <row r="13" spans="2:31" customFormat="1" ht="18.75">
      <c r="B13" s="54"/>
      <c r="D13" s="52"/>
      <c r="E13" s="62"/>
      <c r="F13" s="52"/>
      <c r="G13" s="62"/>
      <c r="H13" s="52"/>
      <c r="I13" s="62"/>
      <c r="J13" s="57"/>
      <c r="K13" s="63"/>
      <c r="L13" s="52"/>
      <c r="M13" s="62"/>
      <c r="N13" s="52"/>
      <c r="O13" s="62"/>
      <c r="P13" s="52"/>
      <c r="Q13" s="62"/>
      <c r="R13" s="52"/>
      <c r="S13" s="62"/>
      <c r="T13" s="52"/>
      <c r="U13" s="62"/>
      <c r="V13" s="52"/>
      <c r="W13" s="62"/>
      <c r="X13" s="52"/>
      <c r="Y13" s="62"/>
      <c r="Z13" s="52"/>
      <c r="AA13" s="62"/>
      <c r="AB13" s="52"/>
      <c r="AC13" s="62"/>
      <c r="AD13" s="59"/>
      <c r="AE13" s="60"/>
    </row>
    <row r="14" spans="2:31" customFormat="1" ht="18.75">
      <c r="B14" s="54"/>
      <c r="D14" s="59" t="s">
        <v>14</v>
      </c>
      <c r="E14" s="60">
        <v>0.11</v>
      </c>
      <c r="F14" s="59" t="s">
        <v>14</v>
      </c>
      <c r="G14" s="60">
        <v>0.1</v>
      </c>
      <c r="H14" s="59" t="s">
        <v>14</v>
      </c>
      <c r="I14" s="60">
        <v>0.1</v>
      </c>
      <c r="J14" s="59" t="s">
        <v>14</v>
      </c>
      <c r="K14" s="60">
        <v>8.5000000000000006E-2</v>
      </c>
      <c r="L14" s="59" t="s">
        <v>14</v>
      </c>
      <c r="M14" s="60">
        <v>0.11</v>
      </c>
      <c r="N14" s="59" t="s">
        <v>14</v>
      </c>
      <c r="O14" s="60">
        <v>0.11</v>
      </c>
      <c r="P14" s="59" t="s">
        <v>14</v>
      </c>
      <c r="Q14" s="60">
        <v>0.11</v>
      </c>
      <c r="R14" s="59" t="s">
        <v>14</v>
      </c>
      <c r="S14" s="60">
        <v>0.1225</v>
      </c>
      <c r="T14" s="59" t="s">
        <v>14</v>
      </c>
      <c r="U14" s="60">
        <v>0.1225</v>
      </c>
      <c r="V14" s="59" t="s">
        <v>14</v>
      </c>
      <c r="W14" s="60">
        <v>0.1</v>
      </c>
      <c r="X14" s="59" t="s">
        <v>14</v>
      </c>
      <c r="Y14" s="60">
        <v>0.115</v>
      </c>
      <c r="Z14" s="59" t="s">
        <v>14</v>
      </c>
      <c r="AA14" s="60">
        <v>0.115</v>
      </c>
      <c r="AB14" s="59" t="s">
        <v>14</v>
      </c>
      <c r="AC14" s="60">
        <v>0.1</v>
      </c>
      <c r="AD14" s="52"/>
      <c r="AE14" s="61"/>
    </row>
    <row r="15" spans="2:31" customFormat="1" ht="18.75">
      <c r="B15" s="54"/>
      <c r="D15" s="52" t="s">
        <v>463</v>
      </c>
      <c r="E15" s="61">
        <v>0.27272727272727271</v>
      </c>
      <c r="F15" s="52" t="s">
        <v>463</v>
      </c>
      <c r="G15" s="61">
        <v>0.35000000000000003</v>
      </c>
      <c r="H15" s="52" t="s">
        <v>463</v>
      </c>
      <c r="I15" s="61">
        <v>0.35000000000000003</v>
      </c>
      <c r="J15" s="52" t="s">
        <v>463</v>
      </c>
      <c r="K15" s="61">
        <v>0.3529411764705882</v>
      </c>
      <c r="L15" s="52" t="s">
        <v>69</v>
      </c>
      <c r="M15" s="61">
        <v>0.27272727272727271</v>
      </c>
      <c r="N15" s="52" t="s">
        <v>69</v>
      </c>
      <c r="O15" s="61">
        <v>0.27272727272727271</v>
      </c>
      <c r="P15" s="52" t="s">
        <v>69</v>
      </c>
      <c r="Q15" s="61">
        <v>0.27272727272727271</v>
      </c>
      <c r="R15" s="52" t="s">
        <v>69</v>
      </c>
      <c r="S15" s="61">
        <v>0.28571428571428575</v>
      </c>
      <c r="T15" s="52" t="s">
        <v>69</v>
      </c>
      <c r="U15" s="61">
        <v>0.28571428571428575</v>
      </c>
      <c r="V15" s="52" t="s">
        <v>69</v>
      </c>
      <c r="W15" s="61">
        <v>0.35000000000000003</v>
      </c>
      <c r="X15" s="52" t="s">
        <v>69</v>
      </c>
      <c r="Y15" s="61">
        <v>0.30434782608695654</v>
      </c>
      <c r="Z15" s="52" t="s">
        <v>69</v>
      </c>
      <c r="AA15" s="61">
        <v>0.30434782608695654</v>
      </c>
      <c r="AB15" s="52" t="s">
        <v>69</v>
      </c>
      <c r="AC15" s="61">
        <v>0.35000000000000003</v>
      </c>
      <c r="AD15" s="52"/>
      <c r="AE15" s="61"/>
    </row>
    <row r="16" spans="2:31" customFormat="1" ht="18.75">
      <c r="B16" s="54"/>
      <c r="D16" s="52" t="s">
        <v>180</v>
      </c>
      <c r="E16" s="61">
        <v>0.27272727272727271</v>
      </c>
      <c r="F16" s="52" t="s">
        <v>180</v>
      </c>
      <c r="G16" s="61">
        <v>0.35000000000000003</v>
      </c>
      <c r="H16" s="52" t="s">
        <v>180</v>
      </c>
      <c r="I16" s="61">
        <v>0.35000000000000003</v>
      </c>
      <c r="J16" s="52" t="s">
        <v>180</v>
      </c>
      <c r="K16" s="61">
        <v>0.3529411764705882</v>
      </c>
      <c r="L16" s="52" t="s">
        <v>180</v>
      </c>
      <c r="M16" s="61">
        <v>0.27272727272727271</v>
      </c>
      <c r="N16" s="52" t="s">
        <v>180</v>
      </c>
      <c r="O16" s="61">
        <v>0.27272727272727271</v>
      </c>
      <c r="P16" s="52" t="s">
        <v>180</v>
      </c>
      <c r="Q16" s="61">
        <v>0.27272727272727271</v>
      </c>
      <c r="R16" s="52" t="s">
        <v>180</v>
      </c>
      <c r="S16" s="61">
        <v>0.28571428571428575</v>
      </c>
      <c r="T16" s="52" t="s">
        <v>180</v>
      </c>
      <c r="U16" s="61">
        <v>0.28571428571428575</v>
      </c>
      <c r="V16" s="52" t="s">
        <v>180</v>
      </c>
      <c r="W16" s="61">
        <v>0.35000000000000003</v>
      </c>
      <c r="X16" s="52" t="s">
        <v>180</v>
      </c>
      <c r="Y16" s="61">
        <v>0.30434782608695654</v>
      </c>
      <c r="Z16" s="52" t="s">
        <v>180</v>
      </c>
      <c r="AA16" s="61">
        <v>0.30434782608695654</v>
      </c>
      <c r="AB16" s="52" t="s">
        <v>180</v>
      </c>
      <c r="AC16" s="61">
        <v>0.35000000000000003</v>
      </c>
      <c r="AD16" s="52"/>
      <c r="AE16" s="64"/>
    </row>
    <row r="17" spans="2:31" customFormat="1" ht="18.75">
      <c r="B17" s="54"/>
      <c r="D17" s="52" t="s">
        <v>45</v>
      </c>
      <c r="E17" s="61">
        <v>0.27272727272727271</v>
      </c>
      <c r="F17" s="52" t="s">
        <v>45</v>
      </c>
      <c r="G17" s="61">
        <v>0.29999999999999988</v>
      </c>
      <c r="H17" s="52" t="s">
        <v>45</v>
      </c>
      <c r="I17" s="61">
        <v>0.29999999999999988</v>
      </c>
      <c r="J17" s="52" t="s">
        <v>45</v>
      </c>
      <c r="K17" s="61">
        <v>0.29411764705882359</v>
      </c>
      <c r="L17" s="52" t="s">
        <v>45</v>
      </c>
      <c r="M17" s="61">
        <v>0.27272727272727271</v>
      </c>
      <c r="N17" s="52" t="s">
        <v>45</v>
      </c>
      <c r="O17" s="61">
        <v>0.27272727272727271</v>
      </c>
      <c r="P17" s="52" t="s">
        <v>45</v>
      </c>
      <c r="Q17" s="61">
        <v>0.27272727272727271</v>
      </c>
      <c r="R17" s="52" t="s">
        <v>45</v>
      </c>
      <c r="S17" s="61">
        <v>0.42857142857142844</v>
      </c>
      <c r="T17" s="52" t="s">
        <v>45</v>
      </c>
      <c r="U17" s="61">
        <v>0.42857142857142844</v>
      </c>
      <c r="V17" s="52" t="s">
        <v>45</v>
      </c>
      <c r="W17" s="61">
        <v>0.29999999999999988</v>
      </c>
      <c r="X17" s="52" t="s">
        <v>45</v>
      </c>
      <c r="Y17" s="61">
        <v>0.39130434782608692</v>
      </c>
      <c r="Z17" s="52" t="s">
        <v>45</v>
      </c>
      <c r="AA17" s="61">
        <v>0.39130434782608692</v>
      </c>
      <c r="AB17" s="52" t="s">
        <v>45</v>
      </c>
      <c r="AC17" s="61">
        <v>0.29999999999999988</v>
      </c>
      <c r="AD17" s="52"/>
      <c r="AE17" s="64"/>
    </row>
    <row r="18" spans="2:31" customFormat="1" ht="18.75">
      <c r="B18" s="54"/>
      <c r="D18" s="52" t="s">
        <v>933</v>
      </c>
      <c r="E18" s="61">
        <v>0.18181818181818188</v>
      </c>
      <c r="F18" s="52"/>
      <c r="G18" s="61"/>
      <c r="H18" s="52"/>
      <c r="I18" s="61"/>
      <c r="J18" s="52"/>
      <c r="K18" s="61"/>
      <c r="L18" s="52" t="s">
        <v>933</v>
      </c>
      <c r="M18" s="61">
        <v>0.18181818181818188</v>
      </c>
      <c r="N18" s="52" t="s">
        <v>933</v>
      </c>
      <c r="O18" s="61">
        <v>0.18181818181818188</v>
      </c>
      <c r="P18" s="52" t="s">
        <v>933</v>
      </c>
      <c r="Q18" s="61">
        <v>0.18181818181818188</v>
      </c>
      <c r="R18" s="52"/>
      <c r="S18" s="61"/>
      <c r="T18" s="52"/>
      <c r="U18" s="61"/>
      <c r="V18" s="52"/>
      <c r="W18" s="61"/>
      <c r="X18" s="52"/>
      <c r="Y18" s="61"/>
      <c r="Z18" s="52"/>
      <c r="AA18" s="61"/>
      <c r="AB18" s="52"/>
      <c r="AC18" s="61"/>
      <c r="AD18" s="52"/>
      <c r="AE18" s="64"/>
    </row>
    <row r="19" spans="2:31" customFormat="1" ht="18.75">
      <c r="B19" s="54"/>
      <c r="D19" s="52"/>
      <c r="E19" s="62"/>
      <c r="F19" s="52"/>
      <c r="G19" s="62"/>
      <c r="H19" s="52"/>
      <c r="I19" s="62"/>
      <c r="J19" s="52"/>
      <c r="K19" s="62"/>
      <c r="L19" s="52"/>
      <c r="M19" s="62"/>
      <c r="N19" s="52"/>
      <c r="O19" s="62"/>
      <c r="P19" s="52"/>
      <c r="Q19" s="62"/>
      <c r="R19" s="52"/>
      <c r="S19" s="62"/>
      <c r="T19" s="52"/>
      <c r="U19" s="62"/>
      <c r="V19" s="52"/>
      <c r="W19" s="62"/>
      <c r="X19" s="52"/>
      <c r="Y19" s="62"/>
      <c r="Z19" s="52"/>
      <c r="AA19" s="62"/>
      <c r="AB19" s="52"/>
      <c r="AC19" s="62"/>
      <c r="AD19" s="59"/>
      <c r="AE19" s="60"/>
    </row>
    <row r="20" spans="2:31" customFormat="1" ht="18.75">
      <c r="B20" s="54"/>
      <c r="D20" s="59" t="s">
        <v>22</v>
      </c>
      <c r="E20" s="60">
        <v>7.0000000000000007E-2</v>
      </c>
      <c r="F20" s="59" t="s">
        <v>22</v>
      </c>
      <c r="G20" s="60">
        <v>0.14000000000000001</v>
      </c>
      <c r="H20" s="59" t="s">
        <v>22</v>
      </c>
      <c r="I20" s="60">
        <v>0.13</v>
      </c>
      <c r="J20" s="59" t="s">
        <v>22</v>
      </c>
      <c r="K20" s="60">
        <v>0.13</v>
      </c>
      <c r="L20" s="59" t="s">
        <v>22</v>
      </c>
      <c r="M20" s="60">
        <v>7.0000000000000007E-2</v>
      </c>
      <c r="N20" s="59" t="s">
        <v>22</v>
      </c>
      <c r="O20" s="60">
        <v>7.0000000000000007E-2</v>
      </c>
      <c r="P20" s="59" t="s">
        <v>22</v>
      </c>
      <c r="Q20" s="60">
        <v>7.0000000000000007E-2</v>
      </c>
      <c r="R20" s="59" t="s">
        <v>22</v>
      </c>
      <c r="S20" s="60">
        <v>0.14625000000000002</v>
      </c>
      <c r="T20" s="59" t="s">
        <v>22</v>
      </c>
      <c r="U20" s="60">
        <v>0.14625000000000002</v>
      </c>
      <c r="V20" s="59" t="s">
        <v>22</v>
      </c>
      <c r="W20" s="60">
        <v>0.14000000000000001</v>
      </c>
      <c r="X20" s="59" t="s">
        <v>22</v>
      </c>
      <c r="Y20" s="60">
        <v>0.13750000000000001</v>
      </c>
      <c r="Z20" s="59" t="s">
        <v>22</v>
      </c>
      <c r="AA20" s="60">
        <v>0.13750000000000001</v>
      </c>
      <c r="AB20" s="59" t="s">
        <v>22</v>
      </c>
      <c r="AC20" s="60">
        <v>0.13</v>
      </c>
      <c r="AD20" s="52"/>
      <c r="AE20" s="61"/>
    </row>
    <row r="21" spans="2:31" customFormat="1" ht="18.75">
      <c r="B21" s="54"/>
      <c r="D21" s="52" t="s">
        <v>934</v>
      </c>
      <c r="E21" s="64">
        <v>1</v>
      </c>
      <c r="F21" s="52" t="s">
        <v>934</v>
      </c>
      <c r="G21" s="64">
        <v>1</v>
      </c>
      <c r="H21" s="52" t="s">
        <v>934</v>
      </c>
      <c r="I21" s="64">
        <v>1</v>
      </c>
      <c r="J21" s="52" t="s">
        <v>934</v>
      </c>
      <c r="K21" s="64">
        <v>1</v>
      </c>
      <c r="L21" s="52" t="s">
        <v>934</v>
      </c>
      <c r="M21" s="64">
        <v>1</v>
      </c>
      <c r="N21" s="52" t="s">
        <v>934</v>
      </c>
      <c r="O21" s="64">
        <v>1</v>
      </c>
      <c r="P21" s="52" t="s">
        <v>934</v>
      </c>
      <c r="Q21" s="64">
        <v>1</v>
      </c>
      <c r="R21" s="52" t="s">
        <v>934</v>
      </c>
      <c r="S21" s="64">
        <v>1</v>
      </c>
      <c r="T21" s="52" t="s">
        <v>934</v>
      </c>
      <c r="U21" s="64">
        <v>1</v>
      </c>
      <c r="V21" s="52" t="s">
        <v>934</v>
      </c>
      <c r="W21" s="64">
        <v>1</v>
      </c>
      <c r="X21" s="52" t="s">
        <v>934</v>
      </c>
      <c r="Y21" s="64">
        <v>1</v>
      </c>
      <c r="Z21" s="52" t="s">
        <v>934</v>
      </c>
      <c r="AA21" s="64">
        <v>1</v>
      </c>
      <c r="AB21" s="52" t="s">
        <v>934</v>
      </c>
      <c r="AC21" s="64">
        <v>1</v>
      </c>
      <c r="AD21" s="52"/>
      <c r="AE21" s="64"/>
    </row>
    <row r="22" spans="2:31" customFormat="1" ht="18.75">
      <c r="B22" s="54"/>
      <c r="D22" s="52"/>
      <c r="E22" s="64"/>
      <c r="F22" s="52"/>
      <c r="G22" s="64"/>
      <c r="H22" s="52"/>
      <c r="I22" s="64"/>
      <c r="J22" s="52"/>
      <c r="K22" s="64"/>
      <c r="L22" s="52"/>
      <c r="M22" s="64"/>
      <c r="N22" s="52"/>
      <c r="O22" s="64"/>
      <c r="P22" s="52"/>
      <c r="Q22" s="64"/>
      <c r="R22" s="52"/>
      <c r="S22" s="64"/>
      <c r="T22" s="52"/>
      <c r="U22" s="64"/>
      <c r="V22" s="52"/>
      <c r="W22" s="64"/>
      <c r="X22" s="52"/>
      <c r="Y22" s="64"/>
      <c r="Z22" s="52"/>
      <c r="AA22" s="64"/>
      <c r="AB22" s="52"/>
      <c r="AC22" s="64"/>
      <c r="AD22" s="59"/>
      <c r="AE22" s="60"/>
    </row>
    <row r="23" spans="2:31" customFormat="1" ht="18.75">
      <c r="B23" s="54"/>
      <c r="D23" s="59" t="s">
        <v>23</v>
      </c>
      <c r="E23" s="60">
        <v>0.15</v>
      </c>
      <c r="F23" s="59" t="s">
        <v>23</v>
      </c>
      <c r="G23" s="60">
        <v>0.13</v>
      </c>
      <c r="H23" s="59" t="s">
        <v>23</v>
      </c>
      <c r="I23" s="60">
        <v>0.12</v>
      </c>
      <c r="J23" s="59" t="s">
        <v>23</v>
      </c>
      <c r="K23" s="60">
        <v>0.1</v>
      </c>
      <c r="L23" s="59" t="s">
        <v>23</v>
      </c>
      <c r="M23" s="60">
        <v>0.15</v>
      </c>
      <c r="N23" s="59" t="s">
        <v>23</v>
      </c>
      <c r="O23" s="60">
        <v>0.15</v>
      </c>
      <c r="P23" s="59" t="s">
        <v>23</v>
      </c>
      <c r="Q23" s="60">
        <v>0.15</v>
      </c>
      <c r="R23" s="59" t="s">
        <v>23</v>
      </c>
      <c r="S23" s="60">
        <v>0.13625000000000001</v>
      </c>
      <c r="T23" s="59" t="s">
        <v>23</v>
      </c>
      <c r="U23" s="60">
        <v>0.13625000000000001</v>
      </c>
      <c r="V23" s="59" t="s">
        <v>23</v>
      </c>
      <c r="W23" s="60">
        <v>0.13</v>
      </c>
      <c r="X23" s="59" t="s">
        <v>23</v>
      </c>
      <c r="Y23" s="60">
        <v>0.1275</v>
      </c>
      <c r="Z23" s="59" t="s">
        <v>23</v>
      </c>
      <c r="AA23" s="60">
        <v>0.1275</v>
      </c>
      <c r="AB23" s="59" t="s">
        <v>23</v>
      </c>
      <c r="AC23" s="60">
        <v>0.12</v>
      </c>
      <c r="AD23" s="52"/>
      <c r="AE23" s="61"/>
    </row>
    <row r="24" spans="2:31" customFormat="1" ht="18.75">
      <c r="B24" s="54"/>
      <c r="D24" s="52" t="s">
        <v>935</v>
      </c>
      <c r="E24" s="61">
        <v>1</v>
      </c>
      <c r="F24" s="52" t="s">
        <v>935</v>
      </c>
      <c r="G24" s="61">
        <v>1</v>
      </c>
      <c r="H24" s="52" t="s">
        <v>935</v>
      </c>
      <c r="I24" s="61">
        <v>1</v>
      </c>
      <c r="J24" s="52" t="s">
        <v>935</v>
      </c>
      <c r="K24" s="61">
        <v>1</v>
      </c>
      <c r="L24" s="52" t="s">
        <v>935</v>
      </c>
      <c r="M24" s="61">
        <v>1</v>
      </c>
      <c r="N24" s="52" t="s">
        <v>935</v>
      </c>
      <c r="O24" s="61">
        <v>1</v>
      </c>
      <c r="P24" s="52" t="s">
        <v>935</v>
      </c>
      <c r="Q24" s="61">
        <v>1</v>
      </c>
      <c r="R24" s="52" t="s">
        <v>935</v>
      </c>
      <c r="S24" s="61">
        <v>1</v>
      </c>
      <c r="T24" s="52" t="s">
        <v>935</v>
      </c>
      <c r="U24" s="61">
        <v>1</v>
      </c>
      <c r="V24" s="52" t="s">
        <v>935</v>
      </c>
      <c r="W24" s="61">
        <v>1</v>
      </c>
      <c r="X24" s="52" t="s">
        <v>935</v>
      </c>
      <c r="Y24" s="61">
        <v>1</v>
      </c>
      <c r="Z24" s="52" t="s">
        <v>935</v>
      </c>
      <c r="AA24" s="61">
        <v>1</v>
      </c>
      <c r="AB24" s="52" t="s">
        <v>935</v>
      </c>
      <c r="AC24" s="61">
        <v>1</v>
      </c>
      <c r="AD24" s="52"/>
      <c r="AE24" s="64"/>
    </row>
    <row r="25" spans="2:31" customFormat="1" ht="18.75">
      <c r="B25" s="54"/>
      <c r="D25" s="52"/>
      <c r="E25" s="64"/>
      <c r="F25" s="52"/>
      <c r="G25" s="64"/>
      <c r="H25" s="52"/>
      <c r="I25" s="64"/>
      <c r="J25" s="52"/>
      <c r="K25" s="64"/>
      <c r="L25" s="52"/>
      <c r="M25" s="64"/>
      <c r="N25" s="52"/>
      <c r="O25" s="64"/>
      <c r="P25" s="52"/>
      <c r="Q25" s="64"/>
      <c r="R25" s="52"/>
      <c r="S25" s="64"/>
      <c r="T25" s="52"/>
      <c r="U25" s="64"/>
      <c r="V25" s="52"/>
      <c r="W25" s="64"/>
      <c r="X25" s="52"/>
      <c r="Y25" s="64"/>
      <c r="Z25" s="52"/>
      <c r="AA25" s="64"/>
      <c r="AB25" s="52"/>
      <c r="AC25" s="64"/>
      <c r="AD25" s="59"/>
      <c r="AE25" s="60"/>
    </row>
    <row r="26" spans="2:31" customFormat="1" ht="18.75">
      <c r="B26" s="54"/>
      <c r="D26" s="59" t="s">
        <v>24</v>
      </c>
      <c r="E26" s="60">
        <v>0</v>
      </c>
      <c r="F26" s="59" t="s">
        <v>24</v>
      </c>
      <c r="G26" s="60">
        <v>2.5000000000000001E-2</v>
      </c>
      <c r="H26" s="59" t="s">
        <v>24</v>
      </c>
      <c r="I26" s="60">
        <v>0.03</v>
      </c>
      <c r="J26" s="59" t="s">
        <v>24</v>
      </c>
      <c r="K26" s="60">
        <v>3.5000000000000003E-2</v>
      </c>
      <c r="L26" s="59" t="s">
        <v>24</v>
      </c>
      <c r="M26" s="60">
        <v>0</v>
      </c>
      <c r="N26" s="59" t="s">
        <v>24</v>
      </c>
      <c r="O26" s="60">
        <v>0</v>
      </c>
      <c r="P26" s="59" t="s">
        <v>24</v>
      </c>
      <c r="Q26" s="60">
        <v>0</v>
      </c>
      <c r="R26" s="59" t="s">
        <v>24</v>
      </c>
      <c r="S26" s="60">
        <v>0</v>
      </c>
      <c r="T26" s="59" t="s">
        <v>24</v>
      </c>
      <c r="U26" s="60">
        <v>0</v>
      </c>
      <c r="V26" s="59" t="s">
        <v>24</v>
      </c>
      <c r="W26" s="60">
        <v>2.5000000000000001E-2</v>
      </c>
      <c r="X26" s="59" t="s">
        <v>24</v>
      </c>
      <c r="Y26" s="60">
        <v>0</v>
      </c>
      <c r="Z26" s="59" t="s">
        <v>24</v>
      </c>
      <c r="AA26" s="60">
        <v>0</v>
      </c>
      <c r="AB26" s="59" t="s">
        <v>24</v>
      </c>
      <c r="AC26" s="60">
        <v>0.03</v>
      </c>
      <c r="AD26" s="52"/>
      <c r="AE26" s="61"/>
    </row>
    <row r="27" spans="2:31" customFormat="1" ht="18.75">
      <c r="B27" s="54"/>
      <c r="D27" s="52"/>
      <c r="E27" s="61"/>
      <c r="F27" s="52" t="s">
        <v>574</v>
      </c>
      <c r="G27" s="61">
        <v>1</v>
      </c>
      <c r="H27" s="52" t="s">
        <v>574</v>
      </c>
      <c r="I27" s="61">
        <v>1</v>
      </c>
      <c r="J27" s="52" t="s">
        <v>574</v>
      </c>
      <c r="K27" s="61">
        <v>1</v>
      </c>
      <c r="L27" s="52"/>
      <c r="M27" s="61"/>
      <c r="N27" s="52"/>
      <c r="O27" s="61"/>
      <c r="P27" s="52"/>
      <c r="Q27" s="61"/>
      <c r="R27" s="52"/>
      <c r="S27" s="61"/>
      <c r="T27" s="52"/>
      <c r="U27" s="61"/>
      <c r="V27" s="52" t="s">
        <v>574</v>
      </c>
      <c r="W27" s="61">
        <v>1</v>
      </c>
      <c r="X27" s="52"/>
      <c r="Y27" s="61"/>
      <c r="Z27" s="52"/>
      <c r="AA27" s="61"/>
      <c r="AB27" s="52" t="s">
        <v>574</v>
      </c>
      <c r="AC27" s="61">
        <v>1</v>
      </c>
      <c r="AD27" s="52"/>
      <c r="AE27" s="61"/>
    </row>
    <row r="28" spans="2:31" customFormat="1" ht="18.75">
      <c r="B28" s="54"/>
      <c r="D28" s="52"/>
      <c r="E28" s="61"/>
      <c r="F28" s="52" t="s">
        <v>572</v>
      </c>
      <c r="G28" s="61">
        <v>0</v>
      </c>
      <c r="H28" s="52" t="s">
        <v>572</v>
      </c>
      <c r="I28" s="61">
        <v>0</v>
      </c>
      <c r="J28" s="52" t="s">
        <v>572</v>
      </c>
      <c r="K28" s="61">
        <v>0</v>
      </c>
      <c r="L28" s="52"/>
      <c r="M28" s="61"/>
      <c r="N28" s="52"/>
      <c r="O28" s="61"/>
      <c r="P28" s="52"/>
      <c r="Q28" s="61"/>
      <c r="R28" s="52"/>
      <c r="S28" s="61"/>
      <c r="T28" s="52"/>
      <c r="U28" s="61"/>
      <c r="V28" s="52" t="s">
        <v>572</v>
      </c>
      <c r="W28" s="61">
        <v>0</v>
      </c>
      <c r="X28" s="52"/>
      <c r="Y28" s="61"/>
      <c r="Z28" s="52"/>
      <c r="AA28" s="61"/>
      <c r="AB28" s="52" t="s">
        <v>572</v>
      </c>
      <c r="AC28" s="61">
        <v>0</v>
      </c>
      <c r="AD28" s="52"/>
      <c r="AE28" s="64"/>
    </row>
    <row r="29" spans="2:31" customFormat="1" ht="18.75">
      <c r="B29" s="54"/>
      <c r="D29" s="52"/>
      <c r="E29" s="64"/>
      <c r="F29" s="52"/>
      <c r="G29" s="64"/>
      <c r="H29" s="52"/>
      <c r="I29" s="64"/>
      <c r="J29" s="52"/>
      <c r="K29" s="64"/>
      <c r="L29" s="52"/>
      <c r="M29" s="64"/>
      <c r="N29" s="52"/>
      <c r="O29" s="64"/>
      <c r="P29" s="52"/>
      <c r="Q29" s="64"/>
      <c r="R29" s="52"/>
      <c r="S29" s="64"/>
      <c r="T29" s="52"/>
      <c r="U29" s="64"/>
      <c r="V29" s="52"/>
      <c r="W29" s="64"/>
      <c r="X29" s="52"/>
      <c r="Y29" s="64"/>
      <c r="Z29" s="52"/>
      <c r="AA29" s="64"/>
      <c r="AB29" s="52"/>
      <c r="AC29" s="64"/>
      <c r="AD29" s="55"/>
      <c r="AE29" s="56"/>
    </row>
    <row r="30" spans="2:31" customFormat="1" ht="18.75">
      <c r="B30" s="54"/>
      <c r="D30" s="52"/>
      <c r="E30" s="64"/>
      <c r="F30" s="52"/>
      <c r="G30" s="64"/>
      <c r="H30" s="52"/>
      <c r="I30" s="64"/>
      <c r="J30" s="52"/>
      <c r="K30" s="64"/>
      <c r="L30" s="52"/>
      <c r="M30" s="64"/>
      <c r="N30" s="52"/>
      <c r="O30" s="64"/>
      <c r="P30" s="52"/>
      <c r="Q30" s="64"/>
      <c r="R30" s="52"/>
      <c r="S30" s="64"/>
      <c r="T30" s="52"/>
      <c r="U30" s="64"/>
      <c r="V30" s="52"/>
      <c r="W30" s="64"/>
      <c r="X30" s="52"/>
      <c r="Y30" s="64"/>
      <c r="Z30" s="52"/>
      <c r="AA30" s="64"/>
      <c r="AB30" s="52"/>
      <c r="AC30" s="64"/>
      <c r="AD30" s="52"/>
      <c r="AE30" s="64"/>
    </row>
    <row r="31" spans="2:31" customFormat="1" ht="18.75">
      <c r="B31" s="54"/>
      <c r="D31" s="55" t="s">
        <v>25</v>
      </c>
      <c r="E31" s="56">
        <v>0.05</v>
      </c>
      <c r="F31" s="55" t="s">
        <v>25</v>
      </c>
      <c r="G31" s="56">
        <v>0.125</v>
      </c>
      <c r="H31" s="55" t="s">
        <v>25</v>
      </c>
      <c r="I31" s="56">
        <v>0.20500000000000002</v>
      </c>
      <c r="J31" s="55" t="s">
        <v>25</v>
      </c>
      <c r="K31" s="56">
        <v>0.22499999999999998</v>
      </c>
      <c r="L31" s="55" t="s">
        <v>25</v>
      </c>
      <c r="M31" s="56">
        <v>0.05</v>
      </c>
      <c r="N31" s="55" t="s">
        <v>25</v>
      </c>
      <c r="O31" s="56">
        <v>0.05</v>
      </c>
      <c r="P31" s="55" t="s">
        <v>25</v>
      </c>
      <c r="Q31" s="56">
        <v>0.05</v>
      </c>
      <c r="R31" s="55" t="s">
        <v>25</v>
      </c>
      <c r="S31" s="56">
        <v>0.125</v>
      </c>
      <c r="T31" s="55" t="s">
        <v>25</v>
      </c>
      <c r="U31" s="56">
        <v>0.125</v>
      </c>
      <c r="V31" s="55" t="s">
        <v>25</v>
      </c>
      <c r="W31" s="56">
        <v>0.125</v>
      </c>
      <c r="X31" s="55" t="s">
        <v>25</v>
      </c>
      <c r="Y31" s="56">
        <v>0.20500000000000002</v>
      </c>
      <c r="Z31" s="55" t="s">
        <v>25</v>
      </c>
      <c r="AA31" s="56">
        <v>0.20500000000000002</v>
      </c>
      <c r="AB31" s="55" t="s">
        <v>25</v>
      </c>
      <c r="AC31" s="56">
        <v>0.20500000000000002</v>
      </c>
      <c r="AD31" s="59"/>
      <c r="AE31" s="60"/>
    </row>
    <row r="32" spans="2:31" customFormat="1" ht="18.75">
      <c r="B32" s="54"/>
      <c r="D32" s="57"/>
      <c r="E32" s="65"/>
      <c r="F32" s="57"/>
      <c r="G32" s="65"/>
      <c r="H32" s="57"/>
      <c r="I32" s="65"/>
      <c r="J32" s="57"/>
      <c r="K32" s="65"/>
      <c r="L32" s="57"/>
      <c r="M32" s="65"/>
      <c r="N32" s="57"/>
      <c r="O32" s="65"/>
      <c r="P32" s="57"/>
      <c r="Q32" s="65"/>
      <c r="R32" s="57"/>
      <c r="S32" s="65"/>
      <c r="T32" s="57"/>
      <c r="U32" s="65"/>
      <c r="V32" s="57"/>
      <c r="W32" s="65"/>
      <c r="X32" s="57"/>
      <c r="Y32" s="65"/>
      <c r="Z32" s="57"/>
      <c r="AA32" s="65"/>
      <c r="AB32" s="57"/>
      <c r="AC32" s="65"/>
      <c r="AD32" s="52"/>
      <c r="AE32" s="61"/>
    </row>
    <row r="33" spans="2:31" customFormat="1" ht="18.75">
      <c r="B33" s="54"/>
      <c r="D33" s="59" t="s">
        <v>26</v>
      </c>
      <c r="E33" s="60">
        <v>0.05</v>
      </c>
      <c r="F33" s="59" t="s">
        <v>26</v>
      </c>
      <c r="G33" s="60">
        <v>7.4999999999999997E-2</v>
      </c>
      <c r="H33" s="59" t="s">
        <v>26</v>
      </c>
      <c r="I33" s="60">
        <v>7.4999999999999997E-2</v>
      </c>
      <c r="J33" s="59" t="s">
        <v>26</v>
      </c>
      <c r="K33" s="60">
        <v>0.05</v>
      </c>
      <c r="L33" s="59" t="s">
        <v>26</v>
      </c>
      <c r="M33" s="60">
        <v>0.05</v>
      </c>
      <c r="N33" s="59" t="s">
        <v>26</v>
      </c>
      <c r="O33" s="60">
        <v>0.05</v>
      </c>
      <c r="P33" s="59" t="s">
        <v>26</v>
      </c>
      <c r="Q33" s="60">
        <v>0.05</v>
      </c>
      <c r="R33" s="59" t="s">
        <v>26</v>
      </c>
      <c r="S33" s="60">
        <v>7.4999999999999997E-2</v>
      </c>
      <c r="T33" s="59" t="s">
        <v>26</v>
      </c>
      <c r="U33" s="60">
        <v>7.4999999999999997E-2</v>
      </c>
      <c r="V33" s="59" t="s">
        <v>26</v>
      </c>
      <c r="W33" s="60">
        <v>7.4999999999999997E-2</v>
      </c>
      <c r="X33" s="59" t="s">
        <v>26</v>
      </c>
      <c r="Y33" s="60">
        <v>7.4999999999999997E-2</v>
      </c>
      <c r="Z33" s="59" t="s">
        <v>26</v>
      </c>
      <c r="AA33" s="60">
        <v>7.4999999999999997E-2</v>
      </c>
      <c r="AB33" s="59" t="s">
        <v>26</v>
      </c>
      <c r="AC33" s="60">
        <v>7.4999999999999997E-2</v>
      </c>
      <c r="AD33" s="52"/>
      <c r="AE33" s="61"/>
    </row>
    <row r="34" spans="2:31" customFormat="1" ht="18.75">
      <c r="B34" s="66"/>
      <c r="D34" s="52" t="s">
        <v>48</v>
      </c>
      <c r="E34" s="61">
        <v>0.5</v>
      </c>
      <c r="F34" s="52" t="s">
        <v>48</v>
      </c>
      <c r="G34" s="61">
        <v>0.5</v>
      </c>
      <c r="H34" s="52" t="s">
        <v>48</v>
      </c>
      <c r="I34" s="61">
        <v>0.5</v>
      </c>
      <c r="J34" s="52" t="s">
        <v>48</v>
      </c>
      <c r="K34" s="61">
        <v>0.5</v>
      </c>
      <c r="L34" s="52" t="s">
        <v>47</v>
      </c>
      <c r="M34" s="61">
        <v>0.5</v>
      </c>
      <c r="N34" s="52" t="s">
        <v>47</v>
      </c>
      <c r="O34" s="61">
        <v>0.5</v>
      </c>
      <c r="P34" s="52" t="s">
        <v>48</v>
      </c>
      <c r="Q34" s="61">
        <v>0.5</v>
      </c>
      <c r="R34" s="52" t="s">
        <v>47</v>
      </c>
      <c r="S34" s="61">
        <v>0.5</v>
      </c>
      <c r="T34" s="52" t="s">
        <v>47</v>
      </c>
      <c r="U34" s="61">
        <v>0.5</v>
      </c>
      <c r="V34" s="52" t="s">
        <v>48</v>
      </c>
      <c r="W34" s="61">
        <v>0.5</v>
      </c>
      <c r="X34" s="52" t="s">
        <v>47</v>
      </c>
      <c r="Y34" s="61">
        <v>0.5</v>
      </c>
      <c r="Z34" s="52" t="s">
        <v>47</v>
      </c>
      <c r="AA34" s="61">
        <v>0.5</v>
      </c>
      <c r="AB34" s="52" t="s">
        <v>48</v>
      </c>
      <c r="AC34" s="61">
        <v>0.5</v>
      </c>
      <c r="AD34" s="52"/>
      <c r="AE34" s="61"/>
    </row>
    <row r="35" spans="2:31" customFormat="1" ht="18.75">
      <c r="B35" s="66"/>
      <c r="D35" s="52" t="s">
        <v>124</v>
      </c>
      <c r="E35" s="61">
        <v>0.5</v>
      </c>
      <c r="F35" s="52" t="s">
        <v>124</v>
      </c>
      <c r="G35" s="61">
        <v>0.5</v>
      </c>
      <c r="H35" s="52" t="s">
        <v>124</v>
      </c>
      <c r="I35" s="61">
        <v>0.5</v>
      </c>
      <c r="J35" s="52" t="s">
        <v>124</v>
      </c>
      <c r="K35" s="61">
        <v>0.5</v>
      </c>
      <c r="L35" s="52" t="s">
        <v>124</v>
      </c>
      <c r="M35" s="61">
        <v>0.5</v>
      </c>
      <c r="N35" s="52" t="s">
        <v>124</v>
      </c>
      <c r="O35" s="61">
        <v>0.5</v>
      </c>
      <c r="P35" s="52" t="s">
        <v>124</v>
      </c>
      <c r="Q35" s="61">
        <v>0.5</v>
      </c>
      <c r="R35" s="52" t="s">
        <v>124</v>
      </c>
      <c r="S35" s="61">
        <v>0.5</v>
      </c>
      <c r="T35" s="52" t="s">
        <v>124</v>
      </c>
      <c r="U35" s="61">
        <v>0.5</v>
      </c>
      <c r="V35" s="52" t="s">
        <v>124</v>
      </c>
      <c r="W35" s="61">
        <v>0.5</v>
      </c>
      <c r="X35" s="52" t="s">
        <v>124</v>
      </c>
      <c r="Y35" s="61">
        <v>0.5</v>
      </c>
      <c r="Z35" s="52" t="s">
        <v>124</v>
      </c>
      <c r="AA35" s="61">
        <v>0.5</v>
      </c>
      <c r="AB35" s="52" t="s">
        <v>124</v>
      </c>
      <c r="AC35" s="61">
        <v>0.5</v>
      </c>
      <c r="AD35" s="52"/>
      <c r="AE35" s="64"/>
    </row>
    <row r="36" spans="2:31" customFormat="1" ht="18.75">
      <c r="B36" s="66"/>
      <c r="D36" s="52" t="s">
        <v>49</v>
      </c>
      <c r="E36" s="61">
        <v>0</v>
      </c>
      <c r="F36" s="52" t="s">
        <v>49</v>
      </c>
      <c r="G36" s="61">
        <v>0</v>
      </c>
      <c r="H36" s="52" t="s">
        <v>49</v>
      </c>
      <c r="I36" s="61">
        <v>0</v>
      </c>
      <c r="J36" s="52" t="s">
        <v>49</v>
      </c>
      <c r="K36" s="61">
        <v>0</v>
      </c>
      <c r="L36" s="52" t="s">
        <v>49</v>
      </c>
      <c r="M36" s="61">
        <v>0</v>
      </c>
      <c r="N36" s="52" t="s">
        <v>49</v>
      </c>
      <c r="O36" s="61">
        <v>0</v>
      </c>
      <c r="P36" s="52" t="s">
        <v>47</v>
      </c>
      <c r="Q36" s="61">
        <v>0</v>
      </c>
      <c r="R36" s="52" t="s">
        <v>49</v>
      </c>
      <c r="S36" s="61">
        <v>0</v>
      </c>
      <c r="T36" s="52" t="s">
        <v>49</v>
      </c>
      <c r="U36" s="61">
        <v>0</v>
      </c>
      <c r="V36" s="52" t="s">
        <v>47</v>
      </c>
      <c r="W36" s="61">
        <v>0</v>
      </c>
      <c r="X36" s="52" t="s">
        <v>49</v>
      </c>
      <c r="Y36" s="61">
        <v>0</v>
      </c>
      <c r="Z36" s="52" t="s">
        <v>49</v>
      </c>
      <c r="AA36" s="61">
        <v>0</v>
      </c>
      <c r="AB36" s="52" t="s">
        <v>47</v>
      </c>
      <c r="AC36" s="61">
        <v>0</v>
      </c>
      <c r="AD36" s="59"/>
      <c r="AE36" s="60"/>
    </row>
    <row r="37" spans="2:31" customFormat="1" ht="18.75">
      <c r="B37" s="54"/>
      <c r="D37" s="52"/>
      <c r="E37" s="64"/>
      <c r="F37" s="52"/>
      <c r="G37" s="64"/>
      <c r="H37" s="52"/>
      <c r="I37" s="64"/>
      <c r="J37" s="52"/>
      <c r="K37" s="64"/>
      <c r="L37" s="52"/>
      <c r="M37" s="64"/>
      <c r="N37" s="52"/>
      <c r="O37" s="64"/>
      <c r="P37" s="52"/>
      <c r="Q37" s="64"/>
      <c r="R37" s="52"/>
      <c r="S37" s="64"/>
      <c r="T37" s="52"/>
      <c r="U37" s="64"/>
      <c r="V37" s="52"/>
      <c r="W37" s="64"/>
      <c r="X37" s="52"/>
      <c r="Y37" s="64"/>
      <c r="Z37" s="52"/>
      <c r="AA37" s="64"/>
      <c r="AB37" s="52"/>
      <c r="AC37" s="64"/>
      <c r="AD37" s="52"/>
      <c r="AE37" s="61"/>
    </row>
    <row r="38" spans="2:31" customFormat="1" ht="18.75">
      <c r="B38" s="54"/>
      <c r="D38" s="59" t="s">
        <v>27</v>
      </c>
      <c r="E38" s="60">
        <v>0</v>
      </c>
      <c r="F38" s="59" t="s">
        <v>27</v>
      </c>
      <c r="G38" s="60">
        <v>0.05</v>
      </c>
      <c r="H38" s="59" t="s">
        <v>27</v>
      </c>
      <c r="I38" s="60">
        <v>0.13</v>
      </c>
      <c r="J38" s="59" t="s">
        <v>27</v>
      </c>
      <c r="K38" s="60">
        <v>0.17499999999999999</v>
      </c>
      <c r="L38" s="59" t="s">
        <v>27</v>
      </c>
      <c r="M38" s="60">
        <v>0</v>
      </c>
      <c r="N38" s="59" t="s">
        <v>27</v>
      </c>
      <c r="O38" s="60">
        <v>0</v>
      </c>
      <c r="P38" s="59" t="s">
        <v>27</v>
      </c>
      <c r="Q38" s="60">
        <v>0</v>
      </c>
      <c r="R38" s="59" t="s">
        <v>27</v>
      </c>
      <c r="S38" s="60">
        <v>0.05</v>
      </c>
      <c r="T38" s="59" t="s">
        <v>27</v>
      </c>
      <c r="U38" s="60">
        <v>0.05</v>
      </c>
      <c r="V38" s="59" t="s">
        <v>27</v>
      </c>
      <c r="W38" s="60">
        <v>0.05</v>
      </c>
      <c r="X38" s="59" t="s">
        <v>27</v>
      </c>
      <c r="Y38" s="60">
        <v>0.13</v>
      </c>
      <c r="Z38" s="59" t="s">
        <v>27</v>
      </c>
      <c r="AA38" s="60">
        <v>0.13</v>
      </c>
      <c r="AB38" s="59" t="s">
        <v>27</v>
      </c>
      <c r="AC38" s="60">
        <v>0.13</v>
      </c>
      <c r="AD38" s="52"/>
      <c r="AE38" s="61"/>
    </row>
    <row r="39" spans="2:31" customFormat="1" ht="18.75">
      <c r="B39" s="67"/>
      <c r="D39" s="52"/>
      <c r="E39" s="61"/>
      <c r="F39" s="52" t="s">
        <v>758</v>
      </c>
      <c r="G39" s="61">
        <v>0.5</v>
      </c>
      <c r="H39" s="52" t="s">
        <v>758</v>
      </c>
      <c r="I39" s="61">
        <v>0.26923076923076927</v>
      </c>
      <c r="J39" s="52" t="s">
        <v>758</v>
      </c>
      <c r="K39" s="61">
        <v>0.25714285714285717</v>
      </c>
      <c r="L39" s="52"/>
      <c r="M39" s="62"/>
      <c r="N39" s="52"/>
      <c r="O39" s="62"/>
      <c r="P39" s="52"/>
      <c r="Q39" s="62"/>
      <c r="R39" s="52" t="s">
        <v>758</v>
      </c>
      <c r="S39" s="61">
        <v>0.5</v>
      </c>
      <c r="T39" s="52" t="s">
        <v>758</v>
      </c>
      <c r="U39" s="61">
        <v>0.5</v>
      </c>
      <c r="V39" s="52" t="s">
        <v>758</v>
      </c>
      <c r="W39" s="61">
        <v>0.5</v>
      </c>
      <c r="X39" s="52" t="s">
        <v>758</v>
      </c>
      <c r="Y39" s="61">
        <v>0.26923076923076927</v>
      </c>
      <c r="Z39" s="52" t="s">
        <v>758</v>
      </c>
      <c r="AA39" s="61">
        <v>0.26923076923076927</v>
      </c>
      <c r="AB39" s="52" t="s">
        <v>758</v>
      </c>
      <c r="AC39" s="61">
        <v>0.26923076923076927</v>
      </c>
      <c r="AD39" s="52"/>
      <c r="AE39" s="61"/>
    </row>
    <row r="40" spans="2:31" customFormat="1" ht="18.75">
      <c r="B40" s="67"/>
      <c r="D40" s="52"/>
      <c r="E40" s="61"/>
      <c r="F40" s="52" t="s">
        <v>433</v>
      </c>
      <c r="G40" s="61">
        <v>0.5</v>
      </c>
      <c r="H40" s="52" t="s">
        <v>433</v>
      </c>
      <c r="I40" s="61">
        <v>0.26923076923076927</v>
      </c>
      <c r="J40" s="52" t="s">
        <v>433</v>
      </c>
      <c r="K40" s="61">
        <v>0.25714285714285717</v>
      </c>
      <c r="L40" s="52"/>
      <c r="M40" s="62"/>
      <c r="N40" s="52"/>
      <c r="O40" s="62"/>
      <c r="P40" s="52"/>
      <c r="Q40" s="62"/>
      <c r="R40" s="52" t="s">
        <v>433</v>
      </c>
      <c r="S40" s="61">
        <v>0.5</v>
      </c>
      <c r="T40" s="52" t="s">
        <v>433</v>
      </c>
      <c r="U40" s="61">
        <v>0.5</v>
      </c>
      <c r="V40" s="52" t="s">
        <v>433</v>
      </c>
      <c r="W40" s="61">
        <v>0.5</v>
      </c>
      <c r="X40" s="52" t="s">
        <v>433</v>
      </c>
      <c r="Y40" s="61">
        <v>0.26923076923076927</v>
      </c>
      <c r="Z40" s="52" t="s">
        <v>433</v>
      </c>
      <c r="AA40" s="61">
        <v>0.26923076923076927</v>
      </c>
      <c r="AB40" s="52" t="s">
        <v>433</v>
      </c>
      <c r="AC40" s="61">
        <v>0.26923076923076927</v>
      </c>
      <c r="AD40" s="52"/>
      <c r="AE40" s="64"/>
    </row>
    <row r="41" spans="2:31" customFormat="1" ht="18.75">
      <c r="B41" s="67"/>
      <c r="D41" s="52"/>
      <c r="E41" s="61"/>
      <c r="F41" s="52" t="s">
        <v>300</v>
      </c>
      <c r="G41" s="61">
        <v>0</v>
      </c>
      <c r="H41" s="52" t="s">
        <v>73</v>
      </c>
      <c r="I41" s="61">
        <v>0.26923076923076927</v>
      </c>
      <c r="J41" s="52" t="s">
        <v>73</v>
      </c>
      <c r="K41" s="61">
        <v>0.25714285714285717</v>
      </c>
      <c r="L41" s="52"/>
      <c r="M41" s="62"/>
      <c r="N41" s="52"/>
      <c r="O41" s="62"/>
      <c r="P41" s="52"/>
      <c r="Q41" s="62"/>
      <c r="R41" s="52" t="s">
        <v>300</v>
      </c>
      <c r="S41" s="61">
        <v>0</v>
      </c>
      <c r="T41" s="52" t="s">
        <v>300</v>
      </c>
      <c r="U41" s="61">
        <v>0</v>
      </c>
      <c r="V41" s="52" t="s">
        <v>300</v>
      </c>
      <c r="W41" s="61">
        <v>0</v>
      </c>
      <c r="X41" s="52" t="s">
        <v>73</v>
      </c>
      <c r="Y41" s="61">
        <v>0.26923076923076927</v>
      </c>
      <c r="Z41" s="52" t="s">
        <v>73</v>
      </c>
      <c r="AA41" s="61">
        <v>0.26923076923076927</v>
      </c>
      <c r="AB41" s="52" t="s">
        <v>73</v>
      </c>
      <c r="AC41" s="61">
        <v>0.26923076923076927</v>
      </c>
      <c r="AD41" s="55"/>
      <c r="AE41" s="56"/>
    </row>
    <row r="42" spans="2:31" customFormat="1" ht="18.75">
      <c r="B42" s="54"/>
      <c r="D42" s="52"/>
      <c r="E42" s="62"/>
      <c r="F42" s="52"/>
      <c r="G42" s="62"/>
      <c r="H42" s="52" t="s">
        <v>300</v>
      </c>
      <c r="I42" s="62">
        <v>0.19230769230769218</v>
      </c>
      <c r="J42" s="52" t="s">
        <v>300</v>
      </c>
      <c r="K42" s="62">
        <v>0.22857142857142854</v>
      </c>
      <c r="L42" s="52"/>
      <c r="M42" s="62"/>
      <c r="N42" s="52"/>
      <c r="O42" s="62"/>
      <c r="P42" s="52"/>
      <c r="Q42" s="62"/>
      <c r="R42" s="52"/>
      <c r="S42" s="62"/>
      <c r="T42" s="52"/>
      <c r="U42" s="62"/>
      <c r="V42" s="52"/>
      <c r="W42" s="62"/>
      <c r="X42" s="52" t="s">
        <v>300</v>
      </c>
      <c r="Y42" s="62">
        <v>0.19230769230769218</v>
      </c>
      <c r="Z42" s="52" t="s">
        <v>300</v>
      </c>
      <c r="AA42" s="62">
        <v>0.19230769230769218</v>
      </c>
      <c r="AB42" s="52" t="s">
        <v>300</v>
      </c>
      <c r="AC42" s="62">
        <v>0.19230769230769218</v>
      </c>
      <c r="AD42" s="52"/>
      <c r="AE42" s="62"/>
    </row>
    <row r="43" spans="2:31" customFormat="1" ht="18.75">
      <c r="B43" s="54"/>
      <c r="D43" s="52"/>
      <c r="E43" s="62"/>
      <c r="F43" s="52"/>
      <c r="G43" s="62"/>
      <c r="H43" s="52"/>
      <c r="I43" s="62"/>
      <c r="J43" s="52"/>
      <c r="K43" s="62"/>
      <c r="L43" s="52"/>
      <c r="M43" s="62"/>
      <c r="N43" s="52"/>
      <c r="O43" s="62"/>
      <c r="P43" s="52"/>
      <c r="Q43" s="62"/>
      <c r="R43" s="52"/>
      <c r="S43" s="62"/>
      <c r="T43" s="52"/>
      <c r="U43" s="62"/>
      <c r="V43" s="52"/>
      <c r="W43" s="62"/>
      <c r="X43" s="52"/>
      <c r="Y43" s="62"/>
      <c r="Z43" s="52"/>
      <c r="AA43" s="62"/>
      <c r="AB43" s="52"/>
      <c r="AC43" s="62"/>
      <c r="AD43" s="59"/>
      <c r="AE43" s="60"/>
    </row>
    <row r="44" spans="2:31" customFormat="1" ht="18.75">
      <c r="B44" s="54"/>
      <c r="D44" s="55" t="s">
        <v>28</v>
      </c>
      <c r="E44" s="56">
        <v>2.5000000000000001E-2</v>
      </c>
      <c r="F44" s="55" t="s">
        <v>28</v>
      </c>
      <c r="G44" s="56">
        <v>9.0000000000000011E-2</v>
      </c>
      <c r="H44" s="55" t="s">
        <v>28</v>
      </c>
      <c r="I44" s="56">
        <v>0.12</v>
      </c>
      <c r="J44" s="55" t="s">
        <v>28</v>
      </c>
      <c r="K44" s="56">
        <v>0.18</v>
      </c>
      <c r="L44" s="55" t="s">
        <v>28</v>
      </c>
      <c r="M44" s="56">
        <v>2.5000000000000001E-2</v>
      </c>
      <c r="N44" s="55" t="s">
        <v>28</v>
      </c>
      <c r="O44" s="56">
        <v>2.5000000000000001E-2</v>
      </c>
      <c r="P44" s="55" t="s">
        <v>28</v>
      </c>
      <c r="Q44" s="56">
        <v>2.5000000000000001E-2</v>
      </c>
      <c r="R44" s="55" t="s">
        <v>28</v>
      </c>
      <c r="S44" s="56">
        <v>9.0000000000000011E-2</v>
      </c>
      <c r="T44" s="55" t="s">
        <v>28</v>
      </c>
      <c r="U44" s="56">
        <v>9.0000000000000011E-2</v>
      </c>
      <c r="V44" s="55" t="s">
        <v>28</v>
      </c>
      <c r="W44" s="56">
        <v>9.0000000000000011E-2</v>
      </c>
      <c r="X44" s="55" t="s">
        <v>28</v>
      </c>
      <c r="Y44" s="56">
        <v>0.12</v>
      </c>
      <c r="Z44" s="55" t="s">
        <v>28</v>
      </c>
      <c r="AA44" s="56">
        <v>0.12</v>
      </c>
      <c r="AB44" s="55" t="s">
        <v>28</v>
      </c>
      <c r="AC44" s="56">
        <v>0.12</v>
      </c>
      <c r="AD44" s="52"/>
      <c r="AE44" s="61"/>
    </row>
    <row r="45" spans="2:31" customFormat="1" ht="18.75">
      <c r="B45" s="54"/>
      <c r="D45" s="52"/>
      <c r="E45" s="64"/>
      <c r="F45" s="52"/>
      <c r="G45" s="64"/>
      <c r="H45" s="52"/>
      <c r="I45" s="64"/>
      <c r="J45" s="52"/>
      <c r="K45" s="64"/>
      <c r="L45" s="52"/>
      <c r="M45" s="64"/>
      <c r="N45" s="52"/>
      <c r="O45" s="64"/>
      <c r="P45" s="52"/>
      <c r="Q45" s="64"/>
      <c r="R45" s="52"/>
      <c r="S45" s="64"/>
      <c r="T45" s="52"/>
      <c r="U45" s="64"/>
      <c r="V45" s="52"/>
      <c r="W45" s="64"/>
      <c r="X45" s="52"/>
      <c r="Y45" s="64"/>
      <c r="Z45" s="52"/>
      <c r="AA45" s="64"/>
      <c r="AB45" s="52"/>
      <c r="AC45" s="64"/>
      <c r="AD45" s="52"/>
      <c r="AE45" s="61"/>
    </row>
    <row r="46" spans="2:31" customFormat="1" ht="18.75">
      <c r="B46" s="54"/>
      <c r="D46" s="59" t="s">
        <v>29</v>
      </c>
      <c r="E46" s="60">
        <v>2.5000000000000001E-2</v>
      </c>
      <c r="F46" s="59" t="s">
        <v>29</v>
      </c>
      <c r="G46" s="60">
        <v>0.05</v>
      </c>
      <c r="H46" s="59" t="s">
        <v>29</v>
      </c>
      <c r="I46" s="60">
        <v>0.04</v>
      </c>
      <c r="J46" s="59" t="s">
        <v>29</v>
      </c>
      <c r="K46" s="60">
        <v>0.06</v>
      </c>
      <c r="L46" s="59" t="s">
        <v>29</v>
      </c>
      <c r="M46" s="60">
        <v>2.5000000000000001E-2</v>
      </c>
      <c r="N46" s="59" t="s">
        <v>29</v>
      </c>
      <c r="O46" s="60">
        <v>2.5000000000000001E-2</v>
      </c>
      <c r="P46" s="59" t="s">
        <v>29</v>
      </c>
      <c r="Q46" s="60">
        <v>2.5000000000000001E-2</v>
      </c>
      <c r="R46" s="59" t="s">
        <v>29</v>
      </c>
      <c r="S46" s="60">
        <v>0.05</v>
      </c>
      <c r="T46" s="59" t="s">
        <v>29</v>
      </c>
      <c r="U46" s="60">
        <v>0.05</v>
      </c>
      <c r="V46" s="59" t="s">
        <v>29</v>
      </c>
      <c r="W46" s="60">
        <v>0.05</v>
      </c>
      <c r="X46" s="59" t="s">
        <v>29</v>
      </c>
      <c r="Y46" s="60">
        <v>0.04</v>
      </c>
      <c r="Z46" s="59" t="s">
        <v>29</v>
      </c>
      <c r="AA46" s="60">
        <v>0.04</v>
      </c>
      <c r="AB46" s="59" t="s">
        <v>29</v>
      </c>
      <c r="AC46" s="60">
        <v>0.04</v>
      </c>
      <c r="AD46" s="52"/>
      <c r="AE46" s="61"/>
    </row>
    <row r="47" spans="2:31" customFormat="1" ht="18.75">
      <c r="B47" s="68"/>
      <c r="D47" s="52" t="s">
        <v>528</v>
      </c>
      <c r="E47" s="61">
        <v>1</v>
      </c>
      <c r="F47" s="52" t="s">
        <v>528</v>
      </c>
      <c r="G47" s="61">
        <v>0.5</v>
      </c>
      <c r="H47" s="52" t="s">
        <v>528</v>
      </c>
      <c r="I47" s="61">
        <v>1</v>
      </c>
      <c r="J47" s="52" t="s">
        <v>528</v>
      </c>
      <c r="K47" s="61">
        <v>0.5</v>
      </c>
      <c r="L47" s="52" t="s">
        <v>528</v>
      </c>
      <c r="M47" s="61">
        <v>1</v>
      </c>
      <c r="N47" s="52" t="s">
        <v>528</v>
      </c>
      <c r="O47" s="61">
        <v>1</v>
      </c>
      <c r="P47" s="52" t="s">
        <v>528</v>
      </c>
      <c r="Q47" s="61">
        <v>1</v>
      </c>
      <c r="R47" s="52" t="s">
        <v>528</v>
      </c>
      <c r="S47" s="61">
        <v>0.5</v>
      </c>
      <c r="T47" s="52" t="s">
        <v>528</v>
      </c>
      <c r="U47" s="61">
        <v>0.5</v>
      </c>
      <c r="V47" s="52" t="s">
        <v>528</v>
      </c>
      <c r="W47" s="61">
        <v>0.5</v>
      </c>
      <c r="X47" s="52" t="s">
        <v>528</v>
      </c>
      <c r="Y47" s="61">
        <v>1</v>
      </c>
      <c r="Z47" s="52" t="s">
        <v>528</v>
      </c>
      <c r="AA47" s="61">
        <v>1</v>
      </c>
      <c r="AB47" s="52" t="s">
        <v>528</v>
      </c>
      <c r="AC47" s="61">
        <v>1</v>
      </c>
      <c r="AD47" s="52"/>
      <c r="AE47" s="64"/>
    </row>
    <row r="48" spans="2:31" customFormat="1" ht="18.75">
      <c r="B48" s="68"/>
      <c r="D48" s="52" t="s">
        <v>304</v>
      </c>
      <c r="E48" s="61">
        <v>0</v>
      </c>
      <c r="F48" s="52" t="s">
        <v>304</v>
      </c>
      <c r="G48" s="61">
        <v>0.5</v>
      </c>
      <c r="H48" s="52" t="s">
        <v>304</v>
      </c>
      <c r="I48" s="61">
        <v>0</v>
      </c>
      <c r="J48" s="52" t="s">
        <v>304</v>
      </c>
      <c r="K48" s="61">
        <v>0.5</v>
      </c>
      <c r="L48" s="52" t="s">
        <v>304</v>
      </c>
      <c r="M48" s="61">
        <v>0</v>
      </c>
      <c r="N48" s="52" t="s">
        <v>304</v>
      </c>
      <c r="O48" s="61">
        <v>0</v>
      </c>
      <c r="P48" s="52" t="s">
        <v>304</v>
      </c>
      <c r="Q48" s="61">
        <v>0</v>
      </c>
      <c r="R48" s="52" t="s">
        <v>304</v>
      </c>
      <c r="S48" s="61">
        <v>0.5</v>
      </c>
      <c r="T48" s="52" t="s">
        <v>304</v>
      </c>
      <c r="U48" s="61">
        <v>0.5</v>
      </c>
      <c r="V48" s="52" t="s">
        <v>304</v>
      </c>
      <c r="W48" s="61">
        <v>0.5</v>
      </c>
      <c r="X48" s="52" t="s">
        <v>304</v>
      </c>
      <c r="Y48" s="61">
        <v>0</v>
      </c>
      <c r="Z48" s="52" t="s">
        <v>304</v>
      </c>
      <c r="AA48" s="61">
        <v>0</v>
      </c>
      <c r="AB48" s="52" t="s">
        <v>304</v>
      </c>
      <c r="AC48" s="61">
        <v>0</v>
      </c>
      <c r="AD48" s="59"/>
      <c r="AE48" s="60"/>
    </row>
    <row r="49" spans="2:31" customFormat="1" ht="18.75">
      <c r="B49" s="68"/>
      <c r="D49" s="52" t="s">
        <v>80</v>
      </c>
      <c r="E49" s="61">
        <v>0</v>
      </c>
      <c r="F49" s="52" t="s">
        <v>80</v>
      </c>
      <c r="G49" s="61">
        <v>0</v>
      </c>
      <c r="H49" s="52" t="s">
        <v>80</v>
      </c>
      <c r="I49" s="61">
        <v>0</v>
      </c>
      <c r="J49" s="52" t="s">
        <v>80</v>
      </c>
      <c r="K49" s="61">
        <v>0</v>
      </c>
      <c r="L49" s="52" t="s">
        <v>80</v>
      </c>
      <c r="M49" s="61">
        <v>0</v>
      </c>
      <c r="N49" s="52" t="s">
        <v>80</v>
      </c>
      <c r="O49" s="61">
        <v>0</v>
      </c>
      <c r="P49" s="52" t="s">
        <v>80</v>
      </c>
      <c r="Q49" s="61">
        <v>0</v>
      </c>
      <c r="R49" s="52" t="s">
        <v>80</v>
      </c>
      <c r="S49" s="61">
        <v>0</v>
      </c>
      <c r="T49" s="52" t="s">
        <v>80</v>
      </c>
      <c r="U49" s="61">
        <v>0</v>
      </c>
      <c r="V49" s="52" t="s">
        <v>80</v>
      </c>
      <c r="W49" s="61">
        <v>0</v>
      </c>
      <c r="X49" s="52" t="s">
        <v>80</v>
      </c>
      <c r="Y49" s="61">
        <v>0</v>
      </c>
      <c r="Z49" s="52" t="s">
        <v>80</v>
      </c>
      <c r="AA49" s="61">
        <v>0</v>
      </c>
      <c r="AB49" s="52" t="s">
        <v>80</v>
      </c>
      <c r="AC49" s="61">
        <v>0</v>
      </c>
      <c r="AD49" s="52"/>
      <c r="AE49" s="61"/>
    </row>
    <row r="50" spans="2:31" customFormat="1" ht="18.75">
      <c r="B50" s="54"/>
      <c r="D50" s="52"/>
      <c r="E50" s="62"/>
      <c r="F50" s="52"/>
      <c r="G50" s="62"/>
      <c r="H50" s="52"/>
      <c r="I50" s="62"/>
      <c r="J50" s="52"/>
      <c r="K50" s="62"/>
      <c r="L50" s="52"/>
      <c r="M50" s="62"/>
      <c r="N50" s="52"/>
      <c r="O50" s="62"/>
      <c r="P50" s="52"/>
      <c r="Q50" s="62"/>
      <c r="R50" s="52"/>
      <c r="S50" s="62"/>
      <c r="T50" s="52"/>
      <c r="U50" s="62"/>
      <c r="V50" s="52"/>
      <c r="W50" s="62"/>
      <c r="X50" s="52"/>
      <c r="Y50" s="62"/>
      <c r="Z50" s="52"/>
      <c r="AA50" s="62"/>
      <c r="AB50" s="52"/>
      <c r="AC50" s="62"/>
      <c r="AD50" s="52"/>
      <c r="AE50" s="61"/>
    </row>
    <row r="51" spans="2:31" customFormat="1" ht="18.75">
      <c r="B51" s="54"/>
      <c r="D51" s="59" t="s">
        <v>30</v>
      </c>
      <c r="E51" s="60">
        <v>0</v>
      </c>
      <c r="F51" s="59" t="s">
        <v>30</v>
      </c>
      <c r="G51" s="60">
        <v>0.02</v>
      </c>
      <c r="H51" s="59" t="s">
        <v>30</v>
      </c>
      <c r="I51" s="60">
        <v>0.04</v>
      </c>
      <c r="J51" s="59" t="s">
        <v>30</v>
      </c>
      <c r="K51" s="60">
        <v>0.06</v>
      </c>
      <c r="L51" s="59" t="s">
        <v>30</v>
      </c>
      <c r="M51" s="60">
        <v>0</v>
      </c>
      <c r="N51" s="59" t="s">
        <v>30</v>
      </c>
      <c r="O51" s="60">
        <v>0</v>
      </c>
      <c r="P51" s="59" t="s">
        <v>30</v>
      </c>
      <c r="Q51" s="60">
        <v>0</v>
      </c>
      <c r="R51" s="59" t="s">
        <v>30</v>
      </c>
      <c r="S51" s="60">
        <v>0.02</v>
      </c>
      <c r="T51" s="59" t="s">
        <v>30</v>
      </c>
      <c r="U51" s="60">
        <v>0.02</v>
      </c>
      <c r="V51" s="59" t="s">
        <v>30</v>
      </c>
      <c r="W51" s="60">
        <v>0.02</v>
      </c>
      <c r="X51" s="59" t="s">
        <v>30</v>
      </c>
      <c r="Y51" s="60">
        <v>0.04</v>
      </c>
      <c r="Z51" s="59" t="s">
        <v>30</v>
      </c>
      <c r="AA51" s="60">
        <v>0.04</v>
      </c>
      <c r="AB51" s="59" t="s">
        <v>30</v>
      </c>
      <c r="AC51" s="60">
        <v>0.04</v>
      </c>
      <c r="AD51" s="52"/>
      <c r="AE51" s="61"/>
    </row>
    <row r="52" spans="2:31" customFormat="1" ht="18.75">
      <c r="B52" s="54"/>
      <c r="D52" s="52"/>
      <c r="E52" s="61"/>
      <c r="F52" s="52" t="s">
        <v>83</v>
      </c>
      <c r="G52" s="61">
        <v>1</v>
      </c>
      <c r="H52" s="52" t="s">
        <v>83</v>
      </c>
      <c r="I52" s="61">
        <v>1</v>
      </c>
      <c r="J52" s="52" t="s">
        <v>83</v>
      </c>
      <c r="K52" s="61">
        <v>0.5</v>
      </c>
      <c r="L52" s="52"/>
      <c r="M52" s="61"/>
      <c r="N52" s="52"/>
      <c r="O52" s="61"/>
      <c r="P52" s="52"/>
      <c r="Q52" s="61"/>
      <c r="R52" s="52" t="s">
        <v>83</v>
      </c>
      <c r="S52" s="61">
        <v>1</v>
      </c>
      <c r="T52" s="52" t="s">
        <v>83</v>
      </c>
      <c r="U52" s="61">
        <v>1</v>
      </c>
      <c r="V52" s="52" t="s">
        <v>83</v>
      </c>
      <c r="W52" s="61">
        <v>1</v>
      </c>
      <c r="X52" s="52" t="s">
        <v>83</v>
      </c>
      <c r="Y52" s="61">
        <v>1</v>
      </c>
      <c r="Z52" s="52" t="s">
        <v>83</v>
      </c>
      <c r="AA52" s="61">
        <v>1</v>
      </c>
      <c r="AB52" s="52" t="s">
        <v>83</v>
      </c>
      <c r="AC52" s="61">
        <v>1</v>
      </c>
      <c r="AD52" s="52"/>
      <c r="AE52" s="64"/>
    </row>
    <row r="53" spans="2:31" customFormat="1" ht="18.75">
      <c r="B53" s="54"/>
      <c r="D53" s="52"/>
      <c r="E53" s="61"/>
      <c r="F53" s="52" t="s">
        <v>81</v>
      </c>
      <c r="G53" s="61">
        <v>0</v>
      </c>
      <c r="H53" s="52" t="s">
        <v>81</v>
      </c>
      <c r="I53" s="61">
        <v>0</v>
      </c>
      <c r="J53" s="52" t="s">
        <v>81</v>
      </c>
      <c r="K53" s="61">
        <v>0.5</v>
      </c>
      <c r="L53" s="52"/>
      <c r="M53" s="61"/>
      <c r="N53" s="52"/>
      <c r="O53" s="61"/>
      <c r="P53" s="52"/>
      <c r="Q53" s="61"/>
      <c r="R53" s="52" t="s">
        <v>59</v>
      </c>
      <c r="S53" s="61">
        <v>0</v>
      </c>
      <c r="T53" s="52" t="s">
        <v>59</v>
      </c>
      <c r="U53" s="61">
        <v>0</v>
      </c>
      <c r="V53" s="52" t="s">
        <v>81</v>
      </c>
      <c r="W53" s="61">
        <v>0</v>
      </c>
      <c r="X53" s="52" t="s">
        <v>59</v>
      </c>
      <c r="Y53" s="61">
        <v>0</v>
      </c>
      <c r="Z53" s="52" t="s">
        <v>59</v>
      </c>
      <c r="AA53" s="61">
        <v>0</v>
      </c>
      <c r="AB53" s="52" t="s">
        <v>81</v>
      </c>
      <c r="AC53" s="61">
        <v>0</v>
      </c>
      <c r="AD53" s="59"/>
      <c r="AE53" s="60"/>
    </row>
    <row r="54" spans="2:31" customFormat="1" ht="18.75">
      <c r="B54" s="54"/>
      <c r="D54" s="52"/>
      <c r="E54" s="61"/>
      <c r="F54" s="52" t="s">
        <v>59</v>
      </c>
      <c r="G54" s="61">
        <v>0</v>
      </c>
      <c r="H54" s="52" t="s">
        <v>59</v>
      </c>
      <c r="I54" s="61">
        <v>0</v>
      </c>
      <c r="J54" s="52" t="s">
        <v>59</v>
      </c>
      <c r="K54" s="61">
        <v>0</v>
      </c>
      <c r="L54" s="52"/>
      <c r="M54" s="61"/>
      <c r="N54" s="52"/>
      <c r="O54" s="61"/>
      <c r="P54" s="52"/>
      <c r="Q54" s="61"/>
      <c r="R54" s="52" t="s">
        <v>58</v>
      </c>
      <c r="S54" s="61">
        <v>0</v>
      </c>
      <c r="T54" s="52" t="s">
        <v>58</v>
      </c>
      <c r="U54" s="61">
        <v>0</v>
      </c>
      <c r="V54" s="52" t="s">
        <v>59</v>
      </c>
      <c r="W54" s="61">
        <v>0</v>
      </c>
      <c r="X54" s="52" t="s">
        <v>58</v>
      </c>
      <c r="Y54" s="61">
        <v>0</v>
      </c>
      <c r="Z54" s="52" t="s">
        <v>58</v>
      </c>
      <c r="AA54" s="61">
        <v>0</v>
      </c>
      <c r="AB54" s="52" t="s">
        <v>59</v>
      </c>
      <c r="AC54" s="61">
        <v>0</v>
      </c>
      <c r="AD54" s="52"/>
      <c r="AE54" s="61"/>
    </row>
    <row r="55" spans="2:31" customFormat="1" ht="18.75">
      <c r="B55" s="54"/>
      <c r="D55" s="52"/>
      <c r="E55" s="62"/>
      <c r="F55" s="52"/>
      <c r="G55" s="62"/>
      <c r="H55" s="52"/>
      <c r="I55" s="62"/>
      <c r="J55" s="52"/>
      <c r="K55" s="62"/>
      <c r="L55" s="52"/>
      <c r="M55" s="62"/>
      <c r="N55" s="52"/>
      <c r="O55" s="62"/>
      <c r="P55" s="52"/>
      <c r="Q55" s="62"/>
      <c r="R55" s="52"/>
      <c r="S55" s="62"/>
      <c r="T55" s="52"/>
      <c r="U55" s="62"/>
      <c r="V55" s="52"/>
      <c r="W55" s="62"/>
      <c r="X55" s="52"/>
      <c r="Y55" s="62"/>
      <c r="Z55" s="52"/>
      <c r="AA55" s="62"/>
      <c r="AB55" s="52"/>
      <c r="AC55" s="62"/>
      <c r="AD55" s="52"/>
      <c r="AE55" s="61"/>
    </row>
    <row r="56" spans="2:31" customFormat="1" ht="18.75">
      <c r="B56" s="54"/>
      <c r="D56" s="59" t="s">
        <v>31</v>
      </c>
      <c r="E56" s="60">
        <v>0</v>
      </c>
      <c r="F56" s="59" t="s">
        <v>31</v>
      </c>
      <c r="G56" s="60">
        <v>0.02</v>
      </c>
      <c r="H56" s="59" t="s">
        <v>31</v>
      </c>
      <c r="I56" s="60">
        <v>0.04</v>
      </c>
      <c r="J56" s="59" t="s">
        <v>31</v>
      </c>
      <c r="K56" s="60">
        <v>0.06</v>
      </c>
      <c r="L56" s="59" t="s">
        <v>31</v>
      </c>
      <c r="M56" s="60">
        <v>0</v>
      </c>
      <c r="N56" s="59" t="s">
        <v>31</v>
      </c>
      <c r="O56" s="60">
        <v>0</v>
      </c>
      <c r="P56" s="59" t="s">
        <v>31</v>
      </c>
      <c r="Q56" s="60">
        <v>0</v>
      </c>
      <c r="R56" s="59" t="s">
        <v>31</v>
      </c>
      <c r="S56" s="60">
        <v>0.02</v>
      </c>
      <c r="T56" s="59" t="s">
        <v>31</v>
      </c>
      <c r="U56" s="60">
        <v>0.02</v>
      </c>
      <c r="V56" s="59" t="s">
        <v>31</v>
      </c>
      <c r="W56" s="60">
        <v>0.02</v>
      </c>
      <c r="X56" s="59" t="s">
        <v>31</v>
      </c>
      <c r="Y56" s="60">
        <v>0.04</v>
      </c>
      <c r="Z56" s="59" t="s">
        <v>31</v>
      </c>
      <c r="AA56" s="60">
        <v>0.04</v>
      </c>
      <c r="AB56" s="59" t="s">
        <v>31</v>
      </c>
      <c r="AC56" s="60">
        <v>0.04</v>
      </c>
      <c r="AD56" s="52"/>
      <c r="AE56" s="61"/>
    </row>
    <row r="57" spans="2:31" customFormat="1" ht="18.75">
      <c r="B57" s="69"/>
      <c r="D57" s="52"/>
      <c r="E57" s="61"/>
      <c r="F57" s="52" t="s">
        <v>762</v>
      </c>
      <c r="G57" s="61">
        <v>1</v>
      </c>
      <c r="H57" s="52" t="s">
        <v>762</v>
      </c>
      <c r="I57" s="61">
        <v>1</v>
      </c>
      <c r="J57" s="52" t="s">
        <v>762</v>
      </c>
      <c r="K57" s="61">
        <v>0.5</v>
      </c>
      <c r="L57" s="52"/>
      <c r="M57" s="61"/>
      <c r="N57" s="52"/>
      <c r="O57" s="61"/>
      <c r="P57" s="52"/>
      <c r="Q57" s="61"/>
      <c r="R57" s="52" t="s">
        <v>762</v>
      </c>
      <c r="S57" s="61">
        <v>1</v>
      </c>
      <c r="T57" s="52" t="s">
        <v>762</v>
      </c>
      <c r="U57" s="61">
        <v>1</v>
      </c>
      <c r="V57" s="52" t="s">
        <v>762</v>
      </c>
      <c r="W57" s="61">
        <v>1</v>
      </c>
      <c r="X57" s="52" t="s">
        <v>762</v>
      </c>
      <c r="Y57" s="61">
        <v>1</v>
      </c>
      <c r="Z57" s="52" t="s">
        <v>762</v>
      </c>
      <c r="AA57" s="61">
        <v>1</v>
      </c>
      <c r="AB57" s="52" t="s">
        <v>762</v>
      </c>
      <c r="AC57" s="61">
        <v>1</v>
      </c>
      <c r="AD57" s="52"/>
      <c r="AE57" s="64"/>
    </row>
    <row r="58" spans="2:31" customFormat="1" ht="18.75">
      <c r="B58" s="69"/>
      <c r="D58" s="52"/>
      <c r="E58" s="61"/>
      <c r="F58" s="52" t="s">
        <v>85</v>
      </c>
      <c r="G58" s="61">
        <v>0</v>
      </c>
      <c r="H58" s="52" t="s">
        <v>85</v>
      </c>
      <c r="I58" s="61">
        <v>0</v>
      </c>
      <c r="J58" s="52" t="s">
        <v>85</v>
      </c>
      <c r="K58" s="61">
        <v>0.5</v>
      </c>
      <c r="L58" s="52"/>
      <c r="M58" s="61"/>
      <c r="N58" s="52"/>
      <c r="O58" s="61"/>
      <c r="P58" s="52"/>
      <c r="Q58" s="61"/>
      <c r="R58" s="52" t="s">
        <v>8</v>
      </c>
      <c r="S58" s="61">
        <v>0</v>
      </c>
      <c r="T58" s="52" t="s">
        <v>8</v>
      </c>
      <c r="U58" s="61">
        <v>0</v>
      </c>
      <c r="V58" s="52" t="s">
        <v>85</v>
      </c>
      <c r="W58" s="61">
        <v>0</v>
      </c>
      <c r="X58" s="52" t="s">
        <v>8</v>
      </c>
      <c r="Y58" s="61">
        <v>0</v>
      </c>
      <c r="Z58" s="52" t="s">
        <v>8</v>
      </c>
      <c r="AA58" s="61">
        <v>0</v>
      </c>
      <c r="AB58" s="52" t="s">
        <v>85</v>
      </c>
      <c r="AC58" s="61">
        <v>0</v>
      </c>
      <c r="AD58" s="55"/>
      <c r="AE58" s="56"/>
    </row>
    <row r="59" spans="2:31" customFormat="1" ht="18.75">
      <c r="B59" s="69"/>
      <c r="D59" s="52"/>
      <c r="E59" s="61"/>
      <c r="F59" s="52" t="s">
        <v>60</v>
      </c>
      <c r="G59" s="61">
        <v>0</v>
      </c>
      <c r="H59" s="52" t="s">
        <v>60</v>
      </c>
      <c r="I59" s="61">
        <v>0</v>
      </c>
      <c r="J59" s="52" t="s">
        <v>60</v>
      </c>
      <c r="K59" s="61">
        <v>0</v>
      </c>
      <c r="L59" s="52"/>
      <c r="M59" s="61"/>
      <c r="N59" s="52"/>
      <c r="O59" s="61"/>
      <c r="P59" s="52"/>
      <c r="Q59" s="61"/>
      <c r="R59" s="52" t="s">
        <v>407</v>
      </c>
      <c r="S59" s="61">
        <v>0</v>
      </c>
      <c r="T59" s="52" t="s">
        <v>407</v>
      </c>
      <c r="U59" s="61">
        <v>0</v>
      </c>
      <c r="V59" s="52" t="s">
        <v>60</v>
      </c>
      <c r="W59" s="61">
        <v>0</v>
      </c>
      <c r="X59" s="52" t="s">
        <v>407</v>
      </c>
      <c r="Y59" s="61">
        <v>0</v>
      </c>
      <c r="Z59" s="52" t="s">
        <v>407</v>
      </c>
      <c r="AA59" s="61">
        <v>0</v>
      </c>
      <c r="AB59" s="52" t="s">
        <v>60</v>
      </c>
      <c r="AC59" s="61">
        <v>0</v>
      </c>
      <c r="AD59" s="52"/>
      <c r="AE59" s="64"/>
    </row>
    <row r="60" spans="2:31" customFormat="1" ht="18.75">
      <c r="B60" s="54"/>
      <c r="D60" s="52"/>
      <c r="E60" s="64"/>
      <c r="F60" s="52"/>
      <c r="G60" s="64"/>
      <c r="H60" s="52"/>
      <c r="I60" s="64"/>
      <c r="J60" s="52"/>
      <c r="K60" s="64"/>
      <c r="L60" s="52"/>
      <c r="M60" s="64"/>
      <c r="N60" s="52"/>
      <c r="O60" s="64"/>
      <c r="P60" s="52"/>
      <c r="Q60" s="64"/>
      <c r="R60" s="52"/>
      <c r="S60" s="64"/>
      <c r="T60" s="52"/>
      <c r="U60" s="64"/>
      <c r="V60" s="52"/>
      <c r="W60" s="64"/>
      <c r="X60" s="52"/>
      <c r="Y60" s="64"/>
      <c r="Z60" s="52"/>
      <c r="AA60" s="64"/>
      <c r="AB60" s="52"/>
      <c r="AC60" s="64"/>
      <c r="AD60" s="59"/>
      <c r="AE60" s="60"/>
    </row>
    <row r="61" spans="2:31" customFormat="1" ht="18.75">
      <c r="B61" s="54"/>
      <c r="D61" s="55" t="s">
        <v>32</v>
      </c>
      <c r="E61" s="56">
        <v>0.02</v>
      </c>
      <c r="F61" s="55" t="s">
        <v>32</v>
      </c>
      <c r="G61" s="56">
        <v>4.4999999999999998E-2</v>
      </c>
      <c r="H61" s="55" t="s">
        <v>32</v>
      </c>
      <c r="I61" s="56">
        <v>6.5000000000000002E-2</v>
      </c>
      <c r="J61" s="55" t="s">
        <v>32</v>
      </c>
      <c r="K61" s="56">
        <v>0.08</v>
      </c>
      <c r="L61" s="55" t="s">
        <v>32</v>
      </c>
      <c r="M61" s="56">
        <v>0.02</v>
      </c>
      <c r="N61" s="55" t="s">
        <v>32</v>
      </c>
      <c r="O61" s="56">
        <v>0.02</v>
      </c>
      <c r="P61" s="55" t="s">
        <v>32</v>
      </c>
      <c r="Q61" s="56">
        <v>0.02</v>
      </c>
      <c r="R61" s="55" t="s">
        <v>32</v>
      </c>
      <c r="S61" s="56">
        <v>4.4999999999999998E-2</v>
      </c>
      <c r="T61" s="55" t="s">
        <v>32</v>
      </c>
      <c r="U61" s="56">
        <v>4.4999999999999998E-2</v>
      </c>
      <c r="V61" s="55" t="s">
        <v>32</v>
      </c>
      <c r="W61" s="56">
        <v>4.4999999999999998E-2</v>
      </c>
      <c r="X61" s="55" t="s">
        <v>32</v>
      </c>
      <c r="Y61" s="56">
        <v>6.5000000000000002E-2</v>
      </c>
      <c r="Z61" s="55" t="s">
        <v>32</v>
      </c>
      <c r="AA61" s="56">
        <v>6.5000000000000002E-2</v>
      </c>
      <c r="AB61" s="55" t="s">
        <v>32</v>
      </c>
      <c r="AC61" s="56">
        <v>6.5000000000000002E-2</v>
      </c>
      <c r="AD61" s="52"/>
      <c r="AE61" s="61"/>
    </row>
    <row r="62" spans="2:31" customFormat="1" ht="18.75">
      <c r="B62" s="54"/>
      <c r="D62" s="52"/>
      <c r="E62" s="64"/>
      <c r="F62" s="52"/>
      <c r="G62" s="64"/>
      <c r="H62" s="52"/>
      <c r="I62" s="64"/>
      <c r="J62" s="52"/>
      <c r="K62" s="64"/>
      <c r="L62" s="52"/>
      <c r="M62" s="64"/>
      <c r="N62" s="52"/>
      <c r="O62" s="64"/>
      <c r="P62" s="52"/>
      <c r="Q62" s="64"/>
      <c r="R62" s="52"/>
      <c r="S62" s="64"/>
      <c r="T62" s="52"/>
      <c r="U62" s="64"/>
      <c r="V62" s="52"/>
      <c r="W62" s="64"/>
      <c r="X62" s="52"/>
      <c r="Y62" s="64"/>
      <c r="Z62" s="52"/>
      <c r="AA62" s="64"/>
      <c r="AB62" s="52"/>
      <c r="AC62" s="64"/>
      <c r="AD62" s="52"/>
      <c r="AE62" s="64"/>
    </row>
    <row r="63" spans="2:31" customFormat="1" ht="18.75">
      <c r="B63" s="54"/>
      <c r="D63" s="59" t="s">
        <v>33</v>
      </c>
      <c r="E63" s="60">
        <v>0.02</v>
      </c>
      <c r="F63" s="59" t="s">
        <v>33</v>
      </c>
      <c r="G63" s="60">
        <v>0.02</v>
      </c>
      <c r="H63" s="59" t="s">
        <v>33</v>
      </c>
      <c r="I63" s="60">
        <v>0.02</v>
      </c>
      <c r="J63" s="59" t="s">
        <v>33</v>
      </c>
      <c r="K63" s="60">
        <v>0.02</v>
      </c>
      <c r="L63" s="59" t="s">
        <v>33</v>
      </c>
      <c r="M63" s="60">
        <v>0.02</v>
      </c>
      <c r="N63" s="59" t="s">
        <v>33</v>
      </c>
      <c r="O63" s="60">
        <v>0.02</v>
      </c>
      <c r="P63" s="59" t="s">
        <v>33</v>
      </c>
      <c r="Q63" s="60">
        <v>0.02</v>
      </c>
      <c r="R63" s="59" t="s">
        <v>33</v>
      </c>
      <c r="S63" s="60">
        <v>0.02</v>
      </c>
      <c r="T63" s="59" t="s">
        <v>33</v>
      </c>
      <c r="U63" s="60">
        <v>0.02</v>
      </c>
      <c r="V63" s="59" t="s">
        <v>33</v>
      </c>
      <c r="W63" s="60">
        <v>0.02</v>
      </c>
      <c r="X63" s="59" t="s">
        <v>33</v>
      </c>
      <c r="Y63" s="60">
        <v>0.02</v>
      </c>
      <c r="Z63" s="59" t="s">
        <v>33</v>
      </c>
      <c r="AA63" s="60">
        <v>0.02</v>
      </c>
      <c r="AB63" s="59" t="s">
        <v>33</v>
      </c>
      <c r="AC63" s="60">
        <v>0.02</v>
      </c>
      <c r="AD63" s="59"/>
      <c r="AE63" s="60"/>
    </row>
    <row r="64" spans="2:31" customFormat="1" ht="18.75">
      <c r="B64" s="54"/>
      <c r="D64" s="52" t="s">
        <v>936</v>
      </c>
      <c r="E64" s="61">
        <v>1</v>
      </c>
      <c r="F64" s="52" t="s">
        <v>936</v>
      </c>
      <c r="G64" s="61">
        <v>1</v>
      </c>
      <c r="H64" s="52" t="s">
        <v>936</v>
      </c>
      <c r="I64" s="61">
        <v>1</v>
      </c>
      <c r="J64" s="52" t="s">
        <v>936</v>
      </c>
      <c r="K64" s="61">
        <v>1</v>
      </c>
      <c r="L64" s="52" t="s">
        <v>936</v>
      </c>
      <c r="M64" s="61">
        <v>1</v>
      </c>
      <c r="N64" s="52" t="s">
        <v>936</v>
      </c>
      <c r="O64" s="61">
        <v>1</v>
      </c>
      <c r="P64" s="52" t="s">
        <v>936</v>
      </c>
      <c r="Q64" s="61">
        <v>1</v>
      </c>
      <c r="R64" s="52" t="s">
        <v>936</v>
      </c>
      <c r="S64" s="61">
        <v>1</v>
      </c>
      <c r="T64" s="52" t="s">
        <v>936</v>
      </c>
      <c r="U64" s="61">
        <v>1</v>
      </c>
      <c r="V64" s="52" t="s">
        <v>936</v>
      </c>
      <c r="W64" s="61">
        <v>1</v>
      </c>
      <c r="X64" s="52" t="s">
        <v>936</v>
      </c>
      <c r="Y64" s="61">
        <v>1</v>
      </c>
      <c r="Z64" s="52" t="s">
        <v>936</v>
      </c>
      <c r="AA64" s="61">
        <v>1</v>
      </c>
      <c r="AB64" s="52" t="s">
        <v>936</v>
      </c>
      <c r="AC64" s="61">
        <v>1</v>
      </c>
      <c r="AD64" s="52"/>
      <c r="AE64" s="61"/>
    </row>
    <row r="65" spans="2:31" customFormat="1" ht="18.75">
      <c r="B65" s="54"/>
      <c r="D65" s="70"/>
      <c r="E65" s="71"/>
      <c r="F65" s="70"/>
      <c r="G65" s="71"/>
      <c r="H65" s="70"/>
      <c r="I65" s="71"/>
      <c r="J65" s="70"/>
      <c r="K65" s="71"/>
      <c r="L65" s="70"/>
      <c r="M65" s="71"/>
      <c r="N65" s="70"/>
      <c r="O65" s="71"/>
      <c r="P65" s="70"/>
      <c r="Q65" s="71"/>
      <c r="R65" s="70"/>
      <c r="S65" s="71"/>
      <c r="T65" s="70"/>
      <c r="U65" s="71"/>
      <c r="V65" s="70"/>
      <c r="W65" s="71"/>
      <c r="X65" s="70"/>
      <c r="Y65" s="71"/>
      <c r="Z65" s="70"/>
      <c r="AA65" s="71"/>
      <c r="AB65" s="70"/>
      <c r="AC65" s="71"/>
      <c r="AD65" s="52"/>
      <c r="AE65" s="61"/>
    </row>
    <row r="66" spans="2:31" customFormat="1" ht="18.75">
      <c r="B66" s="54"/>
      <c r="D66" s="59" t="s">
        <v>35</v>
      </c>
      <c r="E66" s="60">
        <v>0</v>
      </c>
      <c r="F66" s="59" t="s">
        <v>35</v>
      </c>
      <c r="G66" s="60">
        <v>2.5000000000000001E-2</v>
      </c>
      <c r="H66" s="59" t="s">
        <v>35</v>
      </c>
      <c r="I66" s="60">
        <v>4.4999999999999998E-2</v>
      </c>
      <c r="J66" s="59" t="s">
        <v>35</v>
      </c>
      <c r="K66" s="60">
        <v>0.06</v>
      </c>
      <c r="L66" s="59" t="s">
        <v>35</v>
      </c>
      <c r="M66" s="60">
        <v>0</v>
      </c>
      <c r="N66" s="59" t="s">
        <v>35</v>
      </c>
      <c r="O66" s="60">
        <v>0</v>
      </c>
      <c r="P66" s="59" t="s">
        <v>35</v>
      </c>
      <c r="Q66" s="60">
        <v>0</v>
      </c>
      <c r="R66" s="59" t="s">
        <v>35</v>
      </c>
      <c r="S66" s="60">
        <v>2.5000000000000001E-2</v>
      </c>
      <c r="T66" s="59" t="s">
        <v>35</v>
      </c>
      <c r="U66" s="60">
        <v>2.5000000000000001E-2</v>
      </c>
      <c r="V66" s="59" t="s">
        <v>35</v>
      </c>
      <c r="W66" s="60">
        <v>2.5000000000000001E-2</v>
      </c>
      <c r="X66" s="59" t="s">
        <v>35</v>
      </c>
      <c r="Y66" s="60">
        <v>4.4999999999999998E-2</v>
      </c>
      <c r="Z66" s="59" t="s">
        <v>35</v>
      </c>
      <c r="AA66" s="60">
        <v>4.4999999999999998E-2</v>
      </c>
      <c r="AB66" s="59" t="s">
        <v>35</v>
      </c>
      <c r="AC66" s="60">
        <v>4.4999999999999998E-2</v>
      </c>
      <c r="AD66" s="52"/>
      <c r="AE66" s="61"/>
    </row>
    <row r="67" spans="2:31" customFormat="1" ht="18.75">
      <c r="B67" s="72"/>
      <c r="D67" s="52"/>
      <c r="E67" s="61"/>
      <c r="F67" s="52" t="s">
        <v>930</v>
      </c>
      <c r="G67" s="61">
        <v>0.5</v>
      </c>
      <c r="H67" s="52" t="s">
        <v>930</v>
      </c>
      <c r="I67" s="61">
        <v>0.44444444444444448</v>
      </c>
      <c r="J67" s="52" t="s">
        <v>930</v>
      </c>
      <c r="K67" s="61">
        <v>0.41666666666666669</v>
      </c>
      <c r="L67" s="52"/>
      <c r="M67" s="61"/>
      <c r="N67" s="52"/>
      <c r="O67" s="61"/>
      <c r="P67" s="52"/>
      <c r="Q67" s="61"/>
      <c r="R67" s="52" t="s">
        <v>930</v>
      </c>
      <c r="S67" s="61">
        <v>0.5</v>
      </c>
      <c r="T67" s="52" t="s">
        <v>930</v>
      </c>
      <c r="U67" s="61">
        <v>0.5</v>
      </c>
      <c r="V67" s="52" t="s">
        <v>930</v>
      </c>
      <c r="W67" s="61">
        <v>0.5</v>
      </c>
      <c r="X67" s="52" t="s">
        <v>930</v>
      </c>
      <c r="Y67" s="61">
        <v>0.44444444444444448</v>
      </c>
      <c r="Z67" s="52" t="s">
        <v>930</v>
      </c>
      <c r="AA67" s="61">
        <v>0.44444444444444448</v>
      </c>
      <c r="AB67" s="52" t="s">
        <v>930</v>
      </c>
      <c r="AC67" s="61">
        <v>0.44444444444444448</v>
      </c>
      <c r="AD67" s="52"/>
      <c r="AE67" s="64"/>
    </row>
    <row r="68" spans="2:31" customFormat="1" ht="18.75">
      <c r="B68" s="72"/>
      <c r="D68" s="52"/>
      <c r="E68" s="61"/>
      <c r="F68" s="52" t="s">
        <v>807</v>
      </c>
      <c r="G68" s="61">
        <v>0.5</v>
      </c>
      <c r="H68" s="52" t="s">
        <v>807</v>
      </c>
      <c r="I68" s="61">
        <v>0.44444444444444448</v>
      </c>
      <c r="J68" s="52" t="s">
        <v>807</v>
      </c>
      <c r="K68" s="61">
        <v>0.41666666666666669</v>
      </c>
      <c r="L68" s="52"/>
      <c r="M68" s="61"/>
      <c r="N68" s="52"/>
      <c r="O68" s="61"/>
      <c r="P68" s="52"/>
      <c r="Q68" s="61"/>
      <c r="R68" s="52" t="s">
        <v>807</v>
      </c>
      <c r="S68" s="61">
        <v>0.5</v>
      </c>
      <c r="T68" s="52" t="s">
        <v>807</v>
      </c>
      <c r="U68" s="61">
        <v>0.5</v>
      </c>
      <c r="V68" s="52" t="s">
        <v>807</v>
      </c>
      <c r="W68" s="61">
        <v>0.5</v>
      </c>
      <c r="X68" s="52" t="s">
        <v>807</v>
      </c>
      <c r="Y68" s="61">
        <v>0.44444444444444448</v>
      </c>
      <c r="Z68" s="52" t="s">
        <v>807</v>
      </c>
      <c r="AA68" s="61">
        <v>0.44444444444444448</v>
      </c>
      <c r="AB68" s="52" t="s">
        <v>807</v>
      </c>
      <c r="AC68" s="61">
        <v>0.44444444444444448</v>
      </c>
      <c r="AD68" s="52"/>
      <c r="AE68" s="64"/>
    </row>
    <row r="69" spans="2:31" customFormat="1" ht="18.75">
      <c r="B69" s="72"/>
      <c r="D69" s="52"/>
      <c r="E69" s="61"/>
      <c r="F69" s="52" t="s">
        <v>61</v>
      </c>
      <c r="G69" s="61">
        <v>0</v>
      </c>
      <c r="H69" s="52" t="s">
        <v>61</v>
      </c>
      <c r="I69" s="61">
        <v>0.1111111111111111</v>
      </c>
      <c r="J69" s="52" t="s">
        <v>61</v>
      </c>
      <c r="K69" s="61">
        <v>0.16666666666666657</v>
      </c>
      <c r="L69" s="52"/>
      <c r="M69" s="61"/>
      <c r="N69" s="52"/>
      <c r="O69" s="61"/>
      <c r="P69" s="52"/>
      <c r="Q69" s="61"/>
      <c r="R69" s="52" t="s">
        <v>61</v>
      </c>
      <c r="S69" s="61">
        <v>0</v>
      </c>
      <c r="T69" s="52" t="s">
        <v>61</v>
      </c>
      <c r="U69" s="61">
        <v>0</v>
      </c>
      <c r="V69" s="52" t="s">
        <v>61</v>
      </c>
      <c r="W69" s="61">
        <v>0</v>
      </c>
      <c r="X69" s="52" t="s">
        <v>61</v>
      </c>
      <c r="Y69" s="61">
        <v>0.1111111111111111</v>
      </c>
      <c r="Z69" s="52" t="s">
        <v>61</v>
      </c>
      <c r="AA69" s="61">
        <v>0.1111111111111111</v>
      </c>
      <c r="AB69" s="52" t="s">
        <v>61</v>
      </c>
      <c r="AC69" s="61">
        <v>0.1111111111111111</v>
      </c>
      <c r="AD69" s="52"/>
      <c r="AE69" s="64"/>
    </row>
    <row r="70" spans="2:31" customFormat="1" ht="18.75">
      <c r="B70" s="54"/>
      <c r="D70" s="70"/>
      <c r="E70" s="71"/>
      <c r="F70" s="52"/>
      <c r="G70" s="64"/>
      <c r="H70" s="52"/>
      <c r="I70" s="64"/>
      <c r="J70" s="52"/>
      <c r="K70" s="62"/>
      <c r="L70" s="70"/>
      <c r="M70" s="71"/>
      <c r="N70" s="70"/>
      <c r="O70" s="71"/>
      <c r="P70" s="70"/>
      <c r="Q70" s="71"/>
      <c r="R70" s="52"/>
      <c r="S70" s="64"/>
      <c r="T70" s="52"/>
      <c r="U70" s="64"/>
      <c r="V70" s="52"/>
      <c r="W70" s="64"/>
      <c r="X70" s="52"/>
      <c r="Y70" s="64"/>
      <c r="Z70" s="52"/>
      <c r="AA70" s="64"/>
      <c r="AB70" s="52"/>
      <c r="AC70" s="64"/>
      <c r="AD70" s="52"/>
      <c r="AE70" s="64"/>
    </row>
    <row r="71" spans="2:31" customFormat="1" ht="18.75"/>
    <row r="72" spans="2:31" customFormat="1" ht="18.75"/>
    <row r="73" spans="2:31" customFormat="1" ht="18.75"/>
    <row r="74" spans="2:31" customFormat="1" ht="18.75"/>
    <row r="75" spans="2:31" customFormat="1" ht="18.75"/>
    <row r="76" spans="2:31" customFormat="1" ht="18.75"/>
    <row r="77" spans="2:31" customFormat="1" ht="18.75"/>
    <row r="78" spans="2:31" customFormat="1" ht="18.75"/>
    <row r="79" spans="2:31" customFormat="1" ht="18.75"/>
    <row r="80" spans="2:31" customFormat="1" ht="18.75"/>
    <row r="81" customFormat="1" ht="18.75"/>
    <row r="82" customFormat="1" ht="18.75"/>
  </sheetData>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rgb="FF343A51"/>
  </sheetPr>
  <dimension ref="B1:BR1204"/>
  <sheetViews>
    <sheetView showGridLines="0" zoomScale="90" zoomScaleNormal="90" workbookViewId="0">
      <pane xSplit="2" ySplit="4" topLeftCell="Z78" activePane="bottomRight" state="frozen"/>
      <selection pane="topRight" activeCell="C1" sqref="C1"/>
      <selection pane="bottomLeft" activeCell="A5" sqref="A5"/>
      <selection pane="bottomRight" activeCell="Z95" sqref="Z95"/>
    </sheetView>
  </sheetViews>
  <sheetFormatPr defaultColWidth="8.69921875" defaultRowHeight="15.75" customHeight="1"/>
  <cols>
    <col min="1" max="1" width="3.09765625" customWidth="1"/>
    <col min="2" max="2" width="35.8984375" customWidth="1"/>
    <col min="3" max="3" width="6.8984375" customWidth="1"/>
    <col min="4" max="4" width="14.3984375" style="1" customWidth="1"/>
    <col min="5" max="5" width="10.09765625" customWidth="1"/>
    <col min="6" max="6" width="13.296875" customWidth="1"/>
    <col min="7" max="7" width="11.8984375" customWidth="1"/>
    <col min="8" max="8" width="9.296875" style="1" customWidth="1"/>
    <col min="9" max="9" width="10.09765625" customWidth="1"/>
    <col min="10" max="10" width="9.296875" customWidth="1"/>
    <col min="11" max="11" width="8.09765625" style="1" customWidth="1"/>
    <col min="12" max="12" width="9.296875" style="1" customWidth="1"/>
    <col min="13" max="13" width="9.8984375" style="1" customWidth="1"/>
    <col min="14" max="14" width="9.69921875" customWidth="1"/>
    <col min="15" max="15" width="11.8984375" customWidth="1"/>
    <col min="16" max="16" width="14.3984375" customWidth="1"/>
    <col min="17" max="17" width="16.3984375" customWidth="1"/>
    <col min="18" max="18" width="17" customWidth="1"/>
    <col min="19" max="19" width="9.09765625" customWidth="1"/>
    <col min="20" max="20" width="11.3984375" customWidth="1"/>
    <col min="21" max="21" width="10.59765625" customWidth="1"/>
    <col min="22" max="22" width="13.09765625" customWidth="1"/>
    <col min="23" max="25" width="9.296875" customWidth="1"/>
    <col min="26" max="26" width="16.69921875" style="1" customWidth="1"/>
    <col min="27" max="27" width="7" style="221" customWidth="1"/>
    <col min="28" max="28" width="11.59765625" style="221" customWidth="1"/>
    <col min="29" max="30" width="9.3984375" style="221" customWidth="1"/>
    <col min="31" max="31" width="8.8984375" style="222" customWidth="1"/>
    <col min="32" max="33" width="14.09765625" style="222" bestFit="1" customWidth="1"/>
    <col min="34" max="40" width="7.8984375" style="222" customWidth="1"/>
    <col min="41" max="41" width="7.8984375" style="221" customWidth="1"/>
    <col min="42" max="42" width="8.3984375" style="221" customWidth="1"/>
    <col min="43" max="44" width="7.8984375" style="221" customWidth="1"/>
    <col min="47" max="47" width="23.09765625" customWidth="1"/>
    <col min="48" max="48" width="17.69921875" customWidth="1"/>
    <col min="49" max="49" width="8" customWidth="1"/>
    <col min="50" max="50" width="13.3984375" customWidth="1"/>
    <col min="51" max="52" width="8.69921875" customWidth="1"/>
    <col min="53" max="53" width="5.69921875" customWidth="1"/>
    <col min="55" max="55" width="6.8984375" customWidth="1"/>
    <col min="56" max="56" width="5.8984375" customWidth="1"/>
    <col min="57" max="57" width="6.8984375" customWidth="1"/>
    <col min="58" max="58" width="7.3984375" customWidth="1"/>
    <col min="59" max="59" width="11.3984375" customWidth="1"/>
    <col min="60" max="68" width="7.59765625" customWidth="1"/>
    <col min="69" max="69" width="8" customWidth="1"/>
    <col min="70" max="70" width="6.296875" customWidth="1"/>
  </cols>
  <sheetData>
    <row r="1" spans="2:70" ht="11.25" customHeight="1">
      <c r="N1" s="224"/>
      <c r="O1" s="224"/>
      <c r="P1" s="224"/>
      <c r="Q1" s="224"/>
      <c r="R1" s="224"/>
      <c r="S1" s="224"/>
      <c r="T1" s="224"/>
      <c r="U1" s="224"/>
      <c r="V1" s="224"/>
      <c r="W1" s="225"/>
      <c r="X1" s="225"/>
      <c r="Y1" s="225"/>
      <c r="Z1" s="79"/>
      <c r="AA1" s="226"/>
      <c r="AB1" s="226"/>
      <c r="AC1" s="226"/>
      <c r="AD1" s="226"/>
      <c r="AE1" s="220"/>
      <c r="AF1" s="220"/>
      <c r="AG1" s="220"/>
      <c r="AH1" s="220"/>
      <c r="AI1" s="220"/>
      <c r="AJ1" s="220"/>
      <c r="AK1" s="220"/>
      <c r="AL1" s="220"/>
      <c r="AM1" s="220"/>
      <c r="AN1" s="220"/>
      <c r="AO1" s="226"/>
      <c r="AP1" s="226"/>
      <c r="AQ1" s="226"/>
      <c r="AR1" s="226"/>
    </row>
    <row r="2" spans="2:70" ht="15.75" customHeight="1">
      <c r="C2" s="228" t="s">
        <v>1819</v>
      </c>
      <c r="D2" s="227">
        <v>44805.503020833334</v>
      </c>
      <c r="N2" s="224"/>
      <c r="O2" s="224"/>
      <c r="P2" s="224"/>
      <c r="Q2" s="224"/>
      <c r="R2" s="224"/>
      <c r="S2" s="224"/>
      <c r="T2" s="224"/>
      <c r="U2" s="224"/>
      <c r="V2" s="224"/>
      <c r="W2" s="225"/>
      <c r="X2" s="225"/>
      <c r="Y2" s="225"/>
      <c r="Z2" s="79"/>
      <c r="AA2" s="226"/>
      <c r="AB2" s="226"/>
      <c r="AC2" s="226"/>
      <c r="AD2" s="226"/>
      <c r="AE2" s="220"/>
      <c r="AF2" s="220"/>
      <c r="AG2" s="220"/>
      <c r="AH2" s="644" t="str">
        <f>"Dados de retorno até "&amp;TEXT(WORKDAY(EOMONTH(D2,-1)+1,-1),"dd/mm/yy")</f>
        <v>Dados de retorno até 31/08/22</v>
      </c>
      <c r="AI2" s="644"/>
      <c r="AJ2" s="644"/>
      <c r="AK2" s="644"/>
      <c r="AL2" s="644"/>
      <c r="AM2" s="644"/>
      <c r="AN2" s="644"/>
      <c r="AO2" s="644"/>
      <c r="AP2" s="644"/>
      <c r="AQ2" s="644"/>
      <c r="AU2" s="343" t="str">
        <f>IF($B2="", "-", IF(AND($E2="Renda Variável", $K2&lt;&gt;"Brasil"), "Renda Variável "&amp;$K2, $F2&amp;" "&amp;IF($F2="Pré-fixado", $H2, IF($F2="Inflação", $H2, IF($E2="Multimercado", IF(F2="Macro", "-", $G2), IF($F2="Long Only", $K2, "-"))))))</f>
        <v>-</v>
      </c>
      <c r="AV2" s="343" t="str">
        <f>IF($B2="", "-", B2)</f>
        <v>-</v>
      </c>
      <c r="AW2" s="328" t="str">
        <f>IF($B2="", "-", C2)</f>
        <v>-</v>
      </c>
      <c r="AX2" s="329" t="str">
        <f>IF($B2="", "-", D2)</f>
        <v>-</v>
      </c>
      <c r="AY2" s="328" t="str">
        <f>IF($B2="", "-", IF(M2="","-", M2))</f>
        <v>-</v>
      </c>
      <c r="AZ2" s="328" t="str">
        <f>IF($B2="", "-", IF(G2="","-", G2))</f>
        <v>-</v>
      </c>
      <c r="BA2" s="330" t="str">
        <f>IF($B2="", "-", AR2)</f>
        <v>-</v>
      </c>
      <c r="BB2" s="328" t="str">
        <f>IF($B2="", "-", IF(K2="","-", K2))</f>
        <v>-</v>
      </c>
      <c r="BC2" s="328" t="str">
        <f>IF($B2="", "-", IF(L2="","-", L2))</f>
        <v>-</v>
      </c>
      <c r="BD2" s="328" t="str">
        <f>IF($B2="", "-", AA2)</f>
        <v>-</v>
      </c>
      <c r="BE2" s="330" t="str">
        <f>IF($B2="", "-", AB2)</f>
        <v>-</v>
      </c>
      <c r="BF2" s="330" t="str">
        <f>IF($B2="", "-", AE2)</f>
        <v>-</v>
      </c>
      <c r="BG2" s="344" t="str">
        <f>IF($B2="", "-", AG2)</f>
        <v>-</v>
      </c>
      <c r="BH2" s="383" t="str">
        <f>IF($B2="", "-", N2)</f>
        <v>-</v>
      </c>
      <c r="BI2" s="330" t="str">
        <f t="shared" ref="BI2:BR2" si="0">IF($B2="", "-", AH2)</f>
        <v>-</v>
      </c>
      <c r="BJ2" s="330" t="str">
        <f t="shared" si="0"/>
        <v>-</v>
      </c>
      <c r="BK2" s="330" t="str">
        <f t="shared" si="0"/>
        <v>-</v>
      </c>
      <c r="BL2" s="330" t="str">
        <f t="shared" si="0"/>
        <v>-</v>
      </c>
      <c r="BM2" s="330" t="str">
        <f t="shared" si="0"/>
        <v>-</v>
      </c>
      <c r="BN2" s="330" t="str">
        <f t="shared" si="0"/>
        <v>-</v>
      </c>
      <c r="BO2" s="330" t="str">
        <f t="shared" si="0"/>
        <v>-</v>
      </c>
      <c r="BP2" s="331" t="str">
        <f t="shared" si="0"/>
        <v>-</v>
      </c>
      <c r="BQ2" s="332" t="str">
        <f t="shared" si="0"/>
        <v>-</v>
      </c>
      <c r="BR2" s="333" t="str">
        <f t="shared" si="0"/>
        <v>-</v>
      </c>
    </row>
    <row r="3" spans="2:70" ht="11.25" customHeight="1">
      <c r="N3" s="224"/>
      <c r="O3" s="224"/>
      <c r="P3" s="224"/>
      <c r="Q3" s="224"/>
      <c r="R3" s="224"/>
      <c r="S3" s="224"/>
      <c r="T3" s="224"/>
      <c r="U3" s="224"/>
      <c r="V3" s="224"/>
      <c r="W3" s="225"/>
      <c r="X3" s="225"/>
      <c r="Y3" s="225"/>
      <c r="Z3" s="79"/>
      <c r="AA3" s="226"/>
      <c r="AB3" s="226"/>
      <c r="AC3" s="226"/>
      <c r="AD3" s="226"/>
      <c r="AE3" s="220"/>
      <c r="AF3" s="220"/>
      <c r="AG3" s="220"/>
      <c r="AH3" s="220"/>
      <c r="AI3" s="220"/>
      <c r="AJ3" s="220"/>
      <c r="AK3" s="220"/>
      <c r="AL3" s="220"/>
      <c r="AM3" s="220"/>
      <c r="AN3" s="220"/>
      <c r="AO3" s="226"/>
      <c r="AP3" s="226"/>
      <c r="AQ3" s="226"/>
      <c r="AR3" s="226"/>
    </row>
    <row r="4" spans="2:70" s="215" customFormat="1" ht="48" customHeight="1">
      <c r="B4" s="214" t="s">
        <v>96</v>
      </c>
      <c r="C4" s="214" t="s">
        <v>1053</v>
      </c>
      <c r="D4" s="214" t="s">
        <v>62</v>
      </c>
      <c r="E4" s="214" t="s">
        <v>1054</v>
      </c>
      <c r="F4" s="214" t="s">
        <v>1003</v>
      </c>
      <c r="G4" s="214" t="s">
        <v>1004</v>
      </c>
      <c r="H4" s="214" t="s">
        <v>1055</v>
      </c>
      <c r="I4" s="214" t="s">
        <v>965</v>
      </c>
      <c r="J4" s="214" t="s">
        <v>1056</v>
      </c>
      <c r="K4" s="214" t="s">
        <v>1005</v>
      </c>
      <c r="L4" s="214" t="s">
        <v>15</v>
      </c>
      <c r="M4" s="251" t="s">
        <v>63</v>
      </c>
      <c r="N4" s="214" t="s">
        <v>1057</v>
      </c>
      <c r="O4" s="214" t="s">
        <v>1058</v>
      </c>
      <c r="P4" s="214" t="s">
        <v>1001</v>
      </c>
      <c r="Q4" s="214" t="s">
        <v>1059</v>
      </c>
      <c r="R4" s="214" t="s">
        <v>1060</v>
      </c>
      <c r="S4" s="214" t="s">
        <v>1061</v>
      </c>
      <c r="T4" s="214" t="s">
        <v>1062</v>
      </c>
      <c r="U4" s="214" t="s">
        <v>1063</v>
      </c>
      <c r="V4" s="214" t="s">
        <v>1064</v>
      </c>
      <c r="W4" s="214" t="s">
        <v>1065</v>
      </c>
      <c r="X4" s="214" t="s">
        <v>1066</v>
      </c>
      <c r="Y4" s="214" t="s">
        <v>98</v>
      </c>
      <c r="Z4" s="214" t="s">
        <v>99</v>
      </c>
      <c r="AA4" s="214" t="s">
        <v>64</v>
      </c>
      <c r="AB4" s="214" t="s">
        <v>1834</v>
      </c>
      <c r="AC4" s="214" t="s">
        <v>97</v>
      </c>
      <c r="AD4" s="214" t="s">
        <v>1002</v>
      </c>
      <c r="AE4" s="214" t="s">
        <v>1835</v>
      </c>
      <c r="AF4" s="214" t="s">
        <v>1894</v>
      </c>
      <c r="AG4" s="214" t="s">
        <v>1067</v>
      </c>
      <c r="AH4" s="214" t="s">
        <v>1068</v>
      </c>
      <c r="AI4" s="214" t="s">
        <v>1069</v>
      </c>
      <c r="AJ4" s="214" t="s">
        <v>1070</v>
      </c>
      <c r="AK4" s="214" t="s">
        <v>1071</v>
      </c>
      <c r="AL4" s="214" t="s">
        <v>1072</v>
      </c>
      <c r="AM4" s="214" t="s">
        <v>1832</v>
      </c>
      <c r="AN4" s="214" t="s">
        <v>1833</v>
      </c>
      <c r="AO4" s="214" t="s">
        <v>1073</v>
      </c>
      <c r="AP4" s="214" t="s">
        <v>1074</v>
      </c>
      <c r="AQ4" s="214" t="s">
        <v>932</v>
      </c>
      <c r="AR4" s="214" t="s">
        <v>1837</v>
      </c>
      <c r="AU4" s="342" t="s">
        <v>1003</v>
      </c>
      <c r="AV4" s="341" t="s">
        <v>1838</v>
      </c>
      <c r="AW4" s="342" t="s">
        <v>1053</v>
      </c>
      <c r="AX4" s="342" t="s">
        <v>62</v>
      </c>
      <c r="AY4" s="342" t="s">
        <v>63</v>
      </c>
      <c r="AZ4" s="342" t="s">
        <v>1004</v>
      </c>
      <c r="BA4" s="342" t="s">
        <v>1837</v>
      </c>
      <c r="BB4" s="342" t="s">
        <v>1005</v>
      </c>
      <c r="BC4" s="342" t="s">
        <v>15</v>
      </c>
      <c r="BD4" s="342" t="s">
        <v>64</v>
      </c>
      <c r="BE4" s="342" t="s">
        <v>1834</v>
      </c>
      <c r="BF4" s="342" t="s">
        <v>1835</v>
      </c>
      <c r="BG4" s="342" t="s">
        <v>1067</v>
      </c>
      <c r="BH4" s="342" t="s">
        <v>1057</v>
      </c>
      <c r="BI4" s="342" t="s">
        <v>1068</v>
      </c>
      <c r="BJ4" s="342" t="s">
        <v>1069</v>
      </c>
      <c r="BK4" s="342" t="s">
        <v>1070</v>
      </c>
      <c r="BL4" s="342" t="s">
        <v>1071</v>
      </c>
      <c r="BM4" s="342" t="s">
        <v>1072</v>
      </c>
      <c r="BN4" s="342" t="s">
        <v>1832</v>
      </c>
      <c r="BO4" s="342" t="s">
        <v>1833</v>
      </c>
      <c r="BP4" s="342" t="s">
        <v>1073</v>
      </c>
      <c r="BQ4" s="342" t="s">
        <v>1074</v>
      </c>
      <c r="BR4" s="342" t="s">
        <v>932</v>
      </c>
    </row>
    <row r="5" spans="2:70" ht="15.75" customHeight="1">
      <c r="B5" s="216" t="s">
        <v>992</v>
      </c>
      <c r="C5" s="212">
        <v>613656</v>
      </c>
      <c r="D5" s="223">
        <v>32073525000143</v>
      </c>
      <c r="E5" s="217" t="s">
        <v>28</v>
      </c>
      <c r="F5" s="217" t="s">
        <v>957</v>
      </c>
      <c r="G5" s="217" t="s">
        <v>1038</v>
      </c>
      <c r="H5" s="218"/>
      <c r="I5" s="217" t="s">
        <v>1259</v>
      </c>
      <c r="J5" s="217" t="s">
        <v>66</v>
      </c>
      <c r="K5" s="218" t="s">
        <v>951</v>
      </c>
      <c r="L5" s="212" t="s">
        <v>87</v>
      </c>
      <c r="M5" s="250" t="s">
        <v>1078</v>
      </c>
      <c r="N5" s="239">
        <v>43461</v>
      </c>
      <c r="O5" s="210" t="s">
        <v>110</v>
      </c>
      <c r="P5" s="210" t="s">
        <v>1090</v>
      </c>
      <c r="Q5" s="210" t="s">
        <v>1091</v>
      </c>
      <c r="R5" s="210" t="s">
        <v>1077</v>
      </c>
      <c r="S5" s="210" t="s">
        <v>1078</v>
      </c>
      <c r="T5" s="210" t="s">
        <v>1079</v>
      </c>
      <c r="U5" s="210" t="s">
        <v>957</v>
      </c>
      <c r="V5" s="210" t="s">
        <v>1080</v>
      </c>
      <c r="W5" s="211" t="s">
        <v>1007</v>
      </c>
      <c r="X5" s="211">
        <v>5000</v>
      </c>
      <c r="Y5" s="211">
        <v>1000</v>
      </c>
      <c r="Z5" s="212">
        <v>3000</v>
      </c>
      <c r="AA5" s="240">
        <v>32</v>
      </c>
      <c r="AB5" s="213">
        <v>1.9E-2</v>
      </c>
      <c r="AC5" s="213">
        <v>0.2</v>
      </c>
      <c r="AD5" s="213" t="s">
        <v>113</v>
      </c>
      <c r="AE5" s="213">
        <v>4.7499999999999999E-3</v>
      </c>
      <c r="AF5" s="241">
        <v>698979696.60000002</v>
      </c>
      <c r="AG5" s="241">
        <v>698979696.60000002</v>
      </c>
      <c r="AH5" s="213">
        <v>0.107</v>
      </c>
      <c r="AI5" s="352">
        <v>1.6487000000000001</v>
      </c>
      <c r="AJ5" s="213">
        <v>6.5199999999999994E-2</v>
      </c>
      <c r="AK5" s="352">
        <v>0.69269999999999998</v>
      </c>
      <c r="AL5" s="213">
        <v>0.32650000000000001</v>
      </c>
      <c r="AM5" s="352">
        <v>2.7029999999999998</v>
      </c>
      <c r="AN5" s="213">
        <v>0.60860000000000003</v>
      </c>
      <c r="AO5" s="352">
        <v>3.6116000000000001</v>
      </c>
      <c r="AP5" s="213">
        <v>0.16919999999999999</v>
      </c>
      <c r="AQ5" s="219">
        <v>-7.3991250093418254E-2</v>
      </c>
      <c r="AR5" s="213" t="s">
        <v>1827</v>
      </c>
      <c r="AU5" s="343"/>
      <c r="AV5" s="343"/>
      <c r="AW5" s="328"/>
      <c r="AX5" s="329"/>
      <c r="AY5" s="328"/>
      <c r="AZ5" s="328"/>
      <c r="BA5" s="330"/>
      <c r="BB5" s="328"/>
      <c r="BC5" s="328"/>
      <c r="BD5" s="328"/>
      <c r="BE5" s="330"/>
      <c r="BF5" s="330"/>
      <c r="BG5" s="344"/>
      <c r="BH5" s="383"/>
      <c r="BI5" s="330"/>
      <c r="BJ5" s="330"/>
      <c r="BK5" s="330"/>
      <c r="BL5" s="330"/>
      <c r="BM5" s="330"/>
      <c r="BN5" s="330"/>
      <c r="BO5" s="330"/>
      <c r="BP5" s="331"/>
      <c r="BQ5" s="332"/>
      <c r="BR5" s="333"/>
    </row>
    <row r="6" spans="2:70" ht="15.75" customHeight="1">
      <c r="B6" s="216" t="s">
        <v>1734</v>
      </c>
      <c r="C6" s="212">
        <v>4105530</v>
      </c>
      <c r="D6" s="223">
        <v>46329524000121</v>
      </c>
      <c r="E6" s="217" t="s">
        <v>28</v>
      </c>
      <c r="F6" s="217" t="s">
        <v>950</v>
      </c>
      <c r="G6" s="217"/>
      <c r="H6" s="218"/>
      <c r="I6" s="217" t="s">
        <v>66</v>
      </c>
      <c r="J6" s="217" t="s">
        <v>66</v>
      </c>
      <c r="K6" s="218" t="s">
        <v>951</v>
      </c>
      <c r="L6" s="212" t="s">
        <v>87</v>
      </c>
      <c r="M6" s="250" t="s">
        <v>1078</v>
      </c>
      <c r="N6" s="239">
        <v>44725</v>
      </c>
      <c r="O6" s="210" t="s">
        <v>1735</v>
      </c>
      <c r="P6" s="210" t="s">
        <v>1736</v>
      </c>
      <c r="Q6" s="210" t="s">
        <v>1737</v>
      </c>
      <c r="R6" s="210" t="s">
        <v>1738</v>
      </c>
      <c r="S6" s="210" t="s">
        <v>1085</v>
      </c>
      <c r="T6" s="210" t="s">
        <v>1079</v>
      </c>
      <c r="U6" s="210" t="s">
        <v>1739</v>
      </c>
      <c r="V6" s="210" t="s">
        <v>1080</v>
      </c>
      <c r="W6" s="211" t="s">
        <v>1740</v>
      </c>
      <c r="X6" s="211">
        <v>25000</v>
      </c>
      <c r="Y6" s="211">
        <v>25000</v>
      </c>
      <c r="Z6" s="212">
        <v>25000</v>
      </c>
      <c r="AA6" s="240">
        <v>62</v>
      </c>
      <c r="AB6" s="213">
        <v>0</v>
      </c>
      <c r="AC6" s="213" t="s">
        <v>1741</v>
      </c>
      <c r="AD6" s="213" t="s">
        <v>1100</v>
      </c>
      <c r="AE6" s="213" t="s">
        <v>66</v>
      </c>
      <c r="AF6" s="241">
        <v>69965084.129999995</v>
      </c>
      <c r="AG6" s="241">
        <v>69965084.129999995</v>
      </c>
      <c r="AH6" s="213" t="s">
        <v>66</v>
      </c>
      <c r="AI6" s="352" t="s">
        <v>66</v>
      </c>
      <c r="AJ6" s="213" t="s">
        <v>66</v>
      </c>
      <c r="AK6" s="352" t="s">
        <v>66</v>
      </c>
      <c r="AL6" s="213" t="s">
        <v>66</v>
      </c>
      <c r="AM6" s="352" t="s">
        <v>66</v>
      </c>
      <c r="AN6" s="213" t="s">
        <v>66</v>
      </c>
      <c r="AO6" s="352" t="s">
        <v>66</v>
      </c>
      <c r="AP6" s="213" t="s">
        <v>66</v>
      </c>
      <c r="AQ6" s="219" t="s">
        <v>66</v>
      </c>
      <c r="AR6" s="213" t="s">
        <v>1827</v>
      </c>
      <c r="AU6" s="343"/>
      <c r="AV6" s="343"/>
      <c r="AW6" s="328"/>
      <c r="AX6" s="329"/>
      <c r="AY6" s="328"/>
      <c r="AZ6" s="328"/>
      <c r="BA6" s="330"/>
      <c r="BB6" s="328"/>
      <c r="BC6" s="328"/>
      <c r="BD6" s="328"/>
      <c r="BE6" s="330"/>
      <c r="BF6" s="330"/>
      <c r="BG6" s="344"/>
      <c r="BH6" s="383"/>
      <c r="BI6" s="330"/>
      <c r="BJ6" s="330"/>
      <c r="BK6" s="330"/>
      <c r="BL6" s="330"/>
      <c r="BM6" s="330"/>
      <c r="BN6" s="330"/>
      <c r="BO6" s="330"/>
      <c r="BP6" s="331"/>
      <c r="BQ6" s="332"/>
      <c r="BR6" s="333"/>
    </row>
    <row r="7" spans="2:70" ht="15.75" customHeight="1">
      <c r="B7" s="216" t="s">
        <v>1098</v>
      </c>
      <c r="C7" s="212">
        <v>1176350</v>
      </c>
      <c r="D7" s="223">
        <v>45295229000139</v>
      </c>
      <c r="E7" s="217" t="s">
        <v>28</v>
      </c>
      <c r="F7" s="217" t="s">
        <v>950</v>
      </c>
      <c r="G7" s="217"/>
      <c r="H7" s="218"/>
      <c r="I7" s="217" t="s">
        <v>66</v>
      </c>
      <c r="J7" s="217" t="s">
        <v>66</v>
      </c>
      <c r="K7" s="218" t="s">
        <v>955</v>
      </c>
      <c r="L7" s="212"/>
      <c r="M7" s="250" t="s">
        <v>1078</v>
      </c>
      <c r="N7" s="239">
        <v>44614</v>
      </c>
      <c r="O7" s="210" t="s">
        <v>114</v>
      </c>
      <c r="P7" s="210" t="s">
        <v>1075</v>
      </c>
      <c r="Q7" s="210" t="s">
        <v>1076</v>
      </c>
      <c r="R7" s="210" t="s">
        <v>1099</v>
      </c>
      <c r="S7" s="210" t="s">
        <v>1085</v>
      </c>
      <c r="T7" s="210" t="s">
        <v>1079</v>
      </c>
      <c r="U7" s="210" t="s">
        <v>65</v>
      </c>
      <c r="V7" s="210" t="s">
        <v>1080</v>
      </c>
      <c r="W7" s="211" t="s">
        <v>1036</v>
      </c>
      <c r="X7" s="211">
        <v>10000</v>
      </c>
      <c r="Y7" s="211">
        <v>10000</v>
      </c>
      <c r="Z7" s="212">
        <v>10000</v>
      </c>
      <c r="AA7" s="240">
        <v>122</v>
      </c>
      <c r="AB7" s="213">
        <v>7.4999999999999997E-3</v>
      </c>
      <c r="AC7" s="213">
        <v>0</v>
      </c>
      <c r="AD7" s="213" t="s">
        <v>1100</v>
      </c>
      <c r="AE7" s="213">
        <v>5.3E-3</v>
      </c>
      <c r="AF7" s="241">
        <v>9004404.6300000008</v>
      </c>
      <c r="AG7" s="241">
        <v>9004404.6300000008</v>
      </c>
      <c r="AH7" s="213" t="s">
        <v>66</v>
      </c>
      <c r="AI7" s="352" t="s">
        <v>66</v>
      </c>
      <c r="AJ7" s="213" t="s">
        <v>66</v>
      </c>
      <c r="AK7" s="352" t="s">
        <v>66</v>
      </c>
      <c r="AL7" s="213" t="s">
        <v>66</v>
      </c>
      <c r="AM7" s="352" t="s">
        <v>66</v>
      </c>
      <c r="AN7" s="213" t="s">
        <v>66</v>
      </c>
      <c r="AO7" s="352" t="s">
        <v>66</v>
      </c>
      <c r="AP7" s="213" t="s">
        <v>66</v>
      </c>
      <c r="AQ7" s="219" t="s">
        <v>66</v>
      </c>
      <c r="AR7" s="213" t="s">
        <v>1827</v>
      </c>
      <c r="AU7" s="343"/>
      <c r="AV7" s="343"/>
      <c r="AW7" s="328"/>
      <c r="AX7" s="329"/>
      <c r="AY7" s="328"/>
      <c r="AZ7" s="328"/>
      <c r="BA7" s="330"/>
      <c r="BB7" s="328"/>
      <c r="BC7" s="328"/>
      <c r="BD7" s="328"/>
      <c r="BE7" s="330"/>
      <c r="BF7" s="330"/>
      <c r="BG7" s="344"/>
      <c r="BH7" s="383"/>
      <c r="BI7" s="330"/>
      <c r="BJ7" s="330"/>
      <c r="BK7" s="330"/>
      <c r="BL7" s="330"/>
      <c r="BM7" s="330"/>
      <c r="BN7" s="330"/>
      <c r="BO7" s="330"/>
      <c r="BP7" s="331"/>
      <c r="BQ7" s="332"/>
      <c r="BR7" s="333"/>
    </row>
    <row r="8" spans="2:70" ht="15.75" customHeight="1">
      <c r="B8" s="216" t="s">
        <v>898</v>
      </c>
      <c r="C8" s="212">
        <v>3500882</v>
      </c>
      <c r="D8" s="223">
        <v>43096273000194</v>
      </c>
      <c r="E8" s="217" t="s">
        <v>28</v>
      </c>
      <c r="F8" s="217" t="s">
        <v>950</v>
      </c>
      <c r="G8" s="217"/>
      <c r="H8" s="218"/>
      <c r="I8" s="217" t="s">
        <v>66</v>
      </c>
      <c r="J8" s="217" t="s">
        <v>66</v>
      </c>
      <c r="K8" s="218" t="s">
        <v>955</v>
      </c>
      <c r="L8" s="212"/>
      <c r="M8" s="250" t="s">
        <v>1078</v>
      </c>
      <c r="N8" s="239">
        <v>44434</v>
      </c>
      <c r="O8" s="210" t="s">
        <v>114</v>
      </c>
      <c r="P8" s="210" t="s">
        <v>1075</v>
      </c>
      <c r="Q8" s="210" t="s">
        <v>1076</v>
      </c>
      <c r="R8" s="210" t="s">
        <v>1099</v>
      </c>
      <c r="S8" s="210" t="s">
        <v>1085</v>
      </c>
      <c r="T8" s="210" t="s">
        <v>1079</v>
      </c>
      <c r="U8" s="210" t="s">
        <v>65</v>
      </c>
      <c r="V8" s="210" t="s">
        <v>1080</v>
      </c>
      <c r="W8" s="211" t="s">
        <v>1036</v>
      </c>
      <c r="X8" s="211">
        <v>10000</v>
      </c>
      <c r="Y8" s="211">
        <v>10000</v>
      </c>
      <c r="Z8" s="212">
        <v>10000</v>
      </c>
      <c r="AA8" s="240">
        <v>122</v>
      </c>
      <c r="AB8" s="213">
        <v>7.4999999999999997E-3</v>
      </c>
      <c r="AC8" s="213">
        <v>0</v>
      </c>
      <c r="AD8" s="213" t="s">
        <v>1100</v>
      </c>
      <c r="AE8" s="213">
        <v>5.3E-3</v>
      </c>
      <c r="AF8" s="241">
        <v>32193868.960000001</v>
      </c>
      <c r="AG8" s="241">
        <v>32193868.960000001</v>
      </c>
      <c r="AH8" s="213">
        <v>-6.4699999999999994E-2</v>
      </c>
      <c r="AI8" s="352">
        <v>-0.99629999999999996</v>
      </c>
      <c r="AJ8" s="213" t="s">
        <v>66</v>
      </c>
      <c r="AK8" s="352" t="s">
        <v>66</v>
      </c>
      <c r="AL8" s="213" t="s">
        <v>66</v>
      </c>
      <c r="AM8" s="352" t="s">
        <v>66</v>
      </c>
      <c r="AN8" s="213" t="s">
        <v>66</v>
      </c>
      <c r="AO8" s="352" t="s">
        <v>66</v>
      </c>
      <c r="AP8" s="213" t="s">
        <v>66</v>
      </c>
      <c r="AQ8" s="219" t="s">
        <v>66</v>
      </c>
      <c r="AR8" s="213" t="s">
        <v>1827</v>
      </c>
      <c r="AU8" s="343"/>
      <c r="AV8" s="343"/>
      <c r="AW8" s="328"/>
      <c r="AX8" s="329"/>
      <c r="AY8" s="328"/>
      <c r="AZ8" s="328"/>
      <c r="BA8" s="330"/>
      <c r="BB8" s="328"/>
      <c r="BC8" s="328"/>
      <c r="BD8" s="328"/>
      <c r="BE8" s="330"/>
      <c r="BF8" s="330"/>
      <c r="BG8" s="344"/>
      <c r="BH8" s="383"/>
      <c r="BI8" s="330"/>
      <c r="BJ8" s="330"/>
      <c r="BK8" s="330"/>
      <c r="BL8" s="330"/>
      <c r="BM8" s="330"/>
      <c r="BN8" s="330"/>
      <c r="BO8" s="330"/>
      <c r="BP8" s="331"/>
      <c r="BQ8" s="332"/>
      <c r="BR8" s="333"/>
    </row>
    <row r="9" spans="2:70" ht="15.75" customHeight="1">
      <c r="B9" s="216" t="s">
        <v>1103</v>
      </c>
      <c r="C9" s="212">
        <v>823384</v>
      </c>
      <c r="D9" s="223">
        <v>43984537000146</v>
      </c>
      <c r="E9" s="217" t="s">
        <v>25</v>
      </c>
      <c r="F9" s="217" t="s">
        <v>958</v>
      </c>
      <c r="G9" s="217" t="s">
        <v>962</v>
      </c>
      <c r="H9" s="218" t="s">
        <v>66</v>
      </c>
      <c r="I9" s="217" t="s">
        <v>1842</v>
      </c>
      <c r="J9" s="217" t="s">
        <v>66</v>
      </c>
      <c r="K9" s="218" t="s">
        <v>954</v>
      </c>
      <c r="L9" s="212" t="s">
        <v>87</v>
      </c>
      <c r="M9" s="250" t="s">
        <v>1078</v>
      </c>
      <c r="N9" s="239">
        <v>44510</v>
      </c>
      <c r="O9" s="210" t="s">
        <v>114</v>
      </c>
      <c r="P9" s="210" t="s">
        <v>1075</v>
      </c>
      <c r="Q9" s="210" t="s">
        <v>1076</v>
      </c>
      <c r="R9" s="210" t="s">
        <v>1084</v>
      </c>
      <c r="S9" s="210" t="s">
        <v>1078</v>
      </c>
      <c r="T9" s="210" t="s">
        <v>1082</v>
      </c>
      <c r="U9" s="210" t="s">
        <v>958</v>
      </c>
      <c r="V9" s="210" t="s">
        <v>25</v>
      </c>
      <c r="W9" s="211" t="s">
        <v>1016</v>
      </c>
      <c r="X9" s="211">
        <v>500</v>
      </c>
      <c r="Y9" s="211">
        <v>100</v>
      </c>
      <c r="Z9" s="212">
        <v>100</v>
      </c>
      <c r="AA9" s="240">
        <v>31</v>
      </c>
      <c r="AB9" s="213">
        <v>0.02</v>
      </c>
      <c r="AC9" s="213">
        <v>0.2</v>
      </c>
      <c r="AD9" s="213" t="s">
        <v>1100</v>
      </c>
      <c r="AE9" s="213">
        <v>4.0000000000000001E-3</v>
      </c>
      <c r="AF9" s="241">
        <v>237195108.99000001</v>
      </c>
      <c r="AG9" s="241">
        <v>237195108.99000001</v>
      </c>
      <c r="AH9" s="213">
        <v>0.12959999999999999</v>
      </c>
      <c r="AI9" s="352">
        <v>1.9961</v>
      </c>
      <c r="AJ9" s="213" t="s">
        <v>66</v>
      </c>
      <c r="AK9" s="352" t="s">
        <v>66</v>
      </c>
      <c r="AL9" s="213" t="s">
        <v>66</v>
      </c>
      <c r="AM9" s="352" t="s">
        <v>66</v>
      </c>
      <c r="AN9" s="213" t="s">
        <v>66</v>
      </c>
      <c r="AO9" s="352" t="s">
        <v>66</v>
      </c>
      <c r="AP9" s="213" t="s">
        <v>66</v>
      </c>
      <c r="AQ9" s="219" t="s">
        <v>66</v>
      </c>
      <c r="AR9" s="213" t="s">
        <v>1827</v>
      </c>
      <c r="AU9" s="343"/>
      <c r="AV9" s="343"/>
      <c r="AW9" s="328"/>
      <c r="AX9" s="329"/>
      <c r="AY9" s="328"/>
      <c r="AZ9" s="328"/>
      <c r="BA9" s="330"/>
      <c r="BB9" s="328"/>
      <c r="BC9" s="328"/>
      <c r="BD9" s="328"/>
      <c r="BE9" s="330"/>
      <c r="BF9" s="330"/>
      <c r="BG9" s="344"/>
      <c r="BH9" s="383"/>
      <c r="BI9" s="330"/>
      <c r="BJ9" s="330"/>
      <c r="BK9" s="330"/>
      <c r="BL9" s="330"/>
      <c r="BM9" s="330"/>
      <c r="BN9" s="330"/>
      <c r="BO9" s="330"/>
      <c r="BP9" s="331"/>
      <c r="BQ9" s="332"/>
      <c r="BR9" s="333"/>
    </row>
    <row r="10" spans="2:70" ht="15.75" customHeight="1">
      <c r="B10" s="216" t="s">
        <v>1153</v>
      </c>
      <c r="C10" s="212">
        <v>2240988</v>
      </c>
      <c r="D10" s="223">
        <v>30921203000181</v>
      </c>
      <c r="E10" s="217" t="s">
        <v>19</v>
      </c>
      <c r="F10" s="217" t="s">
        <v>963</v>
      </c>
      <c r="G10" s="217" t="s">
        <v>1011</v>
      </c>
      <c r="H10" s="218" t="s">
        <v>1113</v>
      </c>
      <c r="I10" s="217" t="s">
        <v>66</v>
      </c>
      <c r="J10" s="217" t="s">
        <v>1794</v>
      </c>
      <c r="K10" s="218" t="s">
        <v>951</v>
      </c>
      <c r="L10" s="212" t="s">
        <v>87</v>
      </c>
      <c r="M10" s="250" t="s">
        <v>1078</v>
      </c>
      <c r="N10" s="239">
        <v>43336</v>
      </c>
      <c r="O10" s="210" t="s">
        <v>165</v>
      </c>
      <c r="P10" s="210" t="s">
        <v>1090</v>
      </c>
      <c r="Q10" s="210" t="s">
        <v>1091</v>
      </c>
      <c r="R10" s="210" t="s">
        <v>1084</v>
      </c>
      <c r="S10" s="210" t="s">
        <v>1085</v>
      </c>
      <c r="T10" s="210" t="s">
        <v>349</v>
      </c>
      <c r="U10" s="210" t="s">
        <v>1114</v>
      </c>
      <c r="V10" s="210" t="s">
        <v>19</v>
      </c>
      <c r="W10" s="211" t="s">
        <v>1010</v>
      </c>
      <c r="X10" s="211">
        <v>1000</v>
      </c>
      <c r="Y10" s="211">
        <v>1000</v>
      </c>
      <c r="Z10" s="212">
        <v>1000</v>
      </c>
      <c r="AA10" s="240">
        <v>1</v>
      </c>
      <c r="AB10" s="213">
        <v>4.0000000000000001E-3</v>
      </c>
      <c r="AC10" s="213">
        <v>0</v>
      </c>
      <c r="AD10" s="213" t="s">
        <v>109</v>
      </c>
      <c r="AE10" s="213">
        <v>1.1200000000000001E-3</v>
      </c>
      <c r="AF10" s="241">
        <v>678184038.25</v>
      </c>
      <c r="AG10" s="241">
        <v>678184038.25</v>
      </c>
      <c r="AH10" s="213">
        <v>7.1499999999999994E-2</v>
      </c>
      <c r="AI10" s="352">
        <v>1.1020000000000001</v>
      </c>
      <c r="AJ10" s="213">
        <v>0.1095</v>
      </c>
      <c r="AK10" s="352">
        <v>1.1636</v>
      </c>
      <c r="AL10" s="213">
        <v>0.16869999999999999</v>
      </c>
      <c r="AM10" s="352">
        <v>1.3960999999999999</v>
      </c>
      <c r="AN10" s="213">
        <v>0.19259999999999999</v>
      </c>
      <c r="AO10" s="352">
        <v>1.1428</v>
      </c>
      <c r="AP10" s="213">
        <v>1.6999999999999999E-3</v>
      </c>
      <c r="AQ10" s="219">
        <v>8.090375830924069</v>
      </c>
      <c r="AR10" s="213" t="s">
        <v>1827</v>
      </c>
      <c r="AU10" s="343"/>
      <c r="AV10" s="343"/>
      <c r="AW10" s="328"/>
      <c r="AX10" s="329"/>
      <c r="AY10" s="328"/>
      <c r="AZ10" s="328"/>
      <c r="BA10" s="330"/>
      <c r="BB10" s="328"/>
      <c r="BC10" s="328"/>
      <c r="BD10" s="328"/>
      <c r="BE10" s="330"/>
      <c r="BF10" s="330"/>
      <c r="BG10" s="344"/>
      <c r="BH10" s="383"/>
      <c r="BI10" s="330"/>
      <c r="BJ10" s="330"/>
      <c r="BK10" s="330"/>
      <c r="BL10" s="330"/>
      <c r="BM10" s="330"/>
      <c r="BN10" s="330"/>
      <c r="BO10" s="330"/>
      <c r="BP10" s="331"/>
      <c r="BQ10" s="332"/>
      <c r="BR10" s="333"/>
    </row>
    <row r="11" spans="2:70" ht="15.75" customHeight="1">
      <c r="B11" s="216" t="s">
        <v>1154</v>
      </c>
      <c r="C11" s="212">
        <v>548358</v>
      </c>
      <c r="D11" s="223">
        <v>30910199000156</v>
      </c>
      <c r="E11" s="217" t="s">
        <v>19</v>
      </c>
      <c r="F11" s="217" t="s">
        <v>964</v>
      </c>
      <c r="G11" s="217" t="s">
        <v>1042</v>
      </c>
      <c r="H11" s="218" t="s">
        <v>1113</v>
      </c>
      <c r="I11" s="217" t="s">
        <v>66</v>
      </c>
      <c r="J11" s="217" t="s">
        <v>66</v>
      </c>
      <c r="K11" s="218" t="s">
        <v>951</v>
      </c>
      <c r="L11" s="212" t="s">
        <v>87</v>
      </c>
      <c r="M11" s="250" t="s">
        <v>1078</v>
      </c>
      <c r="N11" s="239">
        <v>43336</v>
      </c>
      <c r="O11" s="210" t="s">
        <v>165</v>
      </c>
      <c r="P11" s="210" t="s">
        <v>1090</v>
      </c>
      <c r="Q11" s="210" t="s">
        <v>1091</v>
      </c>
      <c r="R11" s="210" t="s">
        <v>1084</v>
      </c>
      <c r="S11" s="210" t="s">
        <v>1078</v>
      </c>
      <c r="T11" s="210" t="s">
        <v>349</v>
      </c>
      <c r="U11" s="210" t="s">
        <v>964</v>
      </c>
      <c r="V11" s="210" t="s">
        <v>19</v>
      </c>
      <c r="W11" s="211" t="s">
        <v>1024</v>
      </c>
      <c r="X11" s="211">
        <v>500</v>
      </c>
      <c r="Y11" s="211">
        <v>100</v>
      </c>
      <c r="Z11" s="212">
        <v>100</v>
      </c>
      <c r="AA11" s="240">
        <v>31</v>
      </c>
      <c r="AB11" s="213">
        <v>7.0000000000000001E-3</v>
      </c>
      <c r="AC11" s="213">
        <v>0</v>
      </c>
      <c r="AD11" s="213" t="s">
        <v>981</v>
      </c>
      <c r="AE11" s="213">
        <v>1.9600000000000004E-3</v>
      </c>
      <c r="AF11" s="241">
        <v>693859571.40999997</v>
      </c>
      <c r="AG11" s="241">
        <v>693859571.40999997</v>
      </c>
      <c r="AH11" s="213">
        <v>6.6400000000000001E-2</v>
      </c>
      <c r="AI11" s="352">
        <v>1.0227999999999999</v>
      </c>
      <c r="AJ11" s="213">
        <v>0.106</v>
      </c>
      <c r="AK11" s="352">
        <v>1.1263000000000001</v>
      </c>
      <c r="AL11" s="213">
        <v>0.2152</v>
      </c>
      <c r="AM11" s="352">
        <v>1.7811999999999999</v>
      </c>
      <c r="AN11" s="213">
        <v>0.28549999999999998</v>
      </c>
      <c r="AO11" s="352">
        <v>1.6942999999999999</v>
      </c>
      <c r="AP11" s="213">
        <v>3.4500000000000003E-2</v>
      </c>
      <c r="AQ11" s="219">
        <v>0.33001511038195619</v>
      </c>
      <c r="AR11" s="213" t="s">
        <v>1827</v>
      </c>
      <c r="AU11" s="343"/>
      <c r="AV11" s="343"/>
      <c r="AW11" s="328"/>
      <c r="AX11" s="329"/>
      <c r="AY11" s="328"/>
      <c r="AZ11" s="328"/>
      <c r="BA11" s="330"/>
      <c r="BB11" s="328"/>
      <c r="BC11" s="328"/>
      <c r="BD11" s="328"/>
      <c r="BE11" s="330"/>
      <c r="BF11" s="330"/>
      <c r="BG11" s="344"/>
      <c r="BH11" s="383"/>
      <c r="BI11" s="330"/>
      <c r="BJ11" s="330"/>
      <c r="BK11" s="330"/>
      <c r="BL11" s="330"/>
      <c r="BM11" s="330"/>
      <c r="BN11" s="330"/>
      <c r="BO11" s="330"/>
      <c r="BP11" s="331"/>
      <c r="BQ11" s="332"/>
      <c r="BR11" s="333"/>
    </row>
    <row r="12" spans="2:70" ht="15.75" customHeight="1">
      <c r="B12" s="216" t="s">
        <v>43</v>
      </c>
      <c r="C12" s="212">
        <v>1259133</v>
      </c>
      <c r="D12" s="223">
        <v>37806055000101</v>
      </c>
      <c r="E12" s="217" t="s">
        <v>19</v>
      </c>
      <c r="F12" s="217" t="s">
        <v>963</v>
      </c>
      <c r="G12" s="217" t="s">
        <v>1034</v>
      </c>
      <c r="H12" s="218" t="s">
        <v>1113</v>
      </c>
      <c r="I12" s="217" t="s">
        <v>66</v>
      </c>
      <c r="J12" s="217" t="s">
        <v>1822</v>
      </c>
      <c r="K12" s="218" t="s">
        <v>951</v>
      </c>
      <c r="L12" s="212" t="s">
        <v>87</v>
      </c>
      <c r="M12" s="250" t="s">
        <v>1078</v>
      </c>
      <c r="N12" s="239">
        <v>44069</v>
      </c>
      <c r="O12" s="210" t="s">
        <v>828</v>
      </c>
      <c r="P12" s="210" t="s">
        <v>1331</v>
      </c>
      <c r="Q12" s="210" t="s">
        <v>1331</v>
      </c>
      <c r="R12" s="210" t="s">
        <v>231</v>
      </c>
      <c r="S12" s="210" t="s">
        <v>1078</v>
      </c>
      <c r="T12" s="210" t="s">
        <v>32</v>
      </c>
      <c r="U12" s="210" t="s">
        <v>1150</v>
      </c>
      <c r="V12" s="210" t="s">
        <v>25</v>
      </c>
      <c r="W12" s="211" t="s">
        <v>1016</v>
      </c>
      <c r="X12" s="211">
        <v>5000</v>
      </c>
      <c r="Y12" s="211">
        <v>5000</v>
      </c>
      <c r="Z12" s="212">
        <v>5000</v>
      </c>
      <c r="AA12" s="240">
        <v>91</v>
      </c>
      <c r="AB12" s="213">
        <v>1.9400000000000001E-2</v>
      </c>
      <c r="AC12" s="213">
        <v>0.2</v>
      </c>
      <c r="AD12" s="213" t="s">
        <v>113</v>
      </c>
      <c r="AE12" s="213">
        <v>6.4666666666666666E-3</v>
      </c>
      <c r="AF12" s="241">
        <v>130950140.03</v>
      </c>
      <c r="AG12" s="241">
        <v>130950140.03</v>
      </c>
      <c r="AH12" s="213">
        <v>8.4900000000000003E-2</v>
      </c>
      <c r="AI12" s="352">
        <v>1.3083</v>
      </c>
      <c r="AJ12" s="213">
        <v>0.13270000000000001</v>
      </c>
      <c r="AK12" s="352">
        <v>1.4101999999999999</v>
      </c>
      <c r="AL12" s="213" t="s">
        <v>66</v>
      </c>
      <c r="AM12" s="352" t="s">
        <v>66</v>
      </c>
      <c r="AN12" s="213" t="s">
        <v>66</v>
      </c>
      <c r="AO12" s="352" t="s">
        <v>66</v>
      </c>
      <c r="AP12" s="213">
        <v>1.5E-3</v>
      </c>
      <c r="AQ12" s="219">
        <v>22.804494655070034</v>
      </c>
      <c r="AR12" s="213" t="s">
        <v>1827</v>
      </c>
      <c r="AU12" s="343"/>
      <c r="AV12" s="343"/>
      <c r="AW12" s="328"/>
      <c r="AX12" s="329"/>
      <c r="AY12" s="328"/>
      <c r="AZ12" s="328"/>
      <c r="BA12" s="330"/>
      <c r="BB12" s="328"/>
      <c r="BC12" s="328"/>
      <c r="BD12" s="328"/>
      <c r="BE12" s="330"/>
      <c r="BF12" s="330"/>
      <c r="BG12" s="344"/>
      <c r="BH12" s="383"/>
      <c r="BI12" s="330"/>
      <c r="BJ12" s="330"/>
      <c r="BK12" s="330"/>
      <c r="BL12" s="330"/>
      <c r="BM12" s="330"/>
      <c r="BN12" s="330"/>
      <c r="BO12" s="330"/>
      <c r="BP12" s="331"/>
      <c r="BQ12" s="332"/>
      <c r="BR12" s="333"/>
    </row>
    <row r="13" spans="2:70" ht="15.75" customHeight="1">
      <c r="B13" s="216" t="s">
        <v>993</v>
      </c>
      <c r="C13" s="212">
        <v>1093317</v>
      </c>
      <c r="D13" s="223">
        <v>28470590000135</v>
      </c>
      <c r="E13" s="217" t="s">
        <v>28</v>
      </c>
      <c r="F13" s="217" t="s">
        <v>957</v>
      </c>
      <c r="G13" s="217" t="s">
        <v>1038</v>
      </c>
      <c r="H13" s="218"/>
      <c r="I13" s="217" t="s">
        <v>1259</v>
      </c>
      <c r="J13" s="217" t="s">
        <v>66</v>
      </c>
      <c r="K13" s="218" t="s">
        <v>951</v>
      </c>
      <c r="L13" s="212" t="s">
        <v>87</v>
      </c>
      <c r="M13" s="250" t="s">
        <v>1078</v>
      </c>
      <c r="N13" s="239">
        <v>43003</v>
      </c>
      <c r="O13" s="210" t="s">
        <v>353</v>
      </c>
      <c r="P13" s="210" t="s">
        <v>1075</v>
      </c>
      <c r="Q13" s="210" t="s">
        <v>1076</v>
      </c>
      <c r="R13" s="210" t="s">
        <v>1084</v>
      </c>
      <c r="S13" s="210" t="s">
        <v>1078</v>
      </c>
      <c r="T13" s="210" t="s">
        <v>1079</v>
      </c>
      <c r="U13" s="210" t="s">
        <v>957</v>
      </c>
      <c r="V13" s="210" t="s">
        <v>25</v>
      </c>
      <c r="W13" s="211" t="s">
        <v>1016</v>
      </c>
      <c r="X13" s="211">
        <v>1000</v>
      </c>
      <c r="Y13" s="211">
        <v>300</v>
      </c>
      <c r="Z13" s="212">
        <v>1000</v>
      </c>
      <c r="AA13" s="240">
        <v>10</v>
      </c>
      <c r="AB13" s="213">
        <v>1.4999999999999999E-2</v>
      </c>
      <c r="AC13" s="213">
        <v>0.25</v>
      </c>
      <c r="AD13" s="213" t="s">
        <v>113</v>
      </c>
      <c r="AE13" s="213">
        <v>4.0000000000000001E-3</v>
      </c>
      <c r="AF13" s="241">
        <v>57017807.829999998</v>
      </c>
      <c r="AG13" s="241">
        <v>57017807.829999998</v>
      </c>
      <c r="AH13" s="213">
        <v>-4.1700000000000001E-2</v>
      </c>
      <c r="AI13" s="352">
        <v>-0.64290000000000003</v>
      </c>
      <c r="AJ13" s="213">
        <v>-6.9900000000000004E-2</v>
      </c>
      <c r="AK13" s="352">
        <v>-0.74329999999999996</v>
      </c>
      <c r="AL13" s="213">
        <v>0.1144</v>
      </c>
      <c r="AM13" s="352">
        <v>0.94730000000000003</v>
      </c>
      <c r="AN13" s="213">
        <v>0.379</v>
      </c>
      <c r="AO13" s="352">
        <v>2.2492999999999999</v>
      </c>
      <c r="AP13" s="213">
        <v>0.16300000000000001</v>
      </c>
      <c r="AQ13" s="219">
        <v>-0.91480831464912749</v>
      </c>
      <c r="AR13" s="213" t="s">
        <v>1827</v>
      </c>
      <c r="AU13" s="343"/>
      <c r="AV13" s="343"/>
      <c r="AW13" s="328"/>
      <c r="AX13" s="329"/>
      <c r="AY13" s="328"/>
      <c r="AZ13" s="328"/>
      <c r="BA13" s="330"/>
      <c r="BB13" s="328"/>
      <c r="BC13" s="328"/>
      <c r="BD13" s="328"/>
      <c r="BE13" s="330"/>
      <c r="BF13" s="330"/>
      <c r="BG13" s="344"/>
      <c r="BH13" s="383"/>
      <c r="BI13" s="330"/>
      <c r="BJ13" s="330"/>
      <c r="BK13" s="330"/>
      <c r="BL13" s="330"/>
      <c r="BM13" s="330"/>
      <c r="BN13" s="330"/>
      <c r="BO13" s="330"/>
      <c r="BP13" s="331"/>
      <c r="BQ13" s="332"/>
      <c r="BR13" s="333"/>
    </row>
    <row r="14" spans="2:70" ht="15.75" customHeight="1">
      <c r="B14" s="216" t="s">
        <v>1369</v>
      </c>
      <c r="C14" s="212">
        <v>632191</v>
      </c>
      <c r="D14" s="223">
        <v>37287419000186</v>
      </c>
      <c r="E14" s="217" t="s">
        <v>25</v>
      </c>
      <c r="F14" s="217" t="s">
        <v>958</v>
      </c>
      <c r="G14" s="217" t="s">
        <v>962</v>
      </c>
      <c r="H14" s="218" t="s">
        <v>66</v>
      </c>
      <c r="I14" s="217" t="s">
        <v>1841</v>
      </c>
      <c r="J14" s="217" t="s">
        <v>66</v>
      </c>
      <c r="K14" s="218" t="s">
        <v>954</v>
      </c>
      <c r="L14" s="212" t="s">
        <v>87</v>
      </c>
      <c r="M14" s="250" t="s">
        <v>1078</v>
      </c>
      <c r="N14" s="239">
        <v>44012</v>
      </c>
      <c r="O14" s="210" t="s">
        <v>114</v>
      </c>
      <c r="P14" s="210" t="s">
        <v>1075</v>
      </c>
      <c r="Q14" s="210" t="s">
        <v>1076</v>
      </c>
      <c r="R14" s="210" t="s">
        <v>1084</v>
      </c>
      <c r="S14" s="210" t="s">
        <v>1078</v>
      </c>
      <c r="T14" s="210" t="s">
        <v>1082</v>
      </c>
      <c r="U14" s="210" t="s">
        <v>958</v>
      </c>
      <c r="V14" s="210" t="s">
        <v>25</v>
      </c>
      <c r="W14" s="211" t="s">
        <v>1016</v>
      </c>
      <c r="X14" s="211">
        <v>500</v>
      </c>
      <c r="Y14" s="211">
        <v>100</v>
      </c>
      <c r="Z14" s="212">
        <v>100</v>
      </c>
      <c r="AA14" s="240">
        <v>31</v>
      </c>
      <c r="AB14" s="213">
        <v>1.9E-2</v>
      </c>
      <c r="AC14" s="213">
        <v>0.2</v>
      </c>
      <c r="AD14" s="213" t="s">
        <v>113</v>
      </c>
      <c r="AE14" s="213">
        <v>5.0666666666666664E-3</v>
      </c>
      <c r="AF14" s="241">
        <v>560073067.16999996</v>
      </c>
      <c r="AG14" s="241">
        <v>560073067.16999996</v>
      </c>
      <c r="AH14" s="213">
        <v>0.12570000000000001</v>
      </c>
      <c r="AI14" s="352">
        <v>1.9356</v>
      </c>
      <c r="AJ14" s="213">
        <v>0.19539999999999999</v>
      </c>
      <c r="AK14" s="352">
        <v>2.0771999999999999</v>
      </c>
      <c r="AL14" s="213">
        <v>0.249</v>
      </c>
      <c r="AM14" s="352">
        <v>2.0613000000000001</v>
      </c>
      <c r="AN14" s="213" t="s">
        <v>66</v>
      </c>
      <c r="AO14" s="352" t="s">
        <v>66</v>
      </c>
      <c r="AP14" s="213">
        <v>3.8600000000000002E-2</v>
      </c>
      <c r="AQ14" s="219">
        <v>2.314419111315952</v>
      </c>
      <c r="AR14" s="213" t="s">
        <v>1827</v>
      </c>
      <c r="AU14" s="343"/>
      <c r="AV14" s="343"/>
      <c r="AW14" s="328"/>
      <c r="AX14" s="329"/>
      <c r="AY14" s="328"/>
      <c r="AZ14" s="328"/>
      <c r="BA14" s="330"/>
      <c r="BB14" s="328"/>
      <c r="BC14" s="328"/>
      <c r="BD14" s="328"/>
      <c r="BE14" s="330"/>
      <c r="BF14" s="330"/>
      <c r="BG14" s="344"/>
      <c r="BH14" s="383"/>
      <c r="BI14" s="330"/>
      <c r="BJ14" s="330"/>
      <c r="BK14" s="330"/>
      <c r="BL14" s="330"/>
      <c r="BM14" s="330"/>
      <c r="BN14" s="330"/>
      <c r="BO14" s="330"/>
      <c r="BP14" s="331"/>
      <c r="BQ14" s="332"/>
      <c r="BR14" s="333"/>
    </row>
    <row r="15" spans="2:70" ht="15.75" customHeight="1">
      <c r="B15" s="216" t="s">
        <v>823</v>
      </c>
      <c r="C15" s="212">
        <v>632170</v>
      </c>
      <c r="D15" s="223">
        <v>35828684000107</v>
      </c>
      <c r="E15" s="217" t="s">
        <v>25</v>
      </c>
      <c r="F15" s="217" t="s">
        <v>958</v>
      </c>
      <c r="G15" s="217" t="s">
        <v>962</v>
      </c>
      <c r="H15" s="218" t="s">
        <v>66</v>
      </c>
      <c r="I15" s="217" t="s">
        <v>1841</v>
      </c>
      <c r="J15" s="217" t="s">
        <v>66</v>
      </c>
      <c r="K15" s="218" t="s">
        <v>954</v>
      </c>
      <c r="L15" s="212" t="s">
        <v>87</v>
      </c>
      <c r="M15" s="250" t="s">
        <v>1078</v>
      </c>
      <c r="N15" s="239">
        <v>44012</v>
      </c>
      <c r="O15" s="210" t="s">
        <v>357</v>
      </c>
      <c r="P15" s="210" t="s">
        <v>1110</v>
      </c>
      <c r="Q15" s="210" t="s">
        <v>1110</v>
      </c>
      <c r="R15" s="210" t="s">
        <v>1084</v>
      </c>
      <c r="S15" s="210" t="s">
        <v>1078</v>
      </c>
      <c r="T15" s="210" t="s">
        <v>1082</v>
      </c>
      <c r="U15" s="210" t="s">
        <v>958</v>
      </c>
      <c r="V15" s="210" t="s">
        <v>25</v>
      </c>
      <c r="W15" s="211" t="s">
        <v>1016</v>
      </c>
      <c r="X15" s="211">
        <v>25000</v>
      </c>
      <c r="Y15" s="211">
        <v>5000</v>
      </c>
      <c r="Z15" s="212">
        <v>10000</v>
      </c>
      <c r="AA15" s="240">
        <v>31</v>
      </c>
      <c r="AB15" s="213">
        <v>1.9E-2</v>
      </c>
      <c r="AC15" s="213">
        <v>0.2</v>
      </c>
      <c r="AD15" s="213" t="s">
        <v>109</v>
      </c>
      <c r="AE15" s="213">
        <v>5.0672999999999994E-3</v>
      </c>
      <c r="AF15" s="241">
        <v>467190092.18000001</v>
      </c>
      <c r="AG15" s="241">
        <v>467190092.18000001</v>
      </c>
      <c r="AH15" s="213">
        <v>0.12640000000000001</v>
      </c>
      <c r="AI15" s="352">
        <v>1.9477</v>
      </c>
      <c r="AJ15" s="213">
        <v>0.1966</v>
      </c>
      <c r="AK15" s="352">
        <v>2.0901000000000001</v>
      </c>
      <c r="AL15" s="213">
        <v>0.25090000000000001</v>
      </c>
      <c r="AM15" s="352">
        <v>2.0766</v>
      </c>
      <c r="AN15" s="213" t="s">
        <v>66</v>
      </c>
      <c r="AO15" s="352" t="s">
        <v>66</v>
      </c>
      <c r="AP15" s="213">
        <v>3.9100000000000003E-2</v>
      </c>
      <c r="AQ15" s="219">
        <v>2.3137704712463107</v>
      </c>
      <c r="AR15" s="213" t="s">
        <v>1827</v>
      </c>
      <c r="AU15" s="343"/>
      <c r="AV15" s="343"/>
      <c r="AW15" s="328"/>
      <c r="AX15" s="329"/>
      <c r="AY15" s="328"/>
      <c r="AZ15" s="328"/>
      <c r="BA15" s="330"/>
      <c r="BB15" s="328"/>
      <c r="BC15" s="328"/>
      <c r="BD15" s="328"/>
      <c r="BE15" s="330"/>
      <c r="BF15" s="330"/>
      <c r="BG15" s="344"/>
      <c r="BH15" s="383"/>
      <c r="BI15" s="330"/>
      <c r="BJ15" s="330"/>
      <c r="BK15" s="330"/>
      <c r="BL15" s="330"/>
      <c r="BM15" s="330"/>
      <c r="BN15" s="330"/>
      <c r="BO15" s="330"/>
      <c r="BP15" s="331"/>
      <c r="BQ15" s="332"/>
      <c r="BR15" s="333"/>
    </row>
    <row r="16" spans="2:70" ht="15.75" customHeight="1">
      <c r="B16" s="216" t="s">
        <v>363</v>
      </c>
      <c r="C16" s="212">
        <v>2790954</v>
      </c>
      <c r="D16" s="223">
        <v>11052478000181</v>
      </c>
      <c r="E16" s="217" t="s">
        <v>25</v>
      </c>
      <c r="F16" s="217" t="s">
        <v>959</v>
      </c>
      <c r="G16" s="217" t="s">
        <v>953</v>
      </c>
      <c r="H16" s="218" t="s">
        <v>66</v>
      </c>
      <c r="I16" s="217" t="s">
        <v>1259</v>
      </c>
      <c r="J16" s="217" t="s">
        <v>66</v>
      </c>
      <c r="K16" s="218" t="s">
        <v>954</v>
      </c>
      <c r="L16" s="212" t="s">
        <v>87</v>
      </c>
      <c r="M16" s="250" t="s">
        <v>1078</v>
      </c>
      <c r="N16" s="239">
        <v>40975</v>
      </c>
      <c r="O16" s="210" t="s">
        <v>360</v>
      </c>
      <c r="P16" s="210" t="s">
        <v>1090</v>
      </c>
      <c r="Q16" s="210" t="s">
        <v>1091</v>
      </c>
      <c r="R16" s="210" t="s">
        <v>1084</v>
      </c>
      <c r="S16" s="210" t="s">
        <v>1078</v>
      </c>
      <c r="T16" s="210" t="s">
        <v>1082</v>
      </c>
      <c r="U16" s="210" t="s">
        <v>958</v>
      </c>
      <c r="V16" s="210" t="s">
        <v>25</v>
      </c>
      <c r="W16" s="211" t="s">
        <v>1016</v>
      </c>
      <c r="X16" s="211">
        <v>10000</v>
      </c>
      <c r="Y16" s="211">
        <v>10000</v>
      </c>
      <c r="Z16" s="212">
        <v>10000</v>
      </c>
      <c r="AA16" s="240">
        <v>33</v>
      </c>
      <c r="AB16" s="213">
        <v>9.4999999999999998E-3</v>
      </c>
      <c r="AC16" s="213">
        <v>0.27500000000000002</v>
      </c>
      <c r="AD16" s="213" t="s">
        <v>109</v>
      </c>
      <c r="AE16" s="213">
        <v>1.9E-3</v>
      </c>
      <c r="AF16" s="241">
        <v>645756992.07000005</v>
      </c>
      <c r="AG16" s="241">
        <v>645756992.07000005</v>
      </c>
      <c r="AH16" s="213">
        <v>7.5499999999999998E-2</v>
      </c>
      <c r="AI16" s="352">
        <v>1.1636</v>
      </c>
      <c r="AJ16" s="213">
        <v>0.14080000000000001</v>
      </c>
      <c r="AK16" s="352">
        <v>1.4965999999999999</v>
      </c>
      <c r="AL16" s="213">
        <v>0.15490000000000001</v>
      </c>
      <c r="AM16" s="352">
        <v>1.282</v>
      </c>
      <c r="AN16" s="213">
        <v>0.33239999999999997</v>
      </c>
      <c r="AO16" s="352">
        <v>1.9722</v>
      </c>
      <c r="AP16" s="213">
        <v>5.74E-2</v>
      </c>
      <c r="AQ16" s="219">
        <v>0.75711667622517687</v>
      </c>
      <c r="AR16" s="213" t="s">
        <v>1827</v>
      </c>
      <c r="AU16" s="343"/>
      <c r="AV16" s="343"/>
      <c r="AW16" s="328"/>
      <c r="AX16" s="329"/>
      <c r="AY16" s="328"/>
      <c r="AZ16" s="328"/>
      <c r="BA16" s="330"/>
      <c r="BB16" s="328"/>
      <c r="BC16" s="328"/>
      <c r="BD16" s="328"/>
      <c r="BE16" s="330"/>
      <c r="BF16" s="330"/>
      <c r="BG16" s="344"/>
      <c r="BH16" s="383"/>
      <c r="BI16" s="330"/>
      <c r="BJ16" s="330"/>
      <c r="BK16" s="330"/>
      <c r="BL16" s="330"/>
      <c r="BM16" s="330"/>
      <c r="BN16" s="330"/>
      <c r="BO16" s="330"/>
      <c r="BP16" s="331"/>
      <c r="BQ16" s="332"/>
      <c r="BR16" s="333"/>
    </row>
    <row r="17" spans="2:70" ht="15.75" customHeight="1">
      <c r="B17" s="216" t="s">
        <v>76</v>
      </c>
      <c r="C17" s="212">
        <v>2081382</v>
      </c>
      <c r="D17" s="223">
        <v>15799713000134</v>
      </c>
      <c r="E17" s="217" t="s">
        <v>25</v>
      </c>
      <c r="F17" s="217" t="s">
        <v>958</v>
      </c>
      <c r="G17" s="217" t="s">
        <v>962</v>
      </c>
      <c r="H17" s="218" t="s">
        <v>66</v>
      </c>
      <c r="I17" s="217" t="s">
        <v>1259</v>
      </c>
      <c r="J17" s="217" t="s">
        <v>66</v>
      </c>
      <c r="K17" s="218" t="s">
        <v>954</v>
      </c>
      <c r="L17" s="212" t="s">
        <v>87</v>
      </c>
      <c r="M17" s="250" t="s">
        <v>1078</v>
      </c>
      <c r="N17" s="239">
        <v>41243</v>
      </c>
      <c r="O17" s="210" t="s">
        <v>390</v>
      </c>
      <c r="P17" s="210" t="s">
        <v>1088</v>
      </c>
      <c r="Q17" s="210" t="s">
        <v>1089</v>
      </c>
      <c r="R17" s="210" t="s">
        <v>1084</v>
      </c>
      <c r="S17" s="210" t="s">
        <v>1085</v>
      </c>
      <c r="T17" s="210" t="s">
        <v>1082</v>
      </c>
      <c r="U17" s="210" t="s">
        <v>958</v>
      </c>
      <c r="V17" s="210" t="s">
        <v>25</v>
      </c>
      <c r="W17" s="211" t="s">
        <v>1012</v>
      </c>
      <c r="X17" s="211">
        <v>5000</v>
      </c>
      <c r="Y17" s="211">
        <v>1000</v>
      </c>
      <c r="Z17" s="212">
        <v>5000</v>
      </c>
      <c r="AA17" s="240">
        <v>31</v>
      </c>
      <c r="AB17" s="213">
        <v>1.9574999999999999E-2</v>
      </c>
      <c r="AC17" s="213">
        <v>0.2</v>
      </c>
      <c r="AD17" s="213" t="s">
        <v>109</v>
      </c>
      <c r="AE17" s="213">
        <v>4.8937499999999997E-3</v>
      </c>
      <c r="AF17" s="241">
        <v>5007516994.1999998</v>
      </c>
      <c r="AG17" s="241">
        <v>5007516994.1999998</v>
      </c>
      <c r="AH17" s="213">
        <v>0.1134</v>
      </c>
      <c r="AI17" s="352">
        <v>1.7464</v>
      </c>
      <c r="AJ17" s="213">
        <v>0.19409999999999999</v>
      </c>
      <c r="AK17" s="352">
        <v>2.0632000000000001</v>
      </c>
      <c r="AL17" s="213">
        <v>0.2467</v>
      </c>
      <c r="AM17" s="352">
        <v>2.0423</v>
      </c>
      <c r="AN17" s="213">
        <v>0.4924</v>
      </c>
      <c r="AO17" s="352">
        <v>2.9220999999999999</v>
      </c>
      <c r="AP17" s="213">
        <v>6.4199999999999993E-2</v>
      </c>
      <c r="AQ17" s="219">
        <v>1.3955493230601284</v>
      </c>
      <c r="AR17" s="213" t="s">
        <v>1827</v>
      </c>
      <c r="AU17" s="343"/>
      <c r="AV17" s="343"/>
      <c r="AW17" s="328"/>
      <c r="AX17" s="329"/>
      <c r="AY17" s="328"/>
      <c r="AZ17" s="328"/>
      <c r="BA17" s="330"/>
      <c r="BB17" s="328"/>
      <c r="BC17" s="328"/>
      <c r="BD17" s="328"/>
      <c r="BE17" s="330"/>
      <c r="BF17" s="330"/>
      <c r="BG17" s="344"/>
      <c r="BH17" s="383"/>
      <c r="BI17" s="330"/>
      <c r="BJ17" s="330"/>
      <c r="BK17" s="330"/>
      <c r="BL17" s="330"/>
      <c r="BM17" s="330"/>
      <c r="BN17" s="330"/>
      <c r="BO17" s="330"/>
      <c r="BP17" s="331"/>
      <c r="BQ17" s="332"/>
      <c r="BR17" s="333"/>
    </row>
    <row r="18" spans="2:70" ht="15.75" customHeight="1">
      <c r="B18" s="216" t="s">
        <v>1388</v>
      </c>
      <c r="C18" s="212">
        <v>1914717</v>
      </c>
      <c r="D18" s="223">
        <v>26822047000124</v>
      </c>
      <c r="E18" s="217" t="s">
        <v>25</v>
      </c>
      <c r="F18" s="217" t="s">
        <v>958</v>
      </c>
      <c r="G18" s="217" t="s">
        <v>962</v>
      </c>
      <c r="H18" s="218" t="s">
        <v>66</v>
      </c>
      <c r="I18" s="217" t="s">
        <v>1259</v>
      </c>
      <c r="J18" s="217" t="s">
        <v>66</v>
      </c>
      <c r="K18" s="218" t="s">
        <v>954</v>
      </c>
      <c r="L18" s="212" t="s">
        <v>87</v>
      </c>
      <c r="M18" s="250" t="s">
        <v>1078</v>
      </c>
      <c r="N18" s="239">
        <v>42836</v>
      </c>
      <c r="O18" s="210" t="s">
        <v>114</v>
      </c>
      <c r="P18" s="210" t="s">
        <v>1075</v>
      </c>
      <c r="Q18" s="210" t="s">
        <v>1076</v>
      </c>
      <c r="R18" s="210" t="s">
        <v>1084</v>
      </c>
      <c r="S18" s="210" t="s">
        <v>1085</v>
      </c>
      <c r="T18" s="210" t="s">
        <v>1082</v>
      </c>
      <c r="U18" s="210" t="s">
        <v>958</v>
      </c>
      <c r="V18" s="210" t="s">
        <v>25</v>
      </c>
      <c r="W18" s="211" t="s">
        <v>1012</v>
      </c>
      <c r="X18" s="211">
        <v>5000</v>
      </c>
      <c r="Y18" s="211">
        <v>1000</v>
      </c>
      <c r="Z18" s="212">
        <v>5000</v>
      </c>
      <c r="AA18" s="240">
        <v>31</v>
      </c>
      <c r="AB18" s="213">
        <v>1.9599999999999999E-2</v>
      </c>
      <c r="AC18" s="213">
        <v>0.2</v>
      </c>
      <c r="AD18" s="213" t="s">
        <v>113</v>
      </c>
      <c r="AE18" s="213">
        <v>4.8999999999999998E-3</v>
      </c>
      <c r="AF18" s="241">
        <v>397879279.51999998</v>
      </c>
      <c r="AG18" s="241">
        <v>397879279.51999998</v>
      </c>
      <c r="AH18" s="213">
        <v>0.1129</v>
      </c>
      <c r="AI18" s="352">
        <v>1.7392000000000001</v>
      </c>
      <c r="AJ18" s="213">
        <v>0.19220000000000001</v>
      </c>
      <c r="AK18" s="352">
        <v>2.0432999999999999</v>
      </c>
      <c r="AL18" s="213">
        <v>0.24440000000000001</v>
      </c>
      <c r="AM18" s="352">
        <v>2.0228999999999999</v>
      </c>
      <c r="AN18" s="213">
        <v>0.48770000000000002</v>
      </c>
      <c r="AO18" s="352">
        <v>2.8944000000000001</v>
      </c>
      <c r="AP18" s="213">
        <v>6.4000000000000001E-2</v>
      </c>
      <c r="AQ18" s="219">
        <v>1.3746880984598548</v>
      </c>
      <c r="AR18" s="213" t="s">
        <v>1827</v>
      </c>
      <c r="AU18" s="343"/>
      <c r="AV18" s="343"/>
      <c r="AW18" s="328"/>
      <c r="AX18" s="329"/>
      <c r="AY18" s="328"/>
      <c r="AZ18" s="328"/>
      <c r="BA18" s="330"/>
      <c r="BB18" s="328"/>
      <c r="BC18" s="328"/>
      <c r="BD18" s="328"/>
      <c r="BE18" s="330"/>
      <c r="BF18" s="330"/>
      <c r="BG18" s="344"/>
      <c r="BH18" s="383"/>
      <c r="BI18" s="330"/>
      <c r="BJ18" s="330"/>
      <c r="BK18" s="330"/>
      <c r="BL18" s="330"/>
      <c r="BM18" s="330"/>
      <c r="BN18" s="330"/>
      <c r="BO18" s="330"/>
      <c r="BP18" s="331"/>
      <c r="BQ18" s="332"/>
      <c r="BR18" s="333"/>
    </row>
    <row r="19" spans="2:70" ht="15.75" customHeight="1">
      <c r="B19" s="216" t="s">
        <v>1902</v>
      </c>
      <c r="C19" s="212">
        <v>545834</v>
      </c>
      <c r="D19" s="223">
        <v>32892819000105</v>
      </c>
      <c r="E19" s="217" t="s">
        <v>19</v>
      </c>
      <c r="F19" s="217" t="s">
        <v>963</v>
      </c>
      <c r="G19" s="217" t="s">
        <v>1011</v>
      </c>
      <c r="H19" s="218" t="s">
        <v>1113</v>
      </c>
      <c r="I19" s="217" t="s">
        <v>66</v>
      </c>
      <c r="J19" s="217"/>
      <c r="K19" s="218"/>
      <c r="L19" s="212" t="s">
        <v>87</v>
      </c>
      <c r="M19" s="250" t="s">
        <v>1078</v>
      </c>
      <c r="N19" s="239">
        <v>44544</v>
      </c>
      <c r="O19" s="210" t="s">
        <v>102</v>
      </c>
      <c r="P19" s="210" t="s">
        <v>1083</v>
      </c>
      <c r="Q19" s="210" t="s">
        <v>102</v>
      </c>
      <c r="R19" s="210" t="s">
        <v>1084</v>
      </c>
      <c r="S19" s="210" t="s">
        <v>1085</v>
      </c>
      <c r="T19" s="210" t="s">
        <v>349</v>
      </c>
      <c r="U19" s="210" t="s">
        <v>1078</v>
      </c>
      <c r="V19" s="210" t="s">
        <v>19</v>
      </c>
      <c r="W19" s="211" t="s">
        <v>1017</v>
      </c>
      <c r="X19" s="211">
        <v>100</v>
      </c>
      <c r="Y19" s="211">
        <v>1</v>
      </c>
      <c r="Z19" s="212">
        <v>100</v>
      </c>
      <c r="AA19" s="240">
        <v>1</v>
      </c>
      <c r="AB19" s="213">
        <v>8.9999999999999993E-3</v>
      </c>
      <c r="AC19" s="213">
        <v>0.2</v>
      </c>
      <c r="AD19" s="213" t="s">
        <v>109</v>
      </c>
      <c r="AE19" s="213">
        <v>2.0999999999999994E-3</v>
      </c>
      <c r="AF19" s="241">
        <v>62175858.450000003</v>
      </c>
      <c r="AG19" s="241">
        <v>62175858.450000003</v>
      </c>
      <c r="AH19" s="213">
        <v>9.1999999999999998E-2</v>
      </c>
      <c r="AI19" s="352">
        <v>1.4167000000000001</v>
      </c>
      <c r="AJ19" s="213" t="s">
        <v>66</v>
      </c>
      <c r="AK19" s="352" t="s">
        <v>66</v>
      </c>
      <c r="AL19" s="213" t="s">
        <v>66</v>
      </c>
      <c r="AM19" s="352" t="s">
        <v>66</v>
      </c>
      <c r="AN19" s="213" t="s">
        <v>66</v>
      </c>
      <c r="AO19" s="352" t="s">
        <v>66</v>
      </c>
      <c r="AP19" s="213" t="s">
        <v>66</v>
      </c>
      <c r="AQ19" s="219" t="s">
        <v>66</v>
      </c>
      <c r="AR19" s="213" t="s">
        <v>1827</v>
      </c>
      <c r="AU19" s="343"/>
      <c r="AV19" s="343"/>
      <c r="AW19" s="328"/>
      <c r="AX19" s="329"/>
      <c r="AY19" s="328"/>
      <c r="AZ19" s="328"/>
      <c r="BA19" s="330"/>
      <c r="BB19" s="328"/>
      <c r="BC19" s="328"/>
      <c r="BD19" s="328"/>
      <c r="BE19" s="330"/>
      <c r="BF19" s="330"/>
      <c r="BG19" s="344"/>
      <c r="BH19" s="383"/>
      <c r="BI19" s="330"/>
      <c r="BJ19" s="330"/>
      <c r="BK19" s="330"/>
      <c r="BL19" s="330"/>
      <c r="BM19" s="330"/>
      <c r="BN19" s="330"/>
      <c r="BO19" s="330"/>
      <c r="BP19" s="331"/>
      <c r="BQ19" s="332"/>
      <c r="BR19" s="333"/>
    </row>
    <row r="20" spans="2:70" ht="15.75" customHeight="1">
      <c r="B20" s="216" t="s">
        <v>1516</v>
      </c>
      <c r="C20" s="212">
        <v>2886063</v>
      </c>
      <c r="D20" s="223">
        <v>37467515000106</v>
      </c>
      <c r="E20" s="217" t="s">
        <v>28</v>
      </c>
      <c r="F20" s="217" t="s">
        <v>957</v>
      </c>
      <c r="G20" s="217" t="s">
        <v>1038</v>
      </c>
      <c r="H20" s="218"/>
      <c r="I20" s="217" t="s">
        <v>1259</v>
      </c>
      <c r="J20" s="217" t="s">
        <v>66</v>
      </c>
      <c r="K20" s="218" t="s">
        <v>951</v>
      </c>
      <c r="L20" s="212" t="s">
        <v>87</v>
      </c>
      <c r="M20" s="250" t="s">
        <v>1078</v>
      </c>
      <c r="N20" s="239">
        <v>44225</v>
      </c>
      <c r="O20" s="210" t="s">
        <v>1515</v>
      </c>
      <c r="P20" s="210" t="s">
        <v>1110</v>
      </c>
      <c r="Q20" s="210" t="s">
        <v>1110</v>
      </c>
      <c r="R20" s="210" t="s">
        <v>1077</v>
      </c>
      <c r="S20" s="210" t="s">
        <v>1078</v>
      </c>
      <c r="T20" s="210" t="s">
        <v>1079</v>
      </c>
      <c r="U20" s="210" t="s">
        <v>957</v>
      </c>
      <c r="V20" s="210" t="s">
        <v>25</v>
      </c>
      <c r="W20" s="211" t="s">
        <v>1016</v>
      </c>
      <c r="X20" s="211">
        <v>10000</v>
      </c>
      <c r="Y20" s="211">
        <v>1000</v>
      </c>
      <c r="Z20" s="212">
        <v>1000</v>
      </c>
      <c r="AA20" s="240">
        <v>32</v>
      </c>
      <c r="AB20" s="213">
        <v>1.7999999999999999E-2</v>
      </c>
      <c r="AC20" s="213">
        <v>0.2</v>
      </c>
      <c r="AD20" s="213" t="s">
        <v>109</v>
      </c>
      <c r="AE20" s="213">
        <v>3.5999999999999995E-3</v>
      </c>
      <c r="AF20" s="241">
        <v>263761875.12</v>
      </c>
      <c r="AG20" s="241">
        <v>263761875.12</v>
      </c>
      <c r="AH20" s="213">
        <v>9.7100000000000006E-2</v>
      </c>
      <c r="AI20" s="352">
        <v>1.4951000000000001</v>
      </c>
      <c r="AJ20" s="213">
        <v>-6.5699999999999995E-2</v>
      </c>
      <c r="AK20" s="352">
        <v>-0.69840000000000002</v>
      </c>
      <c r="AL20" s="213" t="s">
        <v>66</v>
      </c>
      <c r="AM20" s="352" t="s">
        <v>66</v>
      </c>
      <c r="AN20" s="213" t="s">
        <v>66</v>
      </c>
      <c r="AO20" s="352" t="s">
        <v>66</v>
      </c>
      <c r="AP20" s="213">
        <v>0.16889999999999999</v>
      </c>
      <c r="AQ20" s="219">
        <v>-0.85067251400560284</v>
      </c>
      <c r="AR20" s="213" t="s">
        <v>1827</v>
      </c>
      <c r="AU20" s="343"/>
      <c r="AV20" s="343"/>
      <c r="AW20" s="328"/>
      <c r="AX20" s="329"/>
      <c r="AY20" s="328"/>
      <c r="AZ20" s="328"/>
      <c r="BA20" s="330"/>
      <c r="BB20" s="328"/>
      <c r="BC20" s="328"/>
      <c r="BD20" s="328"/>
      <c r="BE20" s="330"/>
      <c r="BF20" s="330"/>
      <c r="BG20" s="344"/>
      <c r="BH20" s="383"/>
      <c r="BI20" s="330"/>
      <c r="BJ20" s="330"/>
      <c r="BK20" s="330"/>
      <c r="BL20" s="330"/>
      <c r="BM20" s="330"/>
      <c r="BN20" s="330"/>
      <c r="BO20" s="330"/>
      <c r="BP20" s="331"/>
      <c r="BQ20" s="332"/>
      <c r="BR20" s="333"/>
    </row>
    <row r="21" spans="2:70" ht="15.75" customHeight="1">
      <c r="B21" s="216" t="s">
        <v>1621</v>
      </c>
      <c r="C21" s="212">
        <v>1171012</v>
      </c>
      <c r="D21" s="223">
        <v>20501983000157</v>
      </c>
      <c r="E21" s="217" t="s">
        <v>25</v>
      </c>
      <c r="F21" s="217" t="s">
        <v>959</v>
      </c>
      <c r="G21" s="217" t="s">
        <v>960</v>
      </c>
      <c r="H21" s="218" t="s">
        <v>66</v>
      </c>
      <c r="I21" s="217" t="s">
        <v>1841</v>
      </c>
      <c r="J21" s="217" t="s">
        <v>66</v>
      </c>
      <c r="K21" s="218" t="s">
        <v>951</v>
      </c>
      <c r="L21" s="212" t="s">
        <v>87</v>
      </c>
      <c r="M21" s="250" t="s">
        <v>1078</v>
      </c>
      <c r="N21" s="239">
        <v>41914</v>
      </c>
      <c r="O21" s="210" t="s">
        <v>114</v>
      </c>
      <c r="P21" s="210" t="s">
        <v>1075</v>
      </c>
      <c r="Q21" s="210" t="s">
        <v>1076</v>
      </c>
      <c r="R21" s="210" t="s">
        <v>1077</v>
      </c>
      <c r="S21" s="210" t="s">
        <v>1085</v>
      </c>
      <c r="T21" s="210" t="s">
        <v>1082</v>
      </c>
      <c r="U21" s="210" t="s">
        <v>1086</v>
      </c>
      <c r="V21" s="210" t="s">
        <v>25</v>
      </c>
      <c r="W21" s="211" t="s">
        <v>1016</v>
      </c>
      <c r="X21" s="211">
        <v>50000</v>
      </c>
      <c r="Y21" s="211">
        <v>5000</v>
      </c>
      <c r="Z21" s="212">
        <v>5000</v>
      </c>
      <c r="AA21" s="240">
        <v>16</v>
      </c>
      <c r="AB21" s="213">
        <v>0.02</v>
      </c>
      <c r="AC21" s="213">
        <v>0.25</v>
      </c>
      <c r="AD21" s="213" t="s">
        <v>113</v>
      </c>
      <c r="AE21" s="213">
        <v>4.0000000000000001E-3</v>
      </c>
      <c r="AF21" s="241">
        <v>24383330.059999999</v>
      </c>
      <c r="AG21" s="241">
        <v>24383330.059999999</v>
      </c>
      <c r="AH21" s="213">
        <v>7.0800000000000002E-2</v>
      </c>
      <c r="AI21" s="352">
        <v>1.0899000000000001</v>
      </c>
      <c r="AJ21" s="213">
        <v>0.1065</v>
      </c>
      <c r="AK21" s="352">
        <v>1.1322000000000001</v>
      </c>
      <c r="AL21" s="213">
        <v>0.13719999999999999</v>
      </c>
      <c r="AM21" s="352">
        <v>1.1358999999999999</v>
      </c>
      <c r="AN21" s="213">
        <v>0.26050000000000001</v>
      </c>
      <c r="AO21" s="352">
        <v>1.5457000000000001</v>
      </c>
      <c r="AP21" s="213">
        <v>1.7000000000000001E-2</v>
      </c>
      <c r="AQ21" s="219">
        <v>0.67279075335050875</v>
      </c>
      <c r="AR21" s="213" t="s">
        <v>1827</v>
      </c>
      <c r="AU21" s="343"/>
      <c r="AV21" s="343"/>
      <c r="AW21" s="328"/>
      <c r="AX21" s="329"/>
      <c r="AY21" s="328"/>
      <c r="AZ21" s="328"/>
      <c r="BA21" s="330"/>
      <c r="BB21" s="328"/>
      <c r="BC21" s="328"/>
      <c r="BD21" s="328"/>
      <c r="BE21" s="330"/>
      <c r="BF21" s="330"/>
      <c r="BG21" s="344"/>
      <c r="BH21" s="383"/>
      <c r="BI21" s="330"/>
      <c r="BJ21" s="330"/>
      <c r="BK21" s="330"/>
      <c r="BL21" s="330"/>
      <c r="BM21" s="330"/>
      <c r="BN21" s="330"/>
      <c r="BO21" s="330"/>
      <c r="BP21" s="331"/>
      <c r="BQ21" s="332"/>
      <c r="BR21" s="333"/>
    </row>
    <row r="22" spans="2:70" ht="15.75" customHeight="1">
      <c r="B22" s="216" t="s">
        <v>852</v>
      </c>
      <c r="C22" s="212">
        <v>2820307</v>
      </c>
      <c r="D22" s="223">
        <v>12831360000114</v>
      </c>
      <c r="E22" s="217" t="s">
        <v>25</v>
      </c>
      <c r="F22" s="217" t="s">
        <v>958</v>
      </c>
      <c r="G22" s="217" t="s">
        <v>962</v>
      </c>
      <c r="H22" s="218" t="s">
        <v>66</v>
      </c>
      <c r="I22" s="217" t="s">
        <v>1842</v>
      </c>
      <c r="J22" s="217" t="s">
        <v>66</v>
      </c>
      <c r="K22" s="218" t="s">
        <v>954</v>
      </c>
      <c r="L22" s="212" t="s">
        <v>87</v>
      </c>
      <c r="M22" s="250" t="s">
        <v>1078</v>
      </c>
      <c r="N22" s="239">
        <v>40513</v>
      </c>
      <c r="O22" s="210" t="s">
        <v>649</v>
      </c>
      <c r="P22" s="210" t="s">
        <v>1083</v>
      </c>
      <c r="Q22" s="210" t="s">
        <v>102</v>
      </c>
      <c r="R22" s="210" t="s">
        <v>1084</v>
      </c>
      <c r="S22" s="210" t="s">
        <v>1078</v>
      </c>
      <c r="T22" s="210" t="s">
        <v>1082</v>
      </c>
      <c r="U22" s="210" t="s">
        <v>958</v>
      </c>
      <c r="V22" s="210" t="s">
        <v>25</v>
      </c>
      <c r="W22" s="211" t="s">
        <v>1012</v>
      </c>
      <c r="X22" s="211">
        <v>50000</v>
      </c>
      <c r="Y22" s="211">
        <v>10000</v>
      </c>
      <c r="Z22" s="212">
        <v>50000</v>
      </c>
      <c r="AA22" s="240">
        <v>61</v>
      </c>
      <c r="AB22" s="213">
        <v>7.0000000000000001E-3</v>
      </c>
      <c r="AC22" s="213">
        <v>0.2</v>
      </c>
      <c r="AD22" s="213" t="s">
        <v>109</v>
      </c>
      <c r="AE22" s="213">
        <v>3.16666E-3</v>
      </c>
      <c r="AF22" s="241">
        <v>951036823.32000005</v>
      </c>
      <c r="AG22" s="241">
        <v>951036823.32000005</v>
      </c>
      <c r="AH22" s="213">
        <v>0.20169999999999999</v>
      </c>
      <c r="AI22" s="352">
        <v>3.1071</v>
      </c>
      <c r="AJ22" s="213">
        <v>0.28689999999999999</v>
      </c>
      <c r="AK22" s="352">
        <v>3.0491000000000001</v>
      </c>
      <c r="AL22" s="213">
        <v>0.4012</v>
      </c>
      <c r="AM22" s="352">
        <v>3.3210000000000002</v>
      </c>
      <c r="AN22" s="213">
        <v>0.47649999999999998</v>
      </c>
      <c r="AO22" s="352">
        <v>2.8275999999999999</v>
      </c>
      <c r="AP22" s="213">
        <v>7.3599999999999999E-2</v>
      </c>
      <c r="AQ22" s="219">
        <v>2.2425434684974981</v>
      </c>
      <c r="AR22" s="213" t="s">
        <v>1827</v>
      </c>
      <c r="AU22" s="343"/>
      <c r="AV22" s="343"/>
      <c r="AW22" s="328"/>
      <c r="AX22" s="329"/>
      <c r="AY22" s="328"/>
      <c r="AZ22" s="328"/>
      <c r="BA22" s="330"/>
      <c r="BB22" s="328"/>
      <c r="BC22" s="328"/>
      <c r="BD22" s="328"/>
      <c r="BE22" s="330"/>
      <c r="BF22" s="330"/>
      <c r="BG22" s="344"/>
      <c r="BH22" s="383"/>
      <c r="BI22" s="330"/>
      <c r="BJ22" s="330"/>
      <c r="BK22" s="330"/>
      <c r="BL22" s="330"/>
      <c r="BM22" s="330"/>
      <c r="BN22" s="330"/>
      <c r="BO22" s="330"/>
      <c r="BP22" s="331"/>
      <c r="BQ22" s="332"/>
      <c r="BR22" s="333"/>
    </row>
    <row r="23" spans="2:70" ht="15.75" customHeight="1">
      <c r="B23" s="216" t="s">
        <v>997</v>
      </c>
      <c r="C23" s="212">
        <v>545167</v>
      </c>
      <c r="D23" s="223">
        <v>29127763000180</v>
      </c>
      <c r="E23" s="217" t="s">
        <v>25</v>
      </c>
      <c r="F23" s="217" t="s">
        <v>958</v>
      </c>
      <c r="G23" s="217" t="s">
        <v>962</v>
      </c>
      <c r="H23" s="218" t="s">
        <v>66</v>
      </c>
      <c r="I23" s="217" t="s">
        <v>1842</v>
      </c>
      <c r="J23" s="217" t="s">
        <v>66</v>
      </c>
      <c r="K23" s="218" t="s">
        <v>954</v>
      </c>
      <c r="L23" s="212" t="s">
        <v>87</v>
      </c>
      <c r="M23" s="250" t="s">
        <v>1078</v>
      </c>
      <c r="N23" s="239">
        <v>43159</v>
      </c>
      <c r="O23" s="210" t="s">
        <v>114</v>
      </c>
      <c r="P23" s="210" t="s">
        <v>1075</v>
      </c>
      <c r="Q23" s="210" t="s">
        <v>1076</v>
      </c>
      <c r="R23" s="210" t="s">
        <v>1077</v>
      </c>
      <c r="S23" s="210" t="s">
        <v>1078</v>
      </c>
      <c r="T23" s="210" t="s">
        <v>1082</v>
      </c>
      <c r="U23" s="210" t="s">
        <v>958</v>
      </c>
      <c r="V23" s="210" t="s">
        <v>25</v>
      </c>
      <c r="W23" s="211" t="s">
        <v>1012</v>
      </c>
      <c r="X23" s="211">
        <v>5000</v>
      </c>
      <c r="Y23" s="211">
        <v>5000</v>
      </c>
      <c r="Z23" s="212">
        <v>5000</v>
      </c>
      <c r="AA23" s="240">
        <v>61</v>
      </c>
      <c r="AB23" s="213">
        <v>0.02</v>
      </c>
      <c r="AC23" s="213">
        <v>0.2</v>
      </c>
      <c r="AD23" s="213" t="s">
        <v>113</v>
      </c>
      <c r="AE23" s="213">
        <v>3.3333333333333331E-3</v>
      </c>
      <c r="AF23" s="241" t="s">
        <v>66</v>
      </c>
      <c r="AG23" s="241" t="s">
        <v>66</v>
      </c>
      <c r="AH23" s="213" t="s">
        <v>66</v>
      </c>
      <c r="AI23" s="352" t="s">
        <v>66</v>
      </c>
      <c r="AJ23" s="213" t="s">
        <v>66</v>
      </c>
      <c r="AK23" s="352" t="s">
        <v>66</v>
      </c>
      <c r="AL23" s="213" t="s">
        <v>66</v>
      </c>
      <c r="AM23" s="352" t="s">
        <v>66</v>
      </c>
      <c r="AN23" s="213" t="s">
        <v>66</v>
      </c>
      <c r="AO23" s="352" t="s">
        <v>66</v>
      </c>
      <c r="AP23" s="213" t="s">
        <v>66</v>
      </c>
      <c r="AQ23" s="219" t="s">
        <v>66</v>
      </c>
      <c r="AR23" s="213" t="s">
        <v>1827</v>
      </c>
      <c r="AU23" s="343"/>
      <c r="AV23" s="343"/>
      <c r="AW23" s="328"/>
      <c r="AX23" s="329"/>
      <c r="AY23" s="328"/>
      <c r="AZ23" s="328"/>
      <c r="BA23" s="330"/>
      <c r="BB23" s="328"/>
      <c r="BC23" s="328"/>
      <c r="BD23" s="328"/>
      <c r="BE23" s="330"/>
      <c r="BF23" s="330"/>
      <c r="BG23" s="344"/>
      <c r="BH23" s="383"/>
      <c r="BI23" s="330"/>
      <c r="BJ23" s="330"/>
      <c r="BK23" s="330"/>
      <c r="BL23" s="330"/>
      <c r="BM23" s="330"/>
      <c r="BN23" s="330"/>
      <c r="BO23" s="330"/>
      <c r="BP23" s="331"/>
      <c r="BQ23" s="332"/>
      <c r="BR23" s="333"/>
    </row>
    <row r="24" spans="2:70" ht="15.75" customHeight="1">
      <c r="B24" s="216" t="s">
        <v>1639</v>
      </c>
      <c r="C24" s="212">
        <v>1168670</v>
      </c>
      <c r="D24" s="223">
        <v>4839017000198</v>
      </c>
      <c r="E24" s="217" t="s">
        <v>19</v>
      </c>
      <c r="F24" s="217" t="s">
        <v>963</v>
      </c>
      <c r="G24" s="217" t="s">
        <v>1021</v>
      </c>
      <c r="H24" s="218" t="s">
        <v>1113</v>
      </c>
      <c r="I24" s="217" t="s">
        <v>66</v>
      </c>
      <c r="J24" s="217" t="s">
        <v>1794</v>
      </c>
      <c r="K24" s="218" t="s">
        <v>951</v>
      </c>
      <c r="L24" s="212" t="s">
        <v>87</v>
      </c>
      <c r="M24" s="250" t="s">
        <v>1078</v>
      </c>
      <c r="N24" s="239">
        <v>37293</v>
      </c>
      <c r="O24" s="210" t="s">
        <v>660</v>
      </c>
      <c r="P24" s="210" t="s">
        <v>660</v>
      </c>
      <c r="Q24" s="210" t="s">
        <v>1089</v>
      </c>
      <c r="R24" s="210" t="s">
        <v>1084</v>
      </c>
      <c r="S24" s="210" t="s">
        <v>1078</v>
      </c>
      <c r="T24" s="210" t="s">
        <v>349</v>
      </c>
      <c r="U24" s="210" t="s">
        <v>1114</v>
      </c>
      <c r="V24" s="210" t="s">
        <v>19</v>
      </c>
      <c r="W24" s="211" t="s">
        <v>1020</v>
      </c>
      <c r="X24" s="211">
        <v>1000</v>
      </c>
      <c r="Y24" s="211">
        <v>1000</v>
      </c>
      <c r="Z24" s="212">
        <v>1000</v>
      </c>
      <c r="AA24" s="240">
        <v>0</v>
      </c>
      <c r="AB24" s="213">
        <v>1.5E-3</v>
      </c>
      <c r="AC24" s="213">
        <v>0</v>
      </c>
      <c r="AD24" s="213" t="s">
        <v>109</v>
      </c>
      <c r="AE24" s="213" t="s">
        <v>66</v>
      </c>
      <c r="AF24" s="241">
        <v>1702566753.03</v>
      </c>
      <c r="AG24" s="241">
        <v>1702566753.03</v>
      </c>
      <c r="AH24" s="213">
        <v>6.5500000000000003E-2</v>
      </c>
      <c r="AI24" s="352">
        <v>1.0094000000000001</v>
      </c>
      <c r="AJ24" s="213">
        <v>9.5899999999999999E-2</v>
      </c>
      <c r="AK24" s="352">
        <v>1.0187999999999999</v>
      </c>
      <c r="AL24" s="213">
        <v>0.1183</v>
      </c>
      <c r="AM24" s="352">
        <v>0.97919999999999996</v>
      </c>
      <c r="AN24" s="213">
        <v>0.16339999999999999</v>
      </c>
      <c r="AO24" s="352">
        <v>0.96970000000000001</v>
      </c>
      <c r="AP24" s="213">
        <v>1.6999999999999999E-3</v>
      </c>
      <c r="AQ24" s="219">
        <v>0.93168107111840359</v>
      </c>
      <c r="AR24" s="213" t="s">
        <v>1824</v>
      </c>
      <c r="AU24" s="343"/>
      <c r="AV24" s="343"/>
      <c r="AW24" s="328"/>
      <c r="AX24" s="329"/>
      <c r="AY24" s="328"/>
      <c r="AZ24" s="328"/>
      <c r="BA24" s="330"/>
      <c r="BB24" s="328"/>
      <c r="BC24" s="328"/>
      <c r="BD24" s="328"/>
      <c r="BE24" s="330"/>
      <c r="BF24" s="330"/>
      <c r="BG24" s="344"/>
      <c r="BH24" s="383"/>
      <c r="BI24" s="330"/>
      <c r="BJ24" s="330"/>
      <c r="BK24" s="330"/>
      <c r="BL24" s="330"/>
      <c r="BM24" s="330"/>
      <c r="BN24" s="330"/>
      <c r="BO24" s="330"/>
      <c r="BP24" s="331"/>
      <c r="BQ24" s="332"/>
      <c r="BR24" s="333"/>
    </row>
    <row r="25" spans="2:70" ht="15.75" customHeight="1">
      <c r="B25" s="216" t="s">
        <v>1904</v>
      </c>
      <c r="C25" s="212">
        <v>2864856</v>
      </c>
      <c r="D25" s="223">
        <v>7539298000151</v>
      </c>
      <c r="E25" s="217" t="s">
        <v>19</v>
      </c>
      <c r="F25" s="217" t="s">
        <v>964</v>
      </c>
      <c r="G25" s="217" t="s">
        <v>1021</v>
      </c>
      <c r="H25" s="218" t="s">
        <v>1113</v>
      </c>
      <c r="I25" s="217" t="s">
        <v>66</v>
      </c>
      <c r="J25" s="217"/>
      <c r="K25" s="218" t="s">
        <v>951</v>
      </c>
      <c r="L25" s="212" t="s">
        <v>87</v>
      </c>
      <c r="M25" s="250" t="s">
        <v>1078</v>
      </c>
      <c r="N25" s="239">
        <v>38700</v>
      </c>
      <c r="O25" s="210" t="s">
        <v>249</v>
      </c>
      <c r="P25" s="210" t="s">
        <v>1075</v>
      </c>
      <c r="Q25" s="210" t="s">
        <v>1076</v>
      </c>
      <c r="R25" s="210" t="s">
        <v>1084</v>
      </c>
      <c r="S25" s="210" t="s">
        <v>1078</v>
      </c>
      <c r="T25" s="210" t="s">
        <v>349</v>
      </c>
      <c r="U25" s="210" t="s">
        <v>964</v>
      </c>
      <c r="V25" s="210" t="s">
        <v>19</v>
      </c>
      <c r="W25" s="211" t="s">
        <v>1025</v>
      </c>
      <c r="X25" s="211">
        <v>3000</v>
      </c>
      <c r="Y25" s="211">
        <v>1000</v>
      </c>
      <c r="Z25" s="212">
        <v>1000</v>
      </c>
      <c r="AA25" s="240">
        <v>1</v>
      </c>
      <c r="AB25" s="213">
        <v>2E-3</v>
      </c>
      <c r="AC25" s="213">
        <v>0</v>
      </c>
      <c r="AD25" s="213" t="s">
        <v>1157</v>
      </c>
      <c r="AE25" s="213">
        <v>6.9999999999999999E-4</v>
      </c>
      <c r="AF25" s="241">
        <v>1052685865.46</v>
      </c>
      <c r="AG25" s="241">
        <v>1052685865.46</v>
      </c>
      <c r="AH25" s="213">
        <v>6.5199999999999994E-2</v>
      </c>
      <c r="AI25" s="352">
        <v>1.004</v>
      </c>
      <c r="AJ25" s="213">
        <v>9.5100000000000004E-2</v>
      </c>
      <c r="AK25" s="352">
        <v>1.0105</v>
      </c>
      <c r="AL25" s="213">
        <v>0.15240000000000001</v>
      </c>
      <c r="AM25" s="352">
        <v>1.2612000000000001</v>
      </c>
      <c r="AN25" s="213">
        <v>0.24840000000000001</v>
      </c>
      <c r="AO25" s="352">
        <v>1.474</v>
      </c>
      <c r="AP25" s="213">
        <v>2.64E-2</v>
      </c>
      <c r="AQ25" s="219">
        <v>4.7159705037398976E-2</v>
      </c>
      <c r="AR25" s="213" t="s">
        <v>1824</v>
      </c>
      <c r="AU25" s="343"/>
      <c r="AV25" s="343"/>
      <c r="AW25" s="328"/>
      <c r="AX25" s="329"/>
      <c r="AY25" s="328"/>
      <c r="AZ25" s="328"/>
      <c r="BA25" s="330"/>
      <c r="BB25" s="328"/>
      <c r="BC25" s="328"/>
      <c r="BD25" s="328"/>
      <c r="BE25" s="330"/>
      <c r="BF25" s="330"/>
      <c r="BG25" s="344"/>
      <c r="BH25" s="383"/>
      <c r="BI25" s="330"/>
      <c r="BJ25" s="330"/>
      <c r="BK25" s="330"/>
      <c r="BL25" s="330"/>
      <c r="BM25" s="330"/>
      <c r="BN25" s="330"/>
      <c r="BO25" s="330"/>
      <c r="BP25" s="331"/>
      <c r="BQ25" s="332"/>
      <c r="BR25" s="333"/>
    </row>
    <row r="26" spans="2:70" ht="15.75" customHeight="1">
      <c r="B26" s="216" t="s">
        <v>1665</v>
      </c>
      <c r="C26" s="212">
        <v>2150279</v>
      </c>
      <c r="D26" s="223">
        <v>29562673000117</v>
      </c>
      <c r="E26" s="217" t="s">
        <v>19</v>
      </c>
      <c r="F26" s="217" t="s">
        <v>963</v>
      </c>
      <c r="G26" s="217" t="s">
        <v>1011</v>
      </c>
      <c r="H26" s="218" t="s">
        <v>1113</v>
      </c>
      <c r="I26" s="217" t="s">
        <v>66</v>
      </c>
      <c r="J26" s="217" t="s">
        <v>1794</v>
      </c>
      <c r="K26" s="218" t="s">
        <v>951</v>
      </c>
      <c r="L26" s="212" t="s">
        <v>87</v>
      </c>
      <c r="M26" s="250" t="s">
        <v>1078</v>
      </c>
      <c r="N26" s="239">
        <v>43228</v>
      </c>
      <c r="O26" s="210" t="s">
        <v>249</v>
      </c>
      <c r="P26" s="210" t="s">
        <v>1075</v>
      </c>
      <c r="Q26" s="210" t="s">
        <v>1076</v>
      </c>
      <c r="R26" s="210" t="s">
        <v>1084</v>
      </c>
      <c r="S26" s="210" t="s">
        <v>1078</v>
      </c>
      <c r="T26" s="210" t="s">
        <v>349</v>
      </c>
      <c r="U26" s="210" t="s">
        <v>1114</v>
      </c>
      <c r="V26" s="210" t="s">
        <v>19</v>
      </c>
      <c r="W26" s="211" t="s">
        <v>1033</v>
      </c>
      <c r="X26" s="211">
        <v>500</v>
      </c>
      <c r="Y26" s="211">
        <v>100</v>
      </c>
      <c r="Z26" s="212">
        <v>500</v>
      </c>
      <c r="AA26" s="240">
        <v>0</v>
      </c>
      <c r="AB26" s="213">
        <v>0</v>
      </c>
      <c r="AC26" s="213">
        <v>0</v>
      </c>
      <c r="AD26" s="213" t="s">
        <v>109</v>
      </c>
      <c r="AE26" s="213" t="s">
        <v>66</v>
      </c>
      <c r="AF26" s="241">
        <v>3068815363.4000001</v>
      </c>
      <c r="AG26" s="241">
        <v>3068815363.4000001</v>
      </c>
      <c r="AH26" s="213">
        <v>6.59E-2</v>
      </c>
      <c r="AI26" s="352">
        <v>1.0146999999999999</v>
      </c>
      <c r="AJ26" s="213">
        <v>9.6299999999999997E-2</v>
      </c>
      <c r="AK26" s="352">
        <v>1.0232000000000001</v>
      </c>
      <c r="AL26" s="213">
        <v>0.1158</v>
      </c>
      <c r="AM26" s="352">
        <v>0.95850000000000002</v>
      </c>
      <c r="AN26" s="213">
        <v>0.16259999999999999</v>
      </c>
      <c r="AO26" s="352">
        <v>0.96509999999999996</v>
      </c>
      <c r="AP26" s="213">
        <v>1.6000000000000001E-3</v>
      </c>
      <c r="AQ26" s="219">
        <v>1.231247328270576</v>
      </c>
      <c r="AR26" s="213" t="s">
        <v>1827</v>
      </c>
      <c r="AU26" s="343"/>
      <c r="AV26" s="343"/>
      <c r="AW26" s="328"/>
      <c r="AX26" s="329"/>
      <c r="AY26" s="328"/>
      <c r="AZ26" s="328"/>
      <c r="BA26" s="330"/>
      <c r="BB26" s="328"/>
      <c r="BC26" s="328"/>
      <c r="BD26" s="328"/>
      <c r="BE26" s="330"/>
      <c r="BF26" s="330"/>
      <c r="BG26" s="344"/>
      <c r="BH26" s="383"/>
      <c r="BI26" s="330"/>
      <c r="BJ26" s="330"/>
      <c r="BK26" s="330"/>
      <c r="BL26" s="330"/>
      <c r="BM26" s="330"/>
      <c r="BN26" s="330"/>
      <c r="BO26" s="330"/>
      <c r="BP26" s="331"/>
      <c r="BQ26" s="332"/>
      <c r="BR26" s="333"/>
    </row>
    <row r="27" spans="2:70" ht="15.75" customHeight="1">
      <c r="B27" s="216" t="s">
        <v>1666</v>
      </c>
      <c r="C27" s="212">
        <v>1521041</v>
      </c>
      <c r="D27" s="223">
        <v>29177024000100</v>
      </c>
      <c r="E27" s="217" t="s">
        <v>28</v>
      </c>
      <c r="F27" s="217" t="s">
        <v>950</v>
      </c>
      <c r="G27" s="217" t="s">
        <v>1820</v>
      </c>
      <c r="H27" s="218"/>
      <c r="I27" s="217" t="s">
        <v>66</v>
      </c>
      <c r="J27" s="217" t="s">
        <v>66</v>
      </c>
      <c r="K27" s="218" t="s">
        <v>951</v>
      </c>
      <c r="L27" s="212" t="s">
        <v>87</v>
      </c>
      <c r="M27" s="250" t="s">
        <v>1078</v>
      </c>
      <c r="N27" s="239">
        <v>43216</v>
      </c>
      <c r="O27" s="210" t="s">
        <v>366</v>
      </c>
      <c r="P27" s="210" t="s">
        <v>1075</v>
      </c>
      <c r="Q27" s="210" t="s">
        <v>1076</v>
      </c>
      <c r="R27" s="210" t="s">
        <v>1084</v>
      </c>
      <c r="S27" s="210" t="s">
        <v>1078</v>
      </c>
      <c r="T27" s="210" t="s">
        <v>1079</v>
      </c>
      <c r="U27" s="210" t="s">
        <v>950</v>
      </c>
      <c r="V27" s="210" t="s">
        <v>1080</v>
      </c>
      <c r="W27" s="211" t="s">
        <v>1015</v>
      </c>
      <c r="X27" s="211">
        <v>50</v>
      </c>
      <c r="Y27" s="211">
        <v>50</v>
      </c>
      <c r="Z27" s="212">
        <v>30</v>
      </c>
      <c r="AA27" s="240">
        <v>32</v>
      </c>
      <c r="AB27" s="213">
        <v>0.02</v>
      </c>
      <c r="AC27" s="213">
        <v>0.2</v>
      </c>
      <c r="AD27" s="213" t="s">
        <v>113</v>
      </c>
      <c r="AE27" s="213">
        <v>5.3333333333333332E-3</v>
      </c>
      <c r="AF27" s="241">
        <v>331957362.70999998</v>
      </c>
      <c r="AG27" s="241">
        <v>331957362.70999998</v>
      </c>
      <c r="AH27" s="213">
        <v>2.3300000000000001E-2</v>
      </c>
      <c r="AI27" s="352">
        <v>0.35949999999999999</v>
      </c>
      <c r="AJ27" s="213">
        <v>-2.35E-2</v>
      </c>
      <c r="AK27" s="352">
        <v>-0.24979999999999999</v>
      </c>
      <c r="AL27" s="213">
        <v>1.0367999999999999</v>
      </c>
      <c r="AM27" s="352">
        <v>8.5818999999999992</v>
      </c>
      <c r="AN27" s="213">
        <v>1.4147000000000001</v>
      </c>
      <c r="AO27" s="352">
        <v>8.3953000000000007</v>
      </c>
      <c r="AP27" s="213">
        <v>0.23880000000000001</v>
      </c>
      <c r="AQ27" s="219">
        <v>-0.35715769656508428</v>
      </c>
      <c r="AR27" s="213" t="s">
        <v>1824</v>
      </c>
      <c r="AU27" s="343"/>
      <c r="AV27" s="343"/>
      <c r="AW27" s="328"/>
      <c r="AX27" s="329"/>
      <c r="AY27" s="328"/>
      <c r="AZ27" s="328"/>
      <c r="BA27" s="330"/>
      <c r="BB27" s="328"/>
      <c r="BC27" s="328"/>
      <c r="BD27" s="328"/>
      <c r="BE27" s="330"/>
      <c r="BF27" s="330"/>
      <c r="BG27" s="344"/>
      <c r="BH27" s="383"/>
      <c r="BI27" s="330"/>
      <c r="BJ27" s="330"/>
      <c r="BK27" s="330"/>
      <c r="BL27" s="330"/>
      <c r="BM27" s="330"/>
      <c r="BN27" s="330"/>
      <c r="BO27" s="330"/>
      <c r="BP27" s="331"/>
      <c r="BQ27" s="332"/>
      <c r="BR27" s="333"/>
    </row>
    <row r="28" spans="2:70" ht="15.75" customHeight="1">
      <c r="B28" s="216" t="s">
        <v>1667</v>
      </c>
      <c r="C28" s="212">
        <v>3136950</v>
      </c>
      <c r="D28" s="223">
        <v>35471498000155</v>
      </c>
      <c r="E28" s="217" t="s">
        <v>28</v>
      </c>
      <c r="F28" s="217" t="s">
        <v>950</v>
      </c>
      <c r="G28" s="217" t="s">
        <v>1820</v>
      </c>
      <c r="H28" s="218"/>
      <c r="I28" s="217" t="s">
        <v>66</v>
      </c>
      <c r="J28" s="217" t="s">
        <v>66</v>
      </c>
      <c r="K28" s="218" t="s">
        <v>951</v>
      </c>
      <c r="L28" s="212" t="s">
        <v>87</v>
      </c>
      <c r="M28" s="250" t="s">
        <v>1078</v>
      </c>
      <c r="N28" s="239">
        <v>43896</v>
      </c>
      <c r="O28" s="210" t="s">
        <v>366</v>
      </c>
      <c r="P28" s="210" t="s">
        <v>1075</v>
      </c>
      <c r="Q28" s="210" t="s">
        <v>1076</v>
      </c>
      <c r="R28" s="210" t="s">
        <v>1084</v>
      </c>
      <c r="S28" s="210" t="s">
        <v>1078</v>
      </c>
      <c r="T28" s="210" t="s">
        <v>1079</v>
      </c>
      <c r="U28" s="210" t="s">
        <v>950</v>
      </c>
      <c r="V28" s="210" t="s">
        <v>1080</v>
      </c>
      <c r="W28" s="211" t="s">
        <v>1030</v>
      </c>
      <c r="X28" s="211">
        <v>50</v>
      </c>
      <c r="Y28" s="211">
        <v>50</v>
      </c>
      <c r="Z28" s="212">
        <v>30</v>
      </c>
      <c r="AA28" s="240">
        <v>62</v>
      </c>
      <c r="AB28" s="213">
        <v>0.02</v>
      </c>
      <c r="AC28" s="213">
        <v>0.2</v>
      </c>
      <c r="AD28" s="213" t="s">
        <v>1170</v>
      </c>
      <c r="AE28" s="213">
        <v>5.3333333333333332E-3</v>
      </c>
      <c r="AF28" s="241">
        <v>535436299.11000001</v>
      </c>
      <c r="AG28" s="241">
        <v>535436299.11000001</v>
      </c>
      <c r="AH28" s="213">
        <v>-3.4799999999999998E-2</v>
      </c>
      <c r="AI28" s="352">
        <v>-0.53610000000000002</v>
      </c>
      <c r="AJ28" s="213">
        <v>-0.14199999999999999</v>
      </c>
      <c r="AK28" s="352">
        <v>-1.5098</v>
      </c>
      <c r="AL28" s="213">
        <v>0.67720000000000002</v>
      </c>
      <c r="AM28" s="352">
        <v>5.6055999999999999</v>
      </c>
      <c r="AN28" s="213" t="s">
        <v>66</v>
      </c>
      <c r="AO28" s="352" t="s">
        <v>66</v>
      </c>
      <c r="AP28" s="213">
        <v>0.2571</v>
      </c>
      <c r="AQ28" s="219">
        <v>-0.81714254274203646</v>
      </c>
      <c r="AR28" s="213" t="s">
        <v>1824</v>
      </c>
      <c r="AU28" s="343"/>
      <c r="AV28" s="343"/>
      <c r="AW28" s="328"/>
      <c r="AX28" s="329"/>
      <c r="AY28" s="328"/>
      <c r="AZ28" s="328"/>
      <c r="BA28" s="330"/>
      <c r="BB28" s="328"/>
      <c r="BC28" s="328"/>
      <c r="BD28" s="328"/>
      <c r="BE28" s="330"/>
      <c r="BF28" s="330"/>
      <c r="BG28" s="344"/>
      <c r="BH28" s="383"/>
      <c r="BI28" s="330"/>
      <c r="BJ28" s="330"/>
      <c r="BK28" s="330"/>
      <c r="BL28" s="330"/>
      <c r="BM28" s="330"/>
      <c r="BN28" s="330"/>
      <c r="BO28" s="330"/>
      <c r="BP28" s="331"/>
      <c r="BQ28" s="332"/>
      <c r="BR28" s="333"/>
    </row>
    <row r="29" spans="2:70" ht="15.75" customHeight="1">
      <c r="B29" s="216" t="s">
        <v>57</v>
      </c>
      <c r="C29" s="212">
        <v>573046</v>
      </c>
      <c r="D29" s="223">
        <v>26269603000187</v>
      </c>
      <c r="E29" s="217" t="s">
        <v>28</v>
      </c>
      <c r="F29" s="217" t="s">
        <v>950</v>
      </c>
      <c r="G29" s="217" t="s">
        <v>1820</v>
      </c>
      <c r="H29" s="218"/>
      <c r="I29" s="217" t="s">
        <v>66</v>
      </c>
      <c r="J29" s="217" t="s">
        <v>66</v>
      </c>
      <c r="K29" s="218" t="s">
        <v>951</v>
      </c>
      <c r="L29" s="212" t="s">
        <v>87</v>
      </c>
      <c r="M29" s="250" t="s">
        <v>1078</v>
      </c>
      <c r="N29" s="239">
        <v>42888</v>
      </c>
      <c r="O29" s="210" t="s">
        <v>691</v>
      </c>
      <c r="P29" s="210" t="s">
        <v>1083</v>
      </c>
      <c r="Q29" s="210" t="s">
        <v>102</v>
      </c>
      <c r="R29" s="210" t="s">
        <v>1077</v>
      </c>
      <c r="S29" s="210" t="s">
        <v>1078</v>
      </c>
      <c r="T29" s="210" t="s">
        <v>1079</v>
      </c>
      <c r="U29" s="210" t="s">
        <v>950</v>
      </c>
      <c r="V29" s="210" t="s">
        <v>1080</v>
      </c>
      <c r="W29" s="211" t="s">
        <v>1007</v>
      </c>
      <c r="X29" s="211">
        <v>5000</v>
      </c>
      <c r="Y29" s="211">
        <v>1000</v>
      </c>
      <c r="Z29" s="212">
        <v>5000</v>
      </c>
      <c r="AA29" s="240">
        <v>32</v>
      </c>
      <c r="AB29" s="213">
        <v>1.9E-2</v>
      </c>
      <c r="AC29" s="213">
        <v>0.2</v>
      </c>
      <c r="AD29" s="213" t="s">
        <v>203</v>
      </c>
      <c r="AE29" s="213">
        <v>3.1666666666666666E-3</v>
      </c>
      <c r="AF29" s="241">
        <v>547832151.64999998</v>
      </c>
      <c r="AG29" s="241">
        <v>547832151.64999998</v>
      </c>
      <c r="AH29" s="213">
        <v>-4.3700000000000003E-2</v>
      </c>
      <c r="AI29" s="352">
        <v>-0.67300000000000004</v>
      </c>
      <c r="AJ29" s="213">
        <v>-0.251</v>
      </c>
      <c r="AK29" s="352">
        <v>-2.6680999999999999</v>
      </c>
      <c r="AL29" s="213">
        <v>-9.5899999999999999E-2</v>
      </c>
      <c r="AM29" s="352">
        <v>-0.79359999999999997</v>
      </c>
      <c r="AN29" s="213">
        <v>0.16309999999999999</v>
      </c>
      <c r="AO29" s="352">
        <v>0.96809999999999996</v>
      </c>
      <c r="AP29" s="213">
        <v>0.2472</v>
      </c>
      <c r="AQ29" s="219">
        <v>-1.4090348926642502</v>
      </c>
      <c r="AR29" s="213" t="s">
        <v>1827</v>
      </c>
      <c r="AU29" s="343"/>
      <c r="AV29" s="343"/>
      <c r="AW29" s="328"/>
      <c r="AX29" s="329"/>
      <c r="AY29" s="328"/>
      <c r="AZ29" s="328"/>
      <c r="BA29" s="330"/>
      <c r="BB29" s="328"/>
      <c r="BC29" s="328"/>
      <c r="BD29" s="328"/>
      <c r="BE29" s="330"/>
      <c r="BF29" s="330"/>
      <c r="BG29" s="344"/>
      <c r="BH29" s="383"/>
      <c r="BI29" s="330"/>
      <c r="BJ29" s="330"/>
      <c r="BK29" s="330"/>
      <c r="BL29" s="330"/>
      <c r="BM29" s="330"/>
      <c r="BN29" s="330"/>
      <c r="BO29" s="330"/>
      <c r="BP29" s="331"/>
      <c r="BQ29" s="332"/>
      <c r="BR29" s="333"/>
    </row>
    <row r="30" spans="2:70" ht="15.75" customHeight="1">
      <c r="B30" s="216" t="s">
        <v>70</v>
      </c>
      <c r="C30" s="212">
        <v>538732</v>
      </c>
      <c r="D30" s="223">
        <v>13396703000122</v>
      </c>
      <c r="E30" s="217" t="s">
        <v>19</v>
      </c>
      <c r="F30" s="217" t="s">
        <v>964</v>
      </c>
      <c r="G30" s="217" t="s">
        <v>1021</v>
      </c>
      <c r="H30" s="218" t="s">
        <v>1113</v>
      </c>
      <c r="I30" s="217" t="s">
        <v>1841</v>
      </c>
      <c r="J30" s="217" t="s">
        <v>66</v>
      </c>
      <c r="K30" s="218" t="s">
        <v>951</v>
      </c>
      <c r="L30" s="212" t="s">
        <v>87</v>
      </c>
      <c r="M30" s="250" t="s">
        <v>1078</v>
      </c>
      <c r="N30" s="239">
        <v>41142</v>
      </c>
      <c r="O30" s="210" t="s">
        <v>720</v>
      </c>
      <c r="P30" s="210" t="s">
        <v>1088</v>
      </c>
      <c r="Q30" s="210" t="s">
        <v>1089</v>
      </c>
      <c r="R30" s="210" t="s">
        <v>1084</v>
      </c>
      <c r="S30" s="210" t="s">
        <v>1078</v>
      </c>
      <c r="T30" s="210" t="s">
        <v>1082</v>
      </c>
      <c r="U30" s="210" t="s">
        <v>958</v>
      </c>
      <c r="V30" s="210" t="s">
        <v>25</v>
      </c>
      <c r="W30" s="211" t="s">
        <v>1037</v>
      </c>
      <c r="X30" s="211">
        <v>500</v>
      </c>
      <c r="Y30" s="211">
        <v>0</v>
      </c>
      <c r="Z30" s="212">
        <v>500</v>
      </c>
      <c r="AA30" s="240">
        <v>2</v>
      </c>
      <c r="AB30" s="213">
        <v>9.5999999999999992E-3</v>
      </c>
      <c r="AC30" s="213">
        <v>0.2</v>
      </c>
      <c r="AD30" s="213" t="s">
        <v>980</v>
      </c>
      <c r="AE30" s="213">
        <v>2.8799999999999997E-3</v>
      </c>
      <c r="AF30" s="241">
        <v>2171496852.98</v>
      </c>
      <c r="AG30" s="241">
        <v>2171496852.98</v>
      </c>
      <c r="AH30" s="213">
        <v>7.2800000000000004E-2</v>
      </c>
      <c r="AI30" s="352">
        <v>1.1218999999999999</v>
      </c>
      <c r="AJ30" s="213">
        <v>9.1200000000000003E-2</v>
      </c>
      <c r="AK30" s="352">
        <v>0.96960000000000002</v>
      </c>
      <c r="AL30" s="213">
        <v>0.1447</v>
      </c>
      <c r="AM30" s="352">
        <v>1.1976</v>
      </c>
      <c r="AN30" s="213">
        <v>0.2339</v>
      </c>
      <c r="AO30" s="352">
        <v>1.3880999999999999</v>
      </c>
      <c r="AP30" s="213">
        <v>2.01E-2</v>
      </c>
      <c r="AQ30" s="219">
        <v>-0.12065991334427256</v>
      </c>
      <c r="AR30" s="213" t="s">
        <v>1824</v>
      </c>
      <c r="AU30" s="343"/>
      <c r="AV30" s="343"/>
      <c r="AW30" s="328"/>
      <c r="AX30" s="329"/>
      <c r="AY30" s="328"/>
      <c r="AZ30" s="328"/>
      <c r="BA30" s="330"/>
      <c r="BB30" s="328"/>
      <c r="BC30" s="328"/>
      <c r="BD30" s="328"/>
      <c r="BE30" s="330"/>
      <c r="BF30" s="330"/>
      <c r="BG30" s="344"/>
      <c r="BH30" s="383"/>
      <c r="BI30" s="330"/>
      <c r="BJ30" s="330"/>
      <c r="BK30" s="330"/>
      <c r="BL30" s="330"/>
      <c r="BM30" s="330"/>
      <c r="BN30" s="330"/>
      <c r="BO30" s="330"/>
      <c r="BP30" s="331"/>
      <c r="BQ30" s="332"/>
      <c r="BR30" s="333"/>
    </row>
    <row r="31" spans="2:70" ht="15.75" customHeight="1">
      <c r="B31" s="216" t="s">
        <v>54</v>
      </c>
      <c r="C31" s="212">
        <v>512161</v>
      </c>
      <c r="D31" s="223">
        <v>28581159000166</v>
      </c>
      <c r="E31" s="217" t="s">
        <v>28</v>
      </c>
      <c r="F31" s="217" t="s">
        <v>957</v>
      </c>
      <c r="G31" s="217" t="s">
        <v>1038</v>
      </c>
      <c r="H31" s="218"/>
      <c r="I31" s="217" t="s">
        <v>1259</v>
      </c>
      <c r="J31" s="217" t="s">
        <v>66</v>
      </c>
      <c r="K31" s="218" t="s">
        <v>951</v>
      </c>
      <c r="L31" s="212" t="s">
        <v>87</v>
      </c>
      <c r="M31" s="250" t="s">
        <v>1078</v>
      </c>
      <c r="N31" s="239">
        <v>43188</v>
      </c>
      <c r="O31" s="210" t="s">
        <v>723</v>
      </c>
      <c r="P31" s="210" t="s">
        <v>1083</v>
      </c>
      <c r="Q31" s="210" t="s">
        <v>102</v>
      </c>
      <c r="R31" s="210" t="s">
        <v>1077</v>
      </c>
      <c r="S31" s="210" t="s">
        <v>1078</v>
      </c>
      <c r="T31" s="210" t="s">
        <v>1079</v>
      </c>
      <c r="U31" s="210" t="s">
        <v>957</v>
      </c>
      <c r="V31" s="210" t="s">
        <v>25</v>
      </c>
      <c r="W31" s="211" t="s">
        <v>1016</v>
      </c>
      <c r="X31" s="211">
        <v>1000</v>
      </c>
      <c r="Y31" s="211">
        <v>1000</v>
      </c>
      <c r="Z31" s="212">
        <v>1000</v>
      </c>
      <c r="AA31" s="240">
        <v>32</v>
      </c>
      <c r="AB31" s="213">
        <v>1.9E-2</v>
      </c>
      <c r="AC31" s="213">
        <v>0.2</v>
      </c>
      <c r="AD31" s="213" t="s">
        <v>1157</v>
      </c>
      <c r="AE31" s="213">
        <v>4.7499999999999999E-3</v>
      </c>
      <c r="AF31" s="241">
        <v>63593568.259999998</v>
      </c>
      <c r="AG31" s="241">
        <v>63593568.259999998</v>
      </c>
      <c r="AH31" s="213">
        <v>7.8899999999999998E-2</v>
      </c>
      <c r="AI31" s="352">
        <v>1.2150000000000001</v>
      </c>
      <c r="AJ31" s="213">
        <v>-6.1199999999999997E-2</v>
      </c>
      <c r="AK31" s="352">
        <v>-0.65039999999999998</v>
      </c>
      <c r="AL31" s="213">
        <v>0.14069999999999999</v>
      </c>
      <c r="AM31" s="352">
        <v>1.1648000000000001</v>
      </c>
      <c r="AN31" s="213">
        <v>0.308</v>
      </c>
      <c r="AO31" s="352">
        <v>1.8277000000000001</v>
      </c>
      <c r="AP31" s="213">
        <v>0.12939999999999999</v>
      </c>
      <c r="AQ31" s="219">
        <v>-1.1183444581466386</v>
      </c>
      <c r="AR31" s="213" t="s">
        <v>1827</v>
      </c>
      <c r="AU31" s="343"/>
      <c r="AV31" s="343"/>
      <c r="AW31" s="328"/>
      <c r="AX31" s="329"/>
      <c r="AY31" s="328"/>
      <c r="AZ31" s="328"/>
      <c r="BA31" s="330"/>
      <c r="BB31" s="328"/>
      <c r="BC31" s="328"/>
      <c r="BD31" s="328"/>
      <c r="BE31" s="330"/>
      <c r="BF31" s="330"/>
      <c r="BG31" s="344"/>
      <c r="BH31" s="383"/>
      <c r="BI31" s="330"/>
      <c r="BJ31" s="330"/>
      <c r="BK31" s="330"/>
      <c r="BL31" s="330"/>
      <c r="BM31" s="330"/>
      <c r="BN31" s="330"/>
      <c r="BO31" s="330"/>
      <c r="BP31" s="331"/>
      <c r="BQ31" s="332"/>
      <c r="BR31" s="333"/>
    </row>
    <row r="32" spans="2:70" ht="15.75" customHeight="1">
      <c r="B32" s="216" t="s">
        <v>998</v>
      </c>
      <c r="C32" s="212">
        <v>952646</v>
      </c>
      <c r="D32" s="223">
        <v>29148660000104</v>
      </c>
      <c r="E32" s="217" t="s">
        <v>25</v>
      </c>
      <c r="F32" s="217" t="s">
        <v>958</v>
      </c>
      <c r="G32" s="217" t="s">
        <v>962</v>
      </c>
      <c r="H32" s="218" t="s">
        <v>66</v>
      </c>
      <c r="I32" s="217" t="s">
        <v>1841</v>
      </c>
      <c r="J32" s="217" t="s">
        <v>66</v>
      </c>
      <c r="K32" s="218" t="s">
        <v>954</v>
      </c>
      <c r="L32" s="212" t="s">
        <v>87</v>
      </c>
      <c r="M32" s="250" t="s">
        <v>1078</v>
      </c>
      <c r="N32" s="239">
        <v>43188</v>
      </c>
      <c r="O32" s="210" t="s">
        <v>114</v>
      </c>
      <c r="P32" s="210" t="s">
        <v>1075</v>
      </c>
      <c r="Q32" s="210" t="s">
        <v>1076</v>
      </c>
      <c r="R32" s="210" t="s">
        <v>1077</v>
      </c>
      <c r="S32" s="210" t="s">
        <v>1078</v>
      </c>
      <c r="T32" s="210" t="s">
        <v>1082</v>
      </c>
      <c r="U32" s="210" t="s">
        <v>958</v>
      </c>
      <c r="V32" s="210" t="s">
        <v>25</v>
      </c>
      <c r="W32" s="211" t="s">
        <v>1012</v>
      </c>
      <c r="X32" s="211">
        <v>10000</v>
      </c>
      <c r="Y32" s="211">
        <v>10000</v>
      </c>
      <c r="Z32" s="212">
        <v>10000</v>
      </c>
      <c r="AA32" s="240">
        <v>31</v>
      </c>
      <c r="AB32" s="213">
        <v>1.9E-2</v>
      </c>
      <c r="AC32" s="213">
        <v>0.2</v>
      </c>
      <c r="AD32" s="213" t="s">
        <v>113</v>
      </c>
      <c r="AE32" s="213">
        <v>4.7499999999999999E-3</v>
      </c>
      <c r="AF32" s="241">
        <v>167687446.18000001</v>
      </c>
      <c r="AG32" s="241">
        <v>167687446.18000001</v>
      </c>
      <c r="AH32" s="213">
        <v>0.13750000000000001</v>
      </c>
      <c r="AI32" s="352">
        <v>2.1181000000000001</v>
      </c>
      <c r="AJ32" s="213">
        <v>0.19550000000000001</v>
      </c>
      <c r="AK32" s="352">
        <v>2.0775999999999999</v>
      </c>
      <c r="AL32" s="213">
        <v>0.22489999999999999</v>
      </c>
      <c r="AM32" s="352">
        <v>1.8613</v>
      </c>
      <c r="AN32" s="213">
        <v>0.39939999999999998</v>
      </c>
      <c r="AO32" s="352">
        <v>2.3698999999999999</v>
      </c>
      <c r="AP32" s="213">
        <v>3.6999999999999998E-2</v>
      </c>
      <c r="AQ32" s="219">
        <v>2.4169236301055204</v>
      </c>
      <c r="AR32" s="213" t="s">
        <v>1827</v>
      </c>
      <c r="AU32" s="343"/>
      <c r="AV32" s="343"/>
      <c r="AW32" s="328"/>
      <c r="AX32" s="329"/>
      <c r="AY32" s="328"/>
      <c r="AZ32" s="328"/>
      <c r="BA32" s="330"/>
      <c r="BB32" s="328"/>
      <c r="BC32" s="328"/>
      <c r="BD32" s="328"/>
      <c r="BE32" s="330"/>
      <c r="BF32" s="330"/>
      <c r="BG32" s="344"/>
      <c r="BH32" s="383"/>
      <c r="BI32" s="330"/>
      <c r="BJ32" s="330"/>
      <c r="BK32" s="330"/>
      <c r="BL32" s="330"/>
      <c r="BM32" s="330"/>
      <c r="BN32" s="330"/>
      <c r="BO32" s="330"/>
      <c r="BP32" s="331"/>
      <c r="BQ32" s="332"/>
      <c r="BR32" s="333"/>
    </row>
    <row r="33" spans="2:70" ht="15.75" customHeight="1">
      <c r="B33" s="216" t="s">
        <v>725</v>
      </c>
      <c r="C33" s="212">
        <v>527140</v>
      </c>
      <c r="D33" s="223">
        <v>30593439000136</v>
      </c>
      <c r="E33" s="217" t="s">
        <v>25</v>
      </c>
      <c r="F33" s="217" t="s">
        <v>958</v>
      </c>
      <c r="G33" s="217" t="s">
        <v>962</v>
      </c>
      <c r="H33" s="218" t="s">
        <v>66</v>
      </c>
      <c r="I33" s="217" t="s">
        <v>1842</v>
      </c>
      <c r="J33" s="217" t="s">
        <v>66</v>
      </c>
      <c r="K33" s="218" t="s">
        <v>954</v>
      </c>
      <c r="L33" s="212" t="s">
        <v>87</v>
      </c>
      <c r="M33" s="250" t="s">
        <v>1078</v>
      </c>
      <c r="N33" s="239">
        <v>43462</v>
      </c>
      <c r="O33" s="210" t="s">
        <v>723</v>
      </c>
      <c r="P33" s="210" t="s">
        <v>1083</v>
      </c>
      <c r="Q33" s="210" t="s">
        <v>102</v>
      </c>
      <c r="R33" s="210" t="s">
        <v>1077</v>
      </c>
      <c r="S33" s="210" t="s">
        <v>1078</v>
      </c>
      <c r="T33" s="210" t="s">
        <v>1082</v>
      </c>
      <c r="U33" s="210" t="s">
        <v>958</v>
      </c>
      <c r="V33" s="210" t="s">
        <v>25</v>
      </c>
      <c r="W33" s="211" t="s">
        <v>1028</v>
      </c>
      <c r="X33" s="211">
        <v>1000</v>
      </c>
      <c r="Y33" s="211">
        <v>1000</v>
      </c>
      <c r="Z33" s="212">
        <v>1000</v>
      </c>
      <c r="AA33" s="240">
        <v>61</v>
      </c>
      <c r="AB33" s="213">
        <v>1.9E-2</v>
      </c>
      <c r="AC33" s="213">
        <v>0.2</v>
      </c>
      <c r="AD33" s="213" t="s">
        <v>109</v>
      </c>
      <c r="AE33" s="213">
        <v>1.2666666666666666E-3</v>
      </c>
      <c r="AF33" s="241">
        <v>782573318.95000005</v>
      </c>
      <c r="AG33" s="241">
        <v>782573318.95000005</v>
      </c>
      <c r="AH33" s="213">
        <v>0.22600000000000001</v>
      </c>
      <c r="AI33" s="352">
        <v>3.4817</v>
      </c>
      <c r="AJ33" s="213">
        <v>0.32729999999999998</v>
      </c>
      <c r="AK33" s="352">
        <v>3.4790000000000001</v>
      </c>
      <c r="AL33" s="213">
        <v>0.3851</v>
      </c>
      <c r="AM33" s="352">
        <v>3.1877</v>
      </c>
      <c r="AN33" s="213">
        <v>0.80400000000000005</v>
      </c>
      <c r="AO33" s="352">
        <v>4.7712000000000003</v>
      </c>
      <c r="AP33" s="213">
        <v>7.3999999999999996E-2</v>
      </c>
      <c r="AQ33" s="219">
        <v>2.6497147948217981</v>
      </c>
      <c r="AR33" s="213" t="s">
        <v>1827</v>
      </c>
      <c r="AU33" s="343"/>
      <c r="AV33" s="343"/>
      <c r="AW33" s="328"/>
      <c r="AX33" s="329"/>
      <c r="AY33" s="328"/>
      <c r="AZ33" s="328"/>
      <c r="BA33" s="330"/>
      <c r="BB33" s="328"/>
      <c r="BC33" s="328"/>
      <c r="BD33" s="328"/>
      <c r="BE33" s="330"/>
      <c r="BF33" s="330"/>
      <c r="BG33" s="344"/>
      <c r="BH33" s="383"/>
      <c r="BI33" s="330"/>
      <c r="BJ33" s="330"/>
      <c r="BK33" s="330"/>
      <c r="BL33" s="330"/>
      <c r="BM33" s="330"/>
      <c r="BN33" s="330"/>
      <c r="BO33" s="330"/>
      <c r="BP33" s="331"/>
      <c r="BQ33" s="332"/>
      <c r="BR33" s="333"/>
    </row>
    <row r="34" spans="2:70" ht="15.75" customHeight="1">
      <c r="B34" s="216" t="s">
        <v>732</v>
      </c>
      <c r="C34" s="212">
        <v>2552972</v>
      </c>
      <c r="D34" s="223">
        <v>17453850000148</v>
      </c>
      <c r="E34" s="217" t="s">
        <v>28</v>
      </c>
      <c r="F34" s="217" t="s">
        <v>950</v>
      </c>
      <c r="G34" s="217" t="s">
        <v>1021</v>
      </c>
      <c r="H34" s="218"/>
      <c r="I34" s="217" t="s">
        <v>66</v>
      </c>
      <c r="J34" s="217" t="s">
        <v>66</v>
      </c>
      <c r="K34" s="218" t="s">
        <v>1040</v>
      </c>
      <c r="L34" s="212" t="s">
        <v>88</v>
      </c>
      <c r="M34" s="250" t="s">
        <v>1078</v>
      </c>
      <c r="N34" s="239">
        <v>41394</v>
      </c>
      <c r="O34" s="210" t="s">
        <v>461</v>
      </c>
      <c r="P34" s="210" t="s">
        <v>1102</v>
      </c>
      <c r="Q34" s="210" t="s">
        <v>1102</v>
      </c>
      <c r="R34" s="210" t="s">
        <v>1084</v>
      </c>
      <c r="S34" s="210" t="s">
        <v>1078</v>
      </c>
      <c r="T34" s="210" t="s">
        <v>1079</v>
      </c>
      <c r="U34" s="210" t="s">
        <v>65</v>
      </c>
      <c r="V34" s="210" t="s">
        <v>25</v>
      </c>
      <c r="W34" s="211" t="s">
        <v>1019</v>
      </c>
      <c r="X34" s="211">
        <v>1000</v>
      </c>
      <c r="Y34" s="211">
        <v>100</v>
      </c>
      <c r="Z34" s="212">
        <v>500</v>
      </c>
      <c r="AA34" s="240">
        <v>1</v>
      </c>
      <c r="AB34" s="213">
        <v>0.01</v>
      </c>
      <c r="AC34" s="213">
        <v>0</v>
      </c>
      <c r="AD34" s="213" t="s">
        <v>1157</v>
      </c>
      <c r="AE34" s="213">
        <v>2.6666666666666666E-3</v>
      </c>
      <c r="AF34" s="241">
        <v>1386235989.8299999</v>
      </c>
      <c r="AG34" s="241">
        <v>1386235989.8299999</v>
      </c>
      <c r="AH34" s="213">
        <v>-9.2700000000000005E-2</v>
      </c>
      <c r="AI34" s="352">
        <v>-1.4283999999999999</v>
      </c>
      <c r="AJ34" s="213">
        <v>1.06E-2</v>
      </c>
      <c r="AK34" s="352">
        <v>0.11219999999999999</v>
      </c>
      <c r="AL34" s="213">
        <v>0.38729999999999998</v>
      </c>
      <c r="AM34" s="352">
        <v>3.2061000000000002</v>
      </c>
      <c r="AN34" s="213">
        <v>0.45550000000000002</v>
      </c>
      <c r="AO34" s="352">
        <v>2.7029999999999998</v>
      </c>
      <c r="AP34" s="213">
        <v>0.2041</v>
      </c>
      <c r="AQ34" s="219">
        <v>-0.28724889934680103</v>
      </c>
      <c r="AR34" s="213" t="s">
        <v>1824</v>
      </c>
      <c r="AU34" s="343"/>
      <c r="AV34" s="343"/>
      <c r="AW34" s="328"/>
      <c r="AX34" s="329"/>
      <c r="AY34" s="328"/>
      <c r="AZ34" s="328"/>
      <c r="BA34" s="330"/>
      <c r="BB34" s="328"/>
      <c r="BC34" s="328"/>
      <c r="BD34" s="328"/>
      <c r="BE34" s="330"/>
      <c r="BF34" s="330"/>
      <c r="BG34" s="344"/>
      <c r="BH34" s="383"/>
      <c r="BI34" s="330"/>
      <c r="BJ34" s="330"/>
      <c r="BK34" s="330"/>
      <c r="BL34" s="330"/>
      <c r="BM34" s="330"/>
      <c r="BN34" s="330"/>
      <c r="BO34" s="330"/>
      <c r="BP34" s="331"/>
      <c r="BQ34" s="332"/>
      <c r="BR34" s="333"/>
    </row>
    <row r="35" spans="2:70" ht="15.75" customHeight="1">
      <c r="B35" s="216" t="s">
        <v>111</v>
      </c>
      <c r="C35" s="212">
        <v>545851</v>
      </c>
      <c r="D35" s="223">
        <v>21983042000160</v>
      </c>
      <c r="E35" s="217" t="s">
        <v>25</v>
      </c>
      <c r="F35" s="217" t="s">
        <v>958</v>
      </c>
      <c r="G35" s="217" t="s">
        <v>962</v>
      </c>
      <c r="H35" s="218" t="s">
        <v>66</v>
      </c>
      <c r="I35" s="217" t="s">
        <v>1841</v>
      </c>
      <c r="J35" s="217" t="s">
        <v>66</v>
      </c>
      <c r="K35" s="218" t="s">
        <v>954</v>
      </c>
      <c r="L35" s="212" t="s">
        <v>87</v>
      </c>
      <c r="M35" s="250" t="s">
        <v>1843</v>
      </c>
      <c r="N35" s="239">
        <v>42153</v>
      </c>
      <c r="O35" s="210" t="s">
        <v>110</v>
      </c>
      <c r="P35" s="210" t="s">
        <v>1090</v>
      </c>
      <c r="Q35" s="210" t="s">
        <v>1091</v>
      </c>
      <c r="R35" s="210" t="s">
        <v>1084</v>
      </c>
      <c r="S35" s="210" t="s">
        <v>1078</v>
      </c>
      <c r="T35" s="210" t="s">
        <v>1082</v>
      </c>
      <c r="U35" s="210" t="s">
        <v>65</v>
      </c>
      <c r="V35" s="210" t="s">
        <v>25</v>
      </c>
      <c r="W35" s="211" t="s">
        <v>1019</v>
      </c>
      <c r="X35" s="211">
        <v>5000</v>
      </c>
      <c r="Y35" s="211">
        <v>1000</v>
      </c>
      <c r="Z35" s="212">
        <v>3000</v>
      </c>
      <c r="AA35" s="240">
        <v>18</v>
      </c>
      <c r="AB35" s="213">
        <v>1.9E-2</v>
      </c>
      <c r="AC35" s="213">
        <v>0.2</v>
      </c>
      <c r="AD35" s="213" t="s">
        <v>109</v>
      </c>
      <c r="AE35" s="213">
        <v>3.7999999999999996E-3</v>
      </c>
      <c r="AF35" s="241">
        <v>711611021.73000002</v>
      </c>
      <c r="AG35" s="241">
        <v>711611021.73000002</v>
      </c>
      <c r="AH35" s="213">
        <v>4.24E-2</v>
      </c>
      <c r="AI35" s="352">
        <v>0.65300000000000002</v>
      </c>
      <c r="AJ35" s="213">
        <v>7.0300000000000001E-2</v>
      </c>
      <c r="AK35" s="352">
        <v>0.74680000000000002</v>
      </c>
      <c r="AL35" s="213">
        <v>9.4200000000000006E-2</v>
      </c>
      <c r="AM35" s="352">
        <v>0.77990000000000004</v>
      </c>
      <c r="AN35" s="213">
        <v>0.14960000000000001</v>
      </c>
      <c r="AO35" s="352">
        <v>0.88800000000000001</v>
      </c>
      <c r="AP35" s="213">
        <v>1.6500000000000001E-2</v>
      </c>
      <c r="AQ35" s="219">
        <v>-1.3248608775057409</v>
      </c>
      <c r="AR35" s="213" t="s">
        <v>1827</v>
      </c>
      <c r="AU35" s="343"/>
      <c r="AV35" s="343"/>
      <c r="AW35" s="328"/>
      <c r="AX35" s="329"/>
      <c r="AY35" s="328"/>
      <c r="AZ35" s="328"/>
      <c r="BA35" s="330"/>
      <c r="BB35" s="328"/>
      <c r="BC35" s="328"/>
      <c r="BD35" s="328"/>
      <c r="BE35" s="330"/>
      <c r="BF35" s="330"/>
      <c r="BG35" s="344"/>
      <c r="BH35" s="383"/>
      <c r="BI35" s="330"/>
      <c r="BJ35" s="330"/>
      <c r="BK35" s="330"/>
      <c r="BL35" s="330"/>
      <c r="BM35" s="330"/>
      <c r="BN35" s="330"/>
      <c r="BO35" s="330"/>
      <c r="BP35" s="331"/>
      <c r="BQ35" s="332"/>
      <c r="BR35" s="333"/>
    </row>
    <row r="36" spans="2:70" ht="15.75" customHeight="1">
      <c r="B36" s="216" t="s">
        <v>112</v>
      </c>
      <c r="C36" s="212">
        <v>991423</v>
      </c>
      <c r="D36" s="223">
        <v>35618055000144</v>
      </c>
      <c r="E36" s="217" t="s">
        <v>25</v>
      </c>
      <c r="F36" s="217" t="s">
        <v>959</v>
      </c>
      <c r="G36" s="217" t="s">
        <v>961</v>
      </c>
      <c r="H36" s="218" t="s">
        <v>66</v>
      </c>
      <c r="I36" s="217" t="s">
        <v>1841</v>
      </c>
      <c r="J36" s="217" t="s">
        <v>66</v>
      </c>
      <c r="K36" s="218" t="s">
        <v>954</v>
      </c>
      <c r="L36" s="212" t="s">
        <v>87</v>
      </c>
      <c r="M36" s="250" t="s">
        <v>1843</v>
      </c>
      <c r="N36" s="239">
        <v>43826</v>
      </c>
      <c r="O36" s="210" t="s">
        <v>110</v>
      </c>
      <c r="P36" s="210" t="s">
        <v>1090</v>
      </c>
      <c r="Q36" s="210" t="s">
        <v>1091</v>
      </c>
      <c r="R36" s="210" t="s">
        <v>1077</v>
      </c>
      <c r="S36" s="210" t="s">
        <v>1078</v>
      </c>
      <c r="T36" s="210" t="s">
        <v>1082</v>
      </c>
      <c r="U36" s="210" t="s">
        <v>65</v>
      </c>
      <c r="V36" s="210" t="s">
        <v>25</v>
      </c>
      <c r="W36" s="211" t="s">
        <v>1019</v>
      </c>
      <c r="X36" s="211">
        <v>5000</v>
      </c>
      <c r="Y36" s="211">
        <v>1000</v>
      </c>
      <c r="Z36" s="212">
        <v>3000</v>
      </c>
      <c r="AA36" s="240">
        <v>18</v>
      </c>
      <c r="AB36" s="213">
        <v>1.9E-2</v>
      </c>
      <c r="AC36" s="213">
        <v>0.2</v>
      </c>
      <c r="AD36" s="213" t="s">
        <v>109</v>
      </c>
      <c r="AE36" s="213">
        <v>3.7999999999999996E-3</v>
      </c>
      <c r="AF36" s="241">
        <v>471733482.60000002</v>
      </c>
      <c r="AG36" s="241">
        <v>471733482.60000002</v>
      </c>
      <c r="AH36" s="213">
        <v>1.2500000000000001E-2</v>
      </c>
      <c r="AI36" s="352">
        <v>0.1923</v>
      </c>
      <c r="AJ36" s="213">
        <v>4.58E-2</v>
      </c>
      <c r="AK36" s="352">
        <v>0.48649999999999999</v>
      </c>
      <c r="AL36" s="213">
        <v>9.7000000000000003E-2</v>
      </c>
      <c r="AM36" s="352">
        <v>0.80310000000000004</v>
      </c>
      <c r="AN36" s="213" t="s">
        <v>66</v>
      </c>
      <c r="AO36" s="352" t="s">
        <v>66</v>
      </c>
      <c r="AP36" s="213">
        <v>4.9200000000000001E-2</v>
      </c>
      <c r="AQ36" s="219">
        <v>-0.89297476487760674</v>
      </c>
      <c r="AR36" s="213" t="s">
        <v>1827</v>
      </c>
      <c r="AU36" s="343"/>
      <c r="AV36" s="343"/>
      <c r="AW36" s="328"/>
      <c r="AX36" s="329"/>
      <c r="AY36" s="328"/>
      <c r="AZ36" s="328"/>
      <c r="BA36" s="330"/>
      <c r="BB36" s="328"/>
      <c r="BC36" s="328"/>
      <c r="BD36" s="328"/>
      <c r="BE36" s="330"/>
      <c r="BF36" s="330"/>
      <c r="BG36" s="344"/>
      <c r="BH36" s="383"/>
      <c r="BI36" s="330"/>
      <c r="BJ36" s="330"/>
      <c r="BK36" s="330"/>
      <c r="BL36" s="330"/>
      <c r="BM36" s="330"/>
      <c r="BN36" s="330"/>
      <c r="BO36" s="330"/>
      <c r="BP36" s="331"/>
      <c r="BQ36" s="332"/>
      <c r="BR36" s="333"/>
    </row>
    <row r="37" spans="2:70" ht="15.75" customHeight="1">
      <c r="B37" s="216" t="s">
        <v>1092</v>
      </c>
      <c r="C37" s="212">
        <v>545860</v>
      </c>
      <c r="D37" s="223">
        <v>18860059000115</v>
      </c>
      <c r="E37" s="217" t="s">
        <v>25</v>
      </c>
      <c r="F37" s="217" t="s">
        <v>959</v>
      </c>
      <c r="G37" s="217" t="s">
        <v>960</v>
      </c>
      <c r="H37" s="218" t="s">
        <v>66</v>
      </c>
      <c r="I37" s="217" t="s">
        <v>1841</v>
      </c>
      <c r="J37" s="217" t="s">
        <v>66</v>
      </c>
      <c r="K37" s="218" t="s">
        <v>951</v>
      </c>
      <c r="L37" s="212" t="s">
        <v>87</v>
      </c>
      <c r="M37" s="250" t="s">
        <v>1843</v>
      </c>
      <c r="N37" s="239">
        <v>41547</v>
      </c>
      <c r="O37" s="210" t="s">
        <v>110</v>
      </c>
      <c r="P37" s="210" t="s">
        <v>1090</v>
      </c>
      <c r="Q37" s="210" t="s">
        <v>1091</v>
      </c>
      <c r="R37" s="210" t="s">
        <v>1084</v>
      </c>
      <c r="S37" s="210" t="s">
        <v>1078</v>
      </c>
      <c r="T37" s="210" t="s">
        <v>1082</v>
      </c>
      <c r="U37" s="210" t="s">
        <v>958</v>
      </c>
      <c r="V37" s="210" t="s">
        <v>25</v>
      </c>
      <c r="W37" s="211" t="s">
        <v>1012</v>
      </c>
      <c r="X37" s="211">
        <v>5000</v>
      </c>
      <c r="Y37" s="211">
        <v>1000</v>
      </c>
      <c r="Z37" s="212">
        <v>3000</v>
      </c>
      <c r="AA37" s="240">
        <v>5</v>
      </c>
      <c r="AB37" s="213">
        <v>1.9E-2</v>
      </c>
      <c r="AC37" s="213">
        <v>0.2</v>
      </c>
      <c r="AD37" s="213" t="s">
        <v>109</v>
      </c>
      <c r="AE37" s="213">
        <v>4.7499999999999999E-3</v>
      </c>
      <c r="AF37" s="241">
        <v>791453804.34000003</v>
      </c>
      <c r="AG37" s="241">
        <v>791453804.34000003</v>
      </c>
      <c r="AH37" s="213">
        <v>9.4299999999999995E-2</v>
      </c>
      <c r="AI37" s="352">
        <v>1.4527000000000001</v>
      </c>
      <c r="AJ37" s="213">
        <v>0.1295</v>
      </c>
      <c r="AK37" s="352">
        <v>1.3759999999999999</v>
      </c>
      <c r="AL37" s="213">
        <v>0.16830000000000001</v>
      </c>
      <c r="AM37" s="352">
        <v>1.3935</v>
      </c>
      <c r="AN37" s="213">
        <v>0.22170000000000001</v>
      </c>
      <c r="AO37" s="352">
        <v>1.3154999999999999</v>
      </c>
      <c r="AP37" s="213">
        <v>2.1600000000000001E-2</v>
      </c>
      <c r="AQ37" s="219">
        <v>1.4861280001962831</v>
      </c>
      <c r="AR37" s="213" t="s">
        <v>1827</v>
      </c>
      <c r="AU37" s="343"/>
      <c r="AV37" s="343"/>
      <c r="AW37" s="328"/>
      <c r="AX37" s="329"/>
      <c r="AY37" s="328"/>
      <c r="AZ37" s="328"/>
      <c r="BA37" s="330"/>
      <c r="BB37" s="328"/>
      <c r="BC37" s="328"/>
      <c r="BD37" s="328"/>
      <c r="BE37" s="330"/>
      <c r="BF37" s="330"/>
      <c r="BG37" s="344"/>
      <c r="BH37" s="383"/>
      <c r="BI37" s="330"/>
      <c r="BJ37" s="330"/>
      <c r="BK37" s="330"/>
      <c r="BL37" s="330"/>
      <c r="BM37" s="330"/>
      <c r="BN37" s="330"/>
      <c r="BO37" s="330"/>
      <c r="BP37" s="331"/>
      <c r="BQ37" s="332"/>
      <c r="BR37" s="333"/>
    </row>
    <row r="38" spans="2:70" ht="15.75" customHeight="1">
      <c r="B38" s="216" t="s">
        <v>1093</v>
      </c>
      <c r="C38" s="212">
        <v>1176352</v>
      </c>
      <c r="D38" s="223">
        <v>29177012000178</v>
      </c>
      <c r="E38" s="217" t="s">
        <v>25</v>
      </c>
      <c r="F38" s="217" t="s">
        <v>958</v>
      </c>
      <c r="G38" s="217" t="s">
        <v>962</v>
      </c>
      <c r="H38" s="218" t="s">
        <v>66</v>
      </c>
      <c r="I38" s="217" t="s">
        <v>1841</v>
      </c>
      <c r="J38" s="217" t="s">
        <v>66</v>
      </c>
      <c r="K38" s="218" t="s">
        <v>954</v>
      </c>
      <c r="L38" s="212" t="s">
        <v>87</v>
      </c>
      <c r="M38" s="250" t="s">
        <v>1843</v>
      </c>
      <c r="N38" s="239">
        <v>43235</v>
      </c>
      <c r="O38" s="210" t="s">
        <v>114</v>
      </c>
      <c r="P38" s="210" t="s">
        <v>1075</v>
      </c>
      <c r="Q38" s="210" t="s">
        <v>1076</v>
      </c>
      <c r="R38" s="210" t="s">
        <v>1084</v>
      </c>
      <c r="S38" s="210" t="s">
        <v>1078</v>
      </c>
      <c r="T38" s="210" t="s">
        <v>1082</v>
      </c>
      <c r="U38" s="210" t="s">
        <v>958</v>
      </c>
      <c r="V38" s="210" t="s">
        <v>25</v>
      </c>
      <c r="W38" s="211" t="s">
        <v>1012</v>
      </c>
      <c r="X38" s="211">
        <v>10000</v>
      </c>
      <c r="Y38" s="211">
        <v>10000</v>
      </c>
      <c r="Z38" s="212">
        <v>10000</v>
      </c>
      <c r="AA38" s="240">
        <v>30</v>
      </c>
      <c r="AB38" s="213">
        <v>1.9E-2</v>
      </c>
      <c r="AC38" s="213">
        <v>0.2</v>
      </c>
      <c r="AD38" s="213" t="s">
        <v>113</v>
      </c>
      <c r="AE38" s="213">
        <v>3.8E-3</v>
      </c>
      <c r="AF38" s="241">
        <v>194846265.84</v>
      </c>
      <c r="AG38" s="241">
        <v>194846265.84</v>
      </c>
      <c r="AH38" s="213">
        <v>0.1343</v>
      </c>
      <c r="AI38" s="352">
        <v>2.0687000000000002</v>
      </c>
      <c r="AJ38" s="213">
        <v>0.1827</v>
      </c>
      <c r="AK38" s="352">
        <v>1.9415</v>
      </c>
      <c r="AL38" s="213">
        <v>0.24970000000000001</v>
      </c>
      <c r="AM38" s="352">
        <v>2.0670000000000002</v>
      </c>
      <c r="AN38" s="213">
        <v>0.32990000000000003</v>
      </c>
      <c r="AO38" s="352">
        <v>1.958</v>
      </c>
      <c r="AP38" s="213">
        <v>4.2299999999999997E-2</v>
      </c>
      <c r="AQ38" s="219">
        <v>1.8628979506973837</v>
      </c>
      <c r="AR38" s="213" t="s">
        <v>1827</v>
      </c>
      <c r="AU38" s="343"/>
      <c r="AV38" s="343"/>
      <c r="AW38" s="328"/>
      <c r="AX38" s="329"/>
      <c r="AY38" s="328"/>
      <c r="AZ38" s="328"/>
      <c r="BA38" s="330"/>
      <c r="BB38" s="328"/>
      <c r="BC38" s="328"/>
      <c r="BD38" s="328"/>
      <c r="BE38" s="330"/>
      <c r="BF38" s="330"/>
      <c r="BG38" s="344"/>
      <c r="BH38" s="383"/>
      <c r="BI38" s="330"/>
      <c r="BJ38" s="330"/>
      <c r="BK38" s="330"/>
      <c r="BL38" s="330"/>
      <c r="BM38" s="330"/>
      <c r="BN38" s="330"/>
      <c r="BO38" s="330"/>
      <c r="BP38" s="331"/>
      <c r="BQ38" s="332"/>
      <c r="BR38" s="333"/>
    </row>
    <row r="39" spans="2:70" ht="15.75" customHeight="1">
      <c r="B39" s="216" t="s">
        <v>115</v>
      </c>
      <c r="C39" s="212">
        <v>1262618</v>
      </c>
      <c r="D39" s="223">
        <v>23565803000199</v>
      </c>
      <c r="E39" s="217" t="s">
        <v>25</v>
      </c>
      <c r="F39" s="217" t="s">
        <v>958</v>
      </c>
      <c r="G39" s="217" t="s">
        <v>962</v>
      </c>
      <c r="H39" s="218" t="s">
        <v>66</v>
      </c>
      <c r="I39" s="217" t="s">
        <v>1841</v>
      </c>
      <c r="J39" s="217" t="s">
        <v>66</v>
      </c>
      <c r="K39" s="218" t="s">
        <v>954</v>
      </c>
      <c r="L39" s="212" t="s">
        <v>87</v>
      </c>
      <c r="M39" s="250" t="s">
        <v>1843</v>
      </c>
      <c r="N39" s="239">
        <v>42366</v>
      </c>
      <c r="O39" s="210" t="s">
        <v>110</v>
      </c>
      <c r="P39" s="210" t="s">
        <v>1090</v>
      </c>
      <c r="Q39" s="210" t="s">
        <v>1091</v>
      </c>
      <c r="R39" s="210" t="s">
        <v>1084</v>
      </c>
      <c r="S39" s="210" t="s">
        <v>1078</v>
      </c>
      <c r="T39" s="210" t="s">
        <v>1082</v>
      </c>
      <c r="U39" s="210" t="s">
        <v>958</v>
      </c>
      <c r="V39" s="210" t="s">
        <v>25</v>
      </c>
      <c r="W39" s="211" t="s">
        <v>1012</v>
      </c>
      <c r="X39" s="211">
        <v>100000</v>
      </c>
      <c r="Y39" s="211">
        <v>10000</v>
      </c>
      <c r="Z39" s="212">
        <v>100000</v>
      </c>
      <c r="AA39" s="240">
        <v>30</v>
      </c>
      <c r="AB39" s="213">
        <v>1.9E-2</v>
      </c>
      <c r="AC39" s="213">
        <v>0.2</v>
      </c>
      <c r="AD39" s="213" t="s">
        <v>109</v>
      </c>
      <c r="AE39" s="213">
        <v>3.8E-3</v>
      </c>
      <c r="AF39" s="241">
        <v>3374752953.3800001</v>
      </c>
      <c r="AG39" s="241">
        <v>3374752953.3800001</v>
      </c>
      <c r="AH39" s="213">
        <v>0.13500000000000001</v>
      </c>
      <c r="AI39" s="352">
        <v>2.0790000000000002</v>
      </c>
      <c r="AJ39" s="213">
        <v>0.18340000000000001</v>
      </c>
      <c r="AK39" s="352">
        <v>1.9497</v>
      </c>
      <c r="AL39" s="213">
        <v>0.25090000000000001</v>
      </c>
      <c r="AM39" s="352">
        <v>2.077</v>
      </c>
      <c r="AN39" s="213">
        <v>0.33139999999999997</v>
      </c>
      <c r="AO39" s="352">
        <v>1.9663999999999999</v>
      </c>
      <c r="AP39" s="213">
        <v>4.2599999999999999E-2</v>
      </c>
      <c r="AQ39" s="219">
        <v>1.8651055090406587</v>
      </c>
      <c r="AR39" s="213" t="s">
        <v>1827</v>
      </c>
      <c r="AU39" s="343"/>
      <c r="AV39" s="343"/>
      <c r="AW39" s="328"/>
      <c r="AX39" s="329"/>
      <c r="AY39" s="328"/>
      <c r="AZ39" s="328"/>
      <c r="BA39" s="330"/>
      <c r="BB39" s="328"/>
      <c r="BC39" s="328"/>
      <c r="BD39" s="328"/>
      <c r="BE39" s="330"/>
      <c r="BF39" s="330"/>
      <c r="BG39" s="344"/>
      <c r="BH39" s="383"/>
      <c r="BI39" s="330"/>
      <c r="BJ39" s="330"/>
      <c r="BK39" s="330"/>
      <c r="BL39" s="330"/>
      <c r="BM39" s="330"/>
      <c r="BN39" s="330"/>
      <c r="BO39" s="330"/>
      <c r="BP39" s="331"/>
      <c r="BQ39" s="332"/>
      <c r="BR39" s="333"/>
    </row>
    <row r="40" spans="2:70" ht="15.75" customHeight="1">
      <c r="B40" s="216" t="s">
        <v>84</v>
      </c>
      <c r="C40" s="212">
        <v>1166935</v>
      </c>
      <c r="D40" s="223">
        <v>34581406000127</v>
      </c>
      <c r="E40" s="217" t="s">
        <v>28</v>
      </c>
      <c r="F40" s="217" t="s">
        <v>950</v>
      </c>
      <c r="G40" s="217"/>
      <c r="H40" s="218"/>
      <c r="I40" s="217" t="s">
        <v>66</v>
      </c>
      <c r="J40" s="217" t="s">
        <v>66</v>
      </c>
      <c r="K40" s="218" t="s">
        <v>951</v>
      </c>
      <c r="L40" s="212" t="s">
        <v>87</v>
      </c>
      <c r="M40" s="250" t="s">
        <v>1843</v>
      </c>
      <c r="N40" s="239">
        <v>43725</v>
      </c>
      <c r="O40" s="210" t="s">
        <v>114</v>
      </c>
      <c r="P40" s="210" t="s">
        <v>1075</v>
      </c>
      <c r="Q40" s="210" t="s">
        <v>1076</v>
      </c>
      <c r="R40" s="210" t="s">
        <v>1077</v>
      </c>
      <c r="S40" s="210" t="s">
        <v>1085</v>
      </c>
      <c r="T40" s="210" t="s">
        <v>1079</v>
      </c>
      <c r="U40" s="210" t="s">
        <v>950</v>
      </c>
      <c r="V40" s="210" t="s">
        <v>1080</v>
      </c>
      <c r="W40" s="211" t="s">
        <v>1007</v>
      </c>
      <c r="X40" s="211">
        <v>10000</v>
      </c>
      <c r="Y40" s="211">
        <v>10000</v>
      </c>
      <c r="Z40" s="212">
        <v>10000</v>
      </c>
      <c r="AA40" s="240">
        <v>62</v>
      </c>
      <c r="AB40" s="213">
        <v>1.8499999999999999E-2</v>
      </c>
      <c r="AC40" s="213">
        <v>0.2</v>
      </c>
      <c r="AD40" s="213" t="s">
        <v>113</v>
      </c>
      <c r="AE40" s="213">
        <v>2.2839506172839504E-3</v>
      </c>
      <c r="AF40" s="241">
        <v>310052658.30000001</v>
      </c>
      <c r="AG40" s="241">
        <v>310052658.30000001</v>
      </c>
      <c r="AH40" s="213">
        <v>-9.8599999999999993E-2</v>
      </c>
      <c r="AI40" s="352">
        <v>-1.5194000000000001</v>
      </c>
      <c r="AJ40" s="213">
        <v>-0.3553</v>
      </c>
      <c r="AK40" s="352">
        <v>-3.7766000000000002</v>
      </c>
      <c r="AL40" s="213">
        <v>-0.18820000000000001</v>
      </c>
      <c r="AM40" s="352">
        <v>-1.5579000000000001</v>
      </c>
      <c r="AN40" s="213" t="s">
        <v>66</v>
      </c>
      <c r="AO40" s="352" t="s">
        <v>66</v>
      </c>
      <c r="AP40" s="213">
        <v>0.2465</v>
      </c>
      <c r="AQ40" s="219">
        <v>-2.0209048479264586</v>
      </c>
      <c r="AR40" s="213" t="s">
        <v>1827</v>
      </c>
      <c r="AU40" s="343"/>
      <c r="AV40" s="343"/>
      <c r="AW40" s="328"/>
      <c r="AX40" s="329"/>
      <c r="AY40" s="328"/>
      <c r="AZ40" s="328"/>
      <c r="BA40" s="330"/>
      <c r="BB40" s="328"/>
      <c r="BC40" s="328"/>
      <c r="BD40" s="328"/>
      <c r="BE40" s="330"/>
      <c r="BF40" s="330"/>
      <c r="BG40" s="344"/>
      <c r="BH40" s="383"/>
      <c r="BI40" s="330"/>
      <c r="BJ40" s="330"/>
      <c r="BK40" s="330"/>
      <c r="BL40" s="330"/>
      <c r="BM40" s="330"/>
      <c r="BN40" s="330"/>
      <c r="BO40" s="330"/>
      <c r="BP40" s="331"/>
      <c r="BQ40" s="332"/>
      <c r="BR40" s="333"/>
    </row>
    <row r="41" spans="2:70" ht="15.75" customHeight="1">
      <c r="B41" s="216" t="s">
        <v>124</v>
      </c>
      <c r="C41" s="212">
        <v>2153626</v>
      </c>
      <c r="D41" s="223">
        <v>34774662000130</v>
      </c>
      <c r="E41" s="217" t="s">
        <v>25</v>
      </c>
      <c r="F41" s="217" t="s">
        <v>958</v>
      </c>
      <c r="G41" s="217" t="s">
        <v>962</v>
      </c>
      <c r="H41" s="218" t="s">
        <v>66</v>
      </c>
      <c r="I41" s="217" t="s">
        <v>1841</v>
      </c>
      <c r="J41" s="217" t="s">
        <v>66</v>
      </c>
      <c r="K41" s="218" t="s">
        <v>954</v>
      </c>
      <c r="L41" s="212" t="s">
        <v>87</v>
      </c>
      <c r="M41" s="250" t="s">
        <v>1843</v>
      </c>
      <c r="N41" s="239">
        <v>43738</v>
      </c>
      <c r="O41" s="210" t="s">
        <v>125</v>
      </c>
      <c r="P41" s="210" t="s">
        <v>1083</v>
      </c>
      <c r="Q41" s="210" t="s">
        <v>102</v>
      </c>
      <c r="R41" s="210" t="s">
        <v>1084</v>
      </c>
      <c r="S41" s="210" t="s">
        <v>1078</v>
      </c>
      <c r="T41" s="210" t="s">
        <v>1082</v>
      </c>
      <c r="U41" s="210" t="s">
        <v>958</v>
      </c>
      <c r="V41" s="210" t="s">
        <v>25</v>
      </c>
      <c r="W41" s="211" t="s">
        <v>1012</v>
      </c>
      <c r="X41" s="211">
        <v>500</v>
      </c>
      <c r="Y41" s="211">
        <v>100</v>
      </c>
      <c r="Z41" s="212">
        <v>100</v>
      </c>
      <c r="AA41" s="240">
        <v>31</v>
      </c>
      <c r="AB41" s="213">
        <v>1.9199999999999998E-2</v>
      </c>
      <c r="AC41" s="213">
        <v>0.2</v>
      </c>
      <c r="AD41" s="213" t="s">
        <v>109</v>
      </c>
      <c r="AE41" s="213">
        <v>4.7999999999999996E-3</v>
      </c>
      <c r="AF41" s="241">
        <v>297718992.82999998</v>
      </c>
      <c r="AG41" s="241">
        <v>297718992.82999998</v>
      </c>
      <c r="AH41" s="213">
        <v>7.0400000000000004E-2</v>
      </c>
      <c r="AI41" s="352">
        <v>1.0845</v>
      </c>
      <c r="AJ41" s="213">
        <v>9.3100000000000002E-2</v>
      </c>
      <c r="AK41" s="352">
        <v>0.98919999999999997</v>
      </c>
      <c r="AL41" s="213">
        <v>0.1477</v>
      </c>
      <c r="AM41" s="352">
        <v>1.2229000000000001</v>
      </c>
      <c r="AN41" s="213" t="s">
        <v>66</v>
      </c>
      <c r="AO41" s="352" t="s">
        <v>66</v>
      </c>
      <c r="AP41" s="213">
        <v>4.4699999999999997E-2</v>
      </c>
      <c r="AQ41" s="219">
        <v>1.5303510776864299E-3</v>
      </c>
      <c r="AR41" s="213" t="s">
        <v>1827</v>
      </c>
      <c r="AU41" s="343"/>
      <c r="AV41" s="343"/>
      <c r="AW41" s="328"/>
      <c r="AX41" s="329"/>
      <c r="AY41" s="328"/>
      <c r="AZ41" s="328"/>
      <c r="BA41" s="330"/>
      <c r="BB41" s="328"/>
      <c r="BC41" s="328"/>
      <c r="BD41" s="328"/>
      <c r="BE41" s="330"/>
      <c r="BF41" s="330"/>
      <c r="BG41" s="344"/>
      <c r="BH41" s="383"/>
      <c r="BI41" s="330"/>
      <c r="BJ41" s="330"/>
      <c r="BK41" s="330"/>
      <c r="BL41" s="330"/>
      <c r="BM41" s="330"/>
      <c r="BN41" s="330"/>
      <c r="BO41" s="330"/>
      <c r="BP41" s="331"/>
      <c r="BQ41" s="332"/>
      <c r="BR41" s="333"/>
    </row>
    <row r="42" spans="2:70" ht="15.75" customHeight="1">
      <c r="B42" s="216" t="s">
        <v>154</v>
      </c>
      <c r="C42" s="212">
        <v>1907141</v>
      </c>
      <c r="D42" s="223">
        <v>30998100000110</v>
      </c>
      <c r="E42" s="217" t="s">
        <v>25</v>
      </c>
      <c r="F42" s="217" t="s">
        <v>958</v>
      </c>
      <c r="G42" s="217" t="s">
        <v>962</v>
      </c>
      <c r="H42" s="218" t="s">
        <v>66</v>
      </c>
      <c r="I42" s="217" t="s">
        <v>1842</v>
      </c>
      <c r="J42" s="217" t="s">
        <v>66</v>
      </c>
      <c r="K42" s="218" t="s">
        <v>954</v>
      </c>
      <c r="L42" s="212" t="s">
        <v>87</v>
      </c>
      <c r="M42" s="250" t="s">
        <v>1843</v>
      </c>
      <c r="N42" s="239">
        <v>43532</v>
      </c>
      <c r="O42" s="210" t="s">
        <v>155</v>
      </c>
      <c r="P42" s="210" t="s">
        <v>1083</v>
      </c>
      <c r="Q42" s="210" t="s">
        <v>102</v>
      </c>
      <c r="R42" s="210" t="s">
        <v>1077</v>
      </c>
      <c r="S42" s="210" t="s">
        <v>1085</v>
      </c>
      <c r="T42" s="210" t="s">
        <v>1082</v>
      </c>
      <c r="U42" s="210" t="s">
        <v>958</v>
      </c>
      <c r="V42" s="210" t="s">
        <v>25</v>
      </c>
      <c r="W42" s="211" t="s">
        <v>1016</v>
      </c>
      <c r="X42" s="211">
        <v>10000</v>
      </c>
      <c r="Y42" s="211">
        <v>10000</v>
      </c>
      <c r="Z42" s="212">
        <v>10000</v>
      </c>
      <c r="AA42" s="240">
        <v>46</v>
      </c>
      <c r="AB42" s="213">
        <v>0.01</v>
      </c>
      <c r="AC42" s="213">
        <v>0</v>
      </c>
      <c r="AD42" s="213" t="s">
        <v>109</v>
      </c>
      <c r="AE42" s="213">
        <v>5.4000000000000003E-3</v>
      </c>
      <c r="AF42" s="241" t="s">
        <v>66</v>
      </c>
      <c r="AG42" s="241" t="s">
        <v>66</v>
      </c>
      <c r="AH42" s="213" t="s">
        <v>66</v>
      </c>
      <c r="AI42" s="352" t="s">
        <v>66</v>
      </c>
      <c r="AJ42" s="213" t="s">
        <v>66</v>
      </c>
      <c r="AK42" s="352" t="s">
        <v>66</v>
      </c>
      <c r="AL42" s="213" t="s">
        <v>66</v>
      </c>
      <c r="AM42" s="352" t="s">
        <v>66</v>
      </c>
      <c r="AN42" s="213" t="s">
        <v>66</v>
      </c>
      <c r="AO42" s="352" t="s">
        <v>66</v>
      </c>
      <c r="AP42" s="213" t="s">
        <v>66</v>
      </c>
      <c r="AQ42" s="219" t="s">
        <v>66</v>
      </c>
      <c r="AR42" s="213" t="s">
        <v>1827</v>
      </c>
      <c r="AU42" s="343"/>
      <c r="AV42" s="343"/>
      <c r="AW42" s="328"/>
      <c r="AX42" s="329"/>
      <c r="AY42" s="328"/>
      <c r="AZ42" s="328"/>
      <c r="BA42" s="330"/>
      <c r="BB42" s="328"/>
      <c r="BC42" s="328"/>
      <c r="BD42" s="328"/>
      <c r="BE42" s="330"/>
      <c r="BF42" s="330"/>
      <c r="BG42" s="344"/>
      <c r="BH42" s="383"/>
      <c r="BI42" s="330"/>
      <c r="BJ42" s="330"/>
      <c r="BK42" s="330"/>
      <c r="BL42" s="330"/>
      <c r="BM42" s="330"/>
      <c r="BN42" s="330"/>
      <c r="BO42" s="330"/>
      <c r="BP42" s="331"/>
      <c r="BQ42" s="332"/>
      <c r="BR42" s="333"/>
    </row>
    <row r="43" spans="2:70" ht="15.75" customHeight="1">
      <c r="B43" s="216" t="s">
        <v>1143</v>
      </c>
      <c r="C43" s="212">
        <v>1042015</v>
      </c>
      <c r="D43" s="223">
        <v>44417227000102</v>
      </c>
      <c r="E43" s="217" t="s">
        <v>25</v>
      </c>
      <c r="F43" s="217" t="s">
        <v>958</v>
      </c>
      <c r="G43" s="217" t="s">
        <v>962</v>
      </c>
      <c r="H43" s="218" t="s">
        <v>66</v>
      </c>
      <c r="I43" s="217" t="s">
        <v>1842</v>
      </c>
      <c r="J43" s="217" t="s">
        <v>66</v>
      </c>
      <c r="K43" s="218" t="s">
        <v>954</v>
      </c>
      <c r="L43" s="212" t="s">
        <v>87</v>
      </c>
      <c r="M43" s="250" t="s">
        <v>1843</v>
      </c>
      <c r="N43" s="239">
        <v>44552</v>
      </c>
      <c r="O43" s="210" t="s">
        <v>504</v>
      </c>
      <c r="P43" s="210" t="s">
        <v>1075</v>
      </c>
      <c r="Q43" s="210" t="s">
        <v>1076</v>
      </c>
      <c r="R43" s="210" t="s">
        <v>1084</v>
      </c>
      <c r="S43" s="210" t="s">
        <v>1078</v>
      </c>
      <c r="T43" s="210" t="s">
        <v>1082</v>
      </c>
      <c r="U43" s="210" t="s">
        <v>958</v>
      </c>
      <c r="V43" s="210" t="s">
        <v>25</v>
      </c>
      <c r="W43" s="211" t="s">
        <v>1012</v>
      </c>
      <c r="X43" s="211">
        <v>0</v>
      </c>
      <c r="Y43" s="211">
        <v>0</v>
      </c>
      <c r="Z43" s="212">
        <v>0</v>
      </c>
      <c r="AA43" s="240">
        <v>46</v>
      </c>
      <c r="AB43" s="213">
        <v>1.6E-2</v>
      </c>
      <c r="AC43" s="213">
        <v>0</v>
      </c>
      <c r="AD43" s="213" t="s">
        <v>109</v>
      </c>
      <c r="AE43" s="213">
        <v>5.4000000000000003E-3</v>
      </c>
      <c r="AF43" s="241">
        <v>18142921.809999999</v>
      </c>
      <c r="AG43" s="241">
        <v>18142921.809999999</v>
      </c>
      <c r="AH43" s="213">
        <v>8.9300000000000004E-2</v>
      </c>
      <c r="AI43" s="352">
        <v>1.3748</v>
      </c>
      <c r="AJ43" s="213" t="s">
        <v>66</v>
      </c>
      <c r="AK43" s="352" t="s">
        <v>66</v>
      </c>
      <c r="AL43" s="213" t="s">
        <v>66</v>
      </c>
      <c r="AM43" s="352" t="s">
        <v>66</v>
      </c>
      <c r="AN43" s="213" t="s">
        <v>66</v>
      </c>
      <c r="AO43" s="352" t="s">
        <v>66</v>
      </c>
      <c r="AP43" s="213" t="s">
        <v>66</v>
      </c>
      <c r="AQ43" s="219" t="s">
        <v>66</v>
      </c>
      <c r="AR43" s="213" t="s">
        <v>1827</v>
      </c>
      <c r="AU43" s="343"/>
      <c r="AV43" s="343"/>
      <c r="AW43" s="328"/>
      <c r="AX43" s="329"/>
      <c r="AY43" s="328"/>
      <c r="AZ43" s="328"/>
      <c r="BA43" s="330"/>
      <c r="BB43" s="328"/>
      <c r="BC43" s="328"/>
      <c r="BD43" s="328"/>
      <c r="BE43" s="330"/>
      <c r="BF43" s="330"/>
      <c r="BG43" s="344"/>
      <c r="BH43" s="383"/>
      <c r="BI43" s="330"/>
      <c r="BJ43" s="330"/>
      <c r="BK43" s="330"/>
      <c r="BL43" s="330"/>
      <c r="BM43" s="330"/>
      <c r="BN43" s="330"/>
      <c r="BO43" s="330"/>
      <c r="BP43" s="331"/>
      <c r="BQ43" s="332"/>
      <c r="BR43" s="333"/>
    </row>
    <row r="44" spans="2:70" ht="15.75" customHeight="1">
      <c r="B44" s="216" t="s">
        <v>1156</v>
      </c>
      <c r="C44" s="212">
        <v>1051353</v>
      </c>
      <c r="D44" s="223">
        <v>32102131000176</v>
      </c>
      <c r="E44" s="217" t="s">
        <v>19</v>
      </c>
      <c r="F44" s="217" t="s">
        <v>963</v>
      </c>
      <c r="G44" s="217" t="s">
        <v>1011</v>
      </c>
      <c r="H44" s="218" t="s">
        <v>1113</v>
      </c>
      <c r="I44" s="217" t="s">
        <v>66</v>
      </c>
      <c r="J44" s="217"/>
      <c r="K44" s="218" t="s">
        <v>951</v>
      </c>
      <c r="L44" s="212" t="s">
        <v>87</v>
      </c>
      <c r="M44" s="250" t="s">
        <v>1843</v>
      </c>
      <c r="N44" s="239">
        <v>43447</v>
      </c>
      <c r="O44" s="210" t="s">
        <v>165</v>
      </c>
      <c r="P44" s="210" t="s">
        <v>1090</v>
      </c>
      <c r="Q44" s="210" t="s">
        <v>1091</v>
      </c>
      <c r="R44" s="210" t="s">
        <v>1077</v>
      </c>
      <c r="S44" s="210" t="s">
        <v>1085</v>
      </c>
      <c r="T44" s="210" t="s">
        <v>349</v>
      </c>
      <c r="U44" s="210" t="s">
        <v>1114</v>
      </c>
      <c r="V44" s="210" t="s">
        <v>19</v>
      </c>
      <c r="W44" s="211" t="s">
        <v>1017</v>
      </c>
      <c r="X44" s="211">
        <v>1000</v>
      </c>
      <c r="Y44" s="211">
        <v>1000</v>
      </c>
      <c r="Z44" s="212">
        <v>1000</v>
      </c>
      <c r="AA44" s="240">
        <v>61</v>
      </c>
      <c r="AB44" s="213">
        <v>7.0000000000000001E-3</v>
      </c>
      <c r="AC44" s="213">
        <v>0</v>
      </c>
      <c r="AD44" s="213" t="s">
        <v>109</v>
      </c>
      <c r="AE44" s="213">
        <v>1.8666666666666666E-3</v>
      </c>
      <c r="AF44" s="241">
        <v>464794313.37</v>
      </c>
      <c r="AG44" s="241">
        <v>464794313.37</v>
      </c>
      <c r="AH44" s="213">
        <v>0.08</v>
      </c>
      <c r="AI44" s="352">
        <v>1.2317</v>
      </c>
      <c r="AJ44" s="213">
        <v>0.1258</v>
      </c>
      <c r="AK44" s="352">
        <v>1.337</v>
      </c>
      <c r="AL44" s="213">
        <v>0.21879999999999999</v>
      </c>
      <c r="AM44" s="352">
        <v>1.8115000000000001</v>
      </c>
      <c r="AN44" s="213">
        <v>0.25650000000000001</v>
      </c>
      <c r="AO44" s="352">
        <v>1.5223</v>
      </c>
      <c r="AP44" s="213">
        <v>2.8999999999999998E-3</v>
      </c>
      <c r="AQ44" s="219">
        <v>9.8511839672746433</v>
      </c>
      <c r="AR44" s="213" t="s">
        <v>1827</v>
      </c>
      <c r="AU44" s="343"/>
      <c r="AV44" s="343"/>
      <c r="AW44" s="328"/>
      <c r="AX44" s="329"/>
      <c r="AY44" s="328"/>
      <c r="AZ44" s="328"/>
      <c r="BA44" s="330"/>
      <c r="BB44" s="328"/>
      <c r="BC44" s="328"/>
      <c r="BD44" s="328"/>
      <c r="BE44" s="330"/>
      <c r="BF44" s="330"/>
      <c r="BG44" s="344"/>
      <c r="BH44" s="383"/>
      <c r="BI44" s="330"/>
      <c r="BJ44" s="330"/>
      <c r="BK44" s="330"/>
      <c r="BL44" s="330"/>
      <c r="BM44" s="330"/>
      <c r="BN44" s="330"/>
      <c r="BO44" s="330"/>
      <c r="BP44" s="331"/>
      <c r="BQ44" s="332"/>
      <c r="BR44" s="333"/>
    </row>
    <row r="45" spans="2:70" ht="15.75" customHeight="1">
      <c r="B45" s="216" t="s">
        <v>180</v>
      </c>
      <c r="C45" s="212">
        <v>1901239</v>
      </c>
      <c r="D45" s="223">
        <v>34218678000167</v>
      </c>
      <c r="E45" s="217" t="s">
        <v>19</v>
      </c>
      <c r="F45" s="217" t="s">
        <v>963</v>
      </c>
      <c r="G45" s="217" t="s">
        <v>1034</v>
      </c>
      <c r="H45" s="218" t="s">
        <v>1113</v>
      </c>
      <c r="I45" s="217" t="s">
        <v>66</v>
      </c>
      <c r="J45" s="217" t="s">
        <v>1822</v>
      </c>
      <c r="K45" s="218" t="s">
        <v>951</v>
      </c>
      <c r="L45" s="212" t="s">
        <v>87</v>
      </c>
      <c r="M45" s="250" t="s">
        <v>1843</v>
      </c>
      <c r="N45" s="239">
        <v>43826</v>
      </c>
      <c r="O45" s="210" t="s">
        <v>181</v>
      </c>
      <c r="P45" s="210" t="s">
        <v>1110</v>
      </c>
      <c r="Q45" s="210" t="s">
        <v>1110</v>
      </c>
      <c r="R45" s="210" t="s">
        <v>1077</v>
      </c>
      <c r="S45" s="210" t="s">
        <v>1078</v>
      </c>
      <c r="T45" s="210" t="s">
        <v>32</v>
      </c>
      <c r="U45" s="210" t="s">
        <v>1150</v>
      </c>
      <c r="V45" s="210" t="s">
        <v>25</v>
      </c>
      <c r="W45" s="211" t="s">
        <v>1019</v>
      </c>
      <c r="X45" s="211">
        <v>5000</v>
      </c>
      <c r="Y45" s="211">
        <v>5000</v>
      </c>
      <c r="Z45" s="212">
        <v>5000</v>
      </c>
      <c r="AA45" s="240">
        <v>180</v>
      </c>
      <c r="AB45" s="213">
        <v>1.0999999999999999E-2</v>
      </c>
      <c r="AC45" s="213">
        <v>0.2</v>
      </c>
      <c r="AD45" s="213" t="s">
        <v>109</v>
      </c>
      <c r="AE45" s="213">
        <v>2.7499999999999998E-3</v>
      </c>
      <c r="AF45" s="241">
        <v>305729235.14999998</v>
      </c>
      <c r="AG45" s="241">
        <v>305729235.14999998</v>
      </c>
      <c r="AH45" s="213">
        <v>8.1299999999999997E-2</v>
      </c>
      <c r="AI45" s="352">
        <v>1.2528999999999999</v>
      </c>
      <c r="AJ45" s="213">
        <v>0.1288</v>
      </c>
      <c r="AK45" s="352">
        <v>1.3685</v>
      </c>
      <c r="AL45" s="213">
        <v>0.20449999999999999</v>
      </c>
      <c r="AM45" s="352">
        <v>1.6931</v>
      </c>
      <c r="AN45" s="213" t="s">
        <v>66</v>
      </c>
      <c r="AO45" s="352" t="s">
        <v>66</v>
      </c>
      <c r="AP45" s="213">
        <v>3.5000000000000001E-3</v>
      </c>
      <c r="AQ45" s="219">
        <v>8.9863481232755422</v>
      </c>
      <c r="AR45" s="213" t="s">
        <v>1827</v>
      </c>
      <c r="AU45" s="343"/>
      <c r="AV45" s="343"/>
      <c r="AW45" s="328"/>
      <c r="AX45" s="329"/>
      <c r="AY45" s="328"/>
      <c r="AZ45" s="328"/>
      <c r="BA45" s="330"/>
      <c r="BB45" s="328"/>
      <c r="BC45" s="328"/>
      <c r="BD45" s="328"/>
      <c r="BE45" s="330"/>
      <c r="BF45" s="330"/>
      <c r="BG45" s="344"/>
      <c r="BH45" s="383"/>
      <c r="BI45" s="330"/>
      <c r="BJ45" s="330"/>
      <c r="BK45" s="330"/>
      <c r="BL45" s="330"/>
      <c r="BM45" s="330"/>
      <c r="BN45" s="330"/>
      <c r="BO45" s="330"/>
      <c r="BP45" s="331"/>
      <c r="BQ45" s="332"/>
      <c r="BR45" s="333"/>
    </row>
    <row r="46" spans="2:70" ht="15.75" customHeight="1">
      <c r="B46" s="216" t="s">
        <v>182</v>
      </c>
      <c r="C46" s="212">
        <v>769485</v>
      </c>
      <c r="D46" s="223">
        <v>17012208000123</v>
      </c>
      <c r="E46" s="217" t="s">
        <v>19</v>
      </c>
      <c r="F46" s="217" t="s">
        <v>963</v>
      </c>
      <c r="G46" s="217" t="s">
        <v>1011</v>
      </c>
      <c r="H46" s="218" t="s">
        <v>1113</v>
      </c>
      <c r="I46" s="217" t="s">
        <v>66</v>
      </c>
      <c r="J46" s="217" t="s">
        <v>1794</v>
      </c>
      <c r="K46" s="218" t="s">
        <v>951</v>
      </c>
      <c r="L46" s="212" t="s">
        <v>87</v>
      </c>
      <c r="M46" s="250" t="s">
        <v>1843</v>
      </c>
      <c r="N46" s="239">
        <v>41365</v>
      </c>
      <c r="O46" s="210" t="s">
        <v>181</v>
      </c>
      <c r="P46" s="210" t="s">
        <v>1110</v>
      </c>
      <c r="Q46" s="210" t="s">
        <v>1110</v>
      </c>
      <c r="R46" s="210" t="s">
        <v>1077</v>
      </c>
      <c r="S46" s="210" t="s">
        <v>1078</v>
      </c>
      <c r="T46" s="210" t="s">
        <v>349</v>
      </c>
      <c r="U46" s="210" t="s">
        <v>1114</v>
      </c>
      <c r="V46" s="210" t="s">
        <v>25</v>
      </c>
      <c r="W46" s="211" t="s">
        <v>1016</v>
      </c>
      <c r="X46" s="211">
        <v>5000</v>
      </c>
      <c r="Y46" s="211">
        <v>5000</v>
      </c>
      <c r="Z46" s="212">
        <v>5000</v>
      </c>
      <c r="AA46" s="240">
        <v>90</v>
      </c>
      <c r="AB46" s="213">
        <v>1.0999999999999999E-2</v>
      </c>
      <c r="AC46" s="213">
        <v>0.2</v>
      </c>
      <c r="AD46" s="213" t="s">
        <v>109</v>
      </c>
      <c r="AE46" s="213">
        <v>1.8333333333333331E-3</v>
      </c>
      <c r="AF46" s="241">
        <v>832247070.64999998</v>
      </c>
      <c r="AG46" s="241">
        <v>832247070.64999998</v>
      </c>
      <c r="AH46" s="213">
        <v>8.1500000000000003E-2</v>
      </c>
      <c r="AI46" s="352">
        <v>1.2545999999999999</v>
      </c>
      <c r="AJ46" s="213">
        <v>0.12889999999999999</v>
      </c>
      <c r="AK46" s="352">
        <v>1.3705000000000001</v>
      </c>
      <c r="AL46" s="213">
        <v>0.20499999999999999</v>
      </c>
      <c r="AM46" s="352">
        <v>1.6966000000000001</v>
      </c>
      <c r="AN46" s="213">
        <v>0.25929999999999997</v>
      </c>
      <c r="AO46" s="352">
        <v>1.5387999999999999</v>
      </c>
      <c r="AP46" s="213">
        <v>3.5000000000000001E-3</v>
      </c>
      <c r="AQ46" s="219">
        <v>9.022406106689596</v>
      </c>
      <c r="AR46" s="213" t="s">
        <v>1827</v>
      </c>
      <c r="AU46" s="343"/>
      <c r="AV46" s="343"/>
      <c r="AW46" s="328"/>
      <c r="AX46" s="329"/>
      <c r="AY46" s="328"/>
      <c r="AZ46" s="328"/>
      <c r="BA46" s="330"/>
      <c r="BB46" s="328"/>
      <c r="BC46" s="328"/>
      <c r="BD46" s="328"/>
      <c r="BE46" s="330"/>
      <c r="BF46" s="330"/>
      <c r="BG46" s="344"/>
      <c r="BH46" s="383"/>
      <c r="BI46" s="330"/>
      <c r="BJ46" s="330"/>
      <c r="BK46" s="330"/>
      <c r="BL46" s="330"/>
      <c r="BM46" s="330"/>
      <c r="BN46" s="330"/>
      <c r="BO46" s="330"/>
      <c r="BP46" s="331"/>
      <c r="BQ46" s="332"/>
      <c r="BR46" s="333"/>
    </row>
    <row r="47" spans="2:70" ht="15.75" customHeight="1">
      <c r="B47" s="216" t="s">
        <v>1193</v>
      </c>
      <c r="C47" s="212">
        <v>1564249</v>
      </c>
      <c r="D47" s="223">
        <v>33361657000133</v>
      </c>
      <c r="E47" s="217" t="s">
        <v>25</v>
      </c>
      <c r="F47" s="217" t="s">
        <v>959</v>
      </c>
      <c r="G47" s="217" t="s">
        <v>961</v>
      </c>
      <c r="H47" s="218" t="s">
        <v>66</v>
      </c>
      <c r="I47" s="217" t="s">
        <v>1259</v>
      </c>
      <c r="J47" s="217" t="s">
        <v>66</v>
      </c>
      <c r="K47" s="218" t="s">
        <v>954</v>
      </c>
      <c r="L47" s="212"/>
      <c r="M47" s="250" t="s">
        <v>1843</v>
      </c>
      <c r="N47" s="239">
        <v>43641</v>
      </c>
      <c r="O47" s="210" t="s">
        <v>798</v>
      </c>
      <c r="P47" s="210" t="s">
        <v>1102</v>
      </c>
      <c r="Q47" s="210" t="s">
        <v>1102</v>
      </c>
      <c r="R47" s="210" t="s">
        <v>1077</v>
      </c>
      <c r="S47" s="210" t="s">
        <v>1078</v>
      </c>
      <c r="T47" s="210" t="s">
        <v>1082</v>
      </c>
      <c r="U47" s="210" t="s">
        <v>65</v>
      </c>
      <c r="V47" s="210" t="s">
        <v>25</v>
      </c>
      <c r="W47" s="211" t="s">
        <v>1028</v>
      </c>
      <c r="X47" s="211">
        <v>10000</v>
      </c>
      <c r="Y47" s="211">
        <v>5000</v>
      </c>
      <c r="Z47" s="212">
        <v>5000</v>
      </c>
      <c r="AA47" s="240">
        <v>5</v>
      </c>
      <c r="AB47" s="213">
        <v>8.9999999999999993E-3</v>
      </c>
      <c r="AC47" s="213">
        <v>0</v>
      </c>
      <c r="AD47" s="213" t="s">
        <v>113</v>
      </c>
      <c r="AE47" s="213">
        <v>5.3333999999999994E-3</v>
      </c>
      <c r="AF47" s="241">
        <v>237563194.33000001</v>
      </c>
      <c r="AG47" s="241">
        <v>237563194.33000001</v>
      </c>
      <c r="AH47" s="213">
        <v>2.5000000000000001E-2</v>
      </c>
      <c r="AI47" s="352">
        <v>0.38440000000000002</v>
      </c>
      <c r="AJ47" s="213">
        <v>5.6000000000000001E-2</v>
      </c>
      <c r="AK47" s="352">
        <v>0.5948</v>
      </c>
      <c r="AL47" s="213">
        <v>0.13009999999999999</v>
      </c>
      <c r="AM47" s="352">
        <v>1.077</v>
      </c>
      <c r="AN47" s="213">
        <v>0.17530000000000001</v>
      </c>
      <c r="AO47" s="352">
        <v>1.0402</v>
      </c>
      <c r="AP47" s="213">
        <v>6.3700000000000007E-2</v>
      </c>
      <c r="AQ47" s="219">
        <v>-0.52566202484560876</v>
      </c>
      <c r="AR47" s="213" t="s">
        <v>1827</v>
      </c>
      <c r="AU47" s="343"/>
      <c r="AV47" s="343"/>
      <c r="AW47" s="328"/>
      <c r="AX47" s="329"/>
      <c r="AY47" s="328"/>
      <c r="AZ47" s="328"/>
      <c r="BA47" s="330"/>
      <c r="BB47" s="328"/>
      <c r="BC47" s="328"/>
      <c r="BD47" s="328"/>
      <c r="BE47" s="330"/>
      <c r="BF47" s="330"/>
      <c r="BG47" s="344"/>
      <c r="BH47" s="383"/>
      <c r="BI47" s="330"/>
      <c r="BJ47" s="330"/>
      <c r="BK47" s="330"/>
      <c r="BL47" s="330"/>
      <c r="BM47" s="330"/>
      <c r="BN47" s="330"/>
      <c r="BO47" s="330"/>
      <c r="BP47" s="331"/>
      <c r="BQ47" s="332"/>
      <c r="BR47" s="333"/>
    </row>
    <row r="48" spans="2:70" ht="15.75" customHeight="1">
      <c r="B48" s="216" t="s">
        <v>1269</v>
      </c>
      <c r="C48" s="212">
        <v>1170868</v>
      </c>
      <c r="D48" s="223">
        <v>31964074000171</v>
      </c>
      <c r="E48" s="217" t="s">
        <v>28</v>
      </c>
      <c r="F48" s="217" t="s">
        <v>950</v>
      </c>
      <c r="G48" s="217"/>
      <c r="H48" s="218"/>
      <c r="I48" s="217" t="s">
        <v>66</v>
      </c>
      <c r="J48" s="217" t="s">
        <v>66</v>
      </c>
      <c r="K48" s="218" t="s">
        <v>1046</v>
      </c>
      <c r="L48" s="212"/>
      <c r="M48" s="250" t="s">
        <v>1843</v>
      </c>
      <c r="N48" s="239">
        <v>43445</v>
      </c>
      <c r="O48" s="210" t="s">
        <v>249</v>
      </c>
      <c r="P48" s="210" t="s">
        <v>1075</v>
      </c>
      <c r="Q48" s="210" t="s">
        <v>1076</v>
      </c>
      <c r="R48" s="210" t="s">
        <v>1077</v>
      </c>
      <c r="S48" s="210" t="s">
        <v>1078</v>
      </c>
      <c r="T48" s="210" t="s">
        <v>1079</v>
      </c>
      <c r="U48" s="210" t="s">
        <v>65</v>
      </c>
      <c r="V48" s="210" t="s">
        <v>25</v>
      </c>
      <c r="W48" s="211" t="s">
        <v>1028</v>
      </c>
      <c r="X48" s="211">
        <v>5000</v>
      </c>
      <c r="Y48" s="211">
        <v>5000</v>
      </c>
      <c r="Z48" s="212">
        <v>5000</v>
      </c>
      <c r="AA48" s="240">
        <v>5</v>
      </c>
      <c r="AB48" s="213">
        <v>0.01</v>
      </c>
      <c r="AC48" s="213">
        <v>0</v>
      </c>
      <c r="AD48" s="213" t="s">
        <v>113</v>
      </c>
      <c r="AE48" s="213">
        <v>4.0000000000000001E-3</v>
      </c>
      <c r="AF48" s="241">
        <v>61183358.600000001</v>
      </c>
      <c r="AG48" s="241">
        <v>61183358.600000001</v>
      </c>
      <c r="AH48" s="213">
        <v>-0.32340000000000002</v>
      </c>
      <c r="AI48" s="352">
        <v>-4.9808000000000003</v>
      </c>
      <c r="AJ48" s="213">
        <v>-0.23139999999999999</v>
      </c>
      <c r="AK48" s="352">
        <v>-2.4597000000000002</v>
      </c>
      <c r="AL48" s="213">
        <v>6.13E-2</v>
      </c>
      <c r="AM48" s="352">
        <v>0.50760000000000005</v>
      </c>
      <c r="AN48" s="213">
        <v>0.56340000000000001</v>
      </c>
      <c r="AO48" s="352">
        <v>3.3431999999999999</v>
      </c>
      <c r="AP48" s="213">
        <v>0.21840000000000001</v>
      </c>
      <c r="AQ48" s="219">
        <v>-1.5076973504387197</v>
      </c>
      <c r="AR48" s="213" t="s">
        <v>1824</v>
      </c>
      <c r="AU48" s="343"/>
      <c r="AV48" s="343"/>
      <c r="AW48" s="328"/>
      <c r="AX48" s="329"/>
      <c r="AY48" s="328"/>
      <c r="AZ48" s="328"/>
      <c r="BA48" s="330"/>
      <c r="BB48" s="328"/>
      <c r="BC48" s="328"/>
      <c r="BD48" s="328"/>
      <c r="BE48" s="330"/>
      <c r="BF48" s="330"/>
      <c r="BG48" s="344"/>
      <c r="BH48" s="383"/>
      <c r="BI48" s="330"/>
      <c r="BJ48" s="330"/>
      <c r="BK48" s="330"/>
      <c r="BL48" s="330"/>
      <c r="BM48" s="330"/>
      <c r="BN48" s="330"/>
      <c r="BO48" s="330"/>
      <c r="BP48" s="331"/>
      <c r="BQ48" s="332"/>
      <c r="BR48" s="333"/>
    </row>
    <row r="49" spans="2:70" ht="15.75" customHeight="1">
      <c r="B49" s="216" t="s">
        <v>989</v>
      </c>
      <c r="C49" s="212">
        <v>534573</v>
      </c>
      <c r="D49" s="223">
        <v>20146294000171</v>
      </c>
      <c r="E49" s="217" t="s">
        <v>19</v>
      </c>
      <c r="F49" s="217" t="s">
        <v>963</v>
      </c>
      <c r="G49" s="217" t="s">
        <v>1011</v>
      </c>
      <c r="H49" s="218" t="s">
        <v>1113</v>
      </c>
      <c r="I49" s="217" t="s">
        <v>66</v>
      </c>
      <c r="J49" s="217" t="s">
        <v>66</v>
      </c>
      <c r="K49" s="218" t="s">
        <v>951</v>
      </c>
      <c r="L49" s="212" t="s">
        <v>87</v>
      </c>
      <c r="M49" s="250" t="s">
        <v>1843</v>
      </c>
      <c r="N49" s="239">
        <v>41949</v>
      </c>
      <c r="O49" s="210" t="s">
        <v>1297</v>
      </c>
      <c r="P49" s="210" t="s">
        <v>1090</v>
      </c>
      <c r="Q49" s="210" t="s">
        <v>1091</v>
      </c>
      <c r="R49" s="210" t="s">
        <v>1084</v>
      </c>
      <c r="S49" s="210" t="s">
        <v>1078</v>
      </c>
      <c r="T49" s="210" t="s">
        <v>1275</v>
      </c>
      <c r="U49" s="210" t="s">
        <v>1114</v>
      </c>
      <c r="V49" s="210" t="s">
        <v>19</v>
      </c>
      <c r="W49" s="211" t="s">
        <v>1896</v>
      </c>
      <c r="X49" s="211">
        <v>1000</v>
      </c>
      <c r="Y49" s="211">
        <v>1000</v>
      </c>
      <c r="Z49" s="212">
        <v>1000</v>
      </c>
      <c r="AA49" s="240">
        <v>45</v>
      </c>
      <c r="AB49" s="213">
        <v>5.4999999999999997E-3</v>
      </c>
      <c r="AC49" s="213">
        <v>0</v>
      </c>
      <c r="AD49" s="213" t="s">
        <v>109</v>
      </c>
      <c r="AE49" s="213">
        <v>1.6499999999999998E-3</v>
      </c>
      <c r="AF49" s="241">
        <v>1250839867.7</v>
      </c>
      <c r="AG49" s="241">
        <v>1250839867.7</v>
      </c>
      <c r="AH49" s="213">
        <v>7.7200000000000005E-2</v>
      </c>
      <c r="AI49" s="352">
        <v>1.1893</v>
      </c>
      <c r="AJ49" s="213">
        <v>0.1154</v>
      </c>
      <c r="AK49" s="352">
        <v>1.2267999999999999</v>
      </c>
      <c r="AL49" s="213">
        <v>0.2026</v>
      </c>
      <c r="AM49" s="352">
        <v>1.6771</v>
      </c>
      <c r="AN49" s="213">
        <v>0.2417</v>
      </c>
      <c r="AO49" s="352">
        <v>1.4341999999999999</v>
      </c>
      <c r="AP49" s="213">
        <v>5.8999999999999999E-3</v>
      </c>
      <c r="AQ49" s="219">
        <v>3.252860791496504</v>
      </c>
      <c r="AR49" s="213" t="s">
        <v>1827</v>
      </c>
      <c r="AU49" s="343"/>
      <c r="AV49" s="343"/>
      <c r="AW49" s="328"/>
      <c r="AX49" s="329"/>
      <c r="AY49" s="328"/>
      <c r="AZ49" s="328"/>
      <c r="BA49" s="330"/>
      <c r="BB49" s="328"/>
      <c r="BC49" s="328"/>
      <c r="BD49" s="328"/>
      <c r="BE49" s="330"/>
      <c r="BF49" s="330"/>
      <c r="BG49" s="344"/>
      <c r="BH49" s="383"/>
      <c r="BI49" s="330"/>
      <c r="BJ49" s="330"/>
      <c r="BK49" s="330"/>
      <c r="BL49" s="330"/>
      <c r="BM49" s="330"/>
      <c r="BN49" s="330"/>
      <c r="BO49" s="330"/>
      <c r="BP49" s="331"/>
      <c r="BQ49" s="332"/>
      <c r="BR49" s="333"/>
    </row>
    <row r="50" spans="2:70" ht="15.75" customHeight="1">
      <c r="B50" s="216" t="s">
        <v>758</v>
      </c>
      <c r="C50" s="212">
        <v>534882</v>
      </c>
      <c r="D50" s="223">
        <v>20226378000115</v>
      </c>
      <c r="E50" s="217" t="s">
        <v>25</v>
      </c>
      <c r="F50" s="217" t="s">
        <v>958</v>
      </c>
      <c r="G50" s="217" t="s">
        <v>962</v>
      </c>
      <c r="H50" s="218" t="s">
        <v>66</v>
      </c>
      <c r="I50" s="217" t="s">
        <v>1842</v>
      </c>
      <c r="J50" s="217" t="s">
        <v>66</v>
      </c>
      <c r="K50" s="218"/>
      <c r="L50" s="212" t="s">
        <v>87</v>
      </c>
      <c r="M50" s="250" t="s">
        <v>1843</v>
      </c>
      <c r="N50" s="239">
        <v>41852</v>
      </c>
      <c r="O50" s="210" t="s">
        <v>114</v>
      </c>
      <c r="P50" s="210" t="s">
        <v>1075</v>
      </c>
      <c r="Q50" s="210" t="s">
        <v>1076</v>
      </c>
      <c r="R50" s="210" t="s">
        <v>1084</v>
      </c>
      <c r="S50" s="210" t="s">
        <v>1078</v>
      </c>
      <c r="T50" s="210" t="s">
        <v>1082</v>
      </c>
      <c r="U50" s="210" t="s">
        <v>958</v>
      </c>
      <c r="V50" s="210" t="s">
        <v>25</v>
      </c>
      <c r="W50" s="211" t="s">
        <v>1012</v>
      </c>
      <c r="X50" s="211">
        <v>500</v>
      </c>
      <c r="Y50" s="211">
        <v>100</v>
      </c>
      <c r="Z50" s="212">
        <v>100</v>
      </c>
      <c r="AA50" s="240">
        <v>31</v>
      </c>
      <c r="AB50" s="213">
        <v>0.02</v>
      </c>
      <c r="AC50" s="213">
        <v>0.2</v>
      </c>
      <c r="AD50" s="213" t="s">
        <v>113</v>
      </c>
      <c r="AE50" s="213">
        <v>4.0000000000000001E-3</v>
      </c>
      <c r="AF50" s="241">
        <v>915367802.10000002</v>
      </c>
      <c r="AG50" s="241">
        <v>915367802.10000002</v>
      </c>
      <c r="AH50" s="213">
        <v>9.1200000000000003E-2</v>
      </c>
      <c r="AI50" s="352">
        <v>1.4052</v>
      </c>
      <c r="AJ50" s="213">
        <v>0.1124</v>
      </c>
      <c r="AK50" s="352">
        <v>1.1946000000000001</v>
      </c>
      <c r="AL50" s="213">
        <v>0.2858</v>
      </c>
      <c r="AM50" s="352">
        <v>2.3660000000000001</v>
      </c>
      <c r="AN50" s="213">
        <v>0.22689999999999999</v>
      </c>
      <c r="AO50" s="352">
        <v>1.3463000000000001</v>
      </c>
      <c r="AP50" s="213">
        <v>7.7700000000000005E-2</v>
      </c>
      <c r="AQ50" s="219">
        <v>0.25243717270068927</v>
      </c>
      <c r="AR50" s="213" t="s">
        <v>1827</v>
      </c>
      <c r="AU50" s="343"/>
      <c r="AV50" s="343"/>
      <c r="AW50" s="328"/>
      <c r="AX50" s="329"/>
      <c r="AY50" s="328"/>
      <c r="AZ50" s="328"/>
      <c r="BA50" s="330"/>
      <c r="BB50" s="328"/>
      <c r="BC50" s="328"/>
      <c r="BD50" s="328"/>
      <c r="BE50" s="330"/>
      <c r="BF50" s="330"/>
      <c r="BG50" s="344"/>
      <c r="BH50" s="383"/>
      <c r="BI50" s="330"/>
      <c r="BJ50" s="330"/>
      <c r="BK50" s="330"/>
      <c r="BL50" s="330"/>
      <c r="BM50" s="330"/>
      <c r="BN50" s="330"/>
      <c r="BO50" s="330"/>
      <c r="BP50" s="331"/>
      <c r="BQ50" s="332"/>
      <c r="BR50" s="333"/>
    </row>
    <row r="51" spans="2:70" ht="15.75" customHeight="1">
      <c r="B51" s="216" t="s">
        <v>290</v>
      </c>
      <c r="C51" s="212">
        <v>521264</v>
      </c>
      <c r="D51" s="223">
        <v>41907541000185</v>
      </c>
      <c r="E51" s="217" t="s">
        <v>28</v>
      </c>
      <c r="F51" s="217" t="s">
        <v>957</v>
      </c>
      <c r="G51" s="217" t="s">
        <v>1038</v>
      </c>
      <c r="H51" s="218"/>
      <c r="I51" s="217" t="s">
        <v>1259</v>
      </c>
      <c r="J51" s="217" t="s">
        <v>66</v>
      </c>
      <c r="K51" s="218" t="s">
        <v>951</v>
      </c>
      <c r="L51" s="212" t="s">
        <v>87</v>
      </c>
      <c r="M51" s="250" t="s">
        <v>1843</v>
      </c>
      <c r="N51" s="239">
        <v>44349</v>
      </c>
      <c r="O51" s="210" t="s">
        <v>114</v>
      </c>
      <c r="P51" s="210" t="s">
        <v>1075</v>
      </c>
      <c r="Q51" s="210" t="s">
        <v>1076</v>
      </c>
      <c r="R51" s="210" t="s">
        <v>1077</v>
      </c>
      <c r="S51" s="210" t="s">
        <v>1078</v>
      </c>
      <c r="T51" s="210" t="s">
        <v>1079</v>
      </c>
      <c r="U51" s="210" t="s">
        <v>957</v>
      </c>
      <c r="V51" s="210" t="s">
        <v>25</v>
      </c>
      <c r="W51" s="211" t="s">
        <v>1016</v>
      </c>
      <c r="X51" s="211">
        <v>5000</v>
      </c>
      <c r="Y51" s="211">
        <v>1000</v>
      </c>
      <c r="Z51" s="212">
        <v>1000</v>
      </c>
      <c r="AA51" s="240">
        <v>32</v>
      </c>
      <c r="AB51" s="213">
        <v>0.02</v>
      </c>
      <c r="AC51" s="213">
        <v>0.2</v>
      </c>
      <c r="AD51" s="213" t="s">
        <v>113</v>
      </c>
      <c r="AE51" s="213">
        <v>4.0000000000000001E-3</v>
      </c>
      <c r="AF51" s="241">
        <v>378099542.50999999</v>
      </c>
      <c r="AG51" s="241">
        <v>378099542.50999999</v>
      </c>
      <c r="AH51" s="213">
        <v>1.1299999999999999E-2</v>
      </c>
      <c r="AI51" s="352">
        <v>0.17449999999999999</v>
      </c>
      <c r="AJ51" s="213">
        <v>-4.2799999999999998E-2</v>
      </c>
      <c r="AK51" s="352">
        <v>-0.45540000000000003</v>
      </c>
      <c r="AL51" s="213" t="s">
        <v>66</v>
      </c>
      <c r="AM51" s="352" t="s">
        <v>66</v>
      </c>
      <c r="AN51" s="213" t="s">
        <v>66</v>
      </c>
      <c r="AO51" s="352" t="s">
        <v>66</v>
      </c>
      <c r="AP51" s="213">
        <v>0.10639999999999999</v>
      </c>
      <c r="AQ51" s="219">
        <v>-1.2040389859218747</v>
      </c>
      <c r="AR51" s="213" t="s">
        <v>1827</v>
      </c>
      <c r="AU51" s="343"/>
      <c r="AV51" s="343"/>
      <c r="AW51" s="328"/>
      <c r="AX51" s="329"/>
      <c r="AY51" s="328"/>
      <c r="AZ51" s="328"/>
      <c r="BA51" s="330"/>
      <c r="BB51" s="328"/>
      <c r="BC51" s="328"/>
      <c r="BD51" s="328"/>
      <c r="BE51" s="330"/>
      <c r="BF51" s="330"/>
      <c r="BG51" s="344"/>
      <c r="BH51" s="383"/>
      <c r="BI51" s="330"/>
      <c r="BJ51" s="330"/>
      <c r="BK51" s="330"/>
      <c r="BL51" s="330"/>
      <c r="BM51" s="330"/>
      <c r="BN51" s="330"/>
      <c r="BO51" s="330"/>
      <c r="BP51" s="331"/>
      <c r="BQ51" s="332"/>
      <c r="BR51" s="333"/>
    </row>
    <row r="52" spans="2:70" ht="15.75" customHeight="1">
      <c r="B52" s="216" t="s">
        <v>300</v>
      </c>
      <c r="C52" s="212">
        <v>1166361</v>
      </c>
      <c r="D52" s="223">
        <v>34702572000134</v>
      </c>
      <c r="E52" s="217" t="s">
        <v>25</v>
      </c>
      <c r="F52" s="217" t="s">
        <v>959</v>
      </c>
      <c r="G52" s="217" t="s">
        <v>953</v>
      </c>
      <c r="H52" s="218" t="s">
        <v>66</v>
      </c>
      <c r="I52" s="217" t="s">
        <v>1842</v>
      </c>
      <c r="J52" s="217" t="s">
        <v>66</v>
      </c>
      <c r="K52" s="218" t="s">
        <v>954</v>
      </c>
      <c r="L52" s="212" t="s">
        <v>87</v>
      </c>
      <c r="M52" s="250" t="s">
        <v>1843</v>
      </c>
      <c r="N52" s="239">
        <v>43887</v>
      </c>
      <c r="O52" s="210" t="s">
        <v>301</v>
      </c>
      <c r="P52" s="210" t="s">
        <v>1090</v>
      </c>
      <c r="Q52" s="210" t="s">
        <v>1091</v>
      </c>
      <c r="R52" s="210" t="s">
        <v>1077</v>
      </c>
      <c r="S52" s="210" t="s">
        <v>1078</v>
      </c>
      <c r="T52" s="210" t="s">
        <v>1082</v>
      </c>
      <c r="U52" s="210" t="s">
        <v>66</v>
      </c>
      <c r="V52" s="210" t="s">
        <v>25</v>
      </c>
      <c r="W52" s="211" t="s">
        <v>1016</v>
      </c>
      <c r="X52" s="211">
        <v>10000</v>
      </c>
      <c r="Y52" s="211">
        <v>1000</v>
      </c>
      <c r="Z52" s="212">
        <v>1000</v>
      </c>
      <c r="AA52" s="240">
        <v>18</v>
      </c>
      <c r="AB52" s="213">
        <v>0.02</v>
      </c>
      <c r="AC52" s="213">
        <v>0.2</v>
      </c>
      <c r="AD52" s="213" t="s">
        <v>109</v>
      </c>
      <c r="AE52" s="213">
        <v>4.0000000000000001E-3</v>
      </c>
      <c r="AF52" s="241">
        <v>165933666.28999999</v>
      </c>
      <c r="AG52" s="241">
        <v>165933666.28999999</v>
      </c>
      <c r="AH52" s="213">
        <v>9.5100000000000004E-2</v>
      </c>
      <c r="AI52" s="352">
        <v>1.4650000000000001</v>
      </c>
      <c r="AJ52" s="213">
        <v>0.18890000000000001</v>
      </c>
      <c r="AK52" s="352">
        <v>2.0083000000000002</v>
      </c>
      <c r="AL52" s="213">
        <v>0.46839999999999998</v>
      </c>
      <c r="AM52" s="352">
        <v>3.8769</v>
      </c>
      <c r="AN52" s="213" t="s">
        <v>66</v>
      </c>
      <c r="AO52" s="352" t="s">
        <v>66</v>
      </c>
      <c r="AP52" s="213">
        <v>9.2700000000000005E-2</v>
      </c>
      <c r="AQ52" s="219">
        <v>0.94351555040897306</v>
      </c>
      <c r="AR52" s="213" t="s">
        <v>1827</v>
      </c>
      <c r="AU52" s="343"/>
      <c r="AV52" s="343"/>
      <c r="AW52" s="328"/>
      <c r="AX52" s="329"/>
      <c r="AY52" s="328"/>
      <c r="AZ52" s="328"/>
      <c r="BA52" s="330"/>
      <c r="BB52" s="328"/>
      <c r="BC52" s="328"/>
      <c r="BD52" s="328"/>
      <c r="BE52" s="330"/>
      <c r="BF52" s="330"/>
      <c r="BG52" s="344"/>
      <c r="BH52" s="383"/>
      <c r="BI52" s="330"/>
      <c r="BJ52" s="330"/>
      <c r="BK52" s="330"/>
      <c r="BL52" s="330"/>
      <c r="BM52" s="330"/>
      <c r="BN52" s="330"/>
      <c r="BO52" s="330"/>
      <c r="BP52" s="331"/>
      <c r="BQ52" s="332"/>
      <c r="BR52" s="333"/>
    </row>
    <row r="53" spans="2:70" ht="15.75" customHeight="1">
      <c r="B53" s="216" t="s">
        <v>80</v>
      </c>
      <c r="C53" s="212">
        <v>2491268</v>
      </c>
      <c r="D53" s="223">
        <v>30317454000151</v>
      </c>
      <c r="E53" s="217" t="s">
        <v>28</v>
      </c>
      <c r="F53" s="217" t="s">
        <v>957</v>
      </c>
      <c r="G53" s="217" t="s">
        <v>1820</v>
      </c>
      <c r="H53" s="218"/>
      <c r="I53" s="217" t="s">
        <v>1259</v>
      </c>
      <c r="J53" s="217" t="s">
        <v>66</v>
      </c>
      <c r="K53" s="218" t="s">
        <v>951</v>
      </c>
      <c r="L53" s="212" t="s">
        <v>87</v>
      </c>
      <c r="M53" s="250" t="s">
        <v>1843</v>
      </c>
      <c r="N53" s="239">
        <v>43250</v>
      </c>
      <c r="O53" s="210" t="s">
        <v>303</v>
      </c>
      <c r="P53" s="210" t="s">
        <v>1090</v>
      </c>
      <c r="Q53" s="210" t="s">
        <v>1091</v>
      </c>
      <c r="R53" s="210" t="s">
        <v>1084</v>
      </c>
      <c r="S53" s="210" t="s">
        <v>1078</v>
      </c>
      <c r="T53" s="210" t="s">
        <v>1079</v>
      </c>
      <c r="U53" s="210" t="s">
        <v>957</v>
      </c>
      <c r="V53" s="210" t="s">
        <v>25</v>
      </c>
      <c r="W53" s="211" t="s">
        <v>1016</v>
      </c>
      <c r="X53" s="211">
        <v>500</v>
      </c>
      <c r="Y53" s="211">
        <v>100</v>
      </c>
      <c r="Z53" s="212">
        <v>100</v>
      </c>
      <c r="AA53" s="240">
        <v>32</v>
      </c>
      <c r="AB53" s="213">
        <v>1.8499999999999999E-2</v>
      </c>
      <c r="AC53" s="213">
        <v>0.2</v>
      </c>
      <c r="AD53" s="213" t="s">
        <v>203</v>
      </c>
      <c r="AE53" s="213">
        <v>4.6249999999999998E-3</v>
      </c>
      <c r="AF53" s="241">
        <v>931858042.26999998</v>
      </c>
      <c r="AG53" s="241">
        <v>931858042.26999998</v>
      </c>
      <c r="AH53" s="213">
        <v>-1.41E-2</v>
      </c>
      <c r="AI53" s="352">
        <v>-0.21759999999999999</v>
      </c>
      <c r="AJ53" s="213">
        <v>-0.1217</v>
      </c>
      <c r="AK53" s="352">
        <v>-1.2930999999999999</v>
      </c>
      <c r="AL53" s="213">
        <v>8.6E-3</v>
      </c>
      <c r="AM53" s="352">
        <v>7.1499999999999994E-2</v>
      </c>
      <c r="AN53" s="213">
        <v>0.23280000000000001</v>
      </c>
      <c r="AO53" s="352">
        <v>1.3812</v>
      </c>
      <c r="AP53" s="213">
        <v>0.109</v>
      </c>
      <c r="AQ53" s="219">
        <v>-1.9611580722272322</v>
      </c>
      <c r="AR53" s="213" t="s">
        <v>1827</v>
      </c>
      <c r="AU53" s="343"/>
      <c r="AV53" s="343"/>
      <c r="AW53" s="328"/>
      <c r="AX53" s="329"/>
      <c r="AY53" s="328"/>
      <c r="AZ53" s="328"/>
      <c r="BA53" s="330"/>
      <c r="BB53" s="328"/>
      <c r="BC53" s="328"/>
      <c r="BD53" s="328"/>
      <c r="BE53" s="330"/>
      <c r="BF53" s="330"/>
      <c r="BG53" s="344"/>
      <c r="BH53" s="383"/>
      <c r="BI53" s="330"/>
      <c r="BJ53" s="330"/>
      <c r="BK53" s="330"/>
      <c r="BL53" s="330"/>
      <c r="BM53" s="330"/>
      <c r="BN53" s="330"/>
      <c r="BO53" s="330"/>
      <c r="BP53" s="331"/>
      <c r="BQ53" s="332"/>
      <c r="BR53" s="333"/>
    </row>
    <row r="54" spans="2:70" ht="15.75" customHeight="1">
      <c r="B54" s="216" t="s">
        <v>304</v>
      </c>
      <c r="C54" s="212">
        <v>1402018</v>
      </c>
      <c r="D54" s="223">
        <v>40920066000114</v>
      </c>
      <c r="E54" s="217" t="s">
        <v>28</v>
      </c>
      <c r="F54" s="217" t="s">
        <v>957</v>
      </c>
      <c r="G54" s="217" t="s">
        <v>953</v>
      </c>
      <c r="H54" s="218"/>
      <c r="I54" s="217" t="s">
        <v>1259</v>
      </c>
      <c r="J54" s="217" t="s">
        <v>66</v>
      </c>
      <c r="K54" s="218" t="s">
        <v>951</v>
      </c>
      <c r="L54" s="212" t="s">
        <v>87</v>
      </c>
      <c r="M54" s="250" t="s">
        <v>1843</v>
      </c>
      <c r="N54" s="239">
        <v>44277</v>
      </c>
      <c r="O54" s="210" t="s">
        <v>305</v>
      </c>
      <c r="P54" s="210" t="s">
        <v>1075</v>
      </c>
      <c r="Q54" s="210" t="s">
        <v>1076</v>
      </c>
      <c r="R54" s="210" t="s">
        <v>1084</v>
      </c>
      <c r="S54" s="210" t="s">
        <v>1078</v>
      </c>
      <c r="T54" s="210" t="s">
        <v>1079</v>
      </c>
      <c r="U54" s="210" t="s">
        <v>957</v>
      </c>
      <c r="V54" s="210" t="s">
        <v>25</v>
      </c>
      <c r="W54" s="211" t="s">
        <v>1023</v>
      </c>
      <c r="X54" s="211">
        <v>500</v>
      </c>
      <c r="Y54" s="211">
        <v>500</v>
      </c>
      <c r="Z54" s="212">
        <v>500</v>
      </c>
      <c r="AA54" s="240">
        <v>32</v>
      </c>
      <c r="AB54" s="213">
        <v>0.02</v>
      </c>
      <c r="AC54" s="213">
        <v>0.2</v>
      </c>
      <c r="AD54" s="213" t="s">
        <v>113</v>
      </c>
      <c r="AE54" s="213">
        <v>4.0000000000000001E-3</v>
      </c>
      <c r="AF54" s="241">
        <v>106314065.69</v>
      </c>
      <c r="AG54" s="241">
        <v>106314065.69</v>
      </c>
      <c r="AH54" s="213">
        <v>7.4399999999999994E-2</v>
      </c>
      <c r="AI54" s="352">
        <v>1.1453</v>
      </c>
      <c r="AJ54" s="213">
        <v>0.1008</v>
      </c>
      <c r="AK54" s="352">
        <v>1.0718000000000001</v>
      </c>
      <c r="AL54" s="213" t="s">
        <v>66</v>
      </c>
      <c r="AM54" s="352" t="s">
        <v>66</v>
      </c>
      <c r="AN54" s="213" t="s">
        <v>66</v>
      </c>
      <c r="AO54" s="352" t="s">
        <v>66</v>
      </c>
      <c r="AP54" s="213">
        <v>0.10340000000000001</v>
      </c>
      <c r="AQ54" s="219">
        <v>0.11100662047943778</v>
      </c>
      <c r="AR54" s="213" t="s">
        <v>1827</v>
      </c>
      <c r="AU54" s="343"/>
      <c r="AV54" s="343"/>
      <c r="AW54" s="328"/>
      <c r="AX54" s="329"/>
      <c r="AY54" s="328"/>
      <c r="AZ54" s="328"/>
      <c r="BA54" s="330"/>
      <c r="BB54" s="328"/>
      <c r="BC54" s="328"/>
      <c r="BD54" s="328"/>
      <c r="BE54" s="330"/>
      <c r="BF54" s="330"/>
      <c r="BG54" s="344"/>
      <c r="BH54" s="383"/>
      <c r="BI54" s="330"/>
      <c r="BJ54" s="330"/>
      <c r="BK54" s="330"/>
      <c r="BL54" s="330"/>
      <c r="BM54" s="330"/>
      <c r="BN54" s="330"/>
      <c r="BO54" s="330"/>
      <c r="BP54" s="331"/>
      <c r="BQ54" s="332"/>
      <c r="BR54" s="333"/>
    </row>
    <row r="55" spans="2:70" ht="15.75" customHeight="1">
      <c r="B55" s="216" t="s">
        <v>47</v>
      </c>
      <c r="C55" s="212">
        <v>833308</v>
      </c>
      <c r="D55" s="223">
        <v>8893082000152</v>
      </c>
      <c r="E55" s="217" t="s">
        <v>25</v>
      </c>
      <c r="F55" s="217" t="s">
        <v>958</v>
      </c>
      <c r="G55" s="217" t="s">
        <v>962</v>
      </c>
      <c r="H55" s="218" t="s">
        <v>66</v>
      </c>
      <c r="I55" s="217" t="s">
        <v>1841</v>
      </c>
      <c r="J55" s="217" t="s">
        <v>66</v>
      </c>
      <c r="K55" s="218" t="s">
        <v>954</v>
      </c>
      <c r="L55" s="212" t="s">
        <v>87</v>
      </c>
      <c r="M55" s="250" t="s">
        <v>1843</v>
      </c>
      <c r="N55" s="239">
        <v>39629</v>
      </c>
      <c r="O55" s="210" t="s">
        <v>355</v>
      </c>
      <c r="P55" s="210" t="s">
        <v>1088</v>
      </c>
      <c r="Q55" s="210" t="s">
        <v>1089</v>
      </c>
      <c r="R55" s="210" t="s">
        <v>1084</v>
      </c>
      <c r="S55" s="210" t="s">
        <v>1078</v>
      </c>
      <c r="T55" s="210" t="s">
        <v>1082</v>
      </c>
      <c r="U55" s="210" t="s">
        <v>958</v>
      </c>
      <c r="V55" s="210" t="s">
        <v>25</v>
      </c>
      <c r="W55" s="211" t="s">
        <v>1016</v>
      </c>
      <c r="X55" s="211">
        <v>10000</v>
      </c>
      <c r="Y55" s="211">
        <v>5000</v>
      </c>
      <c r="Z55" s="212">
        <v>5000</v>
      </c>
      <c r="AA55" s="240">
        <v>30</v>
      </c>
      <c r="AB55" s="213">
        <v>1.975E-2</v>
      </c>
      <c r="AC55" s="213">
        <v>0.2</v>
      </c>
      <c r="AD55" s="213" t="s">
        <v>109</v>
      </c>
      <c r="AE55" s="213">
        <v>3.9499999999999995E-3</v>
      </c>
      <c r="AF55" s="241">
        <v>1035603558.66</v>
      </c>
      <c r="AG55" s="241">
        <v>1035603558.66</v>
      </c>
      <c r="AH55" s="213">
        <v>0.1376</v>
      </c>
      <c r="AI55" s="352">
        <v>2.1196000000000002</v>
      </c>
      <c r="AJ55" s="213">
        <v>0.1608</v>
      </c>
      <c r="AK55" s="352">
        <v>1.7090000000000001</v>
      </c>
      <c r="AL55" s="213">
        <v>0.24379999999999999</v>
      </c>
      <c r="AM55" s="352">
        <v>2.0183</v>
      </c>
      <c r="AN55" s="213">
        <v>0.33879999999999999</v>
      </c>
      <c r="AO55" s="352">
        <v>2.0106999999999999</v>
      </c>
      <c r="AP55" s="213">
        <v>4.07E-2</v>
      </c>
      <c r="AQ55" s="219">
        <v>1.4734128705527543</v>
      </c>
      <c r="AR55" s="213" t="s">
        <v>1827</v>
      </c>
      <c r="AU55" s="343"/>
      <c r="AV55" s="343"/>
      <c r="AW55" s="328"/>
      <c r="AX55" s="329"/>
      <c r="AY55" s="328"/>
      <c r="AZ55" s="328"/>
      <c r="BA55" s="330"/>
      <c r="BB55" s="328"/>
      <c r="BC55" s="328"/>
      <c r="BD55" s="328"/>
      <c r="BE55" s="330"/>
      <c r="BF55" s="330"/>
      <c r="BG55" s="344"/>
      <c r="BH55" s="383"/>
      <c r="BI55" s="330"/>
      <c r="BJ55" s="330"/>
      <c r="BK55" s="330"/>
      <c r="BL55" s="330"/>
      <c r="BM55" s="330"/>
      <c r="BN55" s="330"/>
      <c r="BO55" s="330"/>
      <c r="BP55" s="331"/>
      <c r="BQ55" s="332"/>
      <c r="BR55" s="333"/>
    </row>
    <row r="56" spans="2:70" ht="15.75" customHeight="1">
      <c r="B56" s="216" t="s">
        <v>994</v>
      </c>
      <c r="C56" s="212">
        <v>534714</v>
      </c>
      <c r="D56" s="223">
        <v>30556738000109</v>
      </c>
      <c r="E56" s="217" t="s">
        <v>25</v>
      </c>
      <c r="F56" s="217" t="s">
        <v>958</v>
      </c>
      <c r="G56" s="217" t="s">
        <v>962</v>
      </c>
      <c r="H56" s="218" t="s">
        <v>66</v>
      </c>
      <c r="I56" s="217" t="s">
        <v>1259</v>
      </c>
      <c r="J56" s="217" t="s">
        <v>66</v>
      </c>
      <c r="K56" s="218" t="s">
        <v>954</v>
      </c>
      <c r="L56" s="212" t="s">
        <v>87</v>
      </c>
      <c r="M56" s="250" t="s">
        <v>1843</v>
      </c>
      <c r="N56" s="239">
        <v>43375</v>
      </c>
      <c r="O56" s="210" t="s">
        <v>355</v>
      </c>
      <c r="P56" s="210" t="s">
        <v>1088</v>
      </c>
      <c r="Q56" s="210" t="s">
        <v>1089</v>
      </c>
      <c r="R56" s="210" t="s">
        <v>1077</v>
      </c>
      <c r="S56" s="210" t="s">
        <v>1085</v>
      </c>
      <c r="T56" s="210" t="s">
        <v>1082</v>
      </c>
      <c r="U56" s="210" t="s">
        <v>958</v>
      </c>
      <c r="V56" s="210" t="s">
        <v>25</v>
      </c>
      <c r="W56" s="211" t="s">
        <v>1016</v>
      </c>
      <c r="X56" s="211">
        <v>100000</v>
      </c>
      <c r="Y56" s="211">
        <v>50000</v>
      </c>
      <c r="Z56" s="212">
        <v>100000</v>
      </c>
      <c r="AA56" s="240">
        <v>90</v>
      </c>
      <c r="AB56" s="213">
        <v>1.975E-2</v>
      </c>
      <c r="AC56" s="213">
        <v>0.2</v>
      </c>
      <c r="AD56" s="213" t="s">
        <v>109</v>
      </c>
      <c r="AE56" s="213">
        <v>3.9500000000000004E-3</v>
      </c>
      <c r="AF56" s="241">
        <v>612077606.28999996</v>
      </c>
      <c r="AG56" s="241">
        <v>612077606.28999996</v>
      </c>
      <c r="AH56" s="213">
        <v>0.1797</v>
      </c>
      <c r="AI56" s="352">
        <v>2.7673999999999999</v>
      </c>
      <c r="AJ56" s="213">
        <v>0.20369999999999999</v>
      </c>
      <c r="AK56" s="352">
        <v>2.1646000000000001</v>
      </c>
      <c r="AL56" s="213">
        <v>0.33050000000000002</v>
      </c>
      <c r="AM56" s="352">
        <v>2.7357999999999998</v>
      </c>
      <c r="AN56" s="213">
        <v>0.4587</v>
      </c>
      <c r="AO56" s="352">
        <v>2.7221000000000002</v>
      </c>
      <c r="AP56" s="213">
        <v>5.9799999999999999E-2</v>
      </c>
      <c r="AQ56" s="219">
        <v>1.6271026556384292</v>
      </c>
      <c r="AR56" s="213" t="s">
        <v>1827</v>
      </c>
      <c r="AU56" s="343"/>
      <c r="AV56" s="343"/>
      <c r="AW56" s="328"/>
      <c r="AX56" s="329"/>
      <c r="AY56" s="328"/>
      <c r="AZ56" s="328"/>
      <c r="BA56" s="330"/>
      <c r="BB56" s="328"/>
      <c r="BC56" s="328"/>
      <c r="BD56" s="328"/>
      <c r="BE56" s="330"/>
      <c r="BF56" s="330"/>
      <c r="BG56" s="344"/>
      <c r="BH56" s="383"/>
      <c r="BI56" s="330"/>
      <c r="BJ56" s="330"/>
      <c r="BK56" s="330"/>
      <c r="BL56" s="330"/>
      <c r="BM56" s="330"/>
      <c r="BN56" s="330"/>
      <c r="BO56" s="330"/>
      <c r="BP56" s="331"/>
      <c r="BQ56" s="332"/>
      <c r="BR56" s="333"/>
    </row>
    <row r="57" spans="2:70" ht="15.75" customHeight="1">
      <c r="B57" s="216" t="s">
        <v>362</v>
      </c>
      <c r="C57" s="212">
        <v>1240090</v>
      </c>
      <c r="D57" s="223">
        <v>29826089000121</v>
      </c>
      <c r="E57" s="217" t="s">
        <v>25</v>
      </c>
      <c r="F57" s="217" t="s">
        <v>959</v>
      </c>
      <c r="G57" s="217" t="s">
        <v>953</v>
      </c>
      <c r="H57" s="218" t="s">
        <v>66</v>
      </c>
      <c r="I57" s="217" t="s">
        <v>1842</v>
      </c>
      <c r="J57" s="217" t="s">
        <v>66</v>
      </c>
      <c r="K57" s="218" t="s">
        <v>954</v>
      </c>
      <c r="L57" s="212" t="s">
        <v>87</v>
      </c>
      <c r="M57" s="250" t="s">
        <v>1843</v>
      </c>
      <c r="N57" s="239">
        <v>43307</v>
      </c>
      <c r="O57" s="210" t="s">
        <v>360</v>
      </c>
      <c r="P57" s="210" t="s">
        <v>1090</v>
      </c>
      <c r="Q57" s="210" t="s">
        <v>1091</v>
      </c>
      <c r="R57" s="210" t="s">
        <v>1084</v>
      </c>
      <c r="S57" s="210" t="s">
        <v>1078</v>
      </c>
      <c r="T57" s="210" t="s">
        <v>1082</v>
      </c>
      <c r="U57" s="210" t="s">
        <v>1086</v>
      </c>
      <c r="V57" s="210" t="s">
        <v>25</v>
      </c>
      <c r="W57" s="211" t="s">
        <v>1016</v>
      </c>
      <c r="X57" s="211">
        <v>500</v>
      </c>
      <c r="Y57" s="211">
        <v>100</v>
      </c>
      <c r="Z57" s="212">
        <v>500</v>
      </c>
      <c r="AA57" s="240">
        <v>13</v>
      </c>
      <c r="AB57" s="213">
        <v>1.4500000000000001E-2</v>
      </c>
      <c r="AC57" s="213">
        <v>0.2</v>
      </c>
      <c r="AD57" s="213" t="s">
        <v>109</v>
      </c>
      <c r="AE57" s="213">
        <v>2.8999999999999998E-3</v>
      </c>
      <c r="AF57" s="241">
        <v>286218588.75999999</v>
      </c>
      <c r="AG57" s="241">
        <v>286218588.75999999</v>
      </c>
      <c r="AH57" s="213">
        <v>1.15E-2</v>
      </c>
      <c r="AI57" s="352">
        <v>0.17649999999999999</v>
      </c>
      <c r="AJ57" s="213">
        <v>7.3000000000000001E-3</v>
      </c>
      <c r="AK57" s="352">
        <v>7.7799999999999994E-2</v>
      </c>
      <c r="AL57" s="213">
        <v>6.6400000000000001E-2</v>
      </c>
      <c r="AM57" s="352">
        <v>0.54979999999999996</v>
      </c>
      <c r="AN57" s="213">
        <v>0.18459999999999999</v>
      </c>
      <c r="AO57" s="352">
        <v>1.0952999999999999</v>
      </c>
      <c r="AP57" s="213">
        <v>7.2800000000000004E-2</v>
      </c>
      <c r="AQ57" s="219">
        <v>-1.0981841725365442</v>
      </c>
      <c r="AR57" s="213" t="s">
        <v>1827</v>
      </c>
      <c r="AU57" s="343"/>
      <c r="AV57" s="343"/>
      <c r="AW57" s="328"/>
      <c r="AX57" s="329"/>
      <c r="AY57" s="328"/>
      <c r="AZ57" s="328"/>
      <c r="BA57" s="330"/>
      <c r="BB57" s="328"/>
      <c r="BC57" s="328"/>
      <c r="BD57" s="328"/>
      <c r="BE57" s="330"/>
      <c r="BF57" s="330"/>
      <c r="BG57" s="344"/>
      <c r="BH57" s="383"/>
      <c r="BI57" s="330"/>
      <c r="BJ57" s="330"/>
      <c r="BK57" s="330"/>
      <c r="BL57" s="330"/>
      <c r="BM57" s="330"/>
      <c r="BN57" s="330"/>
      <c r="BO57" s="330"/>
      <c r="BP57" s="331"/>
      <c r="BQ57" s="332"/>
      <c r="BR57" s="333"/>
    </row>
    <row r="58" spans="2:70" ht="15.75" customHeight="1">
      <c r="B58" s="216" t="s">
        <v>904</v>
      </c>
      <c r="C58" s="212">
        <v>541620</v>
      </c>
      <c r="D58" s="223">
        <v>41063334000191</v>
      </c>
      <c r="E58" s="217" t="s">
        <v>28</v>
      </c>
      <c r="F58" s="217" t="s">
        <v>950</v>
      </c>
      <c r="G58" s="217" t="s">
        <v>1021</v>
      </c>
      <c r="H58" s="218"/>
      <c r="I58" s="217" t="s">
        <v>66</v>
      </c>
      <c r="J58" s="217" t="s">
        <v>66</v>
      </c>
      <c r="K58" s="218" t="s">
        <v>955</v>
      </c>
      <c r="L58" s="212" t="s">
        <v>88</v>
      </c>
      <c r="M58" s="250" t="s">
        <v>1843</v>
      </c>
      <c r="N58" s="239">
        <v>44364</v>
      </c>
      <c r="O58" s="210" t="s">
        <v>249</v>
      </c>
      <c r="P58" s="210" t="s">
        <v>1075</v>
      </c>
      <c r="Q58" s="210" t="s">
        <v>1076</v>
      </c>
      <c r="R58" s="210" t="s">
        <v>1077</v>
      </c>
      <c r="S58" s="210" t="s">
        <v>1078</v>
      </c>
      <c r="T58" s="210" t="s">
        <v>1079</v>
      </c>
      <c r="U58" s="210" t="s">
        <v>65</v>
      </c>
      <c r="V58" s="210" t="s">
        <v>1080</v>
      </c>
      <c r="W58" s="211" t="s">
        <v>1036</v>
      </c>
      <c r="X58" s="211">
        <v>5000</v>
      </c>
      <c r="Y58" s="211">
        <v>5000</v>
      </c>
      <c r="Z58" s="212">
        <v>5000</v>
      </c>
      <c r="AA58" s="240">
        <v>5</v>
      </c>
      <c r="AB58" s="213">
        <v>0.01</v>
      </c>
      <c r="AC58" s="213">
        <v>0</v>
      </c>
      <c r="AD58" s="213" t="s">
        <v>113</v>
      </c>
      <c r="AE58" s="213">
        <v>8.0000000000000002E-3</v>
      </c>
      <c r="AF58" s="241">
        <v>4487429.49</v>
      </c>
      <c r="AG58" s="241">
        <v>4487429.49</v>
      </c>
      <c r="AH58" s="213">
        <v>-0.27800000000000002</v>
      </c>
      <c r="AI58" s="352">
        <v>-4.2817999999999996</v>
      </c>
      <c r="AJ58" s="213">
        <v>-0.2777</v>
      </c>
      <c r="AK58" s="352">
        <v>-2.9516</v>
      </c>
      <c r="AL58" s="213" t="s">
        <v>66</v>
      </c>
      <c r="AM58" s="352" t="s">
        <v>66</v>
      </c>
      <c r="AN58" s="213" t="s">
        <v>66</v>
      </c>
      <c r="AO58" s="352" t="s">
        <v>66</v>
      </c>
      <c r="AP58" s="213">
        <v>0.26229999999999998</v>
      </c>
      <c r="AQ58" s="219">
        <v>-1.4520992388099134</v>
      </c>
      <c r="AR58" s="213" t="s">
        <v>1824</v>
      </c>
      <c r="AU58" s="343"/>
      <c r="AV58" s="343"/>
      <c r="AW58" s="328"/>
      <c r="AX58" s="329"/>
      <c r="AY58" s="328"/>
      <c r="AZ58" s="328"/>
      <c r="BA58" s="330"/>
      <c r="BB58" s="328"/>
      <c r="BC58" s="328"/>
      <c r="BD58" s="328"/>
      <c r="BE58" s="330"/>
      <c r="BF58" s="330"/>
      <c r="BG58" s="344"/>
      <c r="BH58" s="383"/>
      <c r="BI58" s="330"/>
      <c r="BJ58" s="330"/>
      <c r="BK58" s="330"/>
      <c r="BL58" s="330"/>
      <c r="BM58" s="330"/>
      <c r="BN58" s="330"/>
      <c r="BO58" s="330"/>
      <c r="BP58" s="331"/>
      <c r="BQ58" s="332"/>
      <c r="BR58" s="333"/>
    </row>
    <row r="59" spans="2:70" ht="15.75" customHeight="1">
      <c r="B59" s="216" t="s">
        <v>1433</v>
      </c>
      <c r="C59" s="212">
        <v>1327075</v>
      </c>
      <c r="D59" s="223">
        <v>32300350000160</v>
      </c>
      <c r="E59" s="217" t="s">
        <v>25</v>
      </c>
      <c r="F59" s="217" t="s">
        <v>958</v>
      </c>
      <c r="G59" s="217" t="s">
        <v>962</v>
      </c>
      <c r="H59" s="218" t="s">
        <v>66</v>
      </c>
      <c r="I59" s="217" t="s">
        <v>1841</v>
      </c>
      <c r="J59" s="217" t="s">
        <v>66</v>
      </c>
      <c r="K59" s="218"/>
      <c r="L59" s="212" t="s">
        <v>87</v>
      </c>
      <c r="M59" s="250" t="s">
        <v>1843</v>
      </c>
      <c r="N59" s="239">
        <v>43507</v>
      </c>
      <c r="O59" s="210" t="s">
        <v>114</v>
      </c>
      <c r="P59" s="210" t="s">
        <v>1075</v>
      </c>
      <c r="Q59" s="210" t="s">
        <v>1076</v>
      </c>
      <c r="R59" s="210" t="s">
        <v>1084</v>
      </c>
      <c r="S59" s="210" t="s">
        <v>1078</v>
      </c>
      <c r="T59" s="210" t="s">
        <v>1082</v>
      </c>
      <c r="U59" s="210" t="s">
        <v>958</v>
      </c>
      <c r="V59" s="210" t="s">
        <v>25</v>
      </c>
      <c r="W59" s="211" t="s">
        <v>1016</v>
      </c>
      <c r="X59" s="211">
        <v>20000</v>
      </c>
      <c r="Y59" s="211">
        <v>20000</v>
      </c>
      <c r="Z59" s="212">
        <v>20000</v>
      </c>
      <c r="AA59" s="240">
        <v>31</v>
      </c>
      <c r="AB59" s="213">
        <v>0.02</v>
      </c>
      <c r="AC59" s="213">
        <v>0.2</v>
      </c>
      <c r="AD59" s="213" t="s">
        <v>113</v>
      </c>
      <c r="AE59" s="213">
        <v>2.6666666666666666E-3</v>
      </c>
      <c r="AF59" s="241">
        <v>447232772.41000003</v>
      </c>
      <c r="AG59" s="241">
        <v>447232772.41000003</v>
      </c>
      <c r="AH59" s="213">
        <v>8.9499999999999996E-2</v>
      </c>
      <c r="AI59" s="352">
        <v>1.3793</v>
      </c>
      <c r="AJ59" s="213">
        <v>0.1099</v>
      </c>
      <c r="AK59" s="352">
        <v>1.1677</v>
      </c>
      <c r="AL59" s="213">
        <v>0.11609999999999999</v>
      </c>
      <c r="AM59" s="352">
        <v>0.96099999999999997</v>
      </c>
      <c r="AN59" s="213">
        <v>0.23119999999999999</v>
      </c>
      <c r="AO59" s="352">
        <v>1.3718999999999999</v>
      </c>
      <c r="AP59" s="213">
        <v>2.23E-2</v>
      </c>
      <c r="AQ59" s="219">
        <v>0.6527072069768135</v>
      </c>
      <c r="AR59" s="213" t="s">
        <v>1827</v>
      </c>
      <c r="AU59" s="343"/>
      <c r="AV59" s="343"/>
      <c r="AW59" s="328"/>
      <c r="AX59" s="329"/>
      <c r="AY59" s="328"/>
      <c r="AZ59" s="328"/>
      <c r="BA59" s="330"/>
      <c r="BB59" s="328"/>
      <c r="BC59" s="328"/>
      <c r="BD59" s="328"/>
      <c r="BE59" s="330"/>
      <c r="BF59" s="330"/>
      <c r="BG59" s="344"/>
      <c r="BH59" s="383"/>
      <c r="BI59" s="330"/>
      <c r="BJ59" s="330"/>
      <c r="BK59" s="330"/>
      <c r="BL59" s="330"/>
      <c r="BM59" s="330"/>
      <c r="BN59" s="330"/>
      <c r="BO59" s="330"/>
      <c r="BP59" s="331"/>
      <c r="BQ59" s="332"/>
      <c r="BR59" s="333"/>
    </row>
    <row r="60" spans="2:70" ht="15.75" customHeight="1">
      <c r="B60" s="216" t="s">
        <v>827</v>
      </c>
      <c r="C60" s="212">
        <v>621845</v>
      </c>
      <c r="D60" s="223">
        <v>39469191000170</v>
      </c>
      <c r="E60" s="217" t="s">
        <v>19</v>
      </c>
      <c r="F60" s="217" t="s">
        <v>963</v>
      </c>
      <c r="G60" s="217" t="s">
        <v>1034</v>
      </c>
      <c r="H60" s="218" t="s">
        <v>1113</v>
      </c>
      <c r="I60" s="217" t="s">
        <v>66</v>
      </c>
      <c r="J60" s="217" t="s">
        <v>1822</v>
      </c>
      <c r="K60" s="218" t="s">
        <v>951</v>
      </c>
      <c r="L60" s="212" t="s">
        <v>87</v>
      </c>
      <c r="M60" s="250" t="s">
        <v>1843</v>
      </c>
      <c r="N60" s="239">
        <v>44252</v>
      </c>
      <c r="O60" s="210" t="s">
        <v>828</v>
      </c>
      <c r="P60" s="210" t="s">
        <v>1331</v>
      </c>
      <c r="Q60" s="210" t="s">
        <v>1331</v>
      </c>
      <c r="R60" s="210" t="s">
        <v>1077</v>
      </c>
      <c r="S60" s="210" t="s">
        <v>1078</v>
      </c>
      <c r="T60" s="210" t="s">
        <v>32</v>
      </c>
      <c r="U60" s="210" t="s">
        <v>1150</v>
      </c>
      <c r="V60" s="210" t="s">
        <v>25</v>
      </c>
      <c r="W60" s="211" t="s">
        <v>1016</v>
      </c>
      <c r="X60" s="211">
        <v>5000</v>
      </c>
      <c r="Y60" s="211">
        <v>5000</v>
      </c>
      <c r="Z60" s="212">
        <v>5000</v>
      </c>
      <c r="AA60" s="240">
        <v>151</v>
      </c>
      <c r="AB60" s="213">
        <v>1.95E-2</v>
      </c>
      <c r="AC60" s="213">
        <v>0.2</v>
      </c>
      <c r="AD60" s="213" t="s">
        <v>109</v>
      </c>
      <c r="AE60" s="213">
        <v>6.4999999999999997E-3</v>
      </c>
      <c r="AF60" s="241">
        <v>52732680.189999998</v>
      </c>
      <c r="AG60" s="241">
        <v>52732680.189999998</v>
      </c>
      <c r="AH60" s="213">
        <v>8.5300000000000001E-2</v>
      </c>
      <c r="AI60" s="352">
        <v>1.3146</v>
      </c>
      <c r="AJ60" s="213">
        <v>0.13639999999999999</v>
      </c>
      <c r="AK60" s="352">
        <v>1.4497</v>
      </c>
      <c r="AL60" s="213" t="s">
        <v>66</v>
      </c>
      <c r="AM60" s="352" t="s">
        <v>66</v>
      </c>
      <c r="AN60" s="213" t="s">
        <v>66</v>
      </c>
      <c r="AO60" s="352" t="s">
        <v>66</v>
      </c>
      <c r="AP60" s="213">
        <v>9.4000000000000004E-3</v>
      </c>
      <c r="AQ60" s="219">
        <v>4.0353990972041611</v>
      </c>
      <c r="AR60" s="213" t="s">
        <v>1827</v>
      </c>
      <c r="AU60" s="343"/>
      <c r="AV60" s="343"/>
      <c r="AW60" s="328"/>
      <c r="AX60" s="329"/>
      <c r="AY60" s="328"/>
      <c r="AZ60" s="328"/>
      <c r="BA60" s="330"/>
      <c r="BB60" s="328"/>
      <c r="BC60" s="328"/>
      <c r="BD60" s="328"/>
      <c r="BE60" s="330"/>
      <c r="BF60" s="330"/>
      <c r="BG60" s="344"/>
      <c r="BH60" s="383"/>
      <c r="BI60" s="330"/>
      <c r="BJ60" s="330"/>
      <c r="BK60" s="330"/>
      <c r="BL60" s="330"/>
      <c r="BM60" s="330"/>
      <c r="BN60" s="330"/>
      <c r="BO60" s="330"/>
      <c r="BP60" s="331"/>
      <c r="BQ60" s="332"/>
      <c r="BR60" s="333"/>
    </row>
    <row r="61" spans="2:70" ht="15.75" customHeight="1">
      <c r="B61" s="216" t="s">
        <v>1444</v>
      </c>
      <c r="C61" s="212">
        <v>3183994</v>
      </c>
      <c r="D61" s="223">
        <v>17429959000140</v>
      </c>
      <c r="E61" s="217" t="s">
        <v>25</v>
      </c>
      <c r="F61" s="217" t="s">
        <v>958</v>
      </c>
      <c r="G61" s="217" t="s">
        <v>962</v>
      </c>
      <c r="H61" s="218" t="s">
        <v>66</v>
      </c>
      <c r="I61" s="217" t="s">
        <v>1841</v>
      </c>
      <c r="J61" s="217" t="s">
        <v>66</v>
      </c>
      <c r="K61" s="218" t="s">
        <v>954</v>
      </c>
      <c r="L61" s="212" t="s">
        <v>87</v>
      </c>
      <c r="M61" s="250" t="s">
        <v>1843</v>
      </c>
      <c r="N61" s="239">
        <v>41332</v>
      </c>
      <c r="O61" s="210" t="s">
        <v>114</v>
      </c>
      <c r="P61" s="210" t="s">
        <v>1075</v>
      </c>
      <c r="Q61" s="210" t="s">
        <v>1076</v>
      </c>
      <c r="R61" s="210" t="s">
        <v>1084</v>
      </c>
      <c r="S61" s="210" t="s">
        <v>1085</v>
      </c>
      <c r="T61" s="210" t="s">
        <v>1082</v>
      </c>
      <c r="U61" s="210" t="s">
        <v>958</v>
      </c>
      <c r="V61" s="210" t="s">
        <v>25</v>
      </c>
      <c r="W61" s="211" t="s">
        <v>1016</v>
      </c>
      <c r="X61" s="211">
        <v>10000</v>
      </c>
      <c r="Y61" s="211">
        <v>10000</v>
      </c>
      <c r="Z61" s="212">
        <v>10000</v>
      </c>
      <c r="AA61" s="240">
        <v>31</v>
      </c>
      <c r="AB61" s="213">
        <v>0.02</v>
      </c>
      <c r="AC61" s="213">
        <v>0.2</v>
      </c>
      <c r="AD61" s="213" t="s">
        <v>1100</v>
      </c>
      <c r="AE61" s="213">
        <v>4.0000000000000001E-3</v>
      </c>
      <c r="AF61" s="241">
        <v>85792769.409999996</v>
      </c>
      <c r="AG61" s="241">
        <v>85792769.409999996</v>
      </c>
      <c r="AH61" s="213">
        <v>0.1012</v>
      </c>
      <c r="AI61" s="352">
        <v>1.5581</v>
      </c>
      <c r="AJ61" s="213">
        <v>0.1414</v>
      </c>
      <c r="AK61" s="352">
        <v>1.5026999999999999</v>
      </c>
      <c r="AL61" s="213">
        <v>0.24260000000000001</v>
      </c>
      <c r="AM61" s="352">
        <v>2.0078</v>
      </c>
      <c r="AN61" s="213">
        <v>0.24940000000000001</v>
      </c>
      <c r="AO61" s="352">
        <v>1.4798</v>
      </c>
      <c r="AP61" s="213">
        <v>4.36E-2</v>
      </c>
      <c r="AQ61" s="219">
        <v>0.99226097449441275</v>
      </c>
      <c r="AR61" s="213" t="s">
        <v>1827</v>
      </c>
      <c r="AU61" s="343"/>
      <c r="AV61" s="343"/>
      <c r="AW61" s="328"/>
      <c r="AX61" s="329"/>
      <c r="AY61" s="328"/>
      <c r="AZ61" s="328"/>
      <c r="BA61" s="330"/>
      <c r="BB61" s="328"/>
      <c r="BC61" s="328"/>
      <c r="BD61" s="328"/>
      <c r="BE61" s="330"/>
      <c r="BF61" s="330"/>
      <c r="BG61" s="344"/>
      <c r="BH61" s="383"/>
      <c r="BI61" s="330"/>
      <c r="BJ61" s="330"/>
      <c r="BK61" s="330"/>
      <c r="BL61" s="330"/>
      <c r="BM61" s="330"/>
      <c r="BN61" s="330"/>
      <c r="BO61" s="330"/>
      <c r="BP61" s="331"/>
      <c r="BQ61" s="332"/>
      <c r="BR61" s="333"/>
    </row>
    <row r="62" spans="2:70" ht="15.75" customHeight="1">
      <c r="B62" s="216" t="s">
        <v>435</v>
      </c>
      <c r="C62" s="212">
        <v>541624</v>
      </c>
      <c r="D62" s="223">
        <v>12105992000109</v>
      </c>
      <c r="E62" s="217" t="s">
        <v>25</v>
      </c>
      <c r="F62" s="217" t="s">
        <v>958</v>
      </c>
      <c r="G62" s="217" t="s">
        <v>962</v>
      </c>
      <c r="H62" s="218" t="s">
        <v>66</v>
      </c>
      <c r="I62" s="217" t="s">
        <v>1842</v>
      </c>
      <c r="J62" s="217" t="s">
        <v>66</v>
      </c>
      <c r="K62" s="218" t="s">
        <v>954</v>
      </c>
      <c r="L62" s="212" t="s">
        <v>87</v>
      </c>
      <c r="M62" s="250" t="s">
        <v>1843</v>
      </c>
      <c r="N62" s="239">
        <v>40422</v>
      </c>
      <c r="O62" s="210" t="s">
        <v>431</v>
      </c>
      <c r="P62" s="210" t="s">
        <v>1088</v>
      </c>
      <c r="Q62" s="210" t="s">
        <v>1089</v>
      </c>
      <c r="R62" s="210" t="s">
        <v>1077</v>
      </c>
      <c r="S62" s="210" t="s">
        <v>1085</v>
      </c>
      <c r="T62" s="210" t="s">
        <v>1082</v>
      </c>
      <c r="U62" s="210" t="s">
        <v>958</v>
      </c>
      <c r="V62" s="210" t="s">
        <v>25</v>
      </c>
      <c r="W62" s="211" t="s">
        <v>1016</v>
      </c>
      <c r="X62" s="211">
        <v>100000</v>
      </c>
      <c r="Y62" s="211">
        <v>50000</v>
      </c>
      <c r="Z62" s="212">
        <v>100000</v>
      </c>
      <c r="AA62" s="240">
        <v>61</v>
      </c>
      <c r="AB62" s="213">
        <v>0.02</v>
      </c>
      <c r="AC62" s="213">
        <v>0.2</v>
      </c>
      <c r="AD62" s="213" t="s">
        <v>109</v>
      </c>
      <c r="AE62" s="213" t="s">
        <v>66</v>
      </c>
      <c r="AF62" s="241">
        <v>2427350683.1300001</v>
      </c>
      <c r="AG62" s="241">
        <v>2427350683.1300001</v>
      </c>
      <c r="AH62" s="213">
        <v>0.129</v>
      </c>
      <c r="AI62" s="352">
        <v>1.9865999999999999</v>
      </c>
      <c r="AJ62" s="213">
        <v>0.184</v>
      </c>
      <c r="AK62" s="352">
        <v>1.9554</v>
      </c>
      <c r="AL62" s="213">
        <v>0.3579</v>
      </c>
      <c r="AM62" s="352">
        <v>2.9628000000000001</v>
      </c>
      <c r="AN62" s="213">
        <v>0.32150000000000001</v>
      </c>
      <c r="AO62" s="352">
        <v>1.9077</v>
      </c>
      <c r="AP62" s="213">
        <v>7.3700000000000002E-2</v>
      </c>
      <c r="AQ62" s="219">
        <v>1.1083000150432749</v>
      </c>
      <c r="AR62" s="213" t="s">
        <v>1827</v>
      </c>
      <c r="AU62" s="343"/>
      <c r="AV62" s="343"/>
      <c r="AW62" s="328"/>
      <c r="AX62" s="329"/>
      <c r="AY62" s="328"/>
      <c r="AZ62" s="328"/>
      <c r="BA62" s="330"/>
      <c r="BB62" s="328"/>
      <c r="BC62" s="328"/>
      <c r="BD62" s="328"/>
      <c r="BE62" s="330"/>
      <c r="BF62" s="330"/>
      <c r="BG62" s="344"/>
      <c r="BH62" s="383"/>
      <c r="BI62" s="330"/>
      <c r="BJ62" s="330"/>
      <c r="BK62" s="330"/>
      <c r="BL62" s="330"/>
      <c r="BM62" s="330"/>
      <c r="BN62" s="330"/>
      <c r="BO62" s="330"/>
      <c r="BP62" s="331"/>
      <c r="BQ62" s="332"/>
      <c r="BR62" s="333"/>
    </row>
    <row r="63" spans="2:70" ht="15.75" customHeight="1">
      <c r="B63" s="216" t="s">
        <v>457</v>
      </c>
      <c r="C63" s="212">
        <v>1078067</v>
      </c>
      <c r="D63" s="223">
        <v>30586677000114</v>
      </c>
      <c r="E63" s="217" t="s">
        <v>25</v>
      </c>
      <c r="F63" s="217" t="s">
        <v>958</v>
      </c>
      <c r="G63" s="217" t="s">
        <v>962</v>
      </c>
      <c r="H63" s="218" t="s">
        <v>66</v>
      </c>
      <c r="I63" s="217" t="s">
        <v>1259</v>
      </c>
      <c r="J63" s="217" t="s">
        <v>66</v>
      </c>
      <c r="K63" s="218" t="s">
        <v>954</v>
      </c>
      <c r="L63" s="212" t="s">
        <v>87</v>
      </c>
      <c r="M63" s="250" t="s">
        <v>1843</v>
      </c>
      <c r="N63" s="239">
        <v>43280</v>
      </c>
      <c r="O63" s="210" t="s">
        <v>458</v>
      </c>
      <c r="P63" s="210" t="s">
        <v>1090</v>
      </c>
      <c r="Q63" s="210" t="s">
        <v>1091</v>
      </c>
      <c r="R63" s="210" t="s">
        <v>1084</v>
      </c>
      <c r="S63" s="210" t="s">
        <v>1078</v>
      </c>
      <c r="T63" s="210" t="s">
        <v>1082</v>
      </c>
      <c r="U63" s="210" t="s">
        <v>958</v>
      </c>
      <c r="V63" s="210" t="s">
        <v>25</v>
      </c>
      <c r="W63" s="211" t="s">
        <v>1012</v>
      </c>
      <c r="X63" s="211">
        <v>25000</v>
      </c>
      <c r="Y63" s="211">
        <v>5000</v>
      </c>
      <c r="Z63" s="212">
        <v>10000</v>
      </c>
      <c r="AA63" s="240">
        <v>31</v>
      </c>
      <c r="AB63" s="213">
        <v>1.9E-2</v>
      </c>
      <c r="AC63" s="213">
        <v>0.2</v>
      </c>
      <c r="AD63" s="213" t="s">
        <v>1100</v>
      </c>
      <c r="AE63" s="213">
        <v>3.8E-3</v>
      </c>
      <c r="AF63" s="241">
        <v>583679200.12</v>
      </c>
      <c r="AG63" s="241">
        <v>583679200.12</v>
      </c>
      <c r="AH63" s="213">
        <v>0.18149999999999999</v>
      </c>
      <c r="AI63" s="352">
        <v>2.7949000000000002</v>
      </c>
      <c r="AJ63" s="213">
        <v>0.2157</v>
      </c>
      <c r="AK63" s="352">
        <v>2.2930000000000001</v>
      </c>
      <c r="AL63" s="213">
        <v>0.27950000000000003</v>
      </c>
      <c r="AM63" s="352">
        <v>2.3138999999999998</v>
      </c>
      <c r="AN63" s="213">
        <v>0.40389999999999998</v>
      </c>
      <c r="AO63" s="352">
        <v>2.3967999999999998</v>
      </c>
      <c r="AP63" s="213">
        <v>5.67E-2</v>
      </c>
      <c r="AQ63" s="219">
        <v>1.88927703699306</v>
      </c>
      <c r="AR63" s="213" t="s">
        <v>1827</v>
      </c>
      <c r="AU63" s="343"/>
      <c r="AV63" s="343"/>
      <c r="AW63" s="328"/>
      <c r="AX63" s="329"/>
      <c r="AY63" s="328"/>
      <c r="AZ63" s="328"/>
      <c r="BA63" s="330"/>
      <c r="BB63" s="328"/>
      <c r="BC63" s="328"/>
      <c r="BD63" s="328"/>
      <c r="BE63" s="330"/>
      <c r="BF63" s="330"/>
      <c r="BG63" s="344"/>
      <c r="BH63" s="383"/>
      <c r="BI63" s="330"/>
      <c r="BJ63" s="330"/>
      <c r="BK63" s="330"/>
      <c r="BL63" s="330"/>
      <c r="BM63" s="330"/>
      <c r="BN63" s="330"/>
      <c r="BO63" s="330"/>
      <c r="BP63" s="331"/>
      <c r="BQ63" s="332"/>
      <c r="BR63" s="333"/>
    </row>
    <row r="64" spans="2:70" ht="15.75" customHeight="1">
      <c r="B64" s="216" t="s">
        <v>1458</v>
      </c>
      <c r="C64" s="212">
        <v>522053</v>
      </c>
      <c r="D64" s="223">
        <v>30338679000194</v>
      </c>
      <c r="E64" s="217" t="s">
        <v>25</v>
      </c>
      <c r="F64" s="217" t="s">
        <v>958</v>
      </c>
      <c r="G64" s="217" t="s">
        <v>962</v>
      </c>
      <c r="H64" s="218" t="s">
        <v>66</v>
      </c>
      <c r="I64" s="217" t="s">
        <v>1259</v>
      </c>
      <c r="J64" s="217" t="s">
        <v>66</v>
      </c>
      <c r="K64" s="218" t="s">
        <v>954</v>
      </c>
      <c r="L64" s="212" t="s">
        <v>87</v>
      </c>
      <c r="M64" s="250" t="s">
        <v>1843</v>
      </c>
      <c r="N64" s="239">
        <v>43280</v>
      </c>
      <c r="O64" s="210" t="s">
        <v>114</v>
      </c>
      <c r="P64" s="210" t="s">
        <v>1075</v>
      </c>
      <c r="Q64" s="210" t="s">
        <v>1076</v>
      </c>
      <c r="R64" s="210" t="s">
        <v>1084</v>
      </c>
      <c r="S64" s="210" t="s">
        <v>1078</v>
      </c>
      <c r="T64" s="210" t="s">
        <v>1082</v>
      </c>
      <c r="U64" s="210" t="s">
        <v>958</v>
      </c>
      <c r="V64" s="210" t="s">
        <v>25</v>
      </c>
      <c r="W64" s="211" t="s">
        <v>1012</v>
      </c>
      <c r="X64" s="211">
        <v>100</v>
      </c>
      <c r="Y64" s="211">
        <v>100</v>
      </c>
      <c r="Z64" s="212">
        <v>100</v>
      </c>
      <c r="AA64" s="240">
        <v>31</v>
      </c>
      <c r="AB64" s="213">
        <v>1.9E-2</v>
      </c>
      <c r="AC64" s="213">
        <v>0.2</v>
      </c>
      <c r="AD64" s="213" t="s">
        <v>113</v>
      </c>
      <c r="AE64" s="213">
        <v>4.7499999999999999E-3</v>
      </c>
      <c r="AF64" s="241">
        <v>1240183154.96</v>
      </c>
      <c r="AG64" s="241">
        <v>1240183154.96</v>
      </c>
      <c r="AH64" s="213">
        <v>0.18060000000000001</v>
      </c>
      <c r="AI64" s="352">
        <v>2.782</v>
      </c>
      <c r="AJ64" s="213">
        <v>0.21479999999999999</v>
      </c>
      <c r="AK64" s="352">
        <v>2.2835000000000001</v>
      </c>
      <c r="AL64" s="213">
        <v>0.27829999999999999</v>
      </c>
      <c r="AM64" s="352">
        <v>2.3033000000000001</v>
      </c>
      <c r="AN64" s="213">
        <v>0.40129999999999999</v>
      </c>
      <c r="AO64" s="352">
        <v>2.3812000000000002</v>
      </c>
      <c r="AP64" s="213">
        <v>5.62E-2</v>
      </c>
      <c r="AQ64" s="219">
        <v>1.8920194264705463</v>
      </c>
      <c r="AR64" s="213" t="s">
        <v>1827</v>
      </c>
      <c r="AU64" s="343"/>
      <c r="AV64" s="343"/>
      <c r="AW64" s="328"/>
      <c r="AX64" s="329"/>
      <c r="AY64" s="328"/>
      <c r="AZ64" s="328"/>
      <c r="BA64" s="330"/>
      <c r="BB64" s="328"/>
      <c r="BC64" s="328"/>
      <c r="BD64" s="328"/>
      <c r="BE64" s="330"/>
      <c r="BF64" s="330"/>
      <c r="BG64" s="344"/>
      <c r="BH64" s="383"/>
      <c r="BI64" s="330"/>
      <c r="BJ64" s="330"/>
      <c r="BK64" s="330"/>
      <c r="BL64" s="330"/>
      <c r="BM64" s="330"/>
      <c r="BN64" s="330"/>
      <c r="BO64" s="330"/>
      <c r="BP64" s="331"/>
      <c r="BQ64" s="332"/>
      <c r="BR64" s="333"/>
    </row>
    <row r="65" spans="2:70" ht="15.75" customHeight="1">
      <c r="B65" s="216" t="s">
        <v>1465</v>
      </c>
      <c r="C65" s="212">
        <v>1590865</v>
      </c>
      <c r="D65" s="223">
        <v>34096240000153</v>
      </c>
      <c r="E65" s="217" t="s">
        <v>19</v>
      </c>
      <c r="F65" s="217" t="s">
        <v>963</v>
      </c>
      <c r="G65" s="217" t="s">
        <v>1034</v>
      </c>
      <c r="H65" s="218" t="s">
        <v>1113</v>
      </c>
      <c r="I65" s="217" t="s">
        <v>66</v>
      </c>
      <c r="J65" s="217" t="s">
        <v>1822</v>
      </c>
      <c r="K65" s="218" t="s">
        <v>951</v>
      </c>
      <c r="L65" s="212" t="s">
        <v>87</v>
      </c>
      <c r="M65" s="250" t="s">
        <v>1843</v>
      </c>
      <c r="N65" s="239">
        <v>43682</v>
      </c>
      <c r="O65" s="210" t="s">
        <v>462</v>
      </c>
      <c r="P65" s="210" t="s">
        <v>1075</v>
      </c>
      <c r="Q65" s="210" t="s">
        <v>1076</v>
      </c>
      <c r="R65" s="210" t="s">
        <v>1077</v>
      </c>
      <c r="S65" s="210" t="s">
        <v>1078</v>
      </c>
      <c r="T65" s="210" t="s">
        <v>32</v>
      </c>
      <c r="U65" s="210" t="s">
        <v>1150</v>
      </c>
      <c r="V65" s="210" t="s">
        <v>25</v>
      </c>
      <c r="W65" s="211" t="s">
        <v>1016</v>
      </c>
      <c r="X65" s="211">
        <v>5000</v>
      </c>
      <c r="Y65" s="211">
        <v>5000</v>
      </c>
      <c r="Z65" s="212">
        <v>5000</v>
      </c>
      <c r="AA65" s="240">
        <v>271</v>
      </c>
      <c r="AB65" s="213">
        <v>0.02</v>
      </c>
      <c r="AC65" s="213">
        <v>0.2</v>
      </c>
      <c r="AD65" s="213" t="s">
        <v>113</v>
      </c>
      <c r="AE65" s="213">
        <v>3.3333333333333331E-3</v>
      </c>
      <c r="AF65" s="241">
        <v>68565816.290000007</v>
      </c>
      <c r="AG65" s="241">
        <v>68565816.290000007</v>
      </c>
      <c r="AH65" s="213">
        <v>7.8899999999999998E-2</v>
      </c>
      <c r="AI65" s="352">
        <v>1.2156</v>
      </c>
      <c r="AJ65" s="213">
        <v>0.1232</v>
      </c>
      <c r="AK65" s="352">
        <v>1.3097000000000001</v>
      </c>
      <c r="AL65" s="213">
        <v>0.2198</v>
      </c>
      <c r="AM65" s="352">
        <v>1.8191999999999999</v>
      </c>
      <c r="AN65" s="213" t="s">
        <v>66</v>
      </c>
      <c r="AO65" s="352" t="s">
        <v>66</v>
      </c>
      <c r="AP65" s="213">
        <v>5.4999999999999997E-3</v>
      </c>
      <c r="AQ65" s="219">
        <v>4.7623186010979133</v>
      </c>
      <c r="AR65" s="213" t="s">
        <v>1827</v>
      </c>
      <c r="AU65" s="343"/>
      <c r="AV65" s="343"/>
      <c r="AW65" s="328"/>
      <c r="AX65" s="329"/>
      <c r="AY65" s="328"/>
      <c r="AZ65" s="328"/>
      <c r="BA65" s="330"/>
      <c r="BB65" s="328"/>
      <c r="BC65" s="328"/>
      <c r="BD65" s="328"/>
      <c r="BE65" s="330"/>
      <c r="BF65" s="330"/>
      <c r="BG65" s="344"/>
      <c r="BH65" s="383"/>
      <c r="BI65" s="330"/>
      <c r="BJ65" s="330"/>
      <c r="BK65" s="330"/>
      <c r="BL65" s="330"/>
      <c r="BM65" s="330"/>
      <c r="BN65" s="330"/>
      <c r="BO65" s="330"/>
      <c r="BP65" s="331"/>
      <c r="BQ65" s="332"/>
      <c r="BR65" s="333"/>
    </row>
    <row r="66" spans="2:70" ht="15.75" customHeight="1">
      <c r="B66" s="216" t="s">
        <v>1466</v>
      </c>
      <c r="C66" s="212">
        <v>534197</v>
      </c>
      <c r="D66" s="223">
        <v>35420451000162</v>
      </c>
      <c r="E66" s="217" t="s">
        <v>19</v>
      </c>
      <c r="F66" s="217" t="s">
        <v>963</v>
      </c>
      <c r="G66" s="217" t="s">
        <v>1034</v>
      </c>
      <c r="H66" s="218" t="s">
        <v>1113</v>
      </c>
      <c r="I66" s="217" t="s">
        <v>66</v>
      </c>
      <c r="J66" s="217" t="s">
        <v>1822</v>
      </c>
      <c r="K66" s="218" t="s">
        <v>1040</v>
      </c>
      <c r="L66" s="212" t="s">
        <v>87</v>
      </c>
      <c r="M66" s="250" t="s">
        <v>1843</v>
      </c>
      <c r="N66" s="239">
        <v>43871</v>
      </c>
      <c r="O66" s="210" t="s">
        <v>462</v>
      </c>
      <c r="P66" s="210" t="s">
        <v>1140</v>
      </c>
      <c r="Q66" s="210" t="s">
        <v>1140</v>
      </c>
      <c r="R66" s="210" t="s">
        <v>1077</v>
      </c>
      <c r="S66" s="210" t="s">
        <v>1078</v>
      </c>
      <c r="T66" s="210" t="s">
        <v>32</v>
      </c>
      <c r="U66" s="210" t="s">
        <v>1150</v>
      </c>
      <c r="V66" s="210" t="s">
        <v>25</v>
      </c>
      <c r="W66" s="211" t="s">
        <v>1028</v>
      </c>
      <c r="X66" s="211">
        <v>5000</v>
      </c>
      <c r="Y66" s="211">
        <v>5000</v>
      </c>
      <c r="Z66" s="212">
        <v>5000</v>
      </c>
      <c r="AA66" s="240">
        <v>211</v>
      </c>
      <c r="AB66" s="213">
        <v>0.02</v>
      </c>
      <c r="AC66" s="213">
        <v>0.2</v>
      </c>
      <c r="AD66" s="213" t="s">
        <v>109</v>
      </c>
      <c r="AE66" s="213">
        <v>5.3333333333333332E-3</v>
      </c>
      <c r="AF66" s="241">
        <v>28678543.829999998</v>
      </c>
      <c r="AG66" s="241">
        <v>28678543.829999998</v>
      </c>
      <c r="AH66" s="213">
        <v>9.06E-2</v>
      </c>
      <c r="AI66" s="352">
        <v>1.3955</v>
      </c>
      <c r="AJ66" s="213">
        <v>0.18110000000000001</v>
      </c>
      <c r="AK66" s="352">
        <v>1.925</v>
      </c>
      <c r="AL66" s="213">
        <v>0.22520000000000001</v>
      </c>
      <c r="AM66" s="352">
        <v>1.8643000000000001</v>
      </c>
      <c r="AN66" s="213" t="s">
        <v>66</v>
      </c>
      <c r="AO66" s="352" t="s">
        <v>66</v>
      </c>
      <c r="AP66" s="213">
        <v>1.32E-2</v>
      </c>
      <c r="AQ66" s="219">
        <v>5.8100177006880624</v>
      </c>
      <c r="AR66" s="213" t="s">
        <v>1827</v>
      </c>
      <c r="AU66" s="343"/>
      <c r="AV66" s="343"/>
      <c r="AW66" s="328"/>
      <c r="AX66" s="329"/>
      <c r="AY66" s="328"/>
      <c r="AZ66" s="328"/>
      <c r="BA66" s="330"/>
      <c r="BB66" s="328"/>
      <c r="BC66" s="328"/>
      <c r="BD66" s="328"/>
      <c r="BE66" s="330"/>
      <c r="BF66" s="330"/>
      <c r="BG66" s="344"/>
      <c r="BH66" s="383"/>
      <c r="BI66" s="330"/>
      <c r="BJ66" s="330"/>
      <c r="BK66" s="330"/>
      <c r="BL66" s="330"/>
      <c r="BM66" s="330"/>
      <c r="BN66" s="330"/>
      <c r="BO66" s="330"/>
      <c r="BP66" s="331"/>
      <c r="BQ66" s="332"/>
      <c r="BR66" s="333"/>
    </row>
    <row r="67" spans="2:70" ht="15.75" customHeight="1">
      <c r="B67" s="216" t="s">
        <v>1467</v>
      </c>
      <c r="C67" s="212">
        <v>519514</v>
      </c>
      <c r="D67" s="223">
        <v>30877877000126</v>
      </c>
      <c r="E67" s="217" t="s">
        <v>19</v>
      </c>
      <c r="F67" s="217" t="s">
        <v>963</v>
      </c>
      <c r="G67" s="217" t="s">
        <v>1034</v>
      </c>
      <c r="H67" s="218" t="s">
        <v>1113</v>
      </c>
      <c r="I67" s="217" t="s">
        <v>66</v>
      </c>
      <c r="J67" s="217" t="s">
        <v>1822</v>
      </c>
      <c r="K67" s="218" t="s">
        <v>951</v>
      </c>
      <c r="L67" s="212" t="s">
        <v>87</v>
      </c>
      <c r="M67" s="250" t="s">
        <v>1843</v>
      </c>
      <c r="N67" s="239">
        <v>43311</v>
      </c>
      <c r="O67" s="210" t="s">
        <v>114</v>
      </c>
      <c r="P67" s="210" t="s">
        <v>1075</v>
      </c>
      <c r="Q67" s="210" t="s">
        <v>1076</v>
      </c>
      <c r="R67" s="210" t="s">
        <v>1099</v>
      </c>
      <c r="S67" s="210" t="s">
        <v>1078</v>
      </c>
      <c r="T67" s="210" t="s">
        <v>32</v>
      </c>
      <c r="U67" s="210" t="s">
        <v>1150</v>
      </c>
      <c r="V67" s="210" t="s">
        <v>25</v>
      </c>
      <c r="W67" s="211" t="s">
        <v>1028</v>
      </c>
      <c r="X67" s="211">
        <v>50000</v>
      </c>
      <c r="Y67" s="211">
        <v>50000</v>
      </c>
      <c r="Z67" s="212">
        <v>0</v>
      </c>
      <c r="AA67" s="240">
        <v>181</v>
      </c>
      <c r="AB67" s="213">
        <v>0.02</v>
      </c>
      <c r="AC67" s="213">
        <v>0.2</v>
      </c>
      <c r="AD67" s="213" t="s">
        <v>113</v>
      </c>
      <c r="AE67" s="213">
        <v>6.6666666666666662E-3</v>
      </c>
      <c r="AF67" s="241">
        <v>57626773.799999997</v>
      </c>
      <c r="AG67" s="241">
        <v>57626773.799999997</v>
      </c>
      <c r="AH67" s="213">
        <v>8.1799999999999998E-2</v>
      </c>
      <c r="AI67" s="352">
        <v>1.2605</v>
      </c>
      <c r="AJ67" s="213">
        <v>0.1431</v>
      </c>
      <c r="AK67" s="352">
        <v>1.5212000000000001</v>
      </c>
      <c r="AL67" s="213">
        <v>0.2026</v>
      </c>
      <c r="AM67" s="352">
        <v>1.6769000000000001</v>
      </c>
      <c r="AN67" s="213">
        <v>0.30659999999999998</v>
      </c>
      <c r="AO67" s="352">
        <v>1.8191999999999999</v>
      </c>
      <c r="AP67" s="213">
        <v>7.7999999999999996E-3</v>
      </c>
      <c r="AQ67" s="219">
        <v>5.6279201621262889</v>
      </c>
      <c r="AR67" s="213" t="s">
        <v>1827</v>
      </c>
      <c r="AU67" s="343"/>
      <c r="AV67" s="343"/>
      <c r="AW67" s="328"/>
      <c r="AX67" s="329"/>
      <c r="AY67" s="328"/>
      <c r="AZ67" s="328"/>
      <c r="BA67" s="330"/>
      <c r="BB67" s="328"/>
      <c r="BC67" s="328"/>
      <c r="BD67" s="328"/>
      <c r="BE67" s="330"/>
      <c r="BF67" s="330"/>
      <c r="BG67" s="344"/>
      <c r="BH67" s="383"/>
      <c r="BI67" s="330"/>
      <c r="BJ67" s="330"/>
      <c r="BK67" s="330"/>
      <c r="BL67" s="330"/>
      <c r="BM67" s="330"/>
      <c r="BN67" s="330"/>
      <c r="BO67" s="330"/>
      <c r="BP67" s="331"/>
      <c r="BQ67" s="332"/>
      <c r="BR67" s="333"/>
    </row>
    <row r="68" spans="2:70" ht="15.75" customHeight="1">
      <c r="B68" s="216" t="s">
        <v>990</v>
      </c>
      <c r="C68" s="212">
        <v>3126998</v>
      </c>
      <c r="D68" s="223">
        <v>22672424000135</v>
      </c>
      <c r="E68" s="217" t="s">
        <v>19</v>
      </c>
      <c r="F68" s="217" t="s">
        <v>963</v>
      </c>
      <c r="G68" s="217" t="s">
        <v>1034</v>
      </c>
      <c r="H68" s="218" t="s">
        <v>1113</v>
      </c>
      <c r="I68" s="217" t="s">
        <v>66</v>
      </c>
      <c r="J68" s="217" t="s">
        <v>1822</v>
      </c>
      <c r="K68" s="218" t="s">
        <v>951</v>
      </c>
      <c r="L68" s="212" t="s">
        <v>87</v>
      </c>
      <c r="M68" s="250" t="s">
        <v>1843</v>
      </c>
      <c r="N68" s="239">
        <v>42276</v>
      </c>
      <c r="O68" s="210" t="s">
        <v>462</v>
      </c>
      <c r="P68" s="210" t="s">
        <v>1075</v>
      </c>
      <c r="Q68" s="210" t="s">
        <v>1076</v>
      </c>
      <c r="R68" s="210" t="s">
        <v>1099</v>
      </c>
      <c r="S68" s="210" t="s">
        <v>1078</v>
      </c>
      <c r="T68" s="210" t="s">
        <v>32</v>
      </c>
      <c r="U68" s="210" t="s">
        <v>1150</v>
      </c>
      <c r="V68" s="210" t="s">
        <v>25</v>
      </c>
      <c r="W68" s="211" t="s">
        <v>1028</v>
      </c>
      <c r="X68" s="211">
        <v>50000</v>
      </c>
      <c r="Y68" s="211">
        <v>50000</v>
      </c>
      <c r="Z68" s="212">
        <v>30000</v>
      </c>
      <c r="AA68" s="240">
        <v>181</v>
      </c>
      <c r="AB68" s="213">
        <v>0.02</v>
      </c>
      <c r="AC68" s="213">
        <v>0.2</v>
      </c>
      <c r="AD68" s="213" t="s">
        <v>113</v>
      </c>
      <c r="AE68" s="213">
        <v>6.6666666666666662E-3</v>
      </c>
      <c r="AF68" s="241">
        <v>194684162.72999999</v>
      </c>
      <c r="AG68" s="241">
        <v>194684162.72999999</v>
      </c>
      <c r="AH68" s="213">
        <v>8.2100000000000006E-2</v>
      </c>
      <c r="AI68" s="352">
        <v>1.2643</v>
      </c>
      <c r="AJ68" s="213">
        <v>0.14399999999999999</v>
      </c>
      <c r="AK68" s="352">
        <v>1.5306999999999999</v>
      </c>
      <c r="AL68" s="213">
        <v>0.2049</v>
      </c>
      <c r="AM68" s="352">
        <v>1.696</v>
      </c>
      <c r="AN68" s="213">
        <v>0.31019999999999998</v>
      </c>
      <c r="AO68" s="352">
        <v>1.8409</v>
      </c>
      <c r="AP68" s="213">
        <v>7.9000000000000008E-3</v>
      </c>
      <c r="AQ68" s="219">
        <v>5.6482734647173158</v>
      </c>
      <c r="AR68" s="213" t="s">
        <v>1827</v>
      </c>
      <c r="AU68" s="343"/>
      <c r="AV68" s="343"/>
      <c r="AW68" s="328"/>
      <c r="AX68" s="329"/>
      <c r="AY68" s="328"/>
      <c r="AZ68" s="328"/>
      <c r="BA68" s="330"/>
      <c r="BB68" s="328"/>
      <c r="BC68" s="328"/>
      <c r="BD68" s="328"/>
      <c r="BE68" s="330"/>
      <c r="BF68" s="330"/>
      <c r="BG68" s="344"/>
      <c r="BH68" s="383"/>
      <c r="BI68" s="330"/>
      <c r="BJ68" s="330"/>
      <c r="BK68" s="330"/>
      <c r="BL68" s="330"/>
      <c r="BM68" s="330"/>
      <c r="BN68" s="330"/>
      <c r="BO68" s="330"/>
      <c r="BP68" s="331"/>
      <c r="BQ68" s="332"/>
      <c r="BR68" s="333"/>
    </row>
    <row r="69" spans="2:70" ht="15.75" customHeight="1">
      <c r="B69" s="216" t="s">
        <v>485</v>
      </c>
      <c r="C69" s="212">
        <v>808351</v>
      </c>
      <c r="D69" s="223">
        <v>32397723000162</v>
      </c>
      <c r="E69" s="217" t="s">
        <v>25</v>
      </c>
      <c r="F69" s="217" t="s">
        <v>958</v>
      </c>
      <c r="G69" s="217" t="s">
        <v>962</v>
      </c>
      <c r="H69" s="218" t="s">
        <v>66</v>
      </c>
      <c r="I69" s="217" t="s">
        <v>1842</v>
      </c>
      <c r="J69" s="217" t="s">
        <v>66</v>
      </c>
      <c r="K69" s="218" t="s">
        <v>954</v>
      </c>
      <c r="L69" s="212" t="s">
        <v>87</v>
      </c>
      <c r="M69" s="250" t="s">
        <v>1843</v>
      </c>
      <c r="N69" s="239">
        <v>43497</v>
      </c>
      <c r="O69" s="210" t="s">
        <v>486</v>
      </c>
      <c r="P69" s="210" t="s">
        <v>1075</v>
      </c>
      <c r="Q69" s="210" t="s">
        <v>1076</v>
      </c>
      <c r="R69" s="210" t="s">
        <v>1084</v>
      </c>
      <c r="S69" s="210" t="s">
        <v>1078</v>
      </c>
      <c r="T69" s="210" t="s">
        <v>1082</v>
      </c>
      <c r="U69" s="210" t="s">
        <v>958</v>
      </c>
      <c r="V69" s="210" t="s">
        <v>25</v>
      </c>
      <c r="W69" s="211" t="s">
        <v>1016</v>
      </c>
      <c r="X69" s="211">
        <v>5000</v>
      </c>
      <c r="Y69" s="211">
        <v>1000</v>
      </c>
      <c r="Z69" s="212">
        <v>1000</v>
      </c>
      <c r="AA69" s="240">
        <v>31</v>
      </c>
      <c r="AB69" s="213">
        <v>0.02</v>
      </c>
      <c r="AC69" s="213">
        <v>0.2</v>
      </c>
      <c r="AD69" s="213" t="s">
        <v>113</v>
      </c>
      <c r="AE69" s="213" t="s">
        <v>66</v>
      </c>
      <c r="AF69" s="241">
        <v>963322299.99000001</v>
      </c>
      <c r="AG69" s="241">
        <v>963322299.99000001</v>
      </c>
      <c r="AH69" s="213">
        <v>0.17019999999999999</v>
      </c>
      <c r="AI69" s="352">
        <v>2.6212</v>
      </c>
      <c r="AJ69" s="213">
        <v>0.1245</v>
      </c>
      <c r="AK69" s="352">
        <v>1.3230999999999999</v>
      </c>
      <c r="AL69" s="213">
        <v>0.1996</v>
      </c>
      <c r="AM69" s="352">
        <v>1.6525000000000001</v>
      </c>
      <c r="AN69" s="213">
        <v>0.47239999999999999</v>
      </c>
      <c r="AO69" s="352">
        <v>2.8031999999999999</v>
      </c>
      <c r="AP69" s="213">
        <v>0.13089999999999999</v>
      </c>
      <c r="AQ69" s="219">
        <v>0.27486878861062275</v>
      </c>
      <c r="AR69" s="213" t="s">
        <v>1827</v>
      </c>
      <c r="AU69" s="343"/>
      <c r="AV69" s="343"/>
      <c r="AW69" s="328"/>
      <c r="AX69" s="329"/>
      <c r="AY69" s="328"/>
      <c r="AZ69" s="328"/>
      <c r="BA69" s="330"/>
      <c r="BB69" s="328"/>
      <c r="BC69" s="328"/>
      <c r="BD69" s="328"/>
      <c r="BE69" s="330"/>
      <c r="BF69" s="330"/>
      <c r="BG69" s="344"/>
      <c r="BH69" s="383"/>
      <c r="BI69" s="330"/>
      <c r="BJ69" s="330"/>
      <c r="BK69" s="330"/>
      <c r="BL69" s="330"/>
      <c r="BM69" s="330"/>
      <c r="BN69" s="330"/>
      <c r="BO69" s="330"/>
      <c r="BP69" s="331"/>
      <c r="BQ69" s="332"/>
      <c r="BR69" s="333"/>
    </row>
    <row r="70" spans="2:70" ht="15.75" customHeight="1">
      <c r="B70" s="216" t="s">
        <v>532</v>
      </c>
      <c r="C70" s="212">
        <v>925780</v>
      </c>
      <c r="D70" s="223">
        <v>26396708000105</v>
      </c>
      <c r="E70" s="217" t="s">
        <v>25</v>
      </c>
      <c r="F70" s="217" t="s">
        <v>959</v>
      </c>
      <c r="G70" s="217" t="s">
        <v>961</v>
      </c>
      <c r="H70" s="218" t="s">
        <v>66</v>
      </c>
      <c r="I70" s="217" t="s">
        <v>1842</v>
      </c>
      <c r="J70" s="217" t="s">
        <v>66</v>
      </c>
      <c r="K70" s="218" t="s">
        <v>954</v>
      </c>
      <c r="L70" s="212" t="s">
        <v>87</v>
      </c>
      <c r="M70" s="250" t="s">
        <v>1843</v>
      </c>
      <c r="N70" s="239">
        <v>42718</v>
      </c>
      <c r="O70" s="210" t="s">
        <v>531</v>
      </c>
      <c r="P70" s="210" t="s">
        <v>1075</v>
      </c>
      <c r="Q70" s="210" t="s">
        <v>1076</v>
      </c>
      <c r="R70" s="210" t="s">
        <v>1099</v>
      </c>
      <c r="S70" s="210" t="s">
        <v>1078</v>
      </c>
      <c r="T70" s="210" t="s">
        <v>1082</v>
      </c>
      <c r="U70" s="210" t="s">
        <v>65</v>
      </c>
      <c r="V70" s="210" t="s">
        <v>25</v>
      </c>
      <c r="W70" s="211" t="s">
        <v>1016</v>
      </c>
      <c r="X70" s="211">
        <v>10000</v>
      </c>
      <c r="Y70" s="211">
        <v>10000</v>
      </c>
      <c r="Z70" s="212">
        <v>10000</v>
      </c>
      <c r="AA70" s="240">
        <v>31</v>
      </c>
      <c r="AB70" s="213">
        <v>0.02</v>
      </c>
      <c r="AC70" s="213">
        <v>0.2</v>
      </c>
      <c r="AD70" s="213" t="s">
        <v>113</v>
      </c>
      <c r="AE70" s="213" t="s">
        <v>66</v>
      </c>
      <c r="AF70" s="241">
        <v>314721099.06</v>
      </c>
      <c r="AG70" s="241">
        <v>314721099.06</v>
      </c>
      <c r="AH70" s="213">
        <v>9.2799999999999994E-2</v>
      </c>
      <c r="AI70" s="352">
        <v>1.4295</v>
      </c>
      <c r="AJ70" s="213">
        <v>0.16750000000000001</v>
      </c>
      <c r="AK70" s="352">
        <v>1.7806999999999999</v>
      </c>
      <c r="AL70" s="213">
        <v>0.18940000000000001</v>
      </c>
      <c r="AM70" s="352">
        <v>1.5678000000000001</v>
      </c>
      <c r="AN70" s="213">
        <v>0.152</v>
      </c>
      <c r="AO70" s="352">
        <v>0.9022</v>
      </c>
      <c r="AP70" s="213">
        <v>7.3200000000000001E-2</v>
      </c>
      <c r="AQ70" s="219">
        <v>0.92467383394590075</v>
      </c>
      <c r="AR70" s="213" t="s">
        <v>1827</v>
      </c>
      <c r="AU70" s="343"/>
      <c r="AV70" s="343"/>
      <c r="AW70" s="328"/>
      <c r="AX70" s="329"/>
      <c r="AY70" s="328"/>
      <c r="AZ70" s="328"/>
      <c r="BA70" s="330"/>
      <c r="BB70" s="328"/>
      <c r="BC70" s="328"/>
      <c r="BD70" s="328"/>
      <c r="BE70" s="330"/>
      <c r="BF70" s="330"/>
      <c r="BG70" s="344"/>
      <c r="BH70" s="383"/>
      <c r="BI70" s="330"/>
      <c r="BJ70" s="330"/>
      <c r="BK70" s="330"/>
      <c r="BL70" s="330"/>
      <c r="BM70" s="330"/>
      <c r="BN70" s="330"/>
      <c r="BO70" s="330"/>
      <c r="BP70" s="331"/>
      <c r="BQ70" s="332"/>
      <c r="BR70" s="333"/>
    </row>
    <row r="71" spans="2:70" ht="15.75" customHeight="1">
      <c r="B71" s="216" t="s">
        <v>1522</v>
      </c>
      <c r="C71" s="212">
        <v>2386509</v>
      </c>
      <c r="D71" s="223">
        <v>30338686000196</v>
      </c>
      <c r="E71" s="217" t="s">
        <v>19</v>
      </c>
      <c r="F71" s="217" t="s">
        <v>1009</v>
      </c>
      <c r="G71" s="217"/>
      <c r="H71" s="218" t="s">
        <v>1113</v>
      </c>
      <c r="I71" s="217" t="s">
        <v>66</v>
      </c>
      <c r="J71" s="217" t="s">
        <v>1794</v>
      </c>
      <c r="K71" s="218" t="s">
        <v>954</v>
      </c>
      <c r="L71" s="212" t="s">
        <v>87</v>
      </c>
      <c r="M71" s="250" t="s">
        <v>1843</v>
      </c>
      <c r="N71" s="239">
        <v>43311</v>
      </c>
      <c r="O71" s="210" t="s">
        <v>114</v>
      </c>
      <c r="P71" s="210" t="s">
        <v>1075</v>
      </c>
      <c r="Q71" s="210" t="s">
        <v>1076</v>
      </c>
      <c r="R71" s="210" t="s">
        <v>1077</v>
      </c>
      <c r="S71" s="210" t="s">
        <v>1078</v>
      </c>
      <c r="T71" s="210" t="s">
        <v>349</v>
      </c>
      <c r="U71" s="210" t="s">
        <v>65</v>
      </c>
      <c r="V71" s="210" t="s">
        <v>25</v>
      </c>
      <c r="W71" s="211" t="s">
        <v>1028</v>
      </c>
      <c r="X71" s="211">
        <v>5000</v>
      </c>
      <c r="Y71" s="211">
        <v>1000</v>
      </c>
      <c r="Z71" s="212">
        <v>1000</v>
      </c>
      <c r="AA71" s="240">
        <v>12</v>
      </c>
      <c r="AB71" s="213">
        <v>8.5000000000000006E-3</v>
      </c>
      <c r="AC71" s="213">
        <v>0</v>
      </c>
      <c r="AD71" s="213" t="s">
        <v>113</v>
      </c>
      <c r="AE71" s="213">
        <v>5.6666666666666671E-3</v>
      </c>
      <c r="AF71" s="241">
        <v>31003091.73</v>
      </c>
      <c r="AG71" s="241">
        <v>31003091.73</v>
      </c>
      <c r="AH71" s="213">
        <v>-3.32E-2</v>
      </c>
      <c r="AI71" s="352">
        <v>-0.51100000000000001</v>
      </c>
      <c r="AJ71" s="213">
        <v>-5.7000000000000002E-3</v>
      </c>
      <c r="AK71" s="352">
        <v>-6.0499999999999998E-2</v>
      </c>
      <c r="AL71" s="213">
        <v>8.6400000000000005E-2</v>
      </c>
      <c r="AM71" s="352">
        <v>0.71509999999999996</v>
      </c>
      <c r="AN71" s="213">
        <v>8.72E-2</v>
      </c>
      <c r="AO71" s="352">
        <v>0.51759999999999995</v>
      </c>
      <c r="AP71" s="213">
        <v>5.0299999999999997E-2</v>
      </c>
      <c r="AQ71" s="219">
        <v>-1.8781923577086816</v>
      </c>
      <c r="AR71" s="213" t="s">
        <v>1827</v>
      </c>
      <c r="AU71" s="343"/>
      <c r="AV71" s="343"/>
      <c r="AW71" s="328"/>
      <c r="AX71" s="329"/>
      <c r="AY71" s="328"/>
      <c r="AZ71" s="328"/>
      <c r="BA71" s="330"/>
      <c r="BB71" s="328"/>
      <c r="BC71" s="328"/>
      <c r="BD71" s="328"/>
      <c r="BE71" s="330"/>
      <c r="BF71" s="330"/>
      <c r="BG71" s="344"/>
      <c r="BH71" s="383"/>
      <c r="BI71" s="330"/>
      <c r="BJ71" s="330"/>
      <c r="BK71" s="330"/>
      <c r="BL71" s="330"/>
      <c r="BM71" s="330"/>
      <c r="BN71" s="330"/>
      <c r="BO71" s="330"/>
      <c r="BP71" s="331"/>
      <c r="BQ71" s="332"/>
      <c r="BR71" s="333"/>
    </row>
    <row r="72" spans="2:70" ht="15.75" customHeight="1">
      <c r="B72" s="216" t="s">
        <v>1523</v>
      </c>
      <c r="C72" s="212">
        <v>2561728</v>
      </c>
      <c r="D72" s="223">
        <v>31353372000125</v>
      </c>
      <c r="E72" s="217" t="s">
        <v>25</v>
      </c>
      <c r="F72" s="217" t="s">
        <v>959</v>
      </c>
      <c r="G72" s="217" t="s">
        <v>960</v>
      </c>
      <c r="H72" s="218" t="s">
        <v>66</v>
      </c>
      <c r="I72" s="217" t="s">
        <v>1841</v>
      </c>
      <c r="J72" s="217" t="s">
        <v>66</v>
      </c>
      <c r="K72" s="218" t="s">
        <v>951</v>
      </c>
      <c r="L72" s="212" t="s">
        <v>87</v>
      </c>
      <c r="M72" s="250" t="s">
        <v>1843</v>
      </c>
      <c r="N72" s="239">
        <v>43425</v>
      </c>
      <c r="O72" s="210" t="s">
        <v>114</v>
      </c>
      <c r="P72" s="210" t="s">
        <v>1075</v>
      </c>
      <c r="Q72" s="210" t="s">
        <v>1076</v>
      </c>
      <c r="R72" s="210" t="s">
        <v>1084</v>
      </c>
      <c r="S72" s="210" t="s">
        <v>1078</v>
      </c>
      <c r="T72" s="210" t="s">
        <v>1082</v>
      </c>
      <c r="U72" s="210" t="s">
        <v>1086</v>
      </c>
      <c r="V72" s="210" t="s">
        <v>25</v>
      </c>
      <c r="W72" s="211" t="s">
        <v>1016</v>
      </c>
      <c r="X72" s="211">
        <v>5000</v>
      </c>
      <c r="Y72" s="211">
        <v>0</v>
      </c>
      <c r="Z72" s="212">
        <v>0</v>
      </c>
      <c r="AA72" s="240">
        <v>15</v>
      </c>
      <c r="AB72" s="213">
        <v>0.02</v>
      </c>
      <c r="AC72" s="213">
        <v>0</v>
      </c>
      <c r="AD72" s="213" t="s">
        <v>113</v>
      </c>
      <c r="AE72" s="213">
        <v>5.0000000000000001E-3</v>
      </c>
      <c r="AF72" s="241">
        <v>53837003.880000003</v>
      </c>
      <c r="AG72" s="241">
        <v>53837003.880000003</v>
      </c>
      <c r="AH72" s="213">
        <v>6.1100000000000002E-2</v>
      </c>
      <c r="AI72" s="352">
        <v>0.94099999999999995</v>
      </c>
      <c r="AJ72" s="213">
        <v>7.9000000000000001E-2</v>
      </c>
      <c r="AK72" s="352">
        <v>0.84019999999999995</v>
      </c>
      <c r="AL72" s="213">
        <v>0.1045</v>
      </c>
      <c r="AM72" s="352">
        <v>0.86509999999999998</v>
      </c>
      <c r="AN72" s="213">
        <v>0.1772</v>
      </c>
      <c r="AO72" s="352">
        <v>1.0518000000000001</v>
      </c>
      <c r="AP72" s="213">
        <v>2.0199999999999999E-2</v>
      </c>
      <c r="AQ72" s="219">
        <v>-0.67600926461553712</v>
      </c>
      <c r="AR72" s="213" t="s">
        <v>1827</v>
      </c>
      <c r="AU72" s="343"/>
      <c r="AV72" s="343"/>
      <c r="AW72" s="328"/>
      <c r="AX72" s="329"/>
      <c r="AY72" s="328"/>
      <c r="AZ72" s="328"/>
      <c r="BA72" s="330"/>
      <c r="BB72" s="328"/>
      <c r="BC72" s="328"/>
      <c r="BD72" s="328"/>
      <c r="BE72" s="330"/>
      <c r="BF72" s="330"/>
      <c r="BG72" s="344"/>
      <c r="BH72" s="383"/>
      <c r="BI72" s="330"/>
      <c r="BJ72" s="330"/>
      <c r="BK72" s="330"/>
      <c r="BL72" s="330"/>
      <c r="BM72" s="330"/>
      <c r="BN72" s="330"/>
      <c r="BO72" s="330"/>
      <c r="BP72" s="331"/>
      <c r="BQ72" s="332"/>
      <c r="BR72" s="333"/>
    </row>
    <row r="73" spans="2:70" ht="15.75" customHeight="1">
      <c r="B73" s="216" t="s">
        <v>1526</v>
      </c>
      <c r="C73" s="212">
        <v>564000</v>
      </c>
      <c r="D73" s="223">
        <v>35342982000184</v>
      </c>
      <c r="E73" s="217" t="s">
        <v>25</v>
      </c>
      <c r="F73" s="217" t="s">
        <v>958</v>
      </c>
      <c r="G73" s="217" t="s">
        <v>962</v>
      </c>
      <c r="H73" s="218" t="s">
        <v>66</v>
      </c>
      <c r="I73" s="217" t="s">
        <v>1841</v>
      </c>
      <c r="J73" s="217" t="s">
        <v>66</v>
      </c>
      <c r="K73" s="218" t="s">
        <v>951</v>
      </c>
      <c r="L73" s="212" t="s">
        <v>87</v>
      </c>
      <c r="M73" s="250" t="s">
        <v>1843</v>
      </c>
      <c r="N73" s="239">
        <v>43844</v>
      </c>
      <c r="O73" s="210" t="s">
        <v>114</v>
      </c>
      <c r="P73" s="210" t="s">
        <v>1075</v>
      </c>
      <c r="Q73" s="210" t="s">
        <v>1076</v>
      </c>
      <c r="R73" s="210" t="s">
        <v>1084</v>
      </c>
      <c r="S73" s="210" t="s">
        <v>1078</v>
      </c>
      <c r="T73" s="210" t="s">
        <v>1082</v>
      </c>
      <c r="U73" s="210" t="s">
        <v>1086</v>
      </c>
      <c r="V73" s="210" t="s">
        <v>25</v>
      </c>
      <c r="W73" s="211" t="s">
        <v>1016</v>
      </c>
      <c r="X73" s="211">
        <v>10000</v>
      </c>
      <c r="Y73" s="211">
        <v>500</v>
      </c>
      <c r="Z73" s="212">
        <v>1000</v>
      </c>
      <c r="AA73" s="240">
        <v>32</v>
      </c>
      <c r="AB73" s="213">
        <v>0.02</v>
      </c>
      <c r="AC73" s="213">
        <v>0.2</v>
      </c>
      <c r="AD73" s="213" t="s">
        <v>113</v>
      </c>
      <c r="AE73" s="213">
        <v>5.0000000000000001E-3</v>
      </c>
      <c r="AF73" s="241">
        <v>241093499.77000001</v>
      </c>
      <c r="AG73" s="241">
        <v>241093499.77000001</v>
      </c>
      <c r="AH73" s="213">
        <v>6.7400000000000002E-2</v>
      </c>
      <c r="AI73" s="352">
        <v>1.0374000000000001</v>
      </c>
      <c r="AJ73" s="213">
        <v>8.2000000000000003E-2</v>
      </c>
      <c r="AK73" s="352">
        <v>0.87180000000000002</v>
      </c>
      <c r="AL73" s="213">
        <v>0.12529999999999999</v>
      </c>
      <c r="AM73" s="352">
        <v>1.0371999999999999</v>
      </c>
      <c r="AN73" s="213" t="s">
        <v>66</v>
      </c>
      <c r="AO73" s="352" t="s">
        <v>66</v>
      </c>
      <c r="AP73" s="213">
        <v>3.39E-2</v>
      </c>
      <c r="AQ73" s="219">
        <v>-0.31034874082211383</v>
      </c>
      <c r="AR73" s="213" t="s">
        <v>1827</v>
      </c>
      <c r="AU73" s="343"/>
      <c r="AV73" s="343"/>
      <c r="AW73" s="328"/>
      <c r="AX73" s="329"/>
      <c r="AY73" s="328"/>
      <c r="AZ73" s="328"/>
      <c r="BA73" s="330"/>
      <c r="BB73" s="328"/>
      <c r="BC73" s="328"/>
      <c r="BD73" s="328"/>
      <c r="BE73" s="330"/>
      <c r="BF73" s="330"/>
      <c r="BG73" s="344"/>
      <c r="BH73" s="383"/>
      <c r="BI73" s="330"/>
      <c r="BJ73" s="330"/>
      <c r="BK73" s="330"/>
      <c r="BL73" s="330"/>
      <c r="BM73" s="330"/>
      <c r="BN73" s="330"/>
      <c r="BO73" s="330"/>
      <c r="BP73" s="331"/>
      <c r="BQ73" s="332"/>
      <c r="BR73" s="333"/>
    </row>
    <row r="74" spans="2:70" ht="15.75" customHeight="1">
      <c r="B74" s="216" t="s">
        <v>1617</v>
      </c>
      <c r="C74" s="212">
        <v>2305515</v>
      </c>
      <c r="D74" s="223">
        <v>17899612000160</v>
      </c>
      <c r="E74" s="217" t="s">
        <v>19</v>
      </c>
      <c r="F74" s="217" t="s">
        <v>963</v>
      </c>
      <c r="G74" s="217" t="s">
        <v>1011</v>
      </c>
      <c r="H74" s="218" t="s">
        <v>1113</v>
      </c>
      <c r="I74" s="217" t="s">
        <v>66</v>
      </c>
      <c r="J74" s="217" t="s">
        <v>1794</v>
      </c>
      <c r="K74" s="218" t="s">
        <v>951</v>
      </c>
      <c r="L74" s="212" t="s">
        <v>87</v>
      </c>
      <c r="M74" s="250" t="s">
        <v>1843</v>
      </c>
      <c r="N74" s="239">
        <v>41913</v>
      </c>
      <c r="O74" s="210" t="s">
        <v>627</v>
      </c>
      <c r="P74" s="210" t="s">
        <v>1075</v>
      </c>
      <c r="Q74" s="210" t="s">
        <v>1076</v>
      </c>
      <c r="R74" s="210" t="s">
        <v>1084</v>
      </c>
      <c r="S74" s="210" t="s">
        <v>1085</v>
      </c>
      <c r="T74" s="210" t="s">
        <v>349</v>
      </c>
      <c r="U74" s="210" t="s">
        <v>1078</v>
      </c>
      <c r="V74" s="210" t="s">
        <v>25</v>
      </c>
      <c r="W74" s="211" t="s">
        <v>1035</v>
      </c>
      <c r="X74" s="211">
        <v>100</v>
      </c>
      <c r="Y74" s="211">
        <v>100</v>
      </c>
      <c r="Z74" s="212">
        <v>100</v>
      </c>
      <c r="AA74" s="240">
        <v>2</v>
      </c>
      <c r="AB74" s="213">
        <v>8.0000000000000002E-3</v>
      </c>
      <c r="AC74" s="213">
        <v>0.2</v>
      </c>
      <c r="AD74" s="213" t="s">
        <v>109</v>
      </c>
      <c r="AE74" s="213">
        <v>1.5999999999999999E-3</v>
      </c>
      <c r="AF74" s="241">
        <v>419708476.26999998</v>
      </c>
      <c r="AG74" s="241">
        <v>419708476.26999998</v>
      </c>
      <c r="AH74" s="213">
        <v>6.7299999999999999E-2</v>
      </c>
      <c r="AI74" s="352">
        <v>1.0367999999999999</v>
      </c>
      <c r="AJ74" s="213">
        <v>9.9299999999999999E-2</v>
      </c>
      <c r="AK74" s="352">
        <v>1.0551999999999999</v>
      </c>
      <c r="AL74" s="213">
        <v>0.13139999999999999</v>
      </c>
      <c r="AM74" s="352">
        <v>1.0872999999999999</v>
      </c>
      <c r="AN74" s="213">
        <v>0.186</v>
      </c>
      <c r="AO74" s="352">
        <v>1.1040000000000001</v>
      </c>
      <c r="AP74" s="213">
        <v>1.8E-3</v>
      </c>
      <c r="AQ74" s="219">
        <v>2.58505077085846</v>
      </c>
      <c r="AR74" s="213" t="s">
        <v>1827</v>
      </c>
      <c r="AU74" s="343"/>
      <c r="AV74" s="343"/>
      <c r="AW74" s="328"/>
      <c r="AX74" s="329"/>
      <c r="AY74" s="328"/>
      <c r="AZ74" s="328"/>
      <c r="BA74" s="330"/>
      <c r="BB74" s="328"/>
      <c r="BC74" s="328"/>
      <c r="BD74" s="328"/>
      <c r="BE74" s="330"/>
      <c r="BF74" s="330"/>
      <c r="BG74" s="344"/>
      <c r="BH74" s="383"/>
      <c r="BI74" s="330"/>
      <c r="BJ74" s="330"/>
      <c r="BK74" s="330"/>
      <c r="BL74" s="330"/>
      <c r="BM74" s="330"/>
      <c r="BN74" s="330"/>
      <c r="BO74" s="330"/>
      <c r="BP74" s="331"/>
      <c r="BQ74" s="332"/>
      <c r="BR74" s="333"/>
    </row>
    <row r="75" spans="2:70" ht="15.75" customHeight="1">
      <c r="B75" s="216" t="s">
        <v>1620</v>
      </c>
      <c r="C75" s="212">
        <v>1403114</v>
      </c>
      <c r="D75" s="223">
        <v>19366052000104</v>
      </c>
      <c r="E75" s="217" t="s">
        <v>25</v>
      </c>
      <c r="F75" s="217" t="s">
        <v>959</v>
      </c>
      <c r="G75" s="217" t="s">
        <v>960</v>
      </c>
      <c r="H75" s="218" t="s">
        <v>66</v>
      </c>
      <c r="I75" s="217" t="s">
        <v>1841</v>
      </c>
      <c r="J75" s="217" t="s">
        <v>66</v>
      </c>
      <c r="K75" s="218" t="s">
        <v>951</v>
      </c>
      <c r="L75" s="212" t="s">
        <v>87</v>
      </c>
      <c r="M75" s="250" t="s">
        <v>1843</v>
      </c>
      <c r="N75" s="239">
        <v>42163</v>
      </c>
      <c r="O75" s="210" t="s">
        <v>629</v>
      </c>
      <c r="P75" s="210" t="s">
        <v>1090</v>
      </c>
      <c r="Q75" s="210" t="s">
        <v>1091</v>
      </c>
      <c r="R75" s="210" t="s">
        <v>1084</v>
      </c>
      <c r="S75" s="210" t="s">
        <v>1085</v>
      </c>
      <c r="T75" s="210" t="s">
        <v>1082</v>
      </c>
      <c r="U75" s="210" t="s">
        <v>1086</v>
      </c>
      <c r="V75" s="210" t="s">
        <v>25</v>
      </c>
      <c r="W75" s="211" t="s">
        <v>1016</v>
      </c>
      <c r="X75" s="211">
        <v>50000</v>
      </c>
      <c r="Y75" s="211">
        <v>5000</v>
      </c>
      <c r="Z75" s="212">
        <v>5000</v>
      </c>
      <c r="AA75" s="240">
        <v>91</v>
      </c>
      <c r="AB75" s="213">
        <v>1.9449999999999999E-2</v>
      </c>
      <c r="AC75" s="213">
        <v>0.25</v>
      </c>
      <c r="AD75" s="213" t="s">
        <v>109</v>
      </c>
      <c r="AE75" s="213">
        <v>3.8899999999999994E-3</v>
      </c>
      <c r="AF75" s="241">
        <v>1484183121.55</v>
      </c>
      <c r="AG75" s="241">
        <v>1484183121.55</v>
      </c>
      <c r="AH75" s="213">
        <v>8.43E-2</v>
      </c>
      <c r="AI75" s="352">
        <v>1.2989999999999999</v>
      </c>
      <c r="AJ75" s="213">
        <v>0.1363</v>
      </c>
      <c r="AK75" s="352">
        <v>1.4491000000000001</v>
      </c>
      <c r="AL75" s="213">
        <v>0.1951</v>
      </c>
      <c r="AM75" s="352">
        <v>1.6149</v>
      </c>
      <c r="AN75" s="213">
        <v>0.43430000000000002</v>
      </c>
      <c r="AO75" s="352">
        <v>2.5773000000000001</v>
      </c>
      <c r="AP75" s="213">
        <v>0.03</v>
      </c>
      <c r="AQ75" s="219">
        <v>1.2788119872695776</v>
      </c>
      <c r="AR75" s="213" t="s">
        <v>1827</v>
      </c>
      <c r="AU75" s="343"/>
      <c r="AV75" s="343"/>
      <c r="AW75" s="328"/>
      <c r="AX75" s="329"/>
      <c r="AY75" s="328"/>
      <c r="AZ75" s="328"/>
      <c r="BA75" s="330"/>
      <c r="BB75" s="328"/>
      <c r="BC75" s="328"/>
      <c r="BD75" s="328"/>
      <c r="BE75" s="330"/>
      <c r="BF75" s="330"/>
      <c r="BG75" s="344"/>
      <c r="BH75" s="383"/>
      <c r="BI75" s="330"/>
      <c r="BJ75" s="330"/>
      <c r="BK75" s="330"/>
      <c r="BL75" s="330"/>
      <c r="BM75" s="330"/>
      <c r="BN75" s="330"/>
      <c r="BO75" s="330"/>
      <c r="BP75" s="331"/>
      <c r="BQ75" s="332"/>
      <c r="BR75" s="333"/>
    </row>
    <row r="76" spans="2:70" ht="15.75" customHeight="1">
      <c r="B76" s="216" t="s">
        <v>632</v>
      </c>
      <c r="C76" s="212">
        <v>1140597</v>
      </c>
      <c r="D76" s="223">
        <v>7279819000189</v>
      </c>
      <c r="E76" s="217" t="s">
        <v>25</v>
      </c>
      <c r="F76" s="217" t="s">
        <v>959</v>
      </c>
      <c r="G76" s="217" t="s">
        <v>960</v>
      </c>
      <c r="H76" s="218" t="s">
        <v>66</v>
      </c>
      <c r="I76" s="217" t="s">
        <v>1841</v>
      </c>
      <c r="J76" s="217" t="s">
        <v>66</v>
      </c>
      <c r="K76" s="218" t="s">
        <v>951</v>
      </c>
      <c r="L76" s="212" t="s">
        <v>87</v>
      </c>
      <c r="M76" s="250" t="s">
        <v>1843</v>
      </c>
      <c r="N76" s="239">
        <v>38468</v>
      </c>
      <c r="O76" s="210" t="s">
        <v>629</v>
      </c>
      <c r="P76" s="210" t="s">
        <v>1090</v>
      </c>
      <c r="Q76" s="210" t="s">
        <v>1091</v>
      </c>
      <c r="R76" s="210" t="s">
        <v>1084</v>
      </c>
      <c r="S76" s="210" t="s">
        <v>1085</v>
      </c>
      <c r="T76" s="210" t="s">
        <v>1082</v>
      </c>
      <c r="U76" s="210" t="s">
        <v>1086</v>
      </c>
      <c r="V76" s="210" t="s">
        <v>25</v>
      </c>
      <c r="W76" s="211" t="s">
        <v>1012</v>
      </c>
      <c r="X76" s="211">
        <v>50000</v>
      </c>
      <c r="Y76" s="211">
        <v>5000</v>
      </c>
      <c r="Z76" s="212">
        <v>5000</v>
      </c>
      <c r="AA76" s="240">
        <v>16</v>
      </c>
      <c r="AB76" s="213">
        <v>0.02</v>
      </c>
      <c r="AC76" s="213">
        <v>0.25</v>
      </c>
      <c r="AD76" s="213" t="s">
        <v>109</v>
      </c>
      <c r="AE76" s="213">
        <v>4.0000000000000001E-3</v>
      </c>
      <c r="AF76" s="241">
        <v>152429763.56</v>
      </c>
      <c r="AG76" s="241">
        <v>152429763.56</v>
      </c>
      <c r="AH76" s="213">
        <v>7.0900000000000005E-2</v>
      </c>
      <c r="AI76" s="352">
        <v>1.0916999999999999</v>
      </c>
      <c r="AJ76" s="213">
        <v>0.1071</v>
      </c>
      <c r="AK76" s="352">
        <v>1.1382000000000001</v>
      </c>
      <c r="AL76" s="213">
        <v>0.1389</v>
      </c>
      <c r="AM76" s="352">
        <v>1.1496</v>
      </c>
      <c r="AN76" s="213">
        <v>0.26390000000000002</v>
      </c>
      <c r="AO76" s="352">
        <v>1.5657000000000001</v>
      </c>
      <c r="AP76" s="213">
        <v>1.72E-2</v>
      </c>
      <c r="AQ76" s="219">
        <v>0.69669133182316623</v>
      </c>
      <c r="AR76" s="213" t="s">
        <v>1827</v>
      </c>
      <c r="AU76" s="343"/>
      <c r="AV76" s="343"/>
      <c r="AW76" s="328"/>
      <c r="AX76" s="329"/>
      <c r="AY76" s="328"/>
      <c r="AZ76" s="328"/>
      <c r="BA76" s="330"/>
      <c r="BB76" s="328"/>
      <c r="BC76" s="328"/>
      <c r="BD76" s="328"/>
      <c r="BE76" s="330"/>
      <c r="BF76" s="330"/>
      <c r="BG76" s="344"/>
      <c r="BH76" s="383"/>
      <c r="BI76" s="330"/>
      <c r="BJ76" s="330"/>
      <c r="BK76" s="330"/>
      <c r="BL76" s="330"/>
      <c r="BM76" s="330"/>
      <c r="BN76" s="330"/>
      <c r="BO76" s="330"/>
      <c r="BP76" s="331"/>
      <c r="BQ76" s="332"/>
      <c r="BR76" s="333"/>
    </row>
    <row r="77" spans="2:70" ht="15.75" customHeight="1">
      <c r="B77" s="216" t="s">
        <v>1624</v>
      </c>
      <c r="C77" s="212">
        <v>1043586</v>
      </c>
      <c r="D77" s="223">
        <v>30934725000118</v>
      </c>
      <c r="E77" s="217" t="s">
        <v>25</v>
      </c>
      <c r="F77" s="217" t="s">
        <v>959</v>
      </c>
      <c r="G77" s="217" t="s">
        <v>960</v>
      </c>
      <c r="H77" s="218" t="s">
        <v>66</v>
      </c>
      <c r="I77" s="217" t="s">
        <v>1842</v>
      </c>
      <c r="J77" s="217" t="s">
        <v>66</v>
      </c>
      <c r="K77" s="218" t="s">
        <v>951</v>
      </c>
      <c r="L77" s="212" t="s">
        <v>87</v>
      </c>
      <c r="M77" s="250" t="s">
        <v>1843</v>
      </c>
      <c r="N77" s="239">
        <v>43370</v>
      </c>
      <c r="O77" s="210" t="s">
        <v>114</v>
      </c>
      <c r="P77" s="210" t="s">
        <v>1075</v>
      </c>
      <c r="Q77" s="210" t="s">
        <v>1076</v>
      </c>
      <c r="R77" s="210" t="s">
        <v>1077</v>
      </c>
      <c r="S77" s="210" t="s">
        <v>1085</v>
      </c>
      <c r="T77" s="210" t="s">
        <v>1082</v>
      </c>
      <c r="U77" s="210" t="s">
        <v>1086</v>
      </c>
      <c r="V77" s="210" t="s">
        <v>25</v>
      </c>
      <c r="W77" s="211" t="s">
        <v>1016</v>
      </c>
      <c r="X77" s="211">
        <v>5000</v>
      </c>
      <c r="Y77" s="211">
        <v>5000</v>
      </c>
      <c r="Z77" s="212">
        <v>5000</v>
      </c>
      <c r="AA77" s="240">
        <v>32</v>
      </c>
      <c r="AB77" s="213">
        <v>6.4999999999999997E-3</v>
      </c>
      <c r="AC77" s="213">
        <v>0</v>
      </c>
      <c r="AD77" s="213" t="s">
        <v>113</v>
      </c>
      <c r="AE77" s="213">
        <v>4.3333333333333331E-3</v>
      </c>
      <c r="AF77" s="241">
        <v>12303675.9</v>
      </c>
      <c r="AG77" s="241">
        <v>12303675.9</v>
      </c>
      <c r="AH77" s="213">
        <v>8.8999999999999999E-3</v>
      </c>
      <c r="AI77" s="352">
        <v>0.13739999999999999</v>
      </c>
      <c r="AJ77" s="213">
        <v>-4.0000000000000001E-3</v>
      </c>
      <c r="AK77" s="352">
        <v>-4.2500000000000003E-2</v>
      </c>
      <c r="AL77" s="213">
        <v>0.14680000000000001</v>
      </c>
      <c r="AM77" s="352">
        <v>1.2151000000000001</v>
      </c>
      <c r="AN77" s="213">
        <v>0.30130000000000001</v>
      </c>
      <c r="AO77" s="352">
        <v>1.788</v>
      </c>
      <c r="AP77" s="213">
        <v>0.1007</v>
      </c>
      <c r="AQ77" s="219">
        <v>-0.88246875969066152</v>
      </c>
      <c r="AR77" s="213" t="s">
        <v>1827</v>
      </c>
      <c r="AU77" s="343"/>
      <c r="AV77" s="343"/>
      <c r="AW77" s="328"/>
      <c r="AX77" s="329"/>
      <c r="AY77" s="328"/>
      <c r="AZ77" s="328"/>
      <c r="BA77" s="330"/>
      <c r="BB77" s="328"/>
      <c r="BC77" s="328"/>
      <c r="BD77" s="328"/>
      <c r="BE77" s="330"/>
      <c r="BF77" s="330"/>
      <c r="BG77" s="344"/>
      <c r="BH77" s="383"/>
      <c r="BI77" s="330"/>
      <c r="BJ77" s="330"/>
      <c r="BK77" s="330"/>
      <c r="BL77" s="330"/>
      <c r="BM77" s="330"/>
      <c r="BN77" s="330"/>
      <c r="BO77" s="330"/>
      <c r="BP77" s="331"/>
      <c r="BQ77" s="332"/>
      <c r="BR77" s="333"/>
    </row>
    <row r="78" spans="2:70" ht="15.75" customHeight="1">
      <c r="B78" s="216" t="s">
        <v>638</v>
      </c>
      <c r="C78" s="212">
        <v>944381</v>
      </c>
      <c r="D78" s="223">
        <v>25423215000146</v>
      </c>
      <c r="E78" s="217" t="s">
        <v>25</v>
      </c>
      <c r="F78" s="217" t="s">
        <v>959</v>
      </c>
      <c r="G78" s="217" t="s">
        <v>960</v>
      </c>
      <c r="H78" s="218" t="s">
        <v>66</v>
      </c>
      <c r="I78" s="217" t="s">
        <v>1842</v>
      </c>
      <c r="J78" s="217" t="s">
        <v>66</v>
      </c>
      <c r="K78" s="218" t="s">
        <v>951</v>
      </c>
      <c r="L78" s="212" t="s">
        <v>87</v>
      </c>
      <c r="M78" s="250" t="s">
        <v>1843</v>
      </c>
      <c r="N78" s="239">
        <v>42677</v>
      </c>
      <c r="O78" s="210" t="s">
        <v>637</v>
      </c>
      <c r="P78" s="210" t="s">
        <v>1088</v>
      </c>
      <c r="Q78" s="210" t="s">
        <v>1089</v>
      </c>
      <c r="R78" s="210" t="s">
        <v>1077</v>
      </c>
      <c r="S78" s="210" t="s">
        <v>1085</v>
      </c>
      <c r="T78" s="210" t="s">
        <v>1082</v>
      </c>
      <c r="U78" s="210" t="s">
        <v>1086</v>
      </c>
      <c r="V78" s="210" t="s">
        <v>25</v>
      </c>
      <c r="W78" s="211" t="s">
        <v>1016</v>
      </c>
      <c r="X78" s="211">
        <v>100000</v>
      </c>
      <c r="Y78" s="211">
        <v>50000</v>
      </c>
      <c r="Z78" s="212">
        <v>100000</v>
      </c>
      <c r="AA78" s="240">
        <v>17</v>
      </c>
      <c r="AB78" s="213">
        <v>1.8499999999999999E-2</v>
      </c>
      <c r="AC78" s="213">
        <v>0.2</v>
      </c>
      <c r="AD78" s="213" t="s">
        <v>109</v>
      </c>
      <c r="AE78" s="213">
        <v>3.6999999999999993E-3</v>
      </c>
      <c r="AF78" s="241">
        <v>249713983.02000001</v>
      </c>
      <c r="AG78" s="241">
        <v>249713983.02000001</v>
      </c>
      <c r="AH78" s="213">
        <v>1.2E-2</v>
      </c>
      <c r="AI78" s="352">
        <v>0.1847</v>
      </c>
      <c r="AJ78" s="213">
        <v>2.3999999999999998E-3</v>
      </c>
      <c r="AK78" s="352">
        <v>2.5399999999999999E-2</v>
      </c>
      <c r="AL78" s="213">
        <v>0.16159999999999999</v>
      </c>
      <c r="AM78" s="352">
        <v>1.3375999999999999</v>
      </c>
      <c r="AN78" s="213">
        <v>0.32550000000000001</v>
      </c>
      <c r="AO78" s="352">
        <v>1.9317</v>
      </c>
      <c r="AP78" s="213">
        <v>0.10150000000000001</v>
      </c>
      <c r="AQ78" s="219">
        <v>-0.81152679840167263</v>
      </c>
      <c r="AR78" s="213" t="s">
        <v>1827</v>
      </c>
      <c r="AU78" s="343"/>
      <c r="AV78" s="343"/>
      <c r="AW78" s="328"/>
      <c r="AX78" s="329"/>
      <c r="AY78" s="328"/>
      <c r="AZ78" s="328"/>
      <c r="BA78" s="330"/>
      <c r="BB78" s="328"/>
      <c r="BC78" s="328"/>
      <c r="BD78" s="328"/>
      <c r="BE78" s="330"/>
      <c r="BF78" s="330"/>
      <c r="BG78" s="344"/>
      <c r="BH78" s="383"/>
      <c r="BI78" s="330"/>
      <c r="BJ78" s="330"/>
      <c r="BK78" s="330"/>
      <c r="BL78" s="330"/>
      <c r="BM78" s="330"/>
      <c r="BN78" s="330"/>
      <c r="BO78" s="330"/>
      <c r="BP78" s="331"/>
      <c r="BQ78" s="332"/>
      <c r="BR78" s="333"/>
    </row>
    <row r="79" spans="2:70" ht="15.75" customHeight="1">
      <c r="B79" s="216" t="s">
        <v>996</v>
      </c>
      <c r="C79" s="212">
        <v>763598</v>
      </c>
      <c r="D79" s="223">
        <v>18772290000157</v>
      </c>
      <c r="E79" s="217" t="s">
        <v>25</v>
      </c>
      <c r="F79" s="217" t="s">
        <v>959</v>
      </c>
      <c r="G79" s="217" t="s">
        <v>960</v>
      </c>
      <c r="H79" s="218" t="s">
        <v>66</v>
      </c>
      <c r="I79" s="217" t="s">
        <v>1841</v>
      </c>
      <c r="J79" s="217" t="s">
        <v>66</v>
      </c>
      <c r="K79" s="218" t="s">
        <v>951</v>
      </c>
      <c r="L79" s="212" t="s">
        <v>87</v>
      </c>
      <c r="M79" s="250" t="s">
        <v>1843</v>
      </c>
      <c r="N79" s="239">
        <v>41577</v>
      </c>
      <c r="O79" s="210" t="s">
        <v>637</v>
      </c>
      <c r="P79" s="210" t="s">
        <v>1088</v>
      </c>
      <c r="Q79" s="210" t="s">
        <v>1089</v>
      </c>
      <c r="R79" s="210" t="s">
        <v>1084</v>
      </c>
      <c r="S79" s="210" t="s">
        <v>1078</v>
      </c>
      <c r="T79" s="210" t="s">
        <v>1082</v>
      </c>
      <c r="U79" s="210" t="s">
        <v>1086</v>
      </c>
      <c r="V79" s="210" t="s">
        <v>25</v>
      </c>
      <c r="W79" s="211" t="s">
        <v>1023</v>
      </c>
      <c r="X79" s="211">
        <v>10000</v>
      </c>
      <c r="Y79" s="211">
        <v>5000</v>
      </c>
      <c r="Z79" s="212">
        <v>10000</v>
      </c>
      <c r="AA79" s="240">
        <v>15</v>
      </c>
      <c r="AB79" s="213">
        <v>1.8499999999999999E-2</v>
      </c>
      <c r="AC79" s="213">
        <v>0.2</v>
      </c>
      <c r="AD79" s="213" t="s">
        <v>109</v>
      </c>
      <c r="AE79" s="213">
        <v>4.6249999999999998E-3</v>
      </c>
      <c r="AF79" s="241">
        <v>496593045.50999999</v>
      </c>
      <c r="AG79" s="241">
        <v>496593045.50999999</v>
      </c>
      <c r="AH79" s="213">
        <v>5.0900000000000001E-2</v>
      </c>
      <c r="AI79" s="352">
        <v>0.78400000000000003</v>
      </c>
      <c r="AJ79" s="213">
        <v>7.1400000000000005E-2</v>
      </c>
      <c r="AK79" s="352">
        <v>0.75880000000000003</v>
      </c>
      <c r="AL79" s="213">
        <v>0.1512</v>
      </c>
      <c r="AM79" s="352">
        <v>1.2515000000000001</v>
      </c>
      <c r="AN79" s="213">
        <v>0.28549999999999998</v>
      </c>
      <c r="AO79" s="352">
        <v>1.6940999999999999</v>
      </c>
      <c r="AP79" s="213">
        <v>4.7100000000000003E-2</v>
      </c>
      <c r="AQ79" s="219">
        <v>-0.42190247280351434</v>
      </c>
      <c r="AR79" s="213" t="s">
        <v>1827</v>
      </c>
      <c r="AU79" s="343"/>
      <c r="AV79" s="343"/>
      <c r="AW79" s="328"/>
      <c r="AX79" s="329"/>
      <c r="AY79" s="328"/>
      <c r="AZ79" s="328"/>
      <c r="BA79" s="330"/>
      <c r="BB79" s="328"/>
      <c r="BC79" s="328"/>
      <c r="BD79" s="328"/>
      <c r="BE79" s="330"/>
      <c r="BF79" s="330"/>
      <c r="BG79" s="344"/>
      <c r="BH79" s="383"/>
      <c r="BI79" s="330"/>
      <c r="BJ79" s="330"/>
      <c r="BK79" s="330"/>
      <c r="BL79" s="330"/>
      <c r="BM79" s="330"/>
      <c r="BN79" s="330"/>
      <c r="BO79" s="330"/>
      <c r="BP79" s="331"/>
      <c r="BQ79" s="332"/>
      <c r="BR79" s="333"/>
    </row>
    <row r="80" spans="2:70" ht="15.75" customHeight="1">
      <c r="B80" s="216" t="s">
        <v>647</v>
      </c>
      <c r="C80" s="212">
        <v>613491</v>
      </c>
      <c r="D80" s="223">
        <v>14188162000100</v>
      </c>
      <c r="E80" s="217" t="s">
        <v>19</v>
      </c>
      <c r="F80" s="217" t="s">
        <v>963</v>
      </c>
      <c r="G80" s="217" t="s">
        <v>1011</v>
      </c>
      <c r="H80" s="218" t="s">
        <v>1113</v>
      </c>
      <c r="I80" s="217" t="s">
        <v>66</v>
      </c>
      <c r="J80" s="217"/>
      <c r="K80" s="218" t="s">
        <v>951</v>
      </c>
      <c r="L80" s="212" t="s">
        <v>87</v>
      </c>
      <c r="M80" s="250" t="s">
        <v>1843</v>
      </c>
      <c r="N80" s="239">
        <v>40946</v>
      </c>
      <c r="O80" s="210" t="s">
        <v>645</v>
      </c>
      <c r="P80" s="210" t="s">
        <v>1090</v>
      </c>
      <c r="Q80" s="210" t="s">
        <v>1091</v>
      </c>
      <c r="R80" s="210" t="s">
        <v>1084</v>
      </c>
      <c r="S80" s="210" t="s">
        <v>1078</v>
      </c>
      <c r="T80" s="210" t="s">
        <v>349</v>
      </c>
      <c r="U80" s="210" t="s">
        <v>1114</v>
      </c>
      <c r="V80" s="210" t="s">
        <v>19</v>
      </c>
      <c r="W80" s="211" t="s">
        <v>1895</v>
      </c>
      <c r="X80" s="211">
        <v>1000</v>
      </c>
      <c r="Y80" s="211">
        <v>100</v>
      </c>
      <c r="Z80" s="212">
        <v>100</v>
      </c>
      <c r="AA80" s="240">
        <v>32</v>
      </c>
      <c r="AB80" s="213">
        <v>3.0000000000000001E-3</v>
      </c>
      <c r="AC80" s="213">
        <v>0.2</v>
      </c>
      <c r="AD80" s="213" t="s">
        <v>109</v>
      </c>
      <c r="AE80" s="213">
        <v>1.4E-3</v>
      </c>
      <c r="AF80" s="241">
        <v>1777802550.48</v>
      </c>
      <c r="AG80" s="241">
        <v>1777802550.48</v>
      </c>
      <c r="AH80" s="213">
        <v>7.46E-2</v>
      </c>
      <c r="AI80" s="352">
        <v>1.1485000000000001</v>
      </c>
      <c r="AJ80" s="213">
        <v>0.11409999999999999</v>
      </c>
      <c r="AK80" s="352">
        <v>1.2124999999999999</v>
      </c>
      <c r="AL80" s="213">
        <v>0.18629999999999999</v>
      </c>
      <c r="AM80" s="352">
        <v>1.5422</v>
      </c>
      <c r="AN80" s="213">
        <v>0.19539999999999999</v>
      </c>
      <c r="AO80" s="352">
        <v>1.1597999999999999</v>
      </c>
      <c r="AP80" s="213">
        <v>2E-3</v>
      </c>
      <c r="AQ80" s="219">
        <v>9.2537306185948776</v>
      </c>
      <c r="AR80" s="213" t="s">
        <v>1827</v>
      </c>
      <c r="AU80" s="343"/>
      <c r="AV80" s="343"/>
      <c r="AW80" s="328"/>
      <c r="AX80" s="329"/>
      <c r="AY80" s="328"/>
      <c r="AZ80" s="328"/>
      <c r="BA80" s="330"/>
      <c r="BB80" s="328"/>
      <c r="BC80" s="328"/>
      <c r="BD80" s="328"/>
      <c r="BE80" s="330"/>
      <c r="BF80" s="330"/>
      <c r="BG80" s="344"/>
      <c r="BH80" s="383"/>
      <c r="BI80" s="330"/>
      <c r="BJ80" s="330"/>
      <c r="BK80" s="330"/>
      <c r="BL80" s="330"/>
      <c r="BM80" s="330"/>
      <c r="BN80" s="330"/>
      <c r="BO80" s="330"/>
      <c r="BP80" s="331"/>
      <c r="BQ80" s="332"/>
      <c r="BR80" s="333"/>
    </row>
    <row r="81" spans="2:70" ht="15.75" customHeight="1">
      <c r="B81" s="216" t="s">
        <v>650</v>
      </c>
      <c r="C81" s="212">
        <v>396862</v>
      </c>
      <c r="D81" s="223">
        <v>35343590000130</v>
      </c>
      <c r="E81" s="217" t="s">
        <v>19</v>
      </c>
      <c r="F81" s="217" t="s">
        <v>963</v>
      </c>
      <c r="G81" s="217" t="s">
        <v>1011</v>
      </c>
      <c r="H81" s="218" t="s">
        <v>1113</v>
      </c>
      <c r="I81" s="217" t="s">
        <v>66</v>
      </c>
      <c r="J81" s="217"/>
      <c r="K81" s="218" t="s">
        <v>951</v>
      </c>
      <c r="L81" s="212" t="s">
        <v>87</v>
      </c>
      <c r="M81" s="250" t="s">
        <v>1843</v>
      </c>
      <c r="N81" s="239">
        <v>43819</v>
      </c>
      <c r="O81" s="210" t="s">
        <v>114</v>
      </c>
      <c r="P81" s="210" t="s">
        <v>1075</v>
      </c>
      <c r="Q81" s="210" t="s">
        <v>1076</v>
      </c>
      <c r="R81" s="210" t="s">
        <v>1084</v>
      </c>
      <c r="S81" s="210" t="s">
        <v>1078</v>
      </c>
      <c r="T81" s="210" t="s">
        <v>349</v>
      </c>
      <c r="U81" s="210" t="s">
        <v>1114</v>
      </c>
      <c r="V81" s="210" t="s">
        <v>19</v>
      </c>
      <c r="W81" s="211" t="s">
        <v>1024</v>
      </c>
      <c r="X81" s="211">
        <v>1000</v>
      </c>
      <c r="Y81" s="211">
        <v>500</v>
      </c>
      <c r="Z81" s="212">
        <v>1000</v>
      </c>
      <c r="AA81" s="240">
        <v>46</v>
      </c>
      <c r="AB81" s="213">
        <v>6.0000000000000001E-3</v>
      </c>
      <c r="AC81" s="213">
        <v>0.2</v>
      </c>
      <c r="AD81" s="213" t="s">
        <v>109</v>
      </c>
      <c r="AE81" s="213">
        <v>1.3998000000000001E-3</v>
      </c>
      <c r="AF81" s="241">
        <v>264173468.21000001</v>
      </c>
      <c r="AG81" s="241">
        <v>264173468.21000001</v>
      </c>
      <c r="AH81" s="213">
        <v>7.3499999999999996E-2</v>
      </c>
      <c r="AI81" s="352">
        <v>1.1329</v>
      </c>
      <c r="AJ81" s="213">
        <v>0.1106</v>
      </c>
      <c r="AK81" s="352">
        <v>1.1757</v>
      </c>
      <c r="AL81" s="213">
        <v>0.18729999999999999</v>
      </c>
      <c r="AM81" s="352">
        <v>1.5501</v>
      </c>
      <c r="AN81" s="213" t="s">
        <v>66</v>
      </c>
      <c r="AO81" s="352" t="s">
        <v>66</v>
      </c>
      <c r="AP81" s="213">
        <v>2.3E-3</v>
      </c>
      <c r="AQ81" s="219">
        <v>6.5753209670541342</v>
      </c>
      <c r="AR81" s="213" t="s">
        <v>1827</v>
      </c>
      <c r="AU81" s="343"/>
      <c r="AV81" s="343"/>
      <c r="AW81" s="328"/>
      <c r="AX81" s="329"/>
      <c r="AY81" s="328"/>
      <c r="AZ81" s="328"/>
      <c r="BA81" s="330"/>
      <c r="BB81" s="328"/>
      <c r="BC81" s="328"/>
      <c r="BD81" s="328"/>
      <c r="BE81" s="330"/>
      <c r="BF81" s="330"/>
      <c r="BG81" s="344"/>
      <c r="BH81" s="383"/>
      <c r="BI81" s="330"/>
      <c r="BJ81" s="330"/>
      <c r="BK81" s="330"/>
      <c r="BL81" s="330"/>
      <c r="BM81" s="330"/>
      <c r="BN81" s="330"/>
      <c r="BO81" s="330"/>
      <c r="BP81" s="331"/>
      <c r="BQ81" s="332"/>
      <c r="BR81" s="333"/>
    </row>
    <row r="82" spans="2:70" ht="15.75" customHeight="1">
      <c r="B82" s="216" t="s">
        <v>791</v>
      </c>
      <c r="C82" s="212">
        <v>1093309</v>
      </c>
      <c r="D82" s="223">
        <v>35505971000178</v>
      </c>
      <c r="E82" s="217" t="s">
        <v>19</v>
      </c>
      <c r="F82" s="217" t="s">
        <v>963</v>
      </c>
      <c r="G82" s="217" t="s">
        <v>1011</v>
      </c>
      <c r="H82" s="218" t="s">
        <v>1113</v>
      </c>
      <c r="I82" s="217" t="s">
        <v>66</v>
      </c>
      <c r="J82" s="217"/>
      <c r="K82" s="218" t="s">
        <v>954</v>
      </c>
      <c r="L82" s="212" t="s">
        <v>87</v>
      </c>
      <c r="M82" s="250" t="s">
        <v>1843</v>
      </c>
      <c r="N82" s="239">
        <v>43817</v>
      </c>
      <c r="O82" s="210" t="s">
        <v>649</v>
      </c>
      <c r="P82" s="210" t="s">
        <v>1083</v>
      </c>
      <c r="Q82" s="210" t="s">
        <v>102</v>
      </c>
      <c r="R82" s="210" t="s">
        <v>1084</v>
      </c>
      <c r="S82" s="210" t="s">
        <v>1078</v>
      </c>
      <c r="T82" s="210" t="s">
        <v>349</v>
      </c>
      <c r="U82" s="210" t="s">
        <v>1114</v>
      </c>
      <c r="V82" s="210" t="s">
        <v>19</v>
      </c>
      <c r="W82" s="211" t="s">
        <v>1024</v>
      </c>
      <c r="X82" s="211">
        <v>1000</v>
      </c>
      <c r="Y82" s="211">
        <v>500</v>
      </c>
      <c r="Z82" s="212">
        <v>500</v>
      </c>
      <c r="AA82" s="240">
        <v>46</v>
      </c>
      <c r="AB82" s="213">
        <v>6.0000000000000001E-3</v>
      </c>
      <c r="AC82" s="213">
        <v>0.2</v>
      </c>
      <c r="AD82" s="213" t="s">
        <v>109</v>
      </c>
      <c r="AE82" s="213">
        <v>1.4E-3</v>
      </c>
      <c r="AF82" s="241">
        <v>1457247341.4000001</v>
      </c>
      <c r="AG82" s="241">
        <v>1457247341.4000001</v>
      </c>
      <c r="AH82" s="213">
        <v>7.3700000000000002E-2</v>
      </c>
      <c r="AI82" s="352">
        <v>1.1347</v>
      </c>
      <c r="AJ82" s="213">
        <v>0.1109</v>
      </c>
      <c r="AK82" s="352">
        <v>1.1782999999999999</v>
      </c>
      <c r="AL82" s="213">
        <v>0.18820000000000001</v>
      </c>
      <c r="AM82" s="352">
        <v>1.5580000000000001</v>
      </c>
      <c r="AN82" s="213" t="s">
        <v>66</v>
      </c>
      <c r="AO82" s="352" t="s">
        <v>66</v>
      </c>
      <c r="AP82" s="213">
        <v>2.3E-3</v>
      </c>
      <c r="AQ82" s="219">
        <v>6.6523575605915477</v>
      </c>
      <c r="AR82" s="213" t="s">
        <v>1827</v>
      </c>
      <c r="AU82" s="343"/>
      <c r="AV82" s="343"/>
      <c r="AW82" s="328"/>
      <c r="AX82" s="329"/>
      <c r="AY82" s="328"/>
      <c r="AZ82" s="328"/>
      <c r="BA82" s="330"/>
      <c r="BB82" s="328"/>
      <c r="BC82" s="328"/>
      <c r="BD82" s="328"/>
      <c r="BE82" s="330"/>
      <c r="BF82" s="330"/>
      <c r="BG82" s="344"/>
      <c r="BH82" s="383"/>
      <c r="BI82" s="330"/>
      <c r="BJ82" s="330"/>
      <c r="BK82" s="330"/>
      <c r="BL82" s="330"/>
      <c r="BM82" s="330"/>
      <c r="BN82" s="330"/>
      <c r="BO82" s="330"/>
      <c r="BP82" s="331"/>
      <c r="BQ82" s="332"/>
      <c r="BR82" s="333"/>
    </row>
    <row r="83" spans="2:70" ht="15.75" customHeight="1">
      <c r="B83" s="216" t="s">
        <v>792</v>
      </c>
      <c r="C83" s="212">
        <v>537091</v>
      </c>
      <c r="D83" s="223">
        <v>34781162000126</v>
      </c>
      <c r="E83" s="217" t="s">
        <v>19</v>
      </c>
      <c r="F83" s="217" t="s">
        <v>963</v>
      </c>
      <c r="G83" s="217" t="s">
        <v>1011</v>
      </c>
      <c r="H83" s="218" t="s">
        <v>1113</v>
      </c>
      <c r="I83" s="217" t="s">
        <v>66</v>
      </c>
      <c r="J83" s="217"/>
      <c r="K83" s="218" t="s">
        <v>954</v>
      </c>
      <c r="L83" s="212" t="s">
        <v>87</v>
      </c>
      <c r="M83" s="250" t="s">
        <v>1843</v>
      </c>
      <c r="N83" s="239">
        <v>44355</v>
      </c>
      <c r="O83" s="210" t="s">
        <v>649</v>
      </c>
      <c r="P83" s="210" t="s">
        <v>1083</v>
      </c>
      <c r="Q83" s="210" t="s">
        <v>102</v>
      </c>
      <c r="R83" s="210" t="s">
        <v>1077</v>
      </c>
      <c r="S83" s="210" t="s">
        <v>1078</v>
      </c>
      <c r="T83" s="210" t="s">
        <v>349</v>
      </c>
      <c r="U83" s="210" t="s">
        <v>1114</v>
      </c>
      <c r="V83" s="210" t="s">
        <v>25</v>
      </c>
      <c r="W83" s="211" t="s">
        <v>1016</v>
      </c>
      <c r="X83" s="211">
        <v>5000</v>
      </c>
      <c r="Y83" s="211">
        <v>1000</v>
      </c>
      <c r="Z83" s="212">
        <v>5000</v>
      </c>
      <c r="AA83" s="240">
        <v>46</v>
      </c>
      <c r="AB83" s="213">
        <v>4.0000000000000001E-3</v>
      </c>
      <c r="AC83" s="213">
        <v>0.2</v>
      </c>
      <c r="AD83" s="213" t="s">
        <v>109</v>
      </c>
      <c r="AE83" s="213">
        <v>1.3333333333333333E-3</v>
      </c>
      <c r="AF83" s="241">
        <v>287839853.33999997</v>
      </c>
      <c r="AG83" s="241">
        <v>287839853.33999997</v>
      </c>
      <c r="AH83" s="213">
        <v>6.1199999999999997E-2</v>
      </c>
      <c r="AI83" s="352">
        <v>0.94330000000000003</v>
      </c>
      <c r="AJ83" s="213">
        <v>9.4799999999999995E-2</v>
      </c>
      <c r="AK83" s="352">
        <v>1.0076000000000001</v>
      </c>
      <c r="AL83" s="213" t="s">
        <v>66</v>
      </c>
      <c r="AM83" s="352" t="s">
        <v>66</v>
      </c>
      <c r="AN83" s="213" t="s">
        <v>66</v>
      </c>
      <c r="AO83" s="352" t="s">
        <v>66</v>
      </c>
      <c r="AP83" s="213">
        <v>1.6799999999999999E-2</v>
      </c>
      <c r="AQ83" s="219">
        <v>4.6995322680730159E-2</v>
      </c>
      <c r="AR83" s="213" t="s">
        <v>1827</v>
      </c>
      <c r="AU83" s="343"/>
      <c r="AV83" s="343"/>
      <c r="AW83" s="328"/>
      <c r="AX83" s="329"/>
      <c r="AY83" s="328"/>
      <c r="AZ83" s="328"/>
      <c r="BA83" s="330"/>
      <c r="BB83" s="328"/>
      <c r="BC83" s="328"/>
      <c r="BD83" s="328"/>
      <c r="BE83" s="330"/>
      <c r="BF83" s="330"/>
      <c r="BG83" s="344"/>
      <c r="BH83" s="383"/>
      <c r="BI83" s="330"/>
      <c r="BJ83" s="330"/>
      <c r="BK83" s="330"/>
      <c r="BL83" s="330"/>
      <c r="BM83" s="330"/>
      <c r="BN83" s="330"/>
      <c r="BO83" s="330"/>
      <c r="BP83" s="331"/>
      <c r="BQ83" s="332"/>
      <c r="BR83" s="333"/>
    </row>
    <row r="84" spans="2:70" ht="15.75" customHeight="1">
      <c r="B84" s="216" t="s">
        <v>1663</v>
      </c>
      <c r="C84" s="212">
        <v>1612732</v>
      </c>
      <c r="D84" s="223">
        <v>45126795000117</v>
      </c>
      <c r="E84" s="217" t="s">
        <v>25</v>
      </c>
      <c r="F84" s="217" t="s">
        <v>958</v>
      </c>
      <c r="G84" s="217" t="s">
        <v>962</v>
      </c>
      <c r="H84" s="218" t="s">
        <v>66</v>
      </c>
      <c r="I84" s="217" t="s">
        <v>1842</v>
      </c>
      <c r="J84" s="217" t="s">
        <v>66</v>
      </c>
      <c r="K84" s="218" t="s">
        <v>954</v>
      </c>
      <c r="L84" s="212" t="s">
        <v>87</v>
      </c>
      <c r="M84" s="250" t="s">
        <v>1843</v>
      </c>
      <c r="N84" s="239">
        <v>44617</v>
      </c>
      <c r="O84" s="210" t="s">
        <v>1662</v>
      </c>
      <c r="P84" s="210" t="s">
        <v>1075</v>
      </c>
      <c r="Q84" s="210" t="s">
        <v>1076</v>
      </c>
      <c r="R84" s="210" t="s">
        <v>1084</v>
      </c>
      <c r="S84" s="210" t="s">
        <v>1078</v>
      </c>
      <c r="T84" s="210" t="s">
        <v>1082</v>
      </c>
      <c r="U84" s="210" t="s">
        <v>958</v>
      </c>
      <c r="V84" s="210" t="s">
        <v>25</v>
      </c>
      <c r="W84" s="211" t="s">
        <v>1012</v>
      </c>
      <c r="X84" s="211">
        <v>1000</v>
      </c>
      <c r="Y84" s="211">
        <v>1000</v>
      </c>
      <c r="Z84" s="212">
        <v>1000</v>
      </c>
      <c r="AA84" s="240">
        <v>30</v>
      </c>
      <c r="AB84" s="213">
        <v>1.9E-2</v>
      </c>
      <c r="AC84" s="213">
        <v>0.2</v>
      </c>
      <c r="AD84" s="213" t="s">
        <v>1100</v>
      </c>
      <c r="AE84" s="213">
        <v>5.0666666666666664E-3</v>
      </c>
      <c r="AF84" s="241">
        <v>144898688.34999999</v>
      </c>
      <c r="AG84" s="241">
        <v>144898688.34999999</v>
      </c>
      <c r="AH84" s="213" t="s">
        <v>66</v>
      </c>
      <c r="AI84" s="352" t="s">
        <v>66</v>
      </c>
      <c r="AJ84" s="213" t="s">
        <v>66</v>
      </c>
      <c r="AK84" s="352" t="s">
        <v>66</v>
      </c>
      <c r="AL84" s="213" t="s">
        <v>66</v>
      </c>
      <c r="AM84" s="352" t="s">
        <v>66</v>
      </c>
      <c r="AN84" s="213" t="s">
        <v>66</v>
      </c>
      <c r="AO84" s="352" t="s">
        <v>66</v>
      </c>
      <c r="AP84" s="213" t="s">
        <v>66</v>
      </c>
      <c r="AQ84" s="219" t="s">
        <v>66</v>
      </c>
      <c r="AR84" s="213" t="s">
        <v>1827</v>
      </c>
      <c r="AU84" s="343"/>
      <c r="AV84" s="343"/>
      <c r="AW84" s="328"/>
      <c r="AX84" s="329"/>
      <c r="AY84" s="328"/>
      <c r="AZ84" s="328"/>
      <c r="BA84" s="330"/>
      <c r="BB84" s="328"/>
      <c r="BC84" s="328"/>
      <c r="BD84" s="328"/>
      <c r="BE84" s="330"/>
      <c r="BF84" s="330"/>
      <c r="BG84" s="344"/>
      <c r="BH84" s="383"/>
      <c r="BI84" s="330"/>
      <c r="BJ84" s="330"/>
      <c r="BK84" s="330"/>
      <c r="BL84" s="330"/>
      <c r="BM84" s="330"/>
      <c r="BN84" s="330"/>
      <c r="BO84" s="330"/>
      <c r="BP84" s="331"/>
      <c r="BQ84" s="332"/>
      <c r="BR84" s="333"/>
    </row>
    <row r="85" spans="2:70" ht="15.75" customHeight="1">
      <c r="B85" s="216" t="s">
        <v>1664</v>
      </c>
      <c r="C85" s="212">
        <v>3008116</v>
      </c>
      <c r="D85" s="223">
        <v>45126753000186</v>
      </c>
      <c r="E85" s="217" t="s">
        <v>28</v>
      </c>
      <c r="F85" s="217" t="s">
        <v>957</v>
      </c>
      <c r="G85" s="217" t="s">
        <v>1038</v>
      </c>
      <c r="H85" s="218"/>
      <c r="I85" s="217" t="s">
        <v>1842</v>
      </c>
      <c r="J85" s="217" t="s">
        <v>66</v>
      </c>
      <c r="K85" s="218" t="s">
        <v>951</v>
      </c>
      <c r="L85" s="212" t="s">
        <v>87</v>
      </c>
      <c r="M85" s="250" t="s">
        <v>1843</v>
      </c>
      <c r="N85" s="239">
        <v>44617</v>
      </c>
      <c r="O85" s="210" t="s">
        <v>1662</v>
      </c>
      <c r="P85" s="210" t="s">
        <v>1075</v>
      </c>
      <c r="Q85" s="210" t="s">
        <v>1076</v>
      </c>
      <c r="R85" s="210" t="s">
        <v>1084</v>
      </c>
      <c r="S85" s="210" t="s">
        <v>1078</v>
      </c>
      <c r="T85" s="210" t="s">
        <v>1079</v>
      </c>
      <c r="U85" s="210" t="s">
        <v>957</v>
      </c>
      <c r="V85" s="210" t="s">
        <v>25</v>
      </c>
      <c r="W85" s="211" t="s">
        <v>1016</v>
      </c>
      <c r="X85" s="211">
        <v>1000</v>
      </c>
      <c r="Y85" s="211">
        <v>1000</v>
      </c>
      <c r="Z85" s="212">
        <v>1000</v>
      </c>
      <c r="AA85" s="240">
        <v>30</v>
      </c>
      <c r="AB85" s="213">
        <v>1.9E-2</v>
      </c>
      <c r="AC85" s="213">
        <v>0.2</v>
      </c>
      <c r="AD85" s="213" t="s">
        <v>1100</v>
      </c>
      <c r="AE85" s="213" t="s">
        <v>66</v>
      </c>
      <c r="AF85" s="241">
        <v>52155445.530000001</v>
      </c>
      <c r="AG85" s="241">
        <v>52155445.530000001</v>
      </c>
      <c r="AH85" s="213" t="s">
        <v>66</v>
      </c>
      <c r="AI85" s="352" t="s">
        <v>66</v>
      </c>
      <c r="AJ85" s="213" t="s">
        <v>66</v>
      </c>
      <c r="AK85" s="352" t="s">
        <v>66</v>
      </c>
      <c r="AL85" s="213" t="s">
        <v>66</v>
      </c>
      <c r="AM85" s="352" t="s">
        <v>66</v>
      </c>
      <c r="AN85" s="213" t="s">
        <v>66</v>
      </c>
      <c r="AO85" s="352" t="s">
        <v>66</v>
      </c>
      <c r="AP85" s="213" t="s">
        <v>66</v>
      </c>
      <c r="AQ85" s="219" t="s">
        <v>66</v>
      </c>
      <c r="AR85" s="213" t="s">
        <v>1827</v>
      </c>
      <c r="AU85" s="343"/>
      <c r="AV85" s="343"/>
      <c r="AW85" s="328"/>
      <c r="AX85" s="329"/>
      <c r="AY85" s="328"/>
      <c r="AZ85" s="328"/>
      <c r="BA85" s="330"/>
      <c r="BB85" s="328"/>
      <c r="BC85" s="328"/>
      <c r="BD85" s="328"/>
      <c r="BE85" s="330"/>
      <c r="BF85" s="330"/>
      <c r="BG85" s="344"/>
      <c r="BH85" s="383"/>
      <c r="BI85" s="330"/>
      <c r="BJ85" s="330"/>
      <c r="BK85" s="330"/>
      <c r="BL85" s="330"/>
      <c r="BM85" s="330"/>
      <c r="BN85" s="330"/>
      <c r="BO85" s="330"/>
      <c r="BP85" s="331"/>
      <c r="BQ85" s="332"/>
      <c r="BR85" s="333"/>
    </row>
    <row r="86" spans="2:70" ht="15.75" customHeight="1">
      <c r="B86" s="216" t="s">
        <v>1670</v>
      </c>
      <c r="C86" s="212">
        <v>544819</v>
      </c>
      <c r="D86" s="223">
        <v>8968733000126</v>
      </c>
      <c r="E86" s="217" t="s">
        <v>28</v>
      </c>
      <c r="F86" s="217" t="s">
        <v>950</v>
      </c>
      <c r="G86" s="217" t="s">
        <v>1820</v>
      </c>
      <c r="H86" s="218"/>
      <c r="I86" s="217" t="s">
        <v>66</v>
      </c>
      <c r="J86" s="217" t="s">
        <v>66</v>
      </c>
      <c r="K86" s="218" t="s">
        <v>951</v>
      </c>
      <c r="L86" s="212" t="s">
        <v>87</v>
      </c>
      <c r="M86" s="250" t="s">
        <v>1843</v>
      </c>
      <c r="N86" s="239">
        <v>43298</v>
      </c>
      <c r="O86" s="210" t="s">
        <v>366</v>
      </c>
      <c r="P86" s="210" t="s">
        <v>1075</v>
      </c>
      <c r="Q86" s="210" t="s">
        <v>1076</v>
      </c>
      <c r="R86" s="210" t="s">
        <v>1084</v>
      </c>
      <c r="S86" s="210" t="s">
        <v>1078</v>
      </c>
      <c r="T86" s="210" t="s">
        <v>1079</v>
      </c>
      <c r="U86" s="210" t="s">
        <v>950</v>
      </c>
      <c r="V86" s="210" t="s">
        <v>1080</v>
      </c>
      <c r="W86" s="211" t="s">
        <v>1007</v>
      </c>
      <c r="X86" s="211">
        <v>50</v>
      </c>
      <c r="Y86" s="211">
        <v>50</v>
      </c>
      <c r="Z86" s="212">
        <v>50</v>
      </c>
      <c r="AA86" s="240">
        <v>32</v>
      </c>
      <c r="AB86" s="213">
        <v>0.02</v>
      </c>
      <c r="AC86" s="213">
        <v>0.2</v>
      </c>
      <c r="AD86" s="213" t="s">
        <v>1100</v>
      </c>
      <c r="AE86" s="213">
        <v>5.3333333333333332E-3</v>
      </c>
      <c r="AF86" s="241">
        <v>237588974.84</v>
      </c>
      <c r="AG86" s="241">
        <v>237588974.84</v>
      </c>
      <c r="AH86" s="213">
        <v>-2.1299999999999999E-2</v>
      </c>
      <c r="AI86" s="352">
        <v>-0.32879999999999998</v>
      </c>
      <c r="AJ86" s="213">
        <v>-0.1285</v>
      </c>
      <c r="AK86" s="352">
        <v>-1.3656999999999999</v>
      </c>
      <c r="AL86" s="213">
        <v>0.79520000000000002</v>
      </c>
      <c r="AM86" s="352">
        <v>6.5827</v>
      </c>
      <c r="AN86" s="213">
        <v>0.89019999999999999</v>
      </c>
      <c r="AO86" s="352">
        <v>5.2827000000000002</v>
      </c>
      <c r="AP86" s="213">
        <v>0.2331</v>
      </c>
      <c r="AQ86" s="219">
        <v>-0.85916269058702621</v>
      </c>
      <c r="AR86" s="213" t="s">
        <v>1824</v>
      </c>
      <c r="AU86" s="343"/>
      <c r="AV86" s="343"/>
      <c r="AW86" s="328"/>
      <c r="AX86" s="329"/>
      <c r="AY86" s="328"/>
      <c r="AZ86" s="328"/>
      <c r="BA86" s="330"/>
      <c r="BB86" s="328"/>
      <c r="BC86" s="328"/>
      <c r="BD86" s="328"/>
      <c r="BE86" s="330"/>
      <c r="BF86" s="330"/>
      <c r="BG86" s="344"/>
      <c r="BH86" s="383"/>
      <c r="BI86" s="330"/>
      <c r="BJ86" s="330"/>
      <c r="BK86" s="330"/>
      <c r="BL86" s="330"/>
      <c r="BM86" s="330"/>
      <c r="BN86" s="330"/>
      <c r="BO86" s="330"/>
      <c r="BP86" s="331"/>
      <c r="BQ86" s="332"/>
      <c r="BR86" s="333"/>
    </row>
    <row r="87" spans="2:70" ht="15.75" customHeight="1">
      <c r="B87" s="216" t="s">
        <v>1676</v>
      </c>
      <c r="C87" s="212">
        <v>1565414</v>
      </c>
      <c r="D87" s="223">
        <v>26831831000107</v>
      </c>
      <c r="E87" s="217" t="s">
        <v>25</v>
      </c>
      <c r="F87" s="217" t="s">
        <v>959</v>
      </c>
      <c r="G87" s="217" t="s">
        <v>960</v>
      </c>
      <c r="H87" s="218" t="s">
        <v>66</v>
      </c>
      <c r="I87" s="217" t="s">
        <v>1842</v>
      </c>
      <c r="J87" s="217" t="s">
        <v>66</v>
      </c>
      <c r="K87" s="218" t="s">
        <v>951</v>
      </c>
      <c r="L87" s="212" t="s">
        <v>87</v>
      </c>
      <c r="M87" s="250" t="s">
        <v>1843</v>
      </c>
      <c r="N87" s="239">
        <v>42893</v>
      </c>
      <c r="O87" s="210" t="s">
        <v>114</v>
      </c>
      <c r="P87" s="210" t="s">
        <v>1075</v>
      </c>
      <c r="Q87" s="210" t="s">
        <v>1076</v>
      </c>
      <c r="R87" s="210" t="s">
        <v>1084</v>
      </c>
      <c r="S87" s="210" t="s">
        <v>1085</v>
      </c>
      <c r="T87" s="210" t="s">
        <v>1082</v>
      </c>
      <c r="U87" s="210" t="s">
        <v>1086</v>
      </c>
      <c r="V87" s="210" t="s">
        <v>25</v>
      </c>
      <c r="W87" s="211" t="s">
        <v>1023</v>
      </c>
      <c r="X87" s="211">
        <v>20000</v>
      </c>
      <c r="Y87" s="211">
        <v>5000</v>
      </c>
      <c r="Z87" s="212">
        <v>5000</v>
      </c>
      <c r="AA87" s="240">
        <v>32</v>
      </c>
      <c r="AB87" s="213">
        <v>1.9E-2</v>
      </c>
      <c r="AC87" s="213">
        <v>0.2</v>
      </c>
      <c r="AD87" s="213" t="s">
        <v>203</v>
      </c>
      <c r="AE87" s="213">
        <v>3.8E-3</v>
      </c>
      <c r="AF87" s="241">
        <v>61877179.899999999</v>
      </c>
      <c r="AG87" s="241">
        <v>61877179.899999999</v>
      </c>
      <c r="AH87" s="213">
        <v>1.41E-2</v>
      </c>
      <c r="AI87" s="352">
        <v>0.21790000000000001</v>
      </c>
      <c r="AJ87" s="213">
        <v>-8.1199999999999994E-2</v>
      </c>
      <c r="AK87" s="352">
        <v>-0.86319999999999997</v>
      </c>
      <c r="AL87" s="213">
        <v>-2.8899999999999999E-2</v>
      </c>
      <c r="AM87" s="352">
        <v>-0.23899999999999999</v>
      </c>
      <c r="AN87" s="213">
        <v>9.5600000000000004E-2</v>
      </c>
      <c r="AO87" s="352">
        <v>0.56710000000000005</v>
      </c>
      <c r="AP87" s="213">
        <v>7.9899999999999999E-2</v>
      </c>
      <c r="AQ87" s="219">
        <v>-2.1449917864236929</v>
      </c>
      <c r="AR87" s="213" t="s">
        <v>1827</v>
      </c>
      <c r="AU87" s="343"/>
      <c r="AV87" s="343"/>
      <c r="AW87" s="328"/>
      <c r="AX87" s="329"/>
      <c r="AY87" s="328"/>
      <c r="AZ87" s="328"/>
      <c r="BA87" s="330"/>
      <c r="BB87" s="328"/>
      <c r="BC87" s="328"/>
      <c r="BD87" s="328"/>
      <c r="BE87" s="330"/>
      <c r="BF87" s="330"/>
      <c r="BG87" s="344"/>
      <c r="BH87" s="383"/>
      <c r="BI87" s="330"/>
      <c r="BJ87" s="330"/>
      <c r="BK87" s="330"/>
      <c r="BL87" s="330"/>
      <c r="BM87" s="330"/>
      <c r="BN87" s="330"/>
      <c r="BO87" s="330"/>
      <c r="BP87" s="331"/>
      <c r="BQ87" s="332"/>
      <c r="BR87" s="333"/>
    </row>
    <row r="88" spans="2:70" ht="15.75" customHeight="1">
      <c r="B88" s="216" t="s">
        <v>1807</v>
      </c>
      <c r="C88" s="212">
        <v>4358302</v>
      </c>
      <c r="D88" s="223">
        <v>34687428000176</v>
      </c>
      <c r="E88" s="217" t="s">
        <v>19</v>
      </c>
      <c r="F88" s="217" t="s">
        <v>963</v>
      </c>
      <c r="G88" s="217" t="s">
        <v>962</v>
      </c>
      <c r="H88" s="218" t="s">
        <v>1113</v>
      </c>
      <c r="I88" s="217" t="s">
        <v>66</v>
      </c>
      <c r="J88" s="217"/>
      <c r="K88" s="218" t="s">
        <v>951</v>
      </c>
      <c r="L88" s="212" t="s">
        <v>87</v>
      </c>
      <c r="M88" s="250" t="s">
        <v>1843</v>
      </c>
      <c r="N88" s="239">
        <v>44418</v>
      </c>
      <c r="O88" s="210" t="s">
        <v>1808</v>
      </c>
      <c r="P88" s="210" t="s">
        <v>1774</v>
      </c>
      <c r="Q88" s="210" t="s">
        <v>1773</v>
      </c>
      <c r="R88" s="210" t="s">
        <v>1745</v>
      </c>
      <c r="S88" s="210" t="s">
        <v>1078</v>
      </c>
      <c r="T88" s="210" t="s">
        <v>349</v>
      </c>
      <c r="U88" s="210" t="s">
        <v>1078</v>
      </c>
      <c r="V88" s="210" t="s">
        <v>1746</v>
      </c>
      <c r="W88" s="211" t="s">
        <v>1753</v>
      </c>
      <c r="X88" s="211">
        <v>1000</v>
      </c>
      <c r="Y88" s="211">
        <v>1000</v>
      </c>
      <c r="Z88" s="212">
        <v>1000</v>
      </c>
      <c r="AA88" s="240">
        <v>1</v>
      </c>
      <c r="AB88" s="213">
        <v>8.0000000000000002E-3</v>
      </c>
      <c r="AC88" s="213">
        <v>0.2</v>
      </c>
      <c r="AD88" s="213" t="s">
        <v>109</v>
      </c>
      <c r="AE88" s="213">
        <v>1.6000000000000001E-3</v>
      </c>
      <c r="AF88" s="241">
        <v>11863175.189999999</v>
      </c>
      <c r="AG88" s="241">
        <v>11863175.189999999</v>
      </c>
      <c r="AH88" s="213">
        <v>6.7000000000000004E-2</v>
      </c>
      <c r="AI88" s="352">
        <v>1.0314000000000001</v>
      </c>
      <c r="AJ88" s="213" t="s">
        <v>66</v>
      </c>
      <c r="AK88" s="352" t="s">
        <v>66</v>
      </c>
      <c r="AL88" s="213" t="s">
        <v>66</v>
      </c>
      <c r="AM88" s="352" t="s">
        <v>66</v>
      </c>
      <c r="AN88" s="213" t="s">
        <v>66</v>
      </c>
      <c r="AO88" s="352" t="s">
        <v>66</v>
      </c>
      <c r="AP88" s="213" t="s">
        <v>66</v>
      </c>
      <c r="AQ88" s="219" t="s">
        <v>66</v>
      </c>
      <c r="AR88" s="213" t="s">
        <v>1827</v>
      </c>
      <c r="AU88" s="343"/>
      <c r="AV88" s="343"/>
      <c r="AW88" s="328"/>
      <c r="AX88" s="329"/>
      <c r="AY88" s="328"/>
      <c r="AZ88" s="328"/>
      <c r="BA88" s="330"/>
      <c r="BB88" s="328"/>
      <c r="BC88" s="328"/>
      <c r="BD88" s="328"/>
      <c r="BE88" s="330"/>
      <c r="BF88" s="330"/>
      <c r="BG88" s="344"/>
      <c r="BH88" s="383"/>
      <c r="BI88" s="330"/>
      <c r="BJ88" s="330"/>
      <c r="BK88" s="330"/>
      <c r="BL88" s="330"/>
      <c r="BM88" s="330"/>
      <c r="BN88" s="330"/>
      <c r="BO88" s="330"/>
      <c r="BP88" s="331"/>
      <c r="BQ88" s="332"/>
      <c r="BR88" s="333"/>
    </row>
    <row r="89" spans="2:70" ht="15.75" customHeight="1">
      <c r="B89" s="216" t="s">
        <v>807</v>
      </c>
      <c r="C89" s="212">
        <v>545875</v>
      </c>
      <c r="D89" s="223">
        <v>41373608000149</v>
      </c>
      <c r="E89" s="217" t="s">
        <v>28</v>
      </c>
      <c r="F89" s="217" t="s">
        <v>32</v>
      </c>
      <c r="G89" s="217" t="s">
        <v>1049</v>
      </c>
      <c r="H89" s="218"/>
      <c r="I89" s="217" t="s">
        <v>66</v>
      </c>
      <c r="J89" s="217" t="s">
        <v>66</v>
      </c>
      <c r="K89" s="218" t="s">
        <v>954</v>
      </c>
      <c r="L89" s="212" t="s">
        <v>88</v>
      </c>
      <c r="M89" s="250" t="s">
        <v>1843</v>
      </c>
      <c r="N89" s="239">
        <v>44313</v>
      </c>
      <c r="O89" s="210" t="s">
        <v>802</v>
      </c>
      <c r="P89" s="210" t="s">
        <v>1075</v>
      </c>
      <c r="Q89" s="210" t="s">
        <v>1076</v>
      </c>
      <c r="R89" s="210" t="s">
        <v>1084</v>
      </c>
      <c r="S89" s="210" t="s">
        <v>1078</v>
      </c>
      <c r="T89" s="210" t="s">
        <v>32</v>
      </c>
      <c r="U89" s="210" t="s">
        <v>1254</v>
      </c>
      <c r="V89" s="210" t="s">
        <v>25</v>
      </c>
      <c r="W89" s="211" t="s">
        <v>1016</v>
      </c>
      <c r="X89" s="211">
        <v>1000</v>
      </c>
      <c r="Y89" s="211">
        <v>100</v>
      </c>
      <c r="Z89" s="212">
        <v>100</v>
      </c>
      <c r="AA89" s="240">
        <v>6</v>
      </c>
      <c r="AB89" s="213">
        <v>8.9999999999999993E-3</v>
      </c>
      <c r="AC89" s="213">
        <v>0.1</v>
      </c>
      <c r="AD89" s="213" t="s">
        <v>113</v>
      </c>
      <c r="AE89" s="213">
        <v>4.0001999999999989E-3</v>
      </c>
      <c r="AF89" s="241">
        <v>31930536.620000001</v>
      </c>
      <c r="AG89" s="241">
        <v>31930536.620000001</v>
      </c>
      <c r="AH89" s="213">
        <v>-0.1636</v>
      </c>
      <c r="AI89" s="352">
        <v>-2.5196000000000001</v>
      </c>
      <c r="AJ89" s="213">
        <v>0.2114</v>
      </c>
      <c r="AK89" s="352">
        <v>2.2464</v>
      </c>
      <c r="AL89" s="213" t="s">
        <v>66</v>
      </c>
      <c r="AM89" s="352" t="s">
        <v>66</v>
      </c>
      <c r="AN89" s="213" t="s">
        <v>66</v>
      </c>
      <c r="AO89" s="352" t="s">
        <v>66</v>
      </c>
      <c r="AP89" s="213">
        <v>0.4798</v>
      </c>
      <c r="AQ89" s="219">
        <v>0.4557974398053749</v>
      </c>
      <c r="AR89" s="213" t="s">
        <v>1827</v>
      </c>
      <c r="AU89" s="343"/>
      <c r="AV89" s="343"/>
      <c r="AW89" s="328"/>
      <c r="AX89" s="329"/>
      <c r="AY89" s="328"/>
      <c r="AZ89" s="328"/>
      <c r="BA89" s="330"/>
      <c r="BB89" s="328"/>
      <c r="BC89" s="328"/>
      <c r="BD89" s="328"/>
      <c r="BE89" s="330"/>
      <c r="BF89" s="330"/>
      <c r="BG89" s="344"/>
      <c r="BH89" s="383"/>
      <c r="BI89" s="330"/>
      <c r="BJ89" s="330"/>
      <c r="BK89" s="330"/>
      <c r="BL89" s="330"/>
      <c r="BM89" s="330"/>
      <c r="BN89" s="330"/>
      <c r="BO89" s="330"/>
      <c r="BP89" s="331"/>
      <c r="BQ89" s="332"/>
      <c r="BR89" s="333"/>
    </row>
    <row r="90" spans="2:70" ht="15.75" customHeight="1">
      <c r="B90" s="216" t="s">
        <v>817</v>
      </c>
      <c r="C90" s="212">
        <v>2508999</v>
      </c>
      <c r="D90" s="223">
        <v>40503169000189</v>
      </c>
      <c r="E90" s="217" t="s">
        <v>28</v>
      </c>
      <c r="F90" s="217" t="s">
        <v>950</v>
      </c>
      <c r="G90" s="217" t="s">
        <v>1049</v>
      </c>
      <c r="H90" s="218"/>
      <c r="I90" s="217" t="s">
        <v>66</v>
      </c>
      <c r="J90" s="217" t="s">
        <v>66</v>
      </c>
      <c r="K90" s="218" t="s">
        <v>954</v>
      </c>
      <c r="L90" s="212" t="s">
        <v>87</v>
      </c>
      <c r="M90" s="250" t="s">
        <v>1843</v>
      </c>
      <c r="N90" s="239">
        <v>44225</v>
      </c>
      <c r="O90" s="210" t="s">
        <v>802</v>
      </c>
      <c r="P90" s="210" t="s">
        <v>1075</v>
      </c>
      <c r="Q90" s="210" t="s">
        <v>1076</v>
      </c>
      <c r="R90" s="210" t="s">
        <v>1084</v>
      </c>
      <c r="S90" s="210" t="s">
        <v>1078</v>
      </c>
      <c r="T90" s="210" t="s">
        <v>32</v>
      </c>
      <c r="U90" s="210" t="s">
        <v>1254</v>
      </c>
      <c r="V90" s="210" t="s">
        <v>25</v>
      </c>
      <c r="W90" s="211" t="s">
        <v>1016</v>
      </c>
      <c r="X90" s="211">
        <v>100</v>
      </c>
      <c r="Y90" s="211">
        <v>100</v>
      </c>
      <c r="Z90" s="212">
        <v>100</v>
      </c>
      <c r="AA90" s="240">
        <v>6</v>
      </c>
      <c r="AB90" s="213">
        <v>2.5000000000000001E-3</v>
      </c>
      <c r="AC90" s="213">
        <v>0</v>
      </c>
      <c r="AD90" s="213" t="s">
        <v>113</v>
      </c>
      <c r="AE90" s="213">
        <v>1.1111666666666666E-3</v>
      </c>
      <c r="AF90" s="241">
        <v>68869455.390000001</v>
      </c>
      <c r="AG90" s="241">
        <v>68869455.390000001</v>
      </c>
      <c r="AH90" s="213">
        <v>-0.13220000000000001</v>
      </c>
      <c r="AI90" s="352">
        <v>-2.0356000000000001</v>
      </c>
      <c r="AJ90" s="213">
        <v>0.1162</v>
      </c>
      <c r="AK90" s="352">
        <v>1.2356</v>
      </c>
      <c r="AL90" s="213" t="s">
        <v>66</v>
      </c>
      <c r="AM90" s="352" t="s">
        <v>66</v>
      </c>
      <c r="AN90" s="213" t="s">
        <v>66</v>
      </c>
      <c r="AO90" s="352" t="s">
        <v>66</v>
      </c>
      <c r="AP90" s="213">
        <v>0.5333</v>
      </c>
      <c r="AQ90" s="219">
        <v>0.29857047508321105</v>
      </c>
      <c r="AR90" s="213" t="s">
        <v>1827</v>
      </c>
      <c r="AU90" s="343"/>
      <c r="AV90" s="343"/>
      <c r="AW90" s="328"/>
      <c r="AX90" s="329"/>
      <c r="AY90" s="328"/>
      <c r="AZ90" s="328"/>
      <c r="BA90" s="330"/>
      <c r="BB90" s="328"/>
      <c r="BC90" s="328"/>
      <c r="BD90" s="328"/>
      <c r="BE90" s="330"/>
      <c r="BF90" s="330"/>
      <c r="BG90" s="344"/>
      <c r="BH90" s="383"/>
      <c r="BI90" s="330"/>
      <c r="BJ90" s="330"/>
      <c r="BK90" s="330"/>
      <c r="BL90" s="330"/>
      <c r="BM90" s="330"/>
      <c r="BN90" s="330"/>
      <c r="BO90" s="330"/>
      <c r="BP90" s="331"/>
      <c r="BQ90" s="332"/>
      <c r="BR90" s="333"/>
    </row>
    <row r="91" spans="2:70" ht="15.75" customHeight="1">
      <c r="B91" s="216" t="s">
        <v>1721</v>
      </c>
      <c r="C91" s="212">
        <v>2496987</v>
      </c>
      <c r="D91" s="223">
        <v>41681126000156</v>
      </c>
      <c r="E91" s="217" t="s">
        <v>28</v>
      </c>
      <c r="F91" s="217" t="s">
        <v>950</v>
      </c>
      <c r="G91" s="217" t="s">
        <v>1820</v>
      </c>
      <c r="H91" s="218"/>
      <c r="I91" s="217" t="s">
        <v>66</v>
      </c>
      <c r="J91" s="217" t="s">
        <v>66</v>
      </c>
      <c r="K91" s="218" t="s">
        <v>951</v>
      </c>
      <c r="L91" s="212" t="s">
        <v>87</v>
      </c>
      <c r="M91" s="250" t="s">
        <v>1843</v>
      </c>
      <c r="N91" s="239">
        <v>44375</v>
      </c>
      <c r="O91" s="210" t="s">
        <v>155</v>
      </c>
      <c r="P91" s="210" t="s">
        <v>1083</v>
      </c>
      <c r="Q91" s="210" t="s">
        <v>102</v>
      </c>
      <c r="R91" s="210" t="s">
        <v>1077</v>
      </c>
      <c r="S91" s="210" t="s">
        <v>1078</v>
      </c>
      <c r="T91" s="210" t="s">
        <v>1079</v>
      </c>
      <c r="U91" s="210" t="s">
        <v>950</v>
      </c>
      <c r="V91" s="210" t="s">
        <v>1080</v>
      </c>
      <c r="W91" s="211" t="s">
        <v>1007</v>
      </c>
      <c r="X91" s="211">
        <v>1000</v>
      </c>
      <c r="Y91" s="211">
        <v>1000</v>
      </c>
      <c r="Z91" s="212">
        <v>1000</v>
      </c>
      <c r="AA91" s="240">
        <v>47</v>
      </c>
      <c r="AB91" s="213">
        <v>0.01</v>
      </c>
      <c r="AC91" s="213">
        <v>0.1</v>
      </c>
      <c r="AD91" s="213" t="s">
        <v>1014</v>
      </c>
      <c r="AE91" s="213">
        <v>4.5000000000000005E-3</v>
      </c>
      <c r="AF91" s="241">
        <v>37468872.240000002</v>
      </c>
      <c r="AG91" s="241">
        <v>37468872.240000002</v>
      </c>
      <c r="AH91" s="213">
        <v>-0.12640000000000001</v>
      </c>
      <c r="AI91" s="352">
        <v>-1.9466000000000001</v>
      </c>
      <c r="AJ91" s="213">
        <v>-0.30959999999999999</v>
      </c>
      <c r="AK91" s="352">
        <v>-3.2911999999999999</v>
      </c>
      <c r="AL91" s="213" t="s">
        <v>66</v>
      </c>
      <c r="AM91" s="352" t="s">
        <v>66</v>
      </c>
      <c r="AN91" s="213" t="s">
        <v>66</v>
      </c>
      <c r="AO91" s="352" t="s">
        <v>66</v>
      </c>
      <c r="AP91" s="213">
        <v>0.22700000000000001</v>
      </c>
      <c r="AQ91" s="219">
        <v>-1.9144297589047685</v>
      </c>
      <c r="AR91" s="213" t="s">
        <v>1827</v>
      </c>
      <c r="AU91" s="343"/>
      <c r="AV91" s="343"/>
      <c r="AW91" s="328"/>
      <c r="AX91" s="329"/>
      <c r="AY91" s="328"/>
      <c r="AZ91" s="328"/>
      <c r="BA91" s="330"/>
      <c r="BB91" s="328"/>
      <c r="BC91" s="328"/>
      <c r="BD91" s="328"/>
      <c r="BE91" s="330"/>
      <c r="BF91" s="330"/>
      <c r="BG91" s="344"/>
      <c r="BH91" s="383"/>
      <c r="BI91" s="330"/>
      <c r="BJ91" s="330"/>
      <c r="BK91" s="330"/>
      <c r="BL91" s="330"/>
      <c r="BM91" s="330"/>
      <c r="BN91" s="330"/>
      <c r="BO91" s="330"/>
      <c r="BP91" s="331"/>
      <c r="BQ91" s="332"/>
      <c r="BR91" s="333"/>
    </row>
    <row r="92" spans="2:70" ht="15.75" customHeight="1">
      <c r="B92" s="216" t="s">
        <v>731</v>
      </c>
      <c r="C92" s="212">
        <v>2805517</v>
      </c>
      <c r="D92" s="223">
        <v>24140275000199</v>
      </c>
      <c r="E92" s="217" t="s">
        <v>25</v>
      </c>
      <c r="F92" s="217" t="s">
        <v>958</v>
      </c>
      <c r="G92" s="217" t="s">
        <v>962</v>
      </c>
      <c r="H92" s="218" t="s">
        <v>66</v>
      </c>
      <c r="I92" s="217" t="s">
        <v>1259</v>
      </c>
      <c r="J92" s="217" t="s">
        <v>66</v>
      </c>
      <c r="K92" s="218" t="s">
        <v>954</v>
      </c>
      <c r="L92" s="212" t="s">
        <v>87</v>
      </c>
      <c r="M92" s="250" t="s">
        <v>1843</v>
      </c>
      <c r="N92" s="239">
        <v>42564</v>
      </c>
      <c r="O92" s="210" t="s">
        <v>155</v>
      </c>
      <c r="P92" s="210" t="s">
        <v>1083</v>
      </c>
      <c r="Q92" s="210" t="s">
        <v>102</v>
      </c>
      <c r="R92" s="210" t="s">
        <v>1077</v>
      </c>
      <c r="S92" s="210" t="s">
        <v>1078</v>
      </c>
      <c r="T92" s="210" t="s">
        <v>1082</v>
      </c>
      <c r="U92" s="210" t="s">
        <v>958</v>
      </c>
      <c r="V92" s="210" t="s">
        <v>25</v>
      </c>
      <c r="W92" s="211" t="s">
        <v>1016</v>
      </c>
      <c r="X92" s="211">
        <v>10000</v>
      </c>
      <c r="Y92" s="211">
        <v>1000</v>
      </c>
      <c r="Z92" s="212">
        <v>10000</v>
      </c>
      <c r="AA92" s="240">
        <v>47</v>
      </c>
      <c r="AB92" s="213">
        <v>0.01</v>
      </c>
      <c r="AC92" s="213">
        <v>0</v>
      </c>
      <c r="AD92" s="213" t="s">
        <v>109</v>
      </c>
      <c r="AE92" s="213">
        <v>3.0000000000000001E-3</v>
      </c>
      <c r="AF92" s="241">
        <v>417784223.23000002</v>
      </c>
      <c r="AG92" s="241">
        <v>417784223.23000002</v>
      </c>
      <c r="AH92" s="213">
        <v>8.5000000000000006E-2</v>
      </c>
      <c r="AI92" s="352">
        <v>1.3093999999999999</v>
      </c>
      <c r="AJ92" s="213">
        <v>7.8E-2</v>
      </c>
      <c r="AK92" s="352">
        <v>0.82920000000000005</v>
      </c>
      <c r="AL92" s="213">
        <v>0.17699999999999999</v>
      </c>
      <c r="AM92" s="352">
        <v>1.4650000000000001</v>
      </c>
      <c r="AN92" s="213">
        <v>0.24779999999999999</v>
      </c>
      <c r="AO92" s="352">
        <v>1.4704999999999999</v>
      </c>
      <c r="AP92" s="213">
        <v>5.5800000000000002E-2</v>
      </c>
      <c r="AQ92" s="219">
        <v>-0.23771049909344968</v>
      </c>
      <c r="AR92" s="213" t="s">
        <v>1827</v>
      </c>
      <c r="AU92" s="343"/>
      <c r="AV92" s="343"/>
      <c r="AW92" s="328"/>
      <c r="AX92" s="329"/>
      <c r="AY92" s="328"/>
      <c r="AZ92" s="328"/>
      <c r="BA92" s="330"/>
      <c r="BB92" s="328"/>
      <c r="BC92" s="328"/>
      <c r="BD92" s="328"/>
      <c r="BE92" s="330"/>
      <c r="BF92" s="330"/>
      <c r="BG92" s="344"/>
      <c r="BH92" s="383"/>
      <c r="BI92" s="330"/>
      <c r="BJ92" s="330"/>
      <c r="BK92" s="330"/>
      <c r="BL92" s="330"/>
      <c r="BM92" s="330"/>
      <c r="BN92" s="330"/>
      <c r="BO92" s="330"/>
      <c r="BP92" s="331"/>
      <c r="BQ92" s="332"/>
      <c r="BR92" s="333"/>
    </row>
    <row r="93" spans="2:70" ht="15.75" customHeight="1">
      <c r="B93" s="216" t="s">
        <v>45</v>
      </c>
      <c r="C93" s="212">
        <v>1164712</v>
      </c>
      <c r="D93" s="223">
        <v>37310657000165</v>
      </c>
      <c r="E93" s="217" t="s">
        <v>19</v>
      </c>
      <c r="F93" s="217" t="s">
        <v>963</v>
      </c>
      <c r="G93" s="217" t="s">
        <v>1011</v>
      </c>
      <c r="H93" s="218" t="s">
        <v>1113</v>
      </c>
      <c r="I93" s="217" t="s">
        <v>66</v>
      </c>
      <c r="J93" s="217"/>
      <c r="K93" s="218" t="s">
        <v>951</v>
      </c>
      <c r="L93" s="212" t="s">
        <v>87</v>
      </c>
      <c r="M93" s="250" t="s">
        <v>1843</v>
      </c>
      <c r="N93" s="239">
        <v>44043</v>
      </c>
      <c r="O93" s="210" t="s">
        <v>390</v>
      </c>
      <c r="P93" s="210" t="s">
        <v>1088</v>
      </c>
      <c r="Q93" s="210" t="s">
        <v>1089</v>
      </c>
      <c r="R93" s="210" t="s">
        <v>1084</v>
      </c>
      <c r="S93" s="210" t="s">
        <v>1078</v>
      </c>
      <c r="T93" s="210" t="s">
        <v>1275</v>
      </c>
      <c r="U93" s="210" t="s">
        <v>1114</v>
      </c>
      <c r="V93" s="210" t="s">
        <v>25</v>
      </c>
      <c r="W93" s="211" t="s">
        <v>1037</v>
      </c>
      <c r="X93" s="211">
        <v>1000</v>
      </c>
      <c r="Y93" s="211">
        <v>100</v>
      </c>
      <c r="Z93" s="212">
        <v>1000</v>
      </c>
      <c r="AA93" s="240">
        <v>31</v>
      </c>
      <c r="AB93" s="213">
        <v>7.6E-3</v>
      </c>
      <c r="AC93" s="213">
        <v>0.2</v>
      </c>
      <c r="AD93" s="213" t="s">
        <v>109</v>
      </c>
      <c r="AE93" s="213">
        <v>1.5529333333333332E-3</v>
      </c>
      <c r="AF93" s="241">
        <v>1239895372.24</v>
      </c>
      <c r="AG93" s="241">
        <v>1239895372.24</v>
      </c>
      <c r="AH93" s="213">
        <v>6.4699999999999994E-2</v>
      </c>
      <c r="AI93" s="352">
        <v>0.99719999999999998</v>
      </c>
      <c r="AJ93" s="213">
        <v>0.1055</v>
      </c>
      <c r="AK93" s="352">
        <v>1.1217999999999999</v>
      </c>
      <c r="AL93" s="213" t="s">
        <v>66</v>
      </c>
      <c r="AM93" s="352" t="s">
        <v>66</v>
      </c>
      <c r="AN93" s="213" t="s">
        <v>66</v>
      </c>
      <c r="AO93" s="352" t="s">
        <v>66</v>
      </c>
      <c r="AP93" s="213">
        <v>4.5999999999999999E-3</v>
      </c>
      <c r="AQ93" s="219">
        <v>2.2749097129064659</v>
      </c>
      <c r="AR93" s="213" t="s">
        <v>1827</v>
      </c>
      <c r="AU93" s="343"/>
      <c r="AV93" s="343"/>
      <c r="AW93" s="328"/>
      <c r="AX93" s="329"/>
      <c r="AY93" s="328"/>
      <c r="AZ93" s="328"/>
      <c r="BA93" s="330"/>
      <c r="BB93" s="328"/>
      <c r="BC93" s="328"/>
      <c r="BD93" s="328"/>
      <c r="BE93" s="330"/>
      <c r="BF93" s="330"/>
      <c r="BG93" s="344"/>
      <c r="BH93" s="383"/>
      <c r="BI93" s="330"/>
      <c r="BJ93" s="330"/>
      <c r="BK93" s="330"/>
      <c r="BL93" s="330"/>
      <c r="BM93" s="330"/>
      <c r="BN93" s="330"/>
      <c r="BO93" s="330"/>
      <c r="BP93" s="331"/>
      <c r="BQ93" s="332"/>
      <c r="BR93" s="333"/>
    </row>
    <row r="94" spans="2:70" ht="15.75" customHeight="1">
      <c r="B94" s="216" t="s">
        <v>937</v>
      </c>
      <c r="C94" s="212">
        <v>564075</v>
      </c>
      <c r="D94" s="223">
        <v>41545099000194</v>
      </c>
      <c r="E94" s="217" t="s">
        <v>19</v>
      </c>
      <c r="F94" s="217" t="s">
        <v>963</v>
      </c>
      <c r="G94" s="217" t="s">
        <v>1011</v>
      </c>
      <c r="H94" s="218" t="s">
        <v>1113</v>
      </c>
      <c r="I94" s="217" t="s">
        <v>66</v>
      </c>
      <c r="J94" s="217"/>
      <c r="K94" s="218" t="s">
        <v>951</v>
      </c>
      <c r="L94" s="212" t="s">
        <v>87</v>
      </c>
      <c r="M94" s="250" t="s">
        <v>1843</v>
      </c>
      <c r="N94" s="239">
        <v>44347</v>
      </c>
      <c r="O94" s="210" t="s">
        <v>390</v>
      </c>
      <c r="P94" s="210" t="s">
        <v>1088</v>
      </c>
      <c r="Q94" s="210" t="s">
        <v>1089</v>
      </c>
      <c r="R94" s="210" t="s">
        <v>1077</v>
      </c>
      <c r="S94" s="210" t="s">
        <v>1078</v>
      </c>
      <c r="T94" s="210" t="s">
        <v>1275</v>
      </c>
      <c r="U94" s="210" t="s">
        <v>1114</v>
      </c>
      <c r="V94" s="210" t="s">
        <v>25</v>
      </c>
      <c r="W94" s="211" t="s">
        <v>1037</v>
      </c>
      <c r="X94" s="211">
        <v>5000</v>
      </c>
      <c r="Y94" s="211">
        <v>1000</v>
      </c>
      <c r="Z94" s="212">
        <v>5000</v>
      </c>
      <c r="AA94" s="240">
        <v>91</v>
      </c>
      <c r="AB94" s="213">
        <v>1.1599999999999999E-2</v>
      </c>
      <c r="AC94" s="213">
        <v>0.2</v>
      </c>
      <c r="AD94" s="213" t="s">
        <v>109</v>
      </c>
      <c r="AE94" s="213">
        <v>2.3702666666666661E-3</v>
      </c>
      <c r="AF94" s="241">
        <v>160322036.61000001</v>
      </c>
      <c r="AG94" s="241">
        <v>160322036.61000001</v>
      </c>
      <c r="AH94" s="213">
        <v>5.7799999999999997E-2</v>
      </c>
      <c r="AI94" s="352">
        <v>0.88959999999999995</v>
      </c>
      <c r="AJ94" s="213">
        <v>0.1047</v>
      </c>
      <c r="AK94" s="352">
        <v>1.1133999999999999</v>
      </c>
      <c r="AL94" s="213" t="s">
        <v>66</v>
      </c>
      <c r="AM94" s="352" t="s">
        <v>66</v>
      </c>
      <c r="AN94" s="213" t="s">
        <v>66</v>
      </c>
      <c r="AO94" s="352" t="s">
        <v>66</v>
      </c>
      <c r="AP94" s="213">
        <v>9.1000000000000004E-3</v>
      </c>
      <c r="AQ94" s="219">
        <v>1.0703261259896257</v>
      </c>
      <c r="AR94" s="213" t="s">
        <v>1827</v>
      </c>
      <c r="AU94" s="343"/>
      <c r="AV94" s="343"/>
      <c r="AW94" s="328"/>
      <c r="AX94" s="329"/>
      <c r="AY94" s="328"/>
      <c r="AZ94" s="328"/>
      <c r="BA94" s="330"/>
      <c r="BB94" s="328"/>
      <c r="BC94" s="328"/>
      <c r="BD94" s="328"/>
      <c r="BE94" s="330"/>
      <c r="BF94" s="330"/>
      <c r="BG94" s="344"/>
      <c r="BH94" s="383"/>
      <c r="BI94" s="330"/>
      <c r="BJ94" s="330"/>
      <c r="BK94" s="330"/>
      <c r="BL94" s="330"/>
      <c r="BM94" s="330"/>
      <c r="BN94" s="330"/>
      <c r="BO94" s="330"/>
      <c r="BP94" s="331"/>
      <c r="BQ94" s="332"/>
      <c r="BR94" s="333"/>
    </row>
    <row r="95" spans="2:70" ht="15.75" customHeight="1">
      <c r="B95" s="216" t="s">
        <v>1421</v>
      </c>
      <c r="C95" s="212">
        <v>1051356</v>
      </c>
      <c r="D95" s="223">
        <v>20824446000148</v>
      </c>
      <c r="E95" s="217" t="s">
        <v>19</v>
      </c>
      <c r="F95" s="217" t="s">
        <v>963</v>
      </c>
      <c r="G95" s="217" t="s">
        <v>1011</v>
      </c>
      <c r="H95" s="218" t="s">
        <v>1113</v>
      </c>
      <c r="I95" s="217" t="s">
        <v>66</v>
      </c>
      <c r="J95" s="217"/>
      <c r="K95" s="218" t="s">
        <v>951</v>
      </c>
      <c r="L95" s="212" t="s">
        <v>87</v>
      </c>
      <c r="M95" s="250" t="s">
        <v>1843</v>
      </c>
      <c r="N95" s="239">
        <v>41992</v>
      </c>
      <c r="O95" s="210" t="s">
        <v>415</v>
      </c>
      <c r="P95" s="210" t="s">
        <v>1090</v>
      </c>
      <c r="Q95" s="210" t="s">
        <v>1091</v>
      </c>
      <c r="R95" s="210" t="s">
        <v>1084</v>
      </c>
      <c r="S95" s="210" t="s">
        <v>1078</v>
      </c>
      <c r="T95" s="210" t="s">
        <v>1275</v>
      </c>
      <c r="U95" s="210" t="s">
        <v>1114</v>
      </c>
      <c r="V95" s="210" t="s">
        <v>19</v>
      </c>
      <c r="W95" s="211" t="s">
        <v>1024</v>
      </c>
      <c r="X95" s="211">
        <v>20000</v>
      </c>
      <c r="Y95" s="211">
        <v>1000</v>
      </c>
      <c r="Z95" s="212">
        <v>5000</v>
      </c>
      <c r="AA95" s="240">
        <v>1</v>
      </c>
      <c r="AB95" s="213">
        <v>6.0000000000000001E-3</v>
      </c>
      <c r="AC95" s="213">
        <v>0.2</v>
      </c>
      <c r="AD95" s="213" t="s">
        <v>1100</v>
      </c>
      <c r="AE95" s="213" t="s">
        <v>66</v>
      </c>
      <c r="AF95" s="241">
        <v>520998535.47000003</v>
      </c>
      <c r="AG95" s="241">
        <v>520998535.47000003</v>
      </c>
      <c r="AH95" s="213">
        <v>7.5600000000000001E-2</v>
      </c>
      <c r="AI95" s="352">
        <v>1.1641999999999999</v>
      </c>
      <c r="AJ95" s="213">
        <v>0.11260000000000001</v>
      </c>
      <c r="AK95" s="352">
        <v>1.1963999999999999</v>
      </c>
      <c r="AL95" s="213">
        <v>0.1958</v>
      </c>
      <c r="AM95" s="352">
        <v>1.6208</v>
      </c>
      <c r="AN95" s="213">
        <v>0.19950000000000001</v>
      </c>
      <c r="AO95" s="352">
        <v>1.1839</v>
      </c>
      <c r="AP95" s="213">
        <v>2E-3</v>
      </c>
      <c r="AQ95" s="219">
        <v>8.2118756846723837</v>
      </c>
      <c r="AR95" s="213" t="s">
        <v>1827</v>
      </c>
      <c r="AU95" s="343"/>
      <c r="AV95" s="343"/>
      <c r="AW95" s="328"/>
      <c r="AX95" s="329"/>
      <c r="AY95" s="328"/>
      <c r="AZ95" s="328"/>
      <c r="BA95" s="330"/>
      <c r="BB95" s="328"/>
      <c r="BC95" s="328"/>
      <c r="BD95" s="328"/>
      <c r="BE95" s="330"/>
      <c r="BF95" s="330"/>
      <c r="BG95" s="344"/>
      <c r="BH95" s="383"/>
      <c r="BI95" s="330"/>
      <c r="BJ95" s="330"/>
      <c r="BK95" s="330"/>
      <c r="BL95" s="330"/>
      <c r="BM95" s="330"/>
      <c r="BN95" s="330"/>
      <c r="BO95" s="330"/>
      <c r="BP95" s="331"/>
      <c r="BQ95" s="332"/>
      <c r="BR95" s="333"/>
    </row>
    <row r="96" spans="2:70" ht="15.75" customHeight="1">
      <c r="B96" s="216" t="s">
        <v>416</v>
      </c>
      <c r="C96" s="212">
        <v>544499</v>
      </c>
      <c r="D96" s="223">
        <v>19488866000111</v>
      </c>
      <c r="E96" s="217" t="s">
        <v>19</v>
      </c>
      <c r="F96" s="217" t="s">
        <v>963</v>
      </c>
      <c r="G96" s="217" t="s">
        <v>1011</v>
      </c>
      <c r="H96" s="218" t="s">
        <v>1113</v>
      </c>
      <c r="I96" s="217" t="s">
        <v>66</v>
      </c>
      <c r="J96" s="217"/>
      <c r="K96" s="218" t="s">
        <v>951</v>
      </c>
      <c r="L96" s="212" t="s">
        <v>87</v>
      </c>
      <c r="M96" s="250" t="s">
        <v>1843</v>
      </c>
      <c r="N96" s="239">
        <v>42551</v>
      </c>
      <c r="O96" s="210" t="s">
        <v>415</v>
      </c>
      <c r="P96" s="210" t="s">
        <v>1090</v>
      </c>
      <c r="Q96" s="210" t="s">
        <v>1091</v>
      </c>
      <c r="R96" s="210" t="s">
        <v>1084</v>
      </c>
      <c r="S96" s="210" t="s">
        <v>1078</v>
      </c>
      <c r="T96" s="210" t="s">
        <v>1275</v>
      </c>
      <c r="U96" s="210" t="s">
        <v>1114</v>
      </c>
      <c r="V96" s="210" t="s">
        <v>25</v>
      </c>
      <c r="W96" s="211" t="s">
        <v>1019</v>
      </c>
      <c r="X96" s="211">
        <v>20000</v>
      </c>
      <c r="Y96" s="211">
        <v>1000</v>
      </c>
      <c r="Z96" s="212">
        <v>5000</v>
      </c>
      <c r="AA96" s="240">
        <v>1</v>
      </c>
      <c r="AB96" s="213">
        <v>7.4999999999999997E-3</v>
      </c>
      <c r="AC96" s="213">
        <v>0.2</v>
      </c>
      <c r="AD96" s="213" t="s">
        <v>109</v>
      </c>
      <c r="AE96" s="213">
        <v>1E-3</v>
      </c>
      <c r="AF96" s="241">
        <v>557318833.03999996</v>
      </c>
      <c r="AG96" s="241">
        <v>557318833.03999996</v>
      </c>
      <c r="AH96" s="213">
        <v>7.5200000000000003E-2</v>
      </c>
      <c r="AI96" s="352">
        <v>1.1585000000000001</v>
      </c>
      <c r="AJ96" s="213">
        <v>0.11119999999999999</v>
      </c>
      <c r="AK96" s="352">
        <v>1.1816</v>
      </c>
      <c r="AL96" s="213">
        <v>0.20830000000000001</v>
      </c>
      <c r="AM96" s="352">
        <v>1.724</v>
      </c>
      <c r="AN96" s="213">
        <v>0.1883</v>
      </c>
      <c r="AO96" s="352">
        <v>1.1173</v>
      </c>
      <c r="AP96" s="213">
        <v>2.8E-3</v>
      </c>
      <c r="AQ96" s="219">
        <v>5.574901847253896</v>
      </c>
      <c r="AR96" s="213" t="s">
        <v>1827</v>
      </c>
      <c r="AU96" s="343"/>
      <c r="AV96" s="343"/>
      <c r="AW96" s="328"/>
      <c r="AX96" s="329"/>
      <c r="AY96" s="328"/>
      <c r="AZ96" s="328"/>
      <c r="BA96" s="330"/>
      <c r="BB96" s="328"/>
      <c r="BC96" s="328"/>
      <c r="BD96" s="328"/>
      <c r="BE96" s="330"/>
      <c r="BF96" s="330"/>
      <c r="BG96" s="344"/>
      <c r="BH96" s="383"/>
      <c r="BI96" s="330"/>
      <c r="BJ96" s="330"/>
      <c r="BK96" s="330"/>
      <c r="BL96" s="330"/>
      <c r="BM96" s="330"/>
      <c r="BN96" s="330"/>
      <c r="BO96" s="330"/>
      <c r="BP96" s="331"/>
      <c r="BQ96" s="332"/>
      <c r="BR96" s="333"/>
    </row>
    <row r="97" spans="2:70" ht="15.75" customHeight="1">
      <c r="B97" s="216" t="s">
        <v>759</v>
      </c>
      <c r="C97" s="212">
        <v>1180195</v>
      </c>
      <c r="D97" s="223">
        <v>36498260000186</v>
      </c>
      <c r="E97" s="217" t="s">
        <v>28</v>
      </c>
      <c r="F97" s="217" t="s">
        <v>950</v>
      </c>
      <c r="G97" s="217"/>
      <c r="H97" s="218"/>
      <c r="I97" s="217" t="s">
        <v>66</v>
      </c>
      <c r="J97" s="217" t="s">
        <v>66</v>
      </c>
      <c r="K97" s="218" t="s">
        <v>951</v>
      </c>
      <c r="L97" s="212" t="s">
        <v>87</v>
      </c>
      <c r="M97" s="250"/>
      <c r="N97" s="239">
        <v>44162</v>
      </c>
      <c r="O97" s="210" t="s">
        <v>760</v>
      </c>
      <c r="P97" s="210" t="s">
        <v>1075</v>
      </c>
      <c r="Q97" s="210" t="s">
        <v>1076</v>
      </c>
      <c r="R97" s="210" t="s">
        <v>1077</v>
      </c>
      <c r="S97" s="210" t="s">
        <v>1078</v>
      </c>
      <c r="T97" s="210" t="s">
        <v>1079</v>
      </c>
      <c r="U97" s="210" t="s">
        <v>950</v>
      </c>
      <c r="V97" s="210" t="s">
        <v>1080</v>
      </c>
      <c r="W97" s="211" t="s">
        <v>1007</v>
      </c>
      <c r="X97" s="211">
        <v>100</v>
      </c>
      <c r="Y97" s="211">
        <v>100</v>
      </c>
      <c r="Z97" s="212">
        <v>100</v>
      </c>
      <c r="AA97" s="240">
        <v>37</v>
      </c>
      <c r="AB97" s="213">
        <v>8.0000000000000002E-3</v>
      </c>
      <c r="AC97" s="213">
        <v>0.15</v>
      </c>
      <c r="AD97" s="213" t="s">
        <v>113</v>
      </c>
      <c r="AE97" s="213">
        <v>2.6666666666666666E-3</v>
      </c>
      <c r="AF97" s="241">
        <v>4426896.45</v>
      </c>
      <c r="AG97" s="241">
        <v>4426896.45</v>
      </c>
      <c r="AH97" s="213">
        <v>-0.14580000000000001</v>
      </c>
      <c r="AI97" s="352">
        <v>-2.2456999999999998</v>
      </c>
      <c r="AJ97" s="213">
        <v>-0.33300000000000002</v>
      </c>
      <c r="AK97" s="352">
        <v>-3.5394000000000001</v>
      </c>
      <c r="AL97" s="213" t="s">
        <v>66</v>
      </c>
      <c r="AM97" s="352" t="s">
        <v>66</v>
      </c>
      <c r="AN97" s="213" t="s">
        <v>66</v>
      </c>
      <c r="AO97" s="352" t="s">
        <v>66</v>
      </c>
      <c r="AP97" s="213">
        <v>0.2198</v>
      </c>
      <c r="AQ97" s="219">
        <v>-2.139974622703098</v>
      </c>
      <c r="AR97" s="213" t="s">
        <v>1827</v>
      </c>
      <c r="AU97" s="343"/>
      <c r="AV97" s="343"/>
      <c r="AW97" s="328"/>
      <c r="AX97" s="329"/>
      <c r="AY97" s="328"/>
      <c r="AZ97" s="328"/>
      <c r="BA97" s="330"/>
      <c r="BB97" s="328"/>
      <c r="BC97" s="328"/>
      <c r="BD97" s="328"/>
      <c r="BE97" s="330"/>
      <c r="BF97" s="330"/>
      <c r="BG97" s="344"/>
      <c r="BH97" s="383"/>
      <c r="BI97" s="330"/>
      <c r="BJ97" s="330"/>
      <c r="BK97" s="330"/>
      <c r="BL97" s="330"/>
      <c r="BM97" s="330"/>
      <c r="BN97" s="330"/>
      <c r="BO97" s="330"/>
      <c r="BP97" s="331"/>
      <c r="BQ97" s="332"/>
      <c r="BR97" s="333"/>
    </row>
    <row r="98" spans="2:70" ht="15.75" customHeight="1">
      <c r="B98" s="216" t="s">
        <v>1081</v>
      </c>
      <c r="C98" s="212">
        <v>1107132</v>
      </c>
      <c r="D98" s="223">
        <v>36498567000187</v>
      </c>
      <c r="E98" s="217" t="s">
        <v>25</v>
      </c>
      <c r="F98" s="217" t="s">
        <v>958</v>
      </c>
      <c r="G98" s="217" t="s">
        <v>962</v>
      </c>
      <c r="H98" s="218" t="s">
        <v>66</v>
      </c>
      <c r="I98" s="217" t="s">
        <v>1259</v>
      </c>
      <c r="J98" s="217" t="s">
        <v>66</v>
      </c>
      <c r="K98" s="218"/>
      <c r="L98" s="212" t="s">
        <v>87</v>
      </c>
      <c r="M98" s="250"/>
      <c r="N98" s="239">
        <v>43998</v>
      </c>
      <c r="O98" s="210" t="s">
        <v>760</v>
      </c>
      <c r="P98" s="210" t="s">
        <v>1075</v>
      </c>
      <c r="Q98" s="210" t="s">
        <v>1076</v>
      </c>
      <c r="R98" s="210" t="s">
        <v>1077</v>
      </c>
      <c r="S98" s="210" t="s">
        <v>1078</v>
      </c>
      <c r="T98" s="210" t="s">
        <v>1082</v>
      </c>
      <c r="U98" s="210" t="s">
        <v>958</v>
      </c>
      <c r="V98" s="210" t="s">
        <v>25</v>
      </c>
      <c r="W98" s="211" t="s">
        <v>1016</v>
      </c>
      <c r="X98" s="211">
        <v>100</v>
      </c>
      <c r="Y98" s="211">
        <v>100</v>
      </c>
      <c r="Z98" s="212">
        <v>100</v>
      </c>
      <c r="AA98" s="240">
        <v>92</v>
      </c>
      <c r="AB98" s="213">
        <v>7.0000000000000001E-3</v>
      </c>
      <c r="AC98" s="213">
        <v>0.1</v>
      </c>
      <c r="AD98" s="213" t="s">
        <v>1100</v>
      </c>
      <c r="AE98" s="213">
        <v>2.3E-3</v>
      </c>
      <c r="AF98" s="241">
        <v>2783510</v>
      </c>
      <c r="AG98" s="241">
        <v>2783510</v>
      </c>
      <c r="AH98" s="213">
        <v>3.9899999999999998E-2</v>
      </c>
      <c r="AI98" s="352">
        <v>0.61439999999999995</v>
      </c>
      <c r="AJ98" s="213">
        <v>2.29E-2</v>
      </c>
      <c r="AK98" s="352">
        <v>0.24310000000000001</v>
      </c>
      <c r="AL98" s="213">
        <v>0.1003</v>
      </c>
      <c r="AM98" s="352">
        <v>0.83009999999999995</v>
      </c>
      <c r="AN98" s="213" t="s">
        <v>66</v>
      </c>
      <c r="AO98" s="352" t="s">
        <v>66</v>
      </c>
      <c r="AP98" s="213">
        <v>5.7500000000000002E-2</v>
      </c>
      <c r="AQ98" s="219">
        <v>-1.142928338745097</v>
      </c>
      <c r="AR98" s="213" t="s">
        <v>1827</v>
      </c>
      <c r="AU98" s="343"/>
      <c r="AV98" s="343"/>
      <c r="AW98" s="328"/>
      <c r="AX98" s="329"/>
      <c r="AY98" s="328"/>
      <c r="AZ98" s="328"/>
      <c r="BA98" s="330"/>
      <c r="BB98" s="328"/>
      <c r="BC98" s="328"/>
      <c r="BD98" s="328"/>
      <c r="BE98" s="330"/>
      <c r="BF98" s="330"/>
      <c r="BG98" s="344"/>
      <c r="BH98" s="383"/>
      <c r="BI98" s="330"/>
      <c r="BJ98" s="330"/>
      <c r="BK98" s="330"/>
      <c r="BL98" s="330"/>
      <c r="BM98" s="330"/>
      <c r="BN98" s="330"/>
      <c r="BO98" s="330"/>
      <c r="BP98" s="331"/>
      <c r="BQ98" s="332"/>
      <c r="BR98" s="333"/>
    </row>
    <row r="99" spans="2:70" ht="15.75" customHeight="1">
      <c r="B99" s="216" t="s">
        <v>761</v>
      </c>
      <c r="C99" s="212">
        <v>929382</v>
      </c>
      <c r="D99" s="223">
        <v>22232929000189</v>
      </c>
      <c r="E99" s="217" t="s">
        <v>25</v>
      </c>
      <c r="F99" s="217" t="s">
        <v>959</v>
      </c>
      <c r="G99" s="217" t="s">
        <v>960</v>
      </c>
      <c r="H99" s="218" t="s">
        <v>66</v>
      </c>
      <c r="I99" s="217" t="s">
        <v>1841</v>
      </c>
      <c r="J99" s="217" t="s">
        <v>66</v>
      </c>
      <c r="K99" s="218" t="s">
        <v>951</v>
      </c>
      <c r="L99" s="212" t="s">
        <v>87</v>
      </c>
      <c r="M99" s="250"/>
      <c r="N99" s="239">
        <v>42191</v>
      </c>
      <c r="O99" s="210" t="s">
        <v>101</v>
      </c>
      <c r="P99" s="210" t="s">
        <v>1083</v>
      </c>
      <c r="Q99" s="210" t="s">
        <v>102</v>
      </c>
      <c r="R99" s="210" t="s">
        <v>1084</v>
      </c>
      <c r="S99" s="210" t="s">
        <v>1085</v>
      </c>
      <c r="T99" s="210" t="s">
        <v>1082</v>
      </c>
      <c r="U99" s="210" t="s">
        <v>1086</v>
      </c>
      <c r="V99" s="210" t="s">
        <v>25</v>
      </c>
      <c r="W99" s="211" t="s">
        <v>1016</v>
      </c>
      <c r="X99" s="211">
        <v>5000</v>
      </c>
      <c r="Y99" s="211">
        <v>1000</v>
      </c>
      <c r="Z99" s="212">
        <v>1000</v>
      </c>
      <c r="AA99" s="240">
        <v>4</v>
      </c>
      <c r="AB99" s="213">
        <v>1.4999999999999999E-2</v>
      </c>
      <c r="AC99" s="213">
        <v>0.2</v>
      </c>
      <c r="AD99" s="213" t="s">
        <v>109</v>
      </c>
      <c r="AE99" s="213">
        <v>2.9999999999999996E-3</v>
      </c>
      <c r="AF99" s="241">
        <v>103957743.56</v>
      </c>
      <c r="AG99" s="241">
        <v>103957743.56</v>
      </c>
      <c r="AH99" s="213">
        <v>8.5000000000000006E-2</v>
      </c>
      <c r="AI99" s="352">
        <v>1.3088</v>
      </c>
      <c r="AJ99" s="213">
        <v>0.12479999999999999</v>
      </c>
      <c r="AK99" s="352">
        <v>1.3266</v>
      </c>
      <c r="AL99" s="213">
        <v>0.1646</v>
      </c>
      <c r="AM99" s="352">
        <v>1.3627</v>
      </c>
      <c r="AN99" s="213">
        <v>0.3523</v>
      </c>
      <c r="AO99" s="352">
        <v>2.0908000000000002</v>
      </c>
      <c r="AP99" s="213">
        <v>2.0899999999999998E-2</v>
      </c>
      <c r="AQ99" s="219">
        <v>1.3357408843821215</v>
      </c>
      <c r="AR99" s="213" t="s">
        <v>1827</v>
      </c>
      <c r="AU99" s="343"/>
      <c r="AV99" s="343"/>
      <c r="AW99" s="328"/>
      <c r="AX99" s="329"/>
      <c r="AY99" s="328"/>
      <c r="AZ99" s="328"/>
      <c r="BA99" s="330"/>
      <c r="BB99" s="328"/>
      <c r="BC99" s="328"/>
      <c r="BD99" s="328"/>
      <c r="BE99" s="330"/>
      <c r="BF99" s="330"/>
      <c r="BG99" s="344"/>
      <c r="BH99" s="330"/>
      <c r="BI99" s="330"/>
      <c r="BJ99" s="330"/>
      <c r="BK99" s="330"/>
      <c r="BL99" s="330"/>
      <c r="BM99" s="330"/>
      <c r="BN99" s="330"/>
      <c r="BO99" s="330"/>
      <c r="BP99" s="331"/>
      <c r="BQ99" s="332"/>
      <c r="BR99" s="333"/>
    </row>
    <row r="100" spans="2:70" ht="15.75" customHeight="1">
      <c r="B100" s="216" t="s">
        <v>1087</v>
      </c>
      <c r="C100" s="212">
        <v>1247393</v>
      </c>
      <c r="D100" s="223">
        <v>39377954000153</v>
      </c>
      <c r="E100" s="217" t="s">
        <v>28</v>
      </c>
      <c r="F100" s="217" t="s">
        <v>950</v>
      </c>
      <c r="G100" s="217"/>
      <c r="H100" s="218"/>
      <c r="I100" s="217" t="s">
        <v>66</v>
      </c>
      <c r="J100" s="217" t="s">
        <v>66</v>
      </c>
      <c r="K100" s="218" t="s">
        <v>951</v>
      </c>
      <c r="L100" s="212" t="s">
        <v>87</v>
      </c>
      <c r="M100" s="250"/>
      <c r="N100" s="239">
        <v>44188</v>
      </c>
      <c r="O100" s="210" t="s">
        <v>101</v>
      </c>
      <c r="P100" s="210" t="s">
        <v>1083</v>
      </c>
      <c r="Q100" s="210" t="s">
        <v>102</v>
      </c>
      <c r="R100" s="210" t="s">
        <v>1084</v>
      </c>
      <c r="S100" s="210" t="s">
        <v>1078</v>
      </c>
      <c r="T100" s="210" t="s">
        <v>1079</v>
      </c>
      <c r="U100" s="210" t="s">
        <v>950</v>
      </c>
      <c r="V100" s="210" t="s">
        <v>1080</v>
      </c>
      <c r="W100" s="211" t="s">
        <v>1007</v>
      </c>
      <c r="X100" s="211">
        <v>5000</v>
      </c>
      <c r="Y100" s="211">
        <v>5000</v>
      </c>
      <c r="Z100" s="212">
        <v>5000</v>
      </c>
      <c r="AA100" s="240">
        <v>33</v>
      </c>
      <c r="AB100" s="213">
        <v>0.02</v>
      </c>
      <c r="AC100" s="213">
        <v>0.2</v>
      </c>
      <c r="AD100" s="213" t="s">
        <v>1014</v>
      </c>
      <c r="AE100" s="213">
        <v>5.3333333333333332E-3</v>
      </c>
      <c r="AF100" s="241">
        <v>63434531.969999999</v>
      </c>
      <c r="AG100" s="241">
        <v>63434531.969999999</v>
      </c>
      <c r="AH100" s="213">
        <v>5.6800000000000003E-2</v>
      </c>
      <c r="AI100" s="352">
        <v>0.87429999999999997</v>
      </c>
      <c r="AJ100" s="213">
        <v>-7.7899999999999997E-2</v>
      </c>
      <c r="AK100" s="352">
        <v>-0.82789999999999997</v>
      </c>
      <c r="AL100" s="213" t="s">
        <v>66</v>
      </c>
      <c r="AM100" s="352" t="s">
        <v>66</v>
      </c>
      <c r="AN100" s="213" t="s">
        <v>66</v>
      </c>
      <c r="AO100" s="352" t="s">
        <v>66</v>
      </c>
      <c r="AP100" s="213">
        <v>0.23810000000000001</v>
      </c>
      <c r="AQ100" s="219">
        <v>-0.59963220587317378</v>
      </c>
      <c r="AR100" s="213" t="s">
        <v>1827</v>
      </c>
      <c r="AU100" s="343"/>
      <c r="AV100" s="343"/>
      <c r="AW100" s="328"/>
      <c r="AX100" s="329"/>
      <c r="AY100" s="328"/>
      <c r="AZ100" s="328"/>
      <c r="BA100" s="330"/>
      <c r="BB100" s="328"/>
      <c r="BC100" s="328"/>
      <c r="BD100" s="328"/>
      <c r="BE100" s="330"/>
      <c r="BF100" s="330"/>
      <c r="BG100" s="344"/>
      <c r="BH100" s="330"/>
      <c r="BI100" s="330"/>
      <c r="BJ100" s="330"/>
      <c r="BK100" s="330"/>
      <c r="BL100" s="330"/>
      <c r="BM100" s="330"/>
      <c r="BN100" s="330"/>
      <c r="BO100" s="330"/>
      <c r="BP100" s="331"/>
      <c r="BQ100" s="332"/>
      <c r="BR100" s="333"/>
    </row>
    <row r="101" spans="2:70" ht="15.75" customHeight="1">
      <c r="B101" s="216" t="s">
        <v>100</v>
      </c>
      <c r="C101" s="212">
        <v>992520</v>
      </c>
      <c r="D101" s="223">
        <v>23657955000111</v>
      </c>
      <c r="E101" s="217" t="s">
        <v>28</v>
      </c>
      <c r="F101" s="217" t="s">
        <v>950</v>
      </c>
      <c r="G101" s="217"/>
      <c r="H101" s="218"/>
      <c r="I101" s="217" t="s">
        <v>66</v>
      </c>
      <c r="J101" s="217" t="s">
        <v>66</v>
      </c>
      <c r="K101" s="218" t="s">
        <v>954</v>
      </c>
      <c r="L101" s="212"/>
      <c r="M101" s="250"/>
      <c r="N101" s="239">
        <v>42611</v>
      </c>
      <c r="O101" s="210" t="s">
        <v>101</v>
      </c>
      <c r="P101" s="210" t="s">
        <v>1083</v>
      </c>
      <c r="Q101" s="210" t="s">
        <v>102</v>
      </c>
      <c r="R101" s="210" t="s">
        <v>1084</v>
      </c>
      <c r="S101" s="210" t="s">
        <v>1078</v>
      </c>
      <c r="T101" s="210" t="s">
        <v>32</v>
      </c>
      <c r="U101" s="210" t="s">
        <v>33</v>
      </c>
      <c r="V101" s="210" t="s">
        <v>1080</v>
      </c>
      <c r="W101" s="211" t="s">
        <v>1044</v>
      </c>
      <c r="X101" s="211">
        <v>5000</v>
      </c>
      <c r="Y101" s="211">
        <v>1000</v>
      </c>
      <c r="Z101" s="212">
        <v>1000</v>
      </c>
      <c r="AA101" s="240">
        <v>6</v>
      </c>
      <c r="AB101" s="213">
        <v>1.4999999999999999E-2</v>
      </c>
      <c r="AC101" s="213">
        <v>0.2</v>
      </c>
      <c r="AD101" s="213" t="s">
        <v>203</v>
      </c>
      <c r="AE101" s="213">
        <v>2.9999999999999996E-3</v>
      </c>
      <c r="AF101" s="241">
        <v>10528142.82</v>
      </c>
      <c r="AG101" s="241">
        <v>10528142.82</v>
      </c>
      <c r="AH101" s="213">
        <v>7.1499999999999994E-2</v>
      </c>
      <c r="AI101" s="352">
        <v>1.1008</v>
      </c>
      <c r="AJ101" s="213">
        <v>0.12709999999999999</v>
      </c>
      <c r="AK101" s="352">
        <v>1.3513999999999999</v>
      </c>
      <c r="AL101" s="213">
        <v>0.30449999999999999</v>
      </c>
      <c r="AM101" s="352">
        <v>2.5207000000000002</v>
      </c>
      <c r="AN101" s="213">
        <v>0.43230000000000002</v>
      </c>
      <c r="AO101" s="352">
        <v>2.5655000000000001</v>
      </c>
      <c r="AP101" s="213">
        <v>0.1903</v>
      </c>
      <c r="AQ101" s="219">
        <v>0.25111074039517611</v>
      </c>
      <c r="AR101" s="213" t="s">
        <v>1827</v>
      </c>
      <c r="AU101" s="343"/>
      <c r="AV101" s="343"/>
      <c r="AW101" s="328"/>
      <c r="AX101" s="329"/>
      <c r="AY101" s="328"/>
      <c r="AZ101" s="328"/>
      <c r="BA101" s="330"/>
      <c r="BB101" s="328"/>
      <c r="BC101" s="328"/>
      <c r="BD101" s="328"/>
      <c r="BE101" s="330"/>
      <c r="BF101" s="330"/>
      <c r="BG101" s="344"/>
      <c r="BH101" s="330"/>
      <c r="BI101" s="330"/>
      <c r="BJ101" s="330"/>
      <c r="BK101" s="330"/>
      <c r="BL101" s="330"/>
      <c r="BM101" s="330"/>
      <c r="BN101" s="330"/>
      <c r="BO101" s="330"/>
      <c r="BP101" s="331"/>
      <c r="BQ101" s="332"/>
      <c r="BR101" s="333"/>
    </row>
    <row r="102" spans="2:70" ht="15.75" customHeight="1">
      <c r="B102" s="216" t="s">
        <v>104</v>
      </c>
      <c r="C102" s="212">
        <v>1051384</v>
      </c>
      <c r="D102" s="223">
        <v>9599346000122</v>
      </c>
      <c r="E102" s="217" t="s">
        <v>28</v>
      </c>
      <c r="F102" s="217" t="s">
        <v>950</v>
      </c>
      <c r="G102" s="217"/>
      <c r="H102" s="218"/>
      <c r="I102" s="217" t="s">
        <v>66</v>
      </c>
      <c r="J102" s="217" t="s">
        <v>66</v>
      </c>
      <c r="K102" s="218" t="s">
        <v>951</v>
      </c>
      <c r="L102" s="212" t="s">
        <v>87</v>
      </c>
      <c r="M102" s="250"/>
      <c r="N102" s="239">
        <v>39629</v>
      </c>
      <c r="O102" s="210" t="s">
        <v>105</v>
      </c>
      <c r="P102" s="210" t="s">
        <v>1088</v>
      </c>
      <c r="Q102" s="210" t="s">
        <v>1089</v>
      </c>
      <c r="R102" s="210" t="s">
        <v>1084</v>
      </c>
      <c r="S102" s="210" t="s">
        <v>1078</v>
      </c>
      <c r="T102" s="210" t="s">
        <v>1079</v>
      </c>
      <c r="U102" s="210" t="s">
        <v>950</v>
      </c>
      <c r="V102" s="210" t="s">
        <v>1080</v>
      </c>
      <c r="W102" s="211" t="s">
        <v>1015</v>
      </c>
      <c r="X102" s="211">
        <v>500</v>
      </c>
      <c r="Y102" s="211">
        <v>100</v>
      </c>
      <c r="Z102" s="212">
        <v>500</v>
      </c>
      <c r="AA102" s="240">
        <v>5</v>
      </c>
      <c r="AB102" s="213">
        <v>0.02</v>
      </c>
      <c r="AC102" s="213">
        <v>0.2</v>
      </c>
      <c r="AD102" s="213" t="s">
        <v>1014</v>
      </c>
      <c r="AE102" s="213">
        <v>3.3333333333333331E-3</v>
      </c>
      <c r="AF102" s="241">
        <v>185958853.05000001</v>
      </c>
      <c r="AG102" s="241">
        <v>185958853.05000001</v>
      </c>
      <c r="AH102" s="213">
        <v>1.1299999999999999E-2</v>
      </c>
      <c r="AI102" s="352">
        <v>0.17380000000000001</v>
      </c>
      <c r="AJ102" s="213">
        <v>-7.51E-2</v>
      </c>
      <c r="AK102" s="352">
        <v>-0.79779999999999995</v>
      </c>
      <c r="AL102" s="213">
        <v>8.9899999999999994E-2</v>
      </c>
      <c r="AM102" s="352">
        <v>0.74419999999999997</v>
      </c>
      <c r="AN102" s="213">
        <v>9.6799999999999997E-2</v>
      </c>
      <c r="AO102" s="352">
        <v>0.57469999999999999</v>
      </c>
      <c r="AP102" s="213">
        <v>0.17230000000000001</v>
      </c>
      <c r="AQ102" s="219">
        <v>-0.88871783106645441</v>
      </c>
      <c r="AR102" s="213" t="s">
        <v>1824</v>
      </c>
      <c r="AU102" s="343"/>
      <c r="AV102" s="343"/>
      <c r="AW102" s="328"/>
      <c r="AX102" s="329"/>
      <c r="AY102" s="328"/>
      <c r="AZ102" s="328"/>
      <c r="BA102" s="330"/>
      <c r="BB102" s="328"/>
      <c r="BC102" s="328"/>
      <c r="BD102" s="328"/>
      <c r="BE102" s="330"/>
      <c r="BF102" s="330"/>
      <c r="BG102" s="344"/>
      <c r="BH102" s="330"/>
      <c r="BI102" s="330"/>
      <c r="BJ102" s="330"/>
      <c r="BK102" s="330"/>
      <c r="BL102" s="330"/>
      <c r="BM102" s="330"/>
      <c r="BN102" s="330"/>
      <c r="BO102" s="330"/>
      <c r="BP102" s="331"/>
      <c r="BQ102" s="332"/>
      <c r="BR102" s="333"/>
    </row>
    <row r="103" spans="2:70" ht="15.75" customHeight="1">
      <c r="B103" s="216" t="s">
        <v>106</v>
      </c>
      <c r="C103" s="212">
        <v>1051385</v>
      </c>
      <c r="D103" s="223">
        <v>9550197000107</v>
      </c>
      <c r="E103" s="217" t="s">
        <v>28</v>
      </c>
      <c r="F103" s="217" t="s">
        <v>950</v>
      </c>
      <c r="G103" s="217"/>
      <c r="H103" s="218"/>
      <c r="I103" s="217" t="s">
        <v>66</v>
      </c>
      <c r="J103" s="217" t="s">
        <v>66</v>
      </c>
      <c r="K103" s="218" t="s">
        <v>951</v>
      </c>
      <c r="L103" s="212" t="s">
        <v>87</v>
      </c>
      <c r="M103" s="250"/>
      <c r="N103" s="239">
        <v>39629</v>
      </c>
      <c r="O103" s="210" t="s">
        <v>105</v>
      </c>
      <c r="P103" s="210" t="s">
        <v>1088</v>
      </c>
      <c r="Q103" s="210" t="s">
        <v>1089</v>
      </c>
      <c r="R103" s="210" t="s">
        <v>1084</v>
      </c>
      <c r="S103" s="210" t="s">
        <v>1078</v>
      </c>
      <c r="T103" s="210" t="s">
        <v>1079</v>
      </c>
      <c r="U103" s="210" t="s">
        <v>950</v>
      </c>
      <c r="V103" s="210" t="s">
        <v>1080</v>
      </c>
      <c r="W103" s="211" t="s">
        <v>1030</v>
      </c>
      <c r="X103" s="211">
        <v>500</v>
      </c>
      <c r="Y103" s="211">
        <v>100</v>
      </c>
      <c r="Z103" s="212">
        <v>500</v>
      </c>
      <c r="AA103" s="240">
        <v>20</v>
      </c>
      <c r="AB103" s="213">
        <v>0.02</v>
      </c>
      <c r="AC103" s="213">
        <v>0.2</v>
      </c>
      <c r="AD103" s="213" t="s">
        <v>1014</v>
      </c>
      <c r="AE103" s="213">
        <v>3.3333333333333331E-3</v>
      </c>
      <c r="AF103" s="241">
        <v>320716722.33999997</v>
      </c>
      <c r="AG103" s="241">
        <v>320716722.33999997</v>
      </c>
      <c r="AH103" s="213">
        <v>-0.1099</v>
      </c>
      <c r="AI103" s="352">
        <v>-1.6933</v>
      </c>
      <c r="AJ103" s="213">
        <v>-0.16250000000000001</v>
      </c>
      <c r="AK103" s="352">
        <v>-1.7273000000000001</v>
      </c>
      <c r="AL103" s="213">
        <v>-3.9300000000000002E-2</v>
      </c>
      <c r="AM103" s="352">
        <v>-0.32569999999999999</v>
      </c>
      <c r="AN103" s="213">
        <v>0.1101</v>
      </c>
      <c r="AO103" s="352">
        <v>0.6532</v>
      </c>
      <c r="AP103" s="213">
        <v>0.25209999999999999</v>
      </c>
      <c r="AQ103" s="219">
        <v>-0.93444259184178324</v>
      </c>
      <c r="AR103" s="213" t="s">
        <v>1824</v>
      </c>
      <c r="AU103" s="343"/>
      <c r="AV103" s="343"/>
      <c r="AW103" s="328"/>
      <c r="AX103" s="329"/>
      <c r="AY103" s="328"/>
      <c r="AZ103" s="328"/>
      <c r="BA103" s="330"/>
      <c r="BB103" s="328"/>
      <c r="BC103" s="328"/>
      <c r="BD103" s="328"/>
      <c r="BE103" s="330"/>
      <c r="BF103" s="330"/>
      <c r="BG103" s="344"/>
      <c r="BH103" s="330"/>
      <c r="BI103" s="330"/>
      <c r="BJ103" s="330"/>
      <c r="BK103" s="330"/>
      <c r="BL103" s="330"/>
      <c r="BM103" s="330"/>
      <c r="BN103" s="330"/>
      <c r="BO103" s="330"/>
      <c r="BP103" s="331"/>
      <c r="BQ103" s="332"/>
      <c r="BR103" s="333"/>
    </row>
    <row r="104" spans="2:70" ht="15.75" customHeight="1">
      <c r="B104" s="216" t="s">
        <v>107</v>
      </c>
      <c r="C104" s="212">
        <v>1002945</v>
      </c>
      <c r="D104" s="223">
        <v>36181846000112</v>
      </c>
      <c r="E104" s="217" t="s">
        <v>25</v>
      </c>
      <c r="F104" s="217" t="s">
        <v>959</v>
      </c>
      <c r="G104" s="217" t="s">
        <v>960</v>
      </c>
      <c r="H104" s="218" t="s">
        <v>66</v>
      </c>
      <c r="I104" s="217" t="s">
        <v>1841</v>
      </c>
      <c r="J104" s="217" t="s">
        <v>66</v>
      </c>
      <c r="K104" s="218" t="s">
        <v>951</v>
      </c>
      <c r="L104" s="212" t="s">
        <v>87</v>
      </c>
      <c r="M104" s="250"/>
      <c r="N104" s="239">
        <v>43922</v>
      </c>
      <c r="O104" s="210" t="s">
        <v>108</v>
      </c>
      <c r="P104" s="210" t="s">
        <v>1083</v>
      </c>
      <c r="Q104" s="210" t="s">
        <v>102</v>
      </c>
      <c r="R104" s="210" t="s">
        <v>1084</v>
      </c>
      <c r="S104" s="210" t="s">
        <v>1078</v>
      </c>
      <c r="T104" s="210" t="s">
        <v>1082</v>
      </c>
      <c r="U104" s="210" t="s">
        <v>958</v>
      </c>
      <c r="V104" s="210" t="s">
        <v>25</v>
      </c>
      <c r="W104" s="211" t="s">
        <v>1016</v>
      </c>
      <c r="X104" s="211">
        <v>5000</v>
      </c>
      <c r="Y104" s="211">
        <v>1000</v>
      </c>
      <c r="Z104" s="212">
        <v>5000</v>
      </c>
      <c r="AA104" s="240">
        <v>31</v>
      </c>
      <c r="AB104" s="213">
        <v>0.02</v>
      </c>
      <c r="AC104" s="213">
        <v>0.2</v>
      </c>
      <c r="AD104" s="213" t="s">
        <v>109</v>
      </c>
      <c r="AE104" s="213">
        <v>4.0000000000000001E-3</v>
      </c>
      <c r="AF104" s="241">
        <v>774804163.65999997</v>
      </c>
      <c r="AG104" s="241">
        <v>774804163.65999997</v>
      </c>
      <c r="AH104" s="213">
        <v>-0.01</v>
      </c>
      <c r="AI104" s="352">
        <v>-0.1542</v>
      </c>
      <c r="AJ104" s="213">
        <v>1.5599999999999999E-2</v>
      </c>
      <c r="AK104" s="352">
        <v>0.16550000000000001</v>
      </c>
      <c r="AL104" s="213">
        <v>2.1499999999999998E-2</v>
      </c>
      <c r="AM104" s="352">
        <v>0.1779</v>
      </c>
      <c r="AN104" s="213" t="s">
        <v>66</v>
      </c>
      <c r="AO104" s="352" t="s">
        <v>66</v>
      </c>
      <c r="AP104" s="213">
        <v>3.6900000000000002E-2</v>
      </c>
      <c r="AQ104" s="219">
        <v>-1.9978711289250775</v>
      </c>
      <c r="AR104" s="213" t="s">
        <v>1827</v>
      </c>
      <c r="AU104" s="343"/>
      <c r="AV104" s="343"/>
      <c r="AW104" s="328"/>
      <c r="AX104" s="329"/>
      <c r="AY104" s="328"/>
      <c r="AZ104" s="328"/>
      <c r="BA104" s="330"/>
      <c r="BB104" s="328"/>
      <c r="BC104" s="328"/>
      <c r="BD104" s="328"/>
      <c r="BE104" s="330"/>
      <c r="BF104" s="330"/>
      <c r="BG104" s="344"/>
      <c r="BH104" s="330"/>
      <c r="BI104" s="330"/>
      <c r="BJ104" s="330"/>
      <c r="BK104" s="330"/>
      <c r="BL104" s="330"/>
      <c r="BM104" s="330"/>
      <c r="BN104" s="330"/>
      <c r="BO104" s="330"/>
      <c r="BP104" s="331"/>
      <c r="BQ104" s="332"/>
      <c r="BR104" s="333"/>
    </row>
    <row r="105" spans="2:70" ht="15.75" customHeight="1">
      <c r="B105" s="216" t="s">
        <v>116</v>
      </c>
      <c r="C105" s="212">
        <v>638924</v>
      </c>
      <c r="D105" s="223">
        <v>18214066000140</v>
      </c>
      <c r="E105" s="217" t="s">
        <v>28</v>
      </c>
      <c r="F105" s="217" t="s">
        <v>950</v>
      </c>
      <c r="G105" s="217"/>
      <c r="H105" s="218"/>
      <c r="I105" s="217" t="s">
        <v>66</v>
      </c>
      <c r="J105" s="217" t="s">
        <v>66</v>
      </c>
      <c r="K105" s="218" t="s">
        <v>951</v>
      </c>
      <c r="L105" s="212" t="s">
        <v>87</v>
      </c>
      <c r="M105" s="250"/>
      <c r="N105" s="239">
        <v>42683</v>
      </c>
      <c r="O105" s="210" t="s">
        <v>117</v>
      </c>
      <c r="P105" s="210" t="s">
        <v>1075</v>
      </c>
      <c r="Q105" s="210" t="s">
        <v>1076</v>
      </c>
      <c r="R105" s="210" t="s">
        <v>1084</v>
      </c>
      <c r="S105" s="210" t="s">
        <v>1078</v>
      </c>
      <c r="T105" s="210" t="s">
        <v>1079</v>
      </c>
      <c r="U105" s="210" t="s">
        <v>950</v>
      </c>
      <c r="V105" s="210" t="s">
        <v>1080</v>
      </c>
      <c r="W105" s="211" t="s">
        <v>1007</v>
      </c>
      <c r="X105" s="211">
        <v>1000</v>
      </c>
      <c r="Y105" s="211">
        <v>1000</v>
      </c>
      <c r="Z105" s="212">
        <v>1000</v>
      </c>
      <c r="AA105" s="240">
        <v>32</v>
      </c>
      <c r="AB105" s="213">
        <v>0.02</v>
      </c>
      <c r="AC105" s="213">
        <v>0.2</v>
      </c>
      <c r="AD105" s="213" t="s">
        <v>113</v>
      </c>
      <c r="AE105" s="213" t="s">
        <v>66</v>
      </c>
      <c r="AF105" s="241">
        <v>25671473.390000001</v>
      </c>
      <c r="AG105" s="241">
        <v>25671473.390000001</v>
      </c>
      <c r="AH105" s="213">
        <v>-0.1178</v>
      </c>
      <c r="AI105" s="352">
        <v>-1.8146</v>
      </c>
      <c r="AJ105" s="213">
        <v>-0.17680000000000001</v>
      </c>
      <c r="AK105" s="352">
        <v>-1.8788</v>
      </c>
      <c r="AL105" s="213">
        <v>-0.13600000000000001</v>
      </c>
      <c r="AM105" s="352">
        <v>-1.1258999999999999</v>
      </c>
      <c r="AN105" s="213">
        <v>-0.27629999999999999</v>
      </c>
      <c r="AO105" s="352">
        <v>-1.6397999999999999</v>
      </c>
      <c r="AP105" s="213">
        <v>0.1971</v>
      </c>
      <c r="AQ105" s="219">
        <v>-1.3438478801487044</v>
      </c>
      <c r="AR105" s="213" t="s">
        <v>1827</v>
      </c>
      <c r="AU105" s="343"/>
      <c r="AV105" s="343"/>
      <c r="AW105" s="328"/>
      <c r="AX105" s="329"/>
      <c r="AY105" s="328"/>
      <c r="AZ105" s="328"/>
      <c r="BA105" s="330"/>
      <c r="BB105" s="328"/>
      <c r="BC105" s="328"/>
      <c r="BD105" s="328"/>
      <c r="BE105" s="330"/>
      <c r="BF105" s="330"/>
      <c r="BG105" s="344"/>
      <c r="BH105" s="330"/>
      <c r="BI105" s="330"/>
      <c r="BJ105" s="330"/>
      <c r="BK105" s="330"/>
      <c r="BL105" s="330"/>
      <c r="BM105" s="330"/>
      <c r="BN105" s="330"/>
      <c r="BO105" s="330"/>
      <c r="BP105" s="331"/>
      <c r="BQ105" s="332"/>
      <c r="BR105" s="333"/>
    </row>
    <row r="106" spans="2:70" ht="15.75" customHeight="1">
      <c r="B106" s="216" t="s">
        <v>118</v>
      </c>
      <c r="C106" s="212">
        <v>638906</v>
      </c>
      <c r="D106" s="223">
        <v>11741292000130</v>
      </c>
      <c r="E106" s="217" t="s">
        <v>25</v>
      </c>
      <c r="F106" s="217" t="s">
        <v>958</v>
      </c>
      <c r="G106" s="217" t="s">
        <v>962</v>
      </c>
      <c r="H106" s="218" t="s">
        <v>66</v>
      </c>
      <c r="I106" s="217" t="s">
        <v>1259</v>
      </c>
      <c r="J106" s="217" t="s">
        <v>66</v>
      </c>
      <c r="K106" s="218"/>
      <c r="L106" s="212" t="s">
        <v>87</v>
      </c>
      <c r="M106" s="250"/>
      <c r="N106" s="239">
        <v>40452</v>
      </c>
      <c r="O106" s="210" t="s">
        <v>117</v>
      </c>
      <c r="P106" s="210" t="s">
        <v>1075</v>
      </c>
      <c r="Q106" s="210" t="s">
        <v>1076</v>
      </c>
      <c r="R106" s="210" t="s">
        <v>1084</v>
      </c>
      <c r="S106" s="210" t="s">
        <v>1078</v>
      </c>
      <c r="T106" s="210" t="s">
        <v>1082</v>
      </c>
      <c r="U106" s="210" t="s">
        <v>958</v>
      </c>
      <c r="V106" s="210" t="s">
        <v>25</v>
      </c>
      <c r="W106" s="211" t="s">
        <v>1016</v>
      </c>
      <c r="X106" s="211">
        <v>1000</v>
      </c>
      <c r="Y106" s="211">
        <v>1000</v>
      </c>
      <c r="Z106" s="212">
        <v>1000</v>
      </c>
      <c r="AA106" s="240">
        <v>6</v>
      </c>
      <c r="AB106" s="213">
        <v>1.7500000000000002E-2</v>
      </c>
      <c r="AC106" s="213">
        <v>0.2</v>
      </c>
      <c r="AD106" s="213" t="s">
        <v>113</v>
      </c>
      <c r="AE106" s="213" t="s">
        <v>66</v>
      </c>
      <c r="AF106" s="241">
        <v>13763570.859999999</v>
      </c>
      <c r="AG106" s="241">
        <v>13763570.859999999</v>
      </c>
      <c r="AH106" s="213">
        <v>1.4200000000000001E-2</v>
      </c>
      <c r="AI106" s="352">
        <v>0.21840000000000001</v>
      </c>
      <c r="AJ106" s="213">
        <v>3.7000000000000002E-3</v>
      </c>
      <c r="AK106" s="352">
        <v>3.9199999999999999E-2</v>
      </c>
      <c r="AL106" s="213">
        <v>3.49E-2</v>
      </c>
      <c r="AM106" s="352">
        <v>0.2893</v>
      </c>
      <c r="AN106" s="213">
        <v>5.7000000000000002E-3</v>
      </c>
      <c r="AO106" s="352">
        <v>3.4000000000000002E-2</v>
      </c>
      <c r="AP106" s="213">
        <v>5.5800000000000002E-2</v>
      </c>
      <c r="AQ106" s="219">
        <v>-1.5174213672957171</v>
      </c>
      <c r="AR106" s="213" t="s">
        <v>1827</v>
      </c>
      <c r="AU106" s="343"/>
      <c r="AV106" s="343"/>
      <c r="AW106" s="328"/>
      <c r="AX106" s="329"/>
      <c r="AY106" s="328"/>
      <c r="AZ106" s="328"/>
      <c r="BA106" s="330"/>
      <c r="BB106" s="328"/>
      <c r="BC106" s="328"/>
      <c r="BD106" s="328"/>
      <c r="BE106" s="330"/>
      <c r="BF106" s="330"/>
      <c r="BG106" s="344"/>
      <c r="BH106" s="330"/>
      <c r="BI106" s="330"/>
      <c r="BJ106" s="330"/>
      <c r="BK106" s="330"/>
      <c r="BL106" s="330"/>
      <c r="BM106" s="330"/>
      <c r="BN106" s="330"/>
      <c r="BO106" s="330"/>
      <c r="BP106" s="331"/>
      <c r="BQ106" s="332"/>
      <c r="BR106" s="333"/>
    </row>
    <row r="107" spans="2:70" ht="15.75" customHeight="1">
      <c r="B107" s="216" t="s">
        <v>119</v>
      </c>
      <c r="C107" s="212">
        <v>638929</v>
      </c>
      <c r="D107" s="223">
        <v>21377860000119</v>
      </c>
      <c r="E107" s="217" t="s">
        <v>25</v>
      </c>
      <c r="F107" s="217" t="s">
        <v>958</v>
      </c>
      <c r="G107" s="217" t="s">
        <v>962</v>
      </c>
      <c r="H107" s="218" t="s">
        <v>66</v>
      </c>
      <c r="I107" s="217" t="s">
        <v>1842</v>
      </c>
      <c r="J107" s="217" t="s">
        <v>66</v>
      </c>
      <c r="K107" s="218"/>
      <c r="L107" s="212" t="s">
        <v>87</v>
      </c>
      <c r="M107" s="250"/>
      <c r="N107" s="239">
        <v>42081</v>
      </c>
      <c r="O107" s="210" t="s">
        <v>117</v>
      </c>
      <c r="P107" s="210" t="s">
        <v>1075</v>
      </c>
      <c r="Q107" s="210" t="s">
        <v>1076</v>
      </c>
      <c r="R107" s="210" t="s">
        <v>1077</v>
      </c>
      <c r="S107" s="210" t="s">
        <v>1078</v>
      </c>
      <c r="T107" s="210" t="s">
        <v>1082</v>
      </c>
      <c r="U107" s="210" t="s">
        <v>958</v>
      </c>
      <c r="V107" s="210" t="s">
        <v>25</v>
      </c>
      <c r="W107" s="211" t="s">
        <v>1016</v>
      </c>
      <c r="X107" s="211">
        <v>5000</v>
      </c>
      <c r="Y107" s="211">
        <v>1000</v>
      </c>
      <c r="Z107" s="212">
        <v>1000</v>
      </c>
      <c r="AA107" s="240">
        <v>31</v>
      </c>
      <c r="AB107" s="213">
        <v>0.02</v>
      </c>
      <c r="AC107" s="213">
        <v>0.2</v>
      </c>
      <c r="AD107" s="213" t="s">
        <v>109</v>
      </c>
      <c r="AE107" s="213" t="s">
        <v>66</v>
      </c>
      <c r="AF107" s="241">
        <v>26004119.57</v>
      </c>
      <c r="AG107" s="241">
        <v>26004119.57</v>
      </c>
      <c r="AH107" s="213">
        <v>-0.11559999999999999</v>
      </c>
      <c r="AI107" s="352">
        <v>-1.7813000000000001</v>
      </c>
      <c r="AJ107" s="213">
        <v>-0.20369999999999999</v>
      </c>
      <c r="AK107" s="352">
        <v>-2.1648000000000001</v>
      </c>
      <c r="AL107" s="213">
        <v>-0.27589999999999998</v>
      </c>
      <c r="AM107" s="352">
        <v>-2.2839999999999998</v>
      </c>
      <c r="AN107" s="213">
        <v>-0.57410000000000005</v>
      </c>
      <c r="AO107" s="352">
        <v>-3.407</v>
      </c>
      <c r="AP107" s="213">
        <v>0.19520000000000001</v>
      </c>
      <c r="AQ107" s="219">
        <v>-1.5295385314033432</v>
      </c>
      <c r="AR107" s="213" t="s">
        <v>1827</v>
      </c>
      <c r="AU107" s="343"/>
      <c r="AV107" s="343"/>
      <c r="AW107" s="328"/>
      <c r="AX107" s="329"/>
      <c r="AY107" s="328"/>
      <c r="AZ107" s="328"/>
      <c r="BA107" s="330"/>
      <c r="BB107" s="328"/>
      <c r="BC107" s="328"/>
      <c r="BD107" s="328"/>
      <c r="BE107" s="330"/>
      <c r="BF107" s="330"/>
      <c r="BG107" s="344"/>
      <c r="BH107" s="330"/>
      <c r="BI107" s="330"/>
      <c r="BJ107" s="330"/>
      <c r="BK107" s="330"/>
      <c r="BL107" s="330"/>
      <c r="BM107" s="330"/>
      <c r="BN107" s="330"/>
      <c r="BO107" s="330"/>
      <c r="BP107" s="331"/>
      <c r="BQ107" s="332"/>
      <c r="BR107" s="333"/>
    </row>
    <row r="108" spans="2:70" ht="15.75" customHeight="1">
      <c r="B108" s="216" t="s">
        <v>1094</v>
      </c>
      <c r="C108" s="212">
        <v>1254318</v>
      </c>
      <c r="D108" s="223">
        <v>36318507000135</v>
      </c>
      <c r="E108" s="217" t="s">
        <v>28</v>
      </c>
      <c r="F108" s="217" t="s">
        <v>950</v>
      </c>
      <c r="G108" s="217"/>
      <c r="H108" s="218"/>
      <c r="I108" s="217" t="s">
        <v>66</v>
      </c>
      <c r="J108" s="217" t="s">
        <v>66</v>
      </c>
      <c r="K108" s="218" t="s">
        <v>955</v>
      </c>
      <c r="L108" s="212" t="s">
        <v>1095</v>
      </c>
      <c r="M108" s="250"/>
      <c r="N108" s="239">
        <v>44200</v>
      </c>
      <c r="O108" s="210" t="s">
        <v>120</v>
      </c>
      <c r="P108" s="210" t="s">
        <v>1090</v>
      </c>
      <c r="Q108" s="210" t="s">
        <v>1091</v>
      </c>
      <c r="R108" s="210" t="s">
        <v>1077</v>
      </c>
      <c r="S108" s="210" t="s">
        <v>1078</v>
      </c>
      <c r="T108" s="210" t="s">
        <v>1079</v>
      </c>
      <c r="U108" s="210" t="s">
        <v>65</v>
      </c>
      <c r="V108" s="210" t="s">
        <v>1080</v>
      </c>
      <c r="W108" s="211" t="s">
        <v>1036</v>
      </c>
      <c r="X108" s="211">
        <v>500</v>
      </c>
      <c r="Y108" s="211">
        <v>500</v>
      </c>
      <c r="Z108" s="212">
        <v>500</v>
      </c>
      <c r="AA108" s="240">
        <v>4</v>
      </c>
      <c r="AB108" s="213">
        <v>5.4999999999999997E-3</v>
      </c>
      <c r="AC108" s="213">
        <v>0</v>
      </c>
      <c r="AD108" s="213" t="s">
        <v>113</v>
      </c>
      <c r="AE108" s="213">
        <v>3.6666666666666662E-3</v>
      </c>
      <c r="AF108" s="241">
        <v>11676726.970000001</v>
      </c>
      <c r="AG108" s="241">
        <v>11676726.970000001</v>
      </c>
      <c r="AH108" s="213">
        <v>-0.26190000000000002</v>
      </c>
      <c r="AI108" s="352">
        <v>-4.0339</v>
      </c>
      <c r="AJ108" s="213">
        <v>-0.16950000000000001</v>
      </c>
      <c r="AK108" s="352">
        <v>-1.8012999999999999</v>
      </c>
      <c r="AL108" s="213" t="s">
        <v>66</v>
      </c>
      <c r="AM108" s="352" t="s">
        <v>66</v>
      </c>
      <c r="AN108" s="213" t="s">
        <v>66</v>
      </c>
      <c r="AO108" s="352" t="s">
        <v>66</v>
      </c>
      <c r="AP108" s="213">
        <v>0.22750000000000001</v>
      </c>
      <c r="AQ108" s="219">
        <v>-1.0979590945454112</v>
      </c>
      <c r="AR108" s="213" t="s">
        <v>1827</v>
      </c>
      <c r="AU108" s="343"/>
      <c r="AV108" s="343"/>
      <c r="AW108" s="328"/>
      <c r="AX108" s="329"/>
      <c r="AY108" s="328"/>
      <c r="AZ108" s="328"/>
      <c r="BA108" s="330"/>
      <c r="BB108" s="328"/>
      <c r="BC108" s="328"/>
      <c r="BD108" s="328"/>
      <c r="BE108" s="330"/>
      <c r="BF108" s="330"/>
      <c r="BG108" s="344"/>
      <c r="BH108" s="330"/>
      <c r="BI108" s="330"/>
      <c r="BJ108" s="330"/>
      <c r="BK108" s="330"/>
      <c r="BL108" s="330"/>
      <c r="BM108" s="330"/>
      <c r="BN108" s="330"/>
      <c r="BO108" s="330"/>
      <c r="BP108" s="331"/>
      <c r="BQ108" s="332"/>
      <c r="BR108" s="333"/>
    </row>
    <row r="109" spans="2:70" ht="15.75" customHeight="1">
      <c r="B109" s="216" t="s">
        <v>1096</v>
      </c>
      <c r="C109" s="212">
        <v>801836</v>
      </c>
      <c r="D109" s="223">
        <v>25306476000186</v>
      </c>
      <c r="E109" s="217" t="s">
        <v>28</v>
      </c>
      <c r="F109" s="217" t="s">
        <v>32</v>
      </c>
      <c r="G109" s="217" t="s">
        <v>953</v>
      </c>
      <c r="H109" s="218"/>
      <c r="I109" s="217" t="s">
        <v>66</v>
      </c>
      <c r="J109" s="217" t="s">
        <v>66</v>
      </c>
      <c r="K109" s="218" t="s">
        <v>954</v>
      </c>
      <c r="L109" s="212" t="s">
        <v>87</v>
      </c>
      <c r="M109" s="250"/>
      <c r="N109" s="239">
        <v>42698</v>
      </c>
      <c r="O109" s="210" t="s">
        <v>120</v>
      </c>
      <c r="P109" s="210" t="s">
        <v>1090</v>
      </c>
      <c r="Q109" s="210" t="s">
        <v>1091</v>
      </c>
      <c r="R109" s="210" t="s">
        <v>1077</v>
      </c>
      <c r="S109" s="210" t="s">
        <v>1078</v>
      </c>
      <c r="T109" s="210" t="s">
        <v>1079</v>
      </c>
      <c r="U109" s="210" t="s">
        <v>65</v>
      </c>
      <c r="V109" s="210" t="s">
        <v>1080</v>
      </c>
      <c r="W109" s="211" t="s">
        <v>1036</v>
      </c>
      <c r="X109" s="211">
        <v>500</v>
      </c>
      <c r="Y109" s="211">
        <v>500</v>
      </c>
      <c r="Z109" s="212">
        <v>500</v>
      </c>
      <c r="AA109" s="240">
        <v>6</v>
      </c>
      <c r="AB109" s="213">
        <v>5.4999999999999997E-3</v>
      </c>
      <c r="AC109" s="213">
        <v>0</v>
      </c>
      <c r="AD109" s="213" t="s">
        <v>113</v>
      </c>
      <c r="AE109" s="213">
        <v>3.6666666666666662E-3</v>
      </c>
      <c r="AF109" s="241">
        <v>14937051.779999999</v>
      </c>
      <c r="AG109" s="241">
        <v>14937051.779999999</v>
      </c>
      <c r="AH109" s="213">
        <v>-0.15540000000000001</v>
      </c>
      <c r="AI109" s="352">
        <v>-2.3940999999999999</v>
      </c>
      <c r="AJ109" s="213">
        <v>-2.7199999999999998E-2</v>
      </c>
      <c r="AK109" s="352">
        <v>-0.2888</v>
      </c>
      <c r="AL109" s="213">
        <v>0.1024</v>
      </c>
      <c r="AM109" s="352">
        <v>0.84740000000000004</v>
      </c>
      <c r="AN109" s="213">
        <v>0.44340000000000002</v>
      </c>
      <c r="AO109" s="352">
        <v>2.6313</v>
      </c>
      <c r="AP109" s="213">
        <v>0.1673</v>
      </c>
      <c r="AQ109" s="219">
        <v>-0.61908373851253007</v>
      </c>
      <c r="AR109" s="213" t="s">
        <v>1824</v>
      </c>
      <c r="AU109" s="343"/>
      <c r="AV109" s="343"/>
      <c r="AW109" s="328"/>
      <c r="AX109" s="329"/>
      <c r="AY109" s="328"/>
      <c r="AZ109" s="328"/>
      <c r="BA109" s="330"/>
      <c r="BB109" s="328"/>
      <c r="BC109" s="328"/>
      <c r="BD109" s="328"/>
      <c r="BE109" s="330"/>
      <c r="BF109" s="330"/>
      <c r="BG109" s="344"/>
      <c r="BH109" s="330"/>
      <c r="BI109" s="330"/>
      <c r="BJ109" s="330"/>
      <c r="BK109" s="330"/>
      <c r="BL109" s="330"/>
      <c r="BM109" s="330"/>
      <c r="BN109" s="330"/>
      <c r="BO109" s="330"/>
      <c r="BP109" s="331"/>
      <c r="BQ109" s="332"/>
      <c r="BR109" s="333"/>
    </row>
    <row r="110" spans="2:70" ht="15.75" customHeight="1">
      <c r="B110" s="216" t="s">
        <v>122</v>
      </c>
      <c r="C110" s="212">
        <v>1180056</v>
      </c>
      <c r="D110" s="223">
        <v>26831986000135</v>
      </c>
      <c r="E110" s="217" t="s">
        <v>25</v>
      </c>
      <c r="F110" s="217" t="s">
        <v>959</v>
      </c>
      <c r="G110" s="217" t="s">
        <v>960</v>
      </c>
      <c r="H110" s="218" t="s">
        <v>66</v>
      </c>
      <c r="I110" s="217" t="s">
        <v>1841</v>
      </c>
      <c r="J110" s="217" t="s">
        <v>66</v>
      </c>
      <c r="K110" s="218" t="s">
        <v>951</v>
      </c>
      <c r="L110" s="212" t="s">
        <v>87</v>
      </c>
      <c r="M110" s="250"/>
      <c r="N110" s="239">
        <v>42881</v>
      </c>
      <c r="O110" s="210" t="s">
        <v>114</v>
      </c>
      <c r="P110" s="210" t="s">
        <v>1075</v>
      </c>
      <c r="Q110" s="210" t="s">
        <v>1076</v>
      </c>
      <c r="R110" s="210" t="s">
        <v>1084</v>
      </c>
      <c r="S110" s="210" t="s">
        <v>1078</v>
      </c>
      <c r="T110" s="210" t="s">
        <v>1082</v>
      </c>
      <c r="U110" s="210" t="s">
        <v>1086</v>
      </c>
      <c r="V110" s="210" t="s">
        <v>25</v>
      </c>
      <c r="W110" s="211" t="s">
        <v>1023</v>
      </c>
      <c r="X110" s="211">
        <v>5000</v>
      </c>
      <c r="Y110" s="211">
        <v>5000</v>
      </c>
      <c r="Z110" s="212">
        <v>5000</v>
      </c>
      <c r="AA110" s="240">
        <v>30</v>
      </c>
      <c r="AB110" s="213">
        <v>0.02</v>
      </c>
      <c r="AC110" s="213">
        <v>0.2</v>
      </c>
      <c r="AD110" s="213" t="s">
        <v>113</v>
      </c>
      <c r="AE110" s="213">
        <v>4.0000000000000001E-3</v>
      </c>
      <c r="AF110" s="241">
        <v>32728756.379999999</v>
      </c>
      <c r="AG110" s="241">
        <v>32728756.379999999</v>
      </c>
      <c r="AH110" s="213">
        <v>6.7500000000000004E-2</v>
      </c>
      <c r="AI110" s="352">
        <v>1.0397000000000001</v>
      </c>
      <c r="AJ110" s="213">
        <v>1.14E-2</v>
      </c>
      <c r="AK110" s="352">
        <v>0.12130000000000001</v>
      </c>
      <c r="AL110" s="213">
        <v>-4.4000000000000003E-3</v>
      </c>
      <c r="AM110" s="352">
        <v>-3.5999999999999997E-2</v>
      </c>
      <c r="AN110" s="213">
        <v>9.6299999999999997E-2</v>
      </c>
      <c r="AO110" s="352">
        <v>0.5716</v>
      </c>
      <c r="AP110" s="213">
        <v>3.7999999999999999E-2</v>
      </c>
      <c r="AQ110" s="219">
        <v>-2.0510640233131481</v>
      </c>
      <c r="AR110" s="213" t="s">
        <v>1827</v>
      </c>
      <c r="AU110" s="343"/>
      <c r="AV110" s="343"/>
      <c r="AW110" s="328"/>
      <c r="AX110" s="329"/>
      <c r="AY110" s="328"/>
      <c r="AZ110" s="328"/>
      <c r="BA110" s="330"/>
      <c r="BB110" s="328"/>
      <c r="BC110" s="328"/>
      <c r="BD110" s="328"/>
      <c r="BE110" s="330"/>
      <c r="BF110" s="330"/>
      <c r="BG110" s="344"/>
      <c r="BH110" s="330"/>
      <c r="BI110" s="330"/>
      <c r="BJ110" s="330"/>
      <c r="BK110" s="330"/>
      <c r="BL110" s="330"/>
      <c r="BM110" s="330"/>
      <c r="BN110" s="330"/>
      <c r="BO110" s="330"/>
      <c r="BP110" s="331"/>
      <c r="BQ110" s="332"/>
      <c r="BR110" s="333"/>
    </row>
    <row r="111" spans="2:70" ht="15.75" customHeight="1">
      <c r="B111" s="216" t="s">
        <v>1097</v>
      </c>
      <c r="C111" s="212">
        <v>4105530</v>
      </c>
      <c r="D111" s="223">
        <v>5892566000199</v>
      </c>
      <c r="E111" s="217" t="s">
        <v>25</v>
      </c>
      <c r="F111" s="217" t="s">
        <v>958</v>
      </c>
      <c r="G111" s="217" t="s">
        <v>962</v>
      </c>
      <c r="H111" s="218" t="s">
        <v>66</v>
      </c>
      <c r="I111" s="217" t="s">
        <v>1259</v>
      </c>
      <c r="J111" s="217" t="s">
        <v>66</v>
      </c>
      <c r="K111" s="218"/>
      <c r="L111" s="212" t="s">
        <v>87</v>
      </c>
      <c r="M111" s="250"/>
      <c r="N111" s="239">
        <v>38037</v>
      </c>
      <c r="O111" s="210" t="s">
        <v>114</v>
      </c>
      <c r="P111" s="210" t="s">
        <v>1075</v>
      </c>
      <c r="Q111" s="210" t="s">
        <v>1076</v>
      </c>
      <c r="R111" s="210" t="s">
        <v>1084</v>
      </c>
      <c r="S111" s="210" t="s">
        <v>1078</v>
      </c>
      <c r="T111" s="210" t="s">
        <v>1082</v>
      </c>
      <c r="U111" s="210" t="s">
        <v>958</v>
      </c>
      <c r="V111" s="210" t="s">
        <v>25</v>
      </c>
      <c r="W111" s="211" t="s">
        <v>1016</v>
      </c>
      <c r="X111" s="211">
        <v>0</v>
      </c>
      <c r="Y111" s="211">
        <v>0</v>
      </c>
      <c r="Z111" s="212">
        <v>0</v>
      </c>
      <c r="AA111" s="240">
        <v>32</v>
      </c>
      <c r="AB111" s="213">
        <v>3.5000000000000001E-3</v>
      </c>
      <c r="AC111" s="213">
        <v>0.1</v>
      </c>
      <c r="AD111" s="213" t="s">
        <v>113</v>
      </c>
      <c r="AE111" s="213">
        <v>2.8000000000000004E-3</v>
      </c>
      <c r="AF111" s="241">
        <v>86564182.430000007</v>
      </c>
      <c r="AG111" s="241">
        <v>86564182.430000007</v>
      </c>
      <c r="AH111" s="213">
        <v>2.3800000000000002E-2</v>
      </c>
      <c r="AI111" s="352">
        <v>0.36730000000000002</v>
      </c>
      <c r="AJ111" s="213">
        <v>-2.2100000000000002E-2</v>
      </c>
      <c r="AK111" s="352">
        <v>-0.2354</v>
      </c>
      <c r="AL111" s="213">
        <v>4.3200000000000002E-2</v>
      </c>
      <c r="AM111" s="352">
        <v>0.35730000000000001</v>
      </c>
      <c r="AN111" s="213">
        <v>8.7400000000000005E-2</v>
      </c>
      <c r="AO111" s="352">
        <v>0.51849999999999996</v>
      </c>
      <c r="AP111" s="213">
        <v>5.9200000000000003E-2</v>
      </c>
      <c r="AQ111" s="219">
        <v>-1.8683147561998188</v>
      </c>
      <c r="AR111" s="213" t="s">
        <v>1827</v>
      </c>
      <c r="AU111" s="343"/>
      <c r="AV111" s="343"/>
      <c r="AW111" s="328"/>
      <c r="AX111" s="329"/>
      <c r="AY111" s="328"/>
      <c r="AZ111" s="328"/>
      <c r="BA111" s="330"/>
      <c r="BB111" s="328"/>
      <c r="BC111" s="328"/>
      <c r="BD111" s="328"/>
      <c r="BE111" s="330"/>
      <c r="BF111" s="330"/>
      <c r="BG111" s="344"/>
      <c r="BH111" s="330"/>
      <c r="BI111" s="330"/>
      <c r="BJ111" s="330"/>
      <c r="BK111" s="330"/>
      <c r="BL111" s="330"/>
      <c r="BM111" s="330"/>
      <c r="BN111" s="330"/>
      <c r="BO111" s="330"/>
      <c r="BP111" s="331"/>
      <c r="BQ111" s="332"/>
      <c r="BR111" s="333"/>
    </row>
    <row r="112" spans="2:70" ht="15.75" customHeight="1">
      <c r="B112" s="216" t="s">
        <v>1101</v>
      </c>
      <c r="C112" s="212">
        <v>2465994</v>
      </c>
      <c r="D112" s="223">
        <v>7657641000162</v>
      </c>
      <c r="E112" s="217" t="s">
        <v>28</v>
      </c>
      <c r="F112" s="217" t="s">
        <v>957</v>
      </c>
      <c r="G112" s="217"/>
      <c r="H112" s="218"/>
      <c r="I112" s="217" t="s">
        <v>1259</v>
      </c>
      <c r="J112" s="217" t="s">
        <v>66</v>
      </c>
      <c r="K112" s="218" t="s">
        <v>954</v>
      </c>
      <c r="L112" s="212" t="s">
        <v>87</v>
      </c>
      <c r="M112" s="250"/>
      <c r="N112" s="239">
        <v>40805</v>
      </c>
      <c r="O112" s="210" t="s">
        <v>123</v>
      </c>
      <c r="P112" s="210" t="s">
        <v>1102</v>
      </c>
      <c r="Q112" s="210" t="s">
        <v>1102</v>
      </c>
      <c r="R112" s="210" t="s">
        <v>1077</v>
      </c>
      <c r="S112" s="210" t="s">
        <v>1078</v>
      </c>
      <c r="T112" s="210" t="s">
        <v>1079</v>
      </c>
      <c r="U112" s="210" t="s">
        <v>65</v>
      </c>
      <c r="V112" s="210" t="s">
        <v>1080</v>
      </c>
      <c r="W112" s="211" t="s">
        <v>1036</v>
      </c>
      <c r="X112" s="211">
        <v>5000</v>
      </c>
      <c r="Y112" s="211">
        <v>5000</v>
      </c>
      <c r="Z112" s="212">
        <v>0</v>
      </c>
      <c r="AA112" s="240">
        <v>5</v>
      </c>
      <c r="AB112" s="213">
        <v>7.0000000000000001E-3</v>
      </c>
      <c r="AC112" s="213">
        <v>0</v>
      </c>
      <c r="AD112" s="213" t="s">
        <v>113</v>
      </c>
      <c r="AE112" s="213">
        <v>1.8666666666666666E-3</v>
      </c>
      <c r="AF112" s="241">
        <v>76864579.010000005</v>
      </c>
      <c r="AG112" s="241">
        <v>76864579.010000005</v>
      </c>
      <c r="AH112" s="213">
        <v>-0.17949999999999999</v>
      </c>
      <c r="AI112" s="352">
        <v>-2.7654000000000001</v>
      </c>
      <c r="AJ112" s="213">
        <v>-6.8199999999999997E-2</v>
      </c>
      <c r="AK112" s="352">
        <v>-0.72460000000000002</v>
      </c>
      <c r="AL112" s="213">
        <v>0.17219999999999999</v>
      </c>
      <c r="AM112" s="352">
        <v>1.4257</v>
      </c>
      <c r="AN112" s="213">
        <v>0.505</v>
      </c>
      <c r="AO112" s="352">
        <v>2.9969999999999999</v>
      </c>
      <c r="AP112" s="213">
        <v>0.17199999999999999</v>
      </c>
      <c r="AQ112" s="219">
        <v>-0.84767037648605825</v>
      </c>
      <c r="AR112" s="213" t="s">
        <v>1824</v>
      </c>
      <c r="AU112" s="343"/>
      <c r="AV112" s="343"/>
      <c r="AW112" s="328"/>
      <c r="AX112" s="329"/>
      <c r="AY112" s="328"/>
      <c r="AZ112" s="328"/>
      <c r="BA112" s="330"/>
      <c r="BB112" s="328"/>
      <c r="BC112" s="328"/>
      <c r="BD112" s="328"/>
      <c r="BE112" s="330"/>
      <c r="BF112" s="330"/>
      <c r="BG112" s="344"/>
      <c r="BH112" s="330"/>
      <c r="BI112" s="330"/>
      <c r="BJ112" s="330"/>
      <c r="BK112" s="330"/>
      <c r="BL112" s="330"/>
      <c r="BM112" s="330"/>
      <c r="BN112" s="330"/>
      <c r="BO112" s="330"/>
      <c r="BP112" s="331"/>
      <c r="BQ112" s="332"/>
      <c r="BR112" s="333"/>
    </row>
    <row r="113" spans="2:70" ht="15.75" customHeight="1">
      <c r="B113" s="216" t="s">
        <v>1104</v>
      </c>
      <c r="C113" s="212">
        <v>3079559</v>
      </c>
      <c r="D113" s="223">
        <v>26623196000164</v>
      </c>
      <c r="E113" s="217" t="s">
        <v>28</v>
      </c>
      <c r="F113" s="217" t="s">
        <v>950</v>
      </c>
      <c r="G113" s="217"/>
      <c r="H113" s="218"/>
      <c r="I113" s="217" t="s">
        <v>66</v>
      </c>
      <c r="J113" s="217" t="s">
        <v>66</v>
      </c>
      <c r="K113" s="218" t="s">
        <v>951</v>
      </c>
      <c r="L113" s="212" t="s">
        <v>87</v>
      </c>
      <c r="M113" s="250"/>
      <c r="N113" s="239">
        <v>42761</v>
      </c>
      <c r="O113" s="210" t="s">
        <v>114</v>
      </c>
      <c r="P113" s="210" t="s">
        <v>1075</v>
      </c>
      <c r="Q113" s="210" t="s">
        <v>1076</v>
      </c>
      <c r="R113" s="210" t="s">
        <v>1077</v>
      </c>
      <c r="S113" s="210" t="s">
        <v>1078</v>
      </c>
      <c r="T113" s="210" t="s">
        <v>1079</v>
      </c>
      <c r="U113" s="210" t="s">
        <v>950</v>
      </c>
      <c r="V113" s="210" t="s">
        <v>1080</v>
      </c>
      <c r="W113" s="211" t="s">
        <v>1007</v>
      </c>
      <c r="X113" s="211">
        <v>5000</v>
      </c>
      <c r="Y113" s="211">
        <v>1000</v>
      </c>
      <c r="Z113" s="212">
        <v>5000</v>
      </c>
      <c r="AA113" s="240">
        <v>32</v>
      </c>
      <c r="AB113" s="213">
        <v>7.4999999999999997E-3</v>
      </c>
      <c r="AC113" s="213">
        <v>0.1</v>
      </c>
      <c r="AD113" s="213" t="s">
        <v>113</v>
      </c>
      <c r="AE113" s="213">
        <v>6.0000000000000001E-3</v>
      </c>
      <c r="AF113" s="241">
        <v>155775100.97</v>
      </c>
      <c r="AG113" s="241">
        <v>155775100.97</v>
      </c>
      <c r="AH113" s="213">
        <v>-9.0300000000000005E-2</v>
      </c>
      <c r="AI113" s="352">
        <v>-1.3908</v>
      </c>
      <c r="AJ113" s="213">
        <v>-0.30459999999999998</v>
      </c>
      <c r="AK113" s="352">
        <v>-3.2372000000000001</v>
      </c>
      <c r="AL113" s="213">
        <v>-0.15079999999999999</v>
      </c>
      <c r="AM113" s="352">
        <v>-1.2481</v>
      </c>
      <c r="AN113" s="213">
        <v>-4.1200000000000001E-2</v>
      </c>
      <c r="AO113" s="352">
        <v>-0.2445</v>
      </c>
      <c r="AP113" s="213">
        <v>0.2293</v>
      </c>
      <c r="AQ113" s="219">
        <v>-1.8609025858235493</v>
      </c>
      <c r="AR113" s="213" t="s">
        <v>1827</v>
      </c>
      <c r="AU113" s="343"/>
      <c r="AV113" s="343"/>
      <c r="AW113" s="328"/>
      <c r="AX113" s="329"/>
      <c r="AY113" s="328"/>
      <c r="AZ113" s="328"/>
      <c r="BA113" s="330"/>
      <c r="BB113" s="328"/>
      <c r="BC113" s="328"/>
      <c r="BD113" s="328"/>
      <c r="BE113" s="330"/>
      <c r="BF113" s="330"/>
      <c r="BG113" s="344"/>
      <c r="BH113" s="330"/>
      <c r="BI113" s="330"/>
      <c r="BJ113" s="330"/>
      <c r="BK113" s="330"/>
      <c r="BL113" s="330"/>
      <c r="BM113" s="330"/>
      <c r="BN113" s="330"/>
      <c r="BO113" s="330"/>
      <c r="BP113" s="331"/>
      <c r="BQ113" s="332"/>
      <c r="BR113" s="333"/>
    </row>
    <row r="114" spans="2:70" ht="15.75" customHeight="1">
      <c r="B114" s="216" t="s">
        <v>1105</v>
      </c>
      <c r="C114" s="212">
        <v>1166929</v>
      </c>
      <c r="D114" s="223">
        <v>44209755000176</v>
      </c>
      <c r="E114" s="217" t="s">
        <v>28</v>
      </c>
      <c r="F114" s="217" t="s">
        <v>950</v>
      </c>
      <c r="G114" s="217"/>
      <c r="H114" s="218"/>
      <c r="I114" s="217" t="s">
        <v>66</v>
      </c>
      <c r="J114" s="217" t="s">
        <v>66</v>
      </c>
      <c r="K114" s="218" t="s">
        <v>954</v>
      </c>
      <c r="L114" s="212" t="s">
        <v>88</v>
      </c>
      <c r="M114" s="250"/>
      <c r="N114" s="239">
        <v>44578</v>
      </c>
      <c r="O114" s="210" t="s">
        <v>114</v>
      </c>
      <c r="P114" s="210" t="s">
        <v>1075</v>
      </c>
      <c r="Q114" s="210" t="s">
        <v>1076</v>
      </c>
      <c r="R114" s="210" t="s">
        <v>1077</v>
      </c>
      <c r="S114" s="210" t="s">
        <v>1078</v>
      </c>
      <c r="T114" s="210" t="s">
        <v>1079</v>
      </c>
      <c r="U114" s="210" t="s">
        <v>65</v>
      </c>
      <c r="V114" s="210" t="s">
        <v>1080</v>
      </c>
      <c r="W114" s="211" t="s">
        <v>1036</v>
      </c>
      <c r="X114" s="211">
        <v>5000</v>
      </c>
      <c r="Y114" s="211">
        <v>1000</v>
      </c>
      <c r="Z114" s="212">
        <v>5000</v>
      </c>
      <c r="AA114" s="240">
        <v>6</v>
      </c>
      <c r="AB114" s="213">
        <v>4.0000000000000001E-3</v>
      </c>
      <c r="AC114" s="213">
        <v>0</v>
      </c>
      <c r="AD114" s="213" t="s">
        <v>1100</v>
      </c>
      <c r="AE114" s="213">
        <v>2.6666666666666666E-3</v>
      </c>
      <c r="AF114" s="241">
        <v>1762823.24</v>
      </c>
      <c r="AG114" s="241">
        <v>1762823.24</v>
      </c>
      <c r="AH114" s="213" t="s">
        <v>66</v>
      </c>
      <c r="AI114" s="352" t="s">
        <v>66</v>
      </c>
      <c r="AJ114" s="213" t="s">
        <v>66</v>
      </c>
      <c r="AK114" s="352" t="s">
        <v>66</v>
      </c>
      <c r="AL114" s="213" t="s">
        <v>66</v>
      </c>
      <c r="AM114" s="352" t="s">
        <v>66</v>
      </c>
      <c r="AN114" s="213" t="s">
        <v>66</v>
      </c>
      <c r="AO114" s="352" t="s">
        <v>66</v>
      </c>
      <c r="AP114" s="213" t="s">
        <v>66</v>
      </c>
      <c r="AQ114" s="219" t="s">
        <v>66</v>
      </c>
      <c r="AR114" s="213" t="s">
        <v>1824</v>
      </c>
      <c r="AU114" s="343"/>
      <c r="AV114" s="343"/>
      <c r="AW114" s="328"/>
      <c r="AX114" s="329"/>
      <c r="AY114" s="328"/>
      <c r="AZ114" s="328"/>
      <c r="BA114" s="330"/>
      <c r="BB114" s="328"/>
      <c r="BC114" s="328"/>
      <c r="BD114" s="328"/>
      <c r="BE114" s="330"/>
      <c r="BF114" s="330"/>
      <c r="BG114" s="344"/>
      <c r="BH114" s="330"/>
      <c r="BI114" s="330"/>
      <c r="BJ114" s="330"/>
      <c r="BK114" s="330"/>
      <c r="BL114" s="330"/>
      <c r="BM114" s="330"/>
      <c r="BN114" s="330"/>
      <c r="BO114" s="330"/>
      <c r="BP114" s="331"/>
      <c r="BQ114" s="332"/>
      <c r="BR114" s="333"/>
    </row>
    <row r="115" spans="2:70" ht="15.75" customHeight="1">
      <c r="B115" s="216" t="s">
        <v>899</v>
      </c>
      <c r="C115" s="212">
        <v>3267700</v>
      </c>
      <c r="D115" s="223">
        <v>11147668000182</v>
      </c>
      <c r="E115" s="217" t="s">
        <v>28</v>
      </c>
      <c r="F115" s="217" t="s">
        <v>950</v>
      </c>
      <c r="G115" s="217"/>
      <c r="H115" s="218"/>
      <c r="I115" s="217" t="s">
        <v>66</v>
      </c>
      <c r="J115" s="217" t="s">
        <v>66</v>
      </c>
      <c r="K115" s="218" t="s">
        <v>954</v>
      </c>
      <c r="L115" s="212"/>
      <c r="M115" s="250"/>
      <c r="N115" s="239">
        <v>40386</v>
      </c>
      <c r="O115" s="210" t="s">
        <v>123</v>
      </c>
      <c r="P115" s="210" t="s">
        <v>1102</v>
      </c>
      <c r="Q115" s="210" t="s">
        <v>1102</v>
      </c>
      <c r="R115" s="210" t="s">
        <v>1077</v>
      </c>
      <c r="S115" s="210" t="s">
        <v>1078</v>
      </c>
      <c r="T115" s="210" t="s">
        <v>1079</v>
      </c>
      <c r="U115" s="210" t="s">
        <v>65</v>
      </c>
      <c r="V115" s="210" t="s">
        <v>1080</v>
      </c>
      <c r="W115" s="211" t="s">
        <v>1036</v>
      </c>
      <c r="X115" s="211">
        <v>5000</v>
      </c>
      <c r="Y115" s="211">
        <v>5000</v>
      </c>
      <c r="Z115" s="212">
        <v>0</v>
      </c>
      <c r="AA115" s="240">
        <v>5</v>
      </c>
      <c r="AB115" s="213">
        <v>1.2999999999999999E-2</v>
      </c>
      <c r="AC115" s="213">
        <v>0</v>
      </c>
      <c r="AD115" s="213" t="s">
        <v>113</v>
      </c>
      <c r="AE115" s="213">
        <v>3.4666666666666665E-3</v>
      </c>
      <c r="AF115" s="241">
        <v>233199273.33000001</v>
      </c>
      <c r="AG115" s="241">
        <v>233199273.33000001</v>
      </c>
      <c r="AH115" s="213">
        <v>-0.2697</v>
      </c>
      <c r="AI115" s="352">
        <v>-4.1547999999999998</v>
      </c>
      <c r="AJ115" s="213">
        <v>-0.14530000000000001</v>
      </c>
      <c r="AK115" s="352">
        <v>-1.5439000000000001</v>
      </c>
      <c r="AL115" s="213">
        <v>0.19750000000000001</v>
      </c>
      <c r="AM115" s="352">
        <v>1.6348</v>
      </c>
      <c r="AN115" s="213">
        <v>0.91720000000000002</v>
      </c>
      <c r="AO115" s="352">
        <v>5.4428999999999998</v>
      </c>
      <c r="AP115" s="213">
        <v>0.29409999999999997</v>
      </c>
      <c r="AQ115" s="219">
        <v>-0.69332786777132527</v>
      </c>
      <c r="AR115" s="213" t="s">
        <v>1824</v>
      </c>
      <c r="AU115" s="343"/>
      <c r="AV115" s="343"/>
      <c r="AW115" s="328"/>
      <c r="AX115" s="329"/>
      <c r="AY115" s="328"/>
      <c r="AZ115" s="328"/>
      <c r="BA115" s="330"/>
      <c r="BB115" s="328"/>
      <c r="BC115" s="328"/>
      <c r="BD115" s="328"/>
      <c r="BE115" s="330"/>
      <c r="BF115" s="330"/>
      <c r="BG115" s="344"/>
      <c r="BH115" s="330"/>
      <c r="BI115" s="330"/>
      <c r="BJ115" s="330"/>
      <c r="BK115" s="330"/>
      <c r="BL115" s="330"/>
      <c r="BM115" s="330"/>
      <c r="BN115" s="330"/>
      <c r="BO115" s="330"/>
      <c r="BP115" s="331"/>
      <c r="BQ115" s="332"/>
      <c r="BR115" s="333"/>
    </row>
    <row r="116" spans="2:70" ht="15.75" customHeight="1">
      <c r="B116" s="216" t="s">
        <v>126</v>
      </c>
      <c r="C116" s="212">
        <v>806669</v>
      </c>
      <c r="D116" s="223">
        <v>36498353000100</v>
      </c>
      <c r="E116" s="217" t="s">
        <v>25</v>
      </c>
      <c r="F116" s="217" t="s">
        <v>958</v>
      </c>
      <c r="G116" s="217" t="s">
        <v>962</v>
      </c>
      <c r="H116" s="218" t="s">
        <v>66</v>
      </c>
      <c r="I116" s="217" t="s">
        <v>1842</v>
      </c>
      <c r="J116" s="217" t="s">
        <v>66</v>
      </c>
      <c r="K116" s="218"/>
      <c r="L116" s="212" t="s">
        <v>87</v>
      </c>
      <c r="M116" s="250"/>
      <c r="N116" s="239">
        <v>43928</v>
      </c>
      <c r="O116" s="210" t="s">
        <v>114</v>
      </c>
      <c r="P116" s="210" t="s">
        <v>1075</v>
      </c>
      <c r="Q116" s="210" t="s">
        <v>1076</v>
      </c>
      <c r="R116" s="210" t="s">
        <v>1099</v>
      </c>
      <c r="S116" s="210" t="s">
        <v>1078</v>
      </c>
      <c r="T116" s="210" t="s">
        <v>1082</v>
      </c>
      <c r="U116" s="210" t="s">
        <v>958</v>
      </c>
      <c r="V116" s="210" t="s">
        <v>25</v>
      </c>
      <c r="W116" s="211" t="s">
        <v>1028</v>
      </c>
      <c r="X116" s="211">
        <v>10000</v>
      </c>
      <c r="Y116" s="211">
        <v>10000</v>
      </c>
      <c r="Z116" s="212">
        <v>10000</v>
      </c>
      <c r="AA116" s="240">
        <v>91</v>
      </c>
      <c r="AB116" s="213">
        <v>0</v>
      </c>
      <c r="AC116" s="213">
        <v>0</v>
      </c>
      <c r="AD116" s="213" t="s">
        <v>109</v>
      </c>
      <c r="AE116" s="213" t="s">
        <v>66</v>
      </c>
      <c r="AF116" s="241">
        <v>19013016.98</v>
      </c>
      <c r="AG116" s="241">
        <v>19013016.98</v>
      </c>
      <c r="AH116" s="213">
        <v>-9.5799999999999996E-2</v>
      </c>
      <c r="AI116" s="352">
        <v>-1.4752000000000001</v>
      </c>
      <c r="AJ116" s="213">
        <v>-0.1273</v>
      </c>
      <c r="AK116" s="352">
        <v>-1.353</v>
      </c>
      <c r="AL116" s="213">
        <v>-8.1699999999999995E-2</v>
      </c>
      <c r="AM116" s="352">
        <v>-0.67589999999999995</v>
      </c>
      <c r="AN116" s="213" t="s">
        <v>66</v>
      </c>
      <c r="AO116" s="352" t="s">
        <v>66</v>
      </c>
      <c r="AP116" s="213">
        <v>0.20549999999999999</v>
      </c>
      <c r="AQ116" s="219">
        <v>-0.99682633615038818</v>
      </c>
      <c r="AR116" s="213" t="s">
        <v>1827</v>
      </c>
      <c r="AU116" s="343"/>
      <c r="AV116" s="343"/>
      <c r="AW116" s="328"/>
      <c r="AX116" s="329"/>
      <c r="AY116" s="328"/>
      <c r="AZ116" s="328"/>
      <c r="BA116" s="330"/>
      <c r="BB116" s="328"/>
      <c r="BC116" s="328"/>
      <c r="BD116" s="328"/>
      <c r="BE116" s="330"/>
      <c r="BF116" s="330"/>
      <c r="BG116" s="344"/>
      <c r="BH116" s="330"/>
      <c r="BI116" s="330"/>
      <c r="BJ116" s="330"/>
      <c r="BK116" s="330"/>
      <c r="BL116" s="330"/>
      <c r="BM116" s="330"/>
      <c r="BN116" s="330"/>
      <c r="BO116" s="330"/>
      <c r="BP116" s="331"/>
      <c r="BQ116" s="332"/>
      <c r="BR116" s="333"/>
    </row>
    <row r="117" spans="2:70" ht="15.75" customHeight="1">
      <c r="B117" s="216" t="s">
        <v>1106</v>
      </c>
      <c r="C117" s="212">
        <v>1180075</v>
      </c>
      <c r="D117" s="223">
        <v>24018977000102</v>
      </c>
      <c r="E117" s="217" t="s">
        <v>25</v>
      </c>
      <c r="F117" s="217" t="s">
        <v>958</v>
      </c>
      <c r="G117" s="217" t="s">
        <v>962</v>
      </c>
      <c r="H117" s="218" t="s">
        <v>66</v>
      </c>
      <c r="I117" s="217" t="s">
        <v>1842</v>
      </c>
      <c r="J117" s="217" t="s">
        <v>66</v>
      </c>
      <c r="K117" s="218"/>
      <c r="L117" s="212" t="s">
        <v>87</v>
      </c>
      <c r="M117" s="250"/>
      <c r="N117" s="239">
        <v>42489</v>
      </c>
      <c r="O117" s="210" t="s">
        <v>127</v>
      </c>
      <c r="P117" s="210" t="s">
        <v>1090</v>
      </c>
      <c r="Q117" s="210" t="s">
        <v>1091</v>
      </c>
      <c r="R117" s="210" t="s">
        <v>1099</v>
      </c>
      <c r="S117" s="210" t="s">
        <v>1078</v>
      </c>
      <c r="T117" s="210" t="s">
        <v>1082</v>
      </c>
      <c r="U117" s="210" t="s">
        <v>958</v>
      </c>
      <c r="V117" s="210" t="s">
        <v>25</v>
      </c>
      <c r="W117" s="211" t="s">
        <v>1028</v>
      </c>
      <c r="X117" s="211">
        <v>500000</v>
      </c>
      <c r="Y117" s="211">
        <v>500000</v>
      </c>
      <c r="Z117" s="212">
        <v>50000</v>
      </c>
      <c r="AA117" s="240">
        <v>91</v>
      </c>
      <c r="AB117" s="213">
        <v>1.9E-2</v>
      </c>
      <c r="AC117" s="213">
        <v>0.2</v>
      </c>
      <c r="AD117" s="213" t="s">
        <v>109</v>
      </c>
      <c r="AE117" s="213" t="s">
        <v>66</v>
      </c>
      <c r="AF117" s="241">
        <v>106285123.43000001</v>
      </c>
      <c r="AG117" s="241">
        <v>106285123.43000001</v>
      </c>
      <c r="AH117" s="213">
        <v>-0.1036</v>
      </c>
      <c r="AI117" s="352">
        <v>-1.5955999999999999</v>
      </c>
      <c r="AJ117" s="213">
        <v>-0.1368</v>
      </c>
      <c r="AK117" s="352">
        <v>-1.4544999999999999</v>
      </c>
      <c r="AL117" s="213">
        <v>-9.0300000000000005E-2</v>
      </c>
      <c r="AM117" s="352">
        <v>-0.74750000000000005</v>
      </c>
      <c r="AN117" s="213">
        <v>-5.0000000000000001E-3</v>
      </c>
      <c r="AO117" s="352">
        <v>-2.9700000000000001E-2</v>
      </c>
      <c r="AP117" s="213">
        <v>0.21060000000000001</v>
      </c>
      <c r="AQ117" s="219">
        <v>-1.0197128746191704</v>
      </c>
      <c r="AR117" s="213" t="s">
        <v>1827</v>
      </c>
      <c r="AU117" s="343"/>
      <c r="AV117" s="343"/>
      <c r="AW117" s="328"/>
      <c r="AX117" s="329"/>
      <c r="AY117" s="328"/>
      <c r="AZ117" s="328"/>
      <c r="BA117" s="330"/>
      <c r="BB117" s="328"/>
      <c r="BC117" s="328"/>
      <c r="BD117" s="328"/>
      <c r="BE117" s="330"/>
      <c r="BF117" s="330"/>
      <c r="BG117" s="344"/>
      <c r="BH117" s="330"/>
      <c r="BI117" s="330"/>
      <c r="BJ117" s="330"/>
      <c r="BK117" s="330"/>
      <c r="BL117" s="330"/>
      <c r="BM117" s="330"/>
      <c r="BN117" s="330"/>
      <c r="BO117" s="330"/>
      <c r="BP117" s="331"/>
      <c r="BQ117" s="332"/>
      <c r="BR117" s="333"/>
    </row>
    <row r="118" spans="2:70" ht="15.75" customHeight="1">
      <c r="B118" s="216" t="s">
        <v>1107</v>
      </c>
      <c r="C118" s="212">
        <v>1239530</v>
      </c>
      <c r="D118" s="223">
        <v>24029438000160</v>
      </c>
      <c r="E118" s="217" t="s">
        <v>25</v>
      </c>
      <c r="F118" s="217" t="s">
        <v>958</v>
      </c>
      <c r="G118" s="217" t="s">
        <v>962</v>
      </c>
      <c r="H118" s="218" t="s">
        <v>66</v>
      </c>
      <c r="I118" s="217" t="s">
        <v>1842</v>
      </c>
      <c r="J118" s="217" t="s">
        <v>66</v>
      </c>
      <c r="K118" s="218"/>
      <c r="L118" s="212" t="s">
        <v>87</v>
      </c>
      <c r="M118" s="250"/>
      <c r="N118" s="239">
        <v>42489</v>
      </c>
      <c r="O118" s="210" t="s">
        <v>127</v>
      </c>
      <c r="P118" s="210" t="s">
        <v>1090</v>
      </c>
      <c r="Q118" s="210" t="s">
        <v>1091</v>
      </c>
      <c r="R118" s="210" t="s">
        <v>1084</v>
      </c>
      <c r="S118" s="210" t="s">
        <v>1078</v>
      </c>
      <c r="T118" s="210" t="s">
        <v>1082</v>
      </c>
      <c r="U118" s="210" t="s">
        <v>958</v>
      </c>
      <c r="V118" s="210" t="s">
        <v>25</v>
      </c>
      <c r="W118" s="211" t="s">
        <v>1012</v>
      </c>
      <c r="X118" s="211">
        <v>50000</v>
      </c>
      <c r="Y118" s="211">
        <v>10000</v>
      </c>
      <c r="Z118" s="212">
        <v>10000</v>
      </c>
      <c r="AA118" s="240">
        <v>31</v>
      </c>
      <c r="AB118" s="213">
        <v>1.9E-2</v>
      </c>
      <c r="AC118" s="213">
        <v>0.2</v>
      </c>
      <c r="AD118" s="213" t="s">
        <v>109</v>
      </c>
      <c r="AE118" s="213">
        <v>3.8E-3</v>
      </c>
      <c r="AF118" s="241">
        <v>181661673.36000001</v>
      </c>
      <c r="AG118" s="241">
        <v>181661673.36000001</v>
      </c>
      <c r="AH118" s="213">
        <v>-2.86E-2</v>
      </c>
      <c r="AI118" s="352">
        <v>-0.44040000000000001</v>
      </c>
      <c r="AJ118" s="213">
        <v>-3.56E-2</v>
      </c>
      <c r="AK118" s="352">
        <v>-0.37809999999999999</v>
      </c>
      <c r="AL118" s="213">
        <v>-0.01</v>
      </c>
      <c r="AM118" s="352">
        <v>-8.3000000000000004E-2</v>
      </c>
      <c r="AN118" s="213">
        <v>4.4999999999999998E-2</v>
      </c>
      <c r="AO118" s="352">
        <v>0.2671</v>
      </c>
      <c r="AP118" s="213">
        <v>0.10580000000000001</v>
      </c>
      <c r="AQ118" s="219">
        <v>-1.1392496011764246</v>
      </c>
      <c r="AR118" s="213" t="s">
        <v>1827</v>
      </c>
      <c r="AU118" s="343"/>
      <c r="AV118" s="343"/>
      <c r="AW118" s="328"/>
      <c r="AX118" s="329"/>
      <c r="AY118" s="328"/>
      <c r="AZ118" s="328"/>
      <c r="BA118" s="330"/>
      <c r="BB118" s="328"/>
      <c r="BC118" s="328"/>
      <c r="BD118" s="328"/>
      <c r="BE118" s="330"/>
      <c r="BF118" s="330"/>
      <c r="BG118" s="344"/>
      <c r="BH118" s="330"/>
      <c r="BI118" s="330"/>
      <c r="BJ118" s="330"/>
      <c r="BK118" s="330"/>
      <c r="BL118" s="330"/>
      <c r="BM118" s="330"/>
      <c r="BN118" s="330"/>
      <c r="BO118" s="330"/>
      <c r="BP118" s="331"/>
      <c r="BQ118" s="332"/>
      <c r="BR118" s="333"/>
    </row>
    <row r="119" spans="2:70" ht="15.75" customHeight="1">
      <c r="B119" s="216" t="s">
        <v>128</v>
      </c>
      <c r="C119" s="212">
        <v>594774</v>
      </c>
      <c r="D119" s="223">
        <v>29286406000164</v>
      </c>
      <c r="E119" s="217" t="s">
        <v>25</v>
      </c>
      <c r="F119" s="217" t="s">
        <v>958</v>
      </c>
      <c r="G119" s="217" t="s">
        <v>962</v>
      </c>
      <c r="H119" s="218" t="s">
        <v>66</v>
      </c>
      <c r="I119" s="217" t="s">
        <v>1842</v>
      </c>
      <c r="J119" s="217" t="s">
        <v>66</v>
      </c>
      <c r="K119" s="218"/>
      <c r="L119" s="212" t="s">
        <v>87</v>
      </c>
      <c r="M119" s="250"/>
      <c r="N119" s="239">
        <v>43158</v>
      </c>
      <c r="O119" s="210" t="s">
        <v>127</v>
      </c>
      <c r="P119" s="210" t="s">
        <v>1090</v>
      </c>
      <c r="Q119" s="210" t="s">
        <v>1091</v>
      </c>
      <c r="R119" s="210" t="s">
        <v>1084</v>
      </c>
      <c r="S119" s="210" t="s">
        <v>1085</v>
      </c>
      <c r="T119" s="210" t="s">
        <v>1082</v>
      </c>
      <c r="U119" s="210" t="s">
        <v>958</v>
      </c>
      <c r="V119" s="210" t="s">
        <v>25</v>
      </c>
      <c r="W119" s="211" t="s">
        <v>1012</v>
      </c>
      <c r="X119" s="211">
        <v>25000</v>
      </c>
      <c r="Y119" s="211">
        <v>10000</v>
      </c>
      <c r="Z119" s="212">
        <v>10000</v>
      </c>
      <c r="AA119" s="240">
        <v>61</v>
      </c>
      <c r="AB119" s="213">
        <v>1.9E-2</v>
      </c>
      <c r="AC119" s="213">
        <v>0.2</v>
      </c>
      <c r="AD119" s="213" t="s">
        <v>109</v>
      </c>
      <c r="AE119" s="213">
        <v>3.8E-3</v>
      </c>
      <c r="AF119" s="241">
        <v>126460763.16</v>
      </c>
      <c r="AG119" s="241">
        <v>126460763.16</v>
      </c>
      <c r="AH119" s="213">
        <v>-1.9800000000000002E-2</v>
      </c>
      <c r="AI119" s="352">
        <v>-0.30470000000000003</v>
      </c>
      <c r="AJ119" s="213">
        <v>-1.26E-2</v>
      </c>
      <c r="AK119" s="352">
        <v>-0.13350000000000001</v>
      </c>
      <c r="AL119" s="213">
        <v>2.7300000000000001E-2</v>
      </c>
      <c r="AM119" s="352">
        <v>0.2258</v>
      </c>
      <c r="AN119" s="213">
        <v>8.48E-2</v>
      </c>
      <c r="AO119" s="352">
        <v>0.50319999999999998</v>
      </c>
      <c r="AP119" s="213">
        <v>0.1017</v>
      </c>
      <c r="AQ119" s="219">
        <v>-0.9583179899876122</v>
      </c>
      <c r="AR119" s="213" t="s">
        <v>1827</v>
      </c>
      <c r="AU119" s="343"/>
      <c r="AV119" s="343"/>
      <c r="AW119" s="328"/>
      <c r="AX119" s="329"/>
      <c r="AY119" s="328"/>
      <c r="AZ119" s="328"/>
      <c r="BA119" s="330"/>
      <c r="BB119" s="328"/>
      <c r="BC119" s="328"/>
      <c r="BD119" s="328"/>
      <c r="BE119" s="330"/>
      <c r="BF119" s="330"/>
      <c r="BG119" s="344"/>
      <c r="BH119" s="330"/>
      <c r="BI119" s="330"/>
      <c r="BJ119" s="330"/>
      <c r="BK119" s="330"/>
      <c r="BL119" s="330"/>
      <c r="BM119" s="330"/>
      <c r="BN119" s="330"/>
      <c r="BO119" s="330"/>
      <c r="BP119" s="331"/>
      <c r="BQ119" s="332"/>
      <c r="BR119" s="333"/>
    </row>
    <row r="120" spans="2:70" ht="15.75" customHeight="1">
      <c r="B120" s="216" t="s">
        <v>129</v>
      </c>
      <c r="C120" s="212">
        <v>558494</v>
      </c>
      <c r="D120" s="223">
        <v>23951048000180</v>
      </c>
      <c r="E120" s="217" t="s">
        <v>25</v>
      </c>
      <c r="F120" s="217" t="s">
        <v>958</v>
      </c>
      <c r="G120" s="217" t="s">
        <v>962</v>
      </c>
      <c r="H120" s="218" t="s">
        <v>66</v>
      </c>
      <c r="I120" s="217" t="s">
        <v>1842</v>
      </c>
      <c r="J120" s="217" t="s">
        <v>66</v>
      </c>
      <c r="K120" s="218"/>
      <c r="L120" s="212" t="s">
        <v>87</v>
      </c>
      <c r="M120" s="250"/>
      <c r="N120" s="239">
        <v>42916</v>
      </c>
      <c r="O120" s="210" t="s">
        <v>127</v>
      </c>
      <c r="P120" s="210" t="s">
        <v>1090</v>
      </c>
      <c r="Q120" s="210" t="s">
        <v>1091</v>
      </c>
      <c r="R120" s="210" t="s">
        <v>1084</v>
      </c>
      <c r="S120" s="210" t="s">
        <v>1078</v>
      </c>
      <c r="T120" s="210" t="s">
        <v>1082</v>
      </c>
      <c r="U120" s="210" t="s">
        <v>958</v>
      </c>
      <c r="V120" s="210" t="s">
        <v>25</v>
      </c>
      <c r="W120" s="211" t="s">
        <v>1012</v>
      </c>
      <c r="X120" s="211">
        <v>5000</v>
      </c>
      <c r="Y120" s="211">
        <v>5000</v>
      </c>
      <c r="Z120" s="212">
        <v>5000</v>
      </c>
      <c r="AA120" s="240">
        <v>31</v>
      </c>
      <c r="AB120" s="213">
        <v>1.9E-2</v>
      </c>
      <c r="AC120" s="213">
        <v>0.2</v>
      </c>
      <c r="AD120" s="213" t="s">
        <v>109</v>
      </c>
      <c r="AE120" s="213">
        <v>3.8E-3</v>
      </c>
      <c r="AF120" s="241">
        <v>182943731.34</v>
      </c>
      <c r="AG120" s="241">
        <v>182943731.34</v>
      </c>
      <c r="AH120" s="213">
        <v>-1.9400000000000001E-2</v>
      </c>
      <c r="AI120" s="352">
        <v>-0.29949999999999999</v>
      </c>
      <c r="AJ120" s="213">
        <v>-1.35E-2</v>
      </c>
      <c r="AK120" s="352">
        <v>-0.14330000000000001</v>
      </c>
      <c r="AL120" s="213">
        <v>2.6200000000000001E-2</v>
      </c>
      <c r="AM120" s="352">
        <v>0.21679999999999999</v>
      </c>
      <c r="AN120" s="213">
        <v>8.6199999999999999E-2</v>
      </c>
      <c r="AO120" s="352">
        <v>0.51170000000000004</v>
      </c>
      <c r="AP120" s="213">
        <v>0.10340000000000001</v>
      </c>
      <c r="AQ120" s="219">
        <v>-0.94929155880251226</v>
      </c>
      <c r="AR120" s="213" t="s">
        <v>1827</v>
      </c>
      <c r="AU120" s="343"/>
      <c r="AV120" s="343"/>
      <c r="AW120" s="328"/>
      <c r="AX120" s="329"/>
      <c r="AY120" s="328"/>
      <c r="AZ120" s="328"/>
      <c r="BA120" s="330"/>
      <c r="BB120" s="328"/>
      <c r="BC120" s="328"/>
      <c r="BD120" s="328"/>
      <c r="BE120" s="330"/>
      <c r="BF120" s="330"/>
      <c r="BG120" s="344"/>
      <c r="BH120" s="383"/>
      <c r="BI120" s="330"/>
      <c r="BJ120" s="330"/>
      <c r="BK120" s="330"/>
      <c r="BL120" s="330"/>
      <c r="BM120" s="330"/>
      <c r="BN120" s="330"/>
      <c r="BO120" s="330"/>
      <c r="BP120" s="331"/>
      <c r="BQ120" s="332"/>
      <c r="BR120" s="333"/>
    </row>
    <row r="121" spans="2:70" ht="15.75" customHeight="1">
      <c r="B121" s="216" t="s">
        <v>1108</v>
      </c>
      <c r="C121" s="212">
        <v>558503</v>
      </c>
      <c r="D121" s="223">
        <v>27739651000154</v>
      </c>
      <c r="E121" s="217" t="s">
        <v>25</v>
      </c>
      <c r="F121" s="217" t="s">
        <v>958</v>
      </c>
      <c r="G121" s="217" t="s">
        <v>962</v>
      </c>
      <c r="H121" s="218" t="s">
        <v>66</v>
      </c>
      <c r="I121" s="217" t="s">
        <v>1842</v>
      </c>
      <c r="J121" s="217" t="s">
        <v>66</v>
      </c>
      <c r="K121" s="218"/>
      <c r="L121" s="212" t="s">
        <v>87</v>
      </c>
      <c r="M121" s="250"/>
      <c r="N121" s="239">
        <v>42916</v>
      </c>
      <c r="O121" s="210" t="s">
        <v>114</v>
      </c>
      <c r="P121" s="210" t="s">
        <v>1075</v>
      </c>
      <c r="Q121" s="210" t="s">
        <v>1076</v>
      </c>
      <c r="R121" s="210" t="s">
        <v>1084</v>
      </c>
      <c r="S121" s="210" t="s">
        <v>1078</v>
      </c>
      <c r="T121" s="210" t="s">
        <v>1082</v>
      </c>
      <c r="U121" s="210" t="s">
        <v>958</v>
      </c>
      <c r="V121" s="210" t="s">
        <v>25</v>
      </c>
      <c r="W121" s="211" t="s">
        <v>1016</v>
      </c>
      <c r="X121" s="211">
        <v>5000</v>
      </c>
      <c r="Y121" s="211">
        <v>5000</v>
      </c>
      <c r="Z121" s="212">
        <v>5000</v>
      </c>
      <c r="AA121" s="240">
        <v>31</v>
      </c>
      <c r="AB121" s="213">
        <v>1.9E-2</v>
      </c>
      <c r="AC121" s="213">
        <v>0.2</v>
      </c>
      <c r="AD121" s="213" t="s">
        <v>1100</v>
      </c>
      <c r="AE121" s="213">
        <v>3.8E-3</v>
      </c>
      <c r="AF121" s="241">
        <v>17230184.41</v>
      </c>
      <c r="AG121" s="241">
        <v>17230184.41</v>
      </c>
      <c r="AH121" s="213">
        <v>-1.9199999999999998E-2</v>
      </c>
      <c r="AI121" s="352">
        <v>-0.29609999999999997</v>
      </c>
      <c r="AJ121" s="213">
        <v>-1.3299999999999999E-2</v>
      </c>
      <c r="AK121" s="352">
        <v>-0.1416</v>
      </c>
      <c r="AL121" s="213">
        <v>2.6100000000000002E-2</v>
      </c>
      <c r="AM121" s="352">
        <v>0.2162</v>
      </c>
      <c r="AN121" s="213">
        <v>8.6300000000000002E-2</v>
      </c>
      <c r="AO121" s="352">
        <v>0.51200000000000001</v>
      </c>
      <c r="AP121" s="213">
        <v>9.6100000000000005E-2</v>
      </c>
      <c r="AQ121" s="219">
        <v>-1.0271726556137117</v>
      </c>
      <c r="AR121" s="213" t="s">
        <v>1827</v>
      </c>
      <c r="AU121" s="343"/>
      <c r="AV121" s="343"/>
      <c r="AW121" s="328"/>
      <c r="AX121" s="329"/>
      <c r="AY121" s="328"/>
      <c r="AZ121" s="328"/>
      <c r="BA121" s="330"/>
      <c r="BB121" s="328"/>
      <c r="BC121" s="328"/>
      <c r="BD121" s="328"/>
      <c r="BE121" s="330"/>
      <c r="BF121" s="330"/>
      <c r="BG121" s="344"/>
      <c r="BH121" s="330"/>
      <c r="BI121" s="330"/>
      <c r="BJ121" s="330"/>
      <c r="BK121" s="330"/>
      <c r="BL121" s="330"/>
      <c r="BM121" s="330"/>
      <c r="BN121" s="330"/>
      <c r="BO121" s="330"/>
      <c r="BP121" s="331"/>
      <c r="BQ121" s="332"/>
      <c r="BR121" s="333"/>
    </row>
    <row r="122" spans="2:70" ht="15.75" customHeight="1">
      <c r="B122" s="216" t="s">
        <v>1109</v>
      </c>
      <c r="C122" s="212">
        <v>1176364</v>
      </c>
      <c r="D122" s="223">
        <v>35828705000186</v>
      </c>
      <c r="E122" s="217" t="s">
        <v>19</v>
      </c>
      <c r="F122" s="217" t="s">
        <v>1009</v>
      </c>
      <c r="G122" s="217" t="s">
        <v>1011</v>
      </c>
      <c r="H122" s="218"/>
      <c r="I122" s="217" t="s">
        <v>66</v>
      </c>
      <c r="J122" s="217"/>
      <c r="K122" s="218" t="s">
        <v>954</v>
      </c>
      <c r="L122" s="212" t="s">
        <v>87</v>
      </c>
      <c r="M122" s="250"/>
      <c r="N122" s="239">
        <v>44048</v>
      </c>
      <c r="O122" s="210" t="s">
        <v>130</v>
      </c>
      <c r="P122" s="210" t="s">
        <v>1110</v>
      </c>
      <c r="Q122" s="210" t="s">
        <v>1110</v>
      </c>
      <c r="R122" s="210" t="s">
        <v>1077</v>
      </c>
      <c r="S122" s="210" t="s">
        <v>1078</v>
      </c>
      <c r="T122" s="210" t="s">
        <v>349</v>
      </c>
      <c r="U122" s="210" t="s">
        <v>65</v>
      </c>
      <c r="V122" s="210" t="s">
        <v>19</v>
      </c>
      <c r="W122" s="211" t="s">
        <v>1111</v>
      </c>
      <c r="X122" s="211">
        <v>1000</v>
      </c>
      <c r="Y122" s="211">
        <v>1000</v>
      </c>
      <c r="Z122" s="212">
        <v>500</v>
      </c>
      <c r="AA122" s="240">
        <v>16</v>
      </c>
      <c r="AB122" s="213">
        <v>5.0000000000000001E-3</v>
      </c>
      <c r="AC122" s="213">
        <v>0.2</v>
      </c>
      <c r="AD122" s="213" t="s">
        <v>109</v>
      </c>
      <c r="AE122" s="213">
        <v>1.3333333333333333E-3</v>
      </c>
      <c r="AF122" s="241">
        <v>76507729.290000007</v>
      </c>
      <c r="AG122" s="241">
        <v>76507729.290000007</v>
      </c>
      <c r="AH122" s="213">
        <v>5.1900000000000002E-2</v>
      </c>
      <c r="AI122" s="352">
        <v>0.79900000000000004</v>
      </c>
      <c r="AJ122" s="213">
        <v>6.5799999999999997E-2</v>
      </c>
      <c r="AK122" s="352">
        <v>0.69989999999999997</v>
      </c>
      <c r="AL122" s="213" t="s">
        <v>66</v>
      </c>
      <c r="AM122" s="352" t="s">
        <v>66</v>
      </c>
      <c r="AN122" s="213" t="s">
        <v>66</v>
      </c>
      <c r="AO122" s="352" t="s">
        <v>66</v>
      </c>
      <c r="AP122" s="213">
        <v>3.1E-2</v>
      </c>
      <c r="AQ122" s="219">
        <v>-0.82716558235602167</v>
      </c>
      <c r="AR122" s="213" t="s">
        <v>1827</v>
      </c>
      <c r="AU122" s="343"/>
      <c r="AV122" s="343"/>
      <c r="AW122" s="328"/>
      <c r="AX122" s="329"/>
      <c r="AY122" s="328"/>
      <c r="AZ122" s="328"/>
      <c r="BA122" s="330"/>
      <c r="BB122" s="328"/>
      <c r="BC122" s="328"/>
      <c r="BD122" s="328"/>
      <c r="BE122" s="330"/>
      <c r="BF122" s="330"/>
      <c r="BG122" s="344"/>
      <c r="BH122" s="383"/>
      <c r="BI122" s="330"/>
      <c r="BJ122" s="330"/>
      <c r="BK122" s="330"/>
      <c r="BL122" s="330"/>
      <c r="BM122" s="330"/>
      <c r="BN122" s="330"/>
      <c r="BO122" s="330"/>
      <c r="BP122" s="331"/>
      <c r="BQ122" s="332"/>
      <c r="BR122" s="333"/>
    </row>
    <row r="123" spans="2:70" ht="15.75" customHeight="1">
      <c r="B123" s="216" t="s">
        <v>1112</v>
      </c>
      <c r="C123" s="212">
        <v>1118453</v>
      </c>
      <c r="D123" s="223">
        <v>9720734000110</v>
      </c>
      <c r="E123" s="217" t="s">
        <v>19</v>
      </c>
      <c r="F123" s="217" t="s">
        <v>963</v>
      </c>
      <c r="G123" s="217" t="s">
        <v>1011</v>
      </c>
      <c r="H123" s="218" t="s">
        <v>1113</v>
      </c>
      <c r="I123" s="217" t="s">
        <v>66</v>
      </c>
      <c r="J123" s="217"/>
      <c r="K123" s="218" t="s">
        <v>951</v>
      </c>
      <c r="L123" s="212" t="s">
        <v>87</v>
      </c>
      <c r="M123" s="250"/>
      <c r="N123" s="239">
        <v>39702</v>
      </c>
      <c r="O123" s="210" t="s">
        <v>130</v>
      </c>
      <c r="P123" s="210" t="s">
        <v>1075</v>
      </c>
      <c r="Q123" s="210" t="s">
        <v>1076</v>
      </c>
      <c r="R123" s="210" t="s">
        <v>1084</v>
      </c>
      <c r="S123" s="210" t="s">
        <v>1078</v>
      </c>
      <c r="T123" s="210" t="s">
        <v>349</v>
      </c>
      <c r="U123" s="210" t="s">
        <v>1114</v>
      </c>
      <c r="V123" s="210" t="s">
        <v>19</v>
      </c>
      <c r="W123" s="211" t="s">
        <v>1017</v>
      </c>
      <c r="X123" s="211">
        <v>1000</v>
      </c>
      <c r="Y123" s="211">
        <v>1000</v>
      </c>
      <c r="Z123" s="212">
        <v>500</v>
      </c>
      <c r="AA123" s="240">
        <v>1</v>
      </c>
      <c r="AB123" s="213">
        <v>4.0000000000000001E-3</v>
      </c>
      <c r="AC123" s="213">
        <v>0</v>
      </c>
      <c r="AD123" s="213" t="s">
        <v>109</v>
      </c>
      <c r="AE123" s="213">
        <v>1.0666666666666667E-3</v>
      </c>
      <c r="AF123" s="241">
        <v>729963023.50999999</v>
      </c>
      <c r="AG123" s="241">
        <v>729963023.50999999</v>
      </c>
      <c r="AH123" s="213">
        <v>7.4300000000000005E-2</v>
      </c>
      <c r="AI123" s="352">
        <v>1.1449</v>
      </c>
      <c r="AJ123" s="213">
        <v>0.1135</v>
      </c>
      <c r="AK123" s="352">
        <v>1.2068000000000001</v>
      </c>
      <c r="AL123" s="213">
        <v>0.1472</v>
      </c>
      <c r="AM123" s="352">
        <v>1.2185999999999999</v>
      </c>
      <c r="AN123" s="213">
        <v>0.1459</v>
      </c>
      <c r="AO123" s="352">
        <v>0.86599999999999999</v>
      </c>
      <c r="AP123" s="213">
        <v>5.1000000000000004E-3</v>
      </c>
      <c r="AQ123" s="219">
        <v>3.4518915050747334</v>
      </c>
      <c r="AR123" s="213" t="s">
        <v>1827</v>
      </c>
      <c r="AU123" s="343"/>
      <c r="AV123" s="343"/>
      <c r="AW123" s="328"/>
      <c r="AX123" s="329"/>
      <c r="AY123" s="328"/>
      <c r="AZ123" s="328"/>
      <c r="BA123" s="330"/>
      <c r="BB123" s="328"/>
      <c r="BC123" s="328"/>
      <c r="BD123" s="328"/>
      <c r="BE123" s="330"/>
      <c r="BF123" s="330"/>
      <c r="BG123" s="344"/>
      <c r="BH123" s="330"/>
      <c r="BI123" s="330"/>
      <c r="BJ123" s="330"/>
      <c r="BK123" s="330"/>
      <c r="BL123" s="330"/>
      <c r="BM123" s="330"/>
      <c r="BN123" s="330"/>
      <c r="BO123" s="330"/>
      <c r="BP123" s="331"/>
      <c r="BQ123" s="332"/>
      <c r="BR123" s="333"/>
    </row>
    <row r="124" spans="2:70" ht="15.75" customHeight="1">
      <c r="B124" s="216" t="s">
        <v>131</v>
      </c>
      <c r="C124" s="212">
        <v>535970</v>
      </c>
      <c r="D124" s="223">
        <v>29044189000104</v>
      </c>
      <c r="E124" s="217" t="s">
        <v>19</v>
      </c>
      <c r="F124" s="217" t="s">
        <v>963</v>
      </c>
      <c r="G124" s="217" t="s">
        <v>1011</v>
      </c>
      <c r="H124" s="218" t="s">
        <v>1113</v>
      </c>
      <c r="I124" s="217" t="s">
        <v>66</v>
      </c>
      <c r="J124" s="217"/>
      <c r="K124" s="218" t="s">
        <v>951</v>
      </c>
      <c r="L124" s="212" t="s">
        <v>87</v>
      </c>
      <c r="M124" s="250"/>
      <c r="N124" s="239">
        <v>43187</v>
      </c>
      <c r="O124" s="210" t="s">
        <v>130</v>
      </c>
      <c r="P124" s="210" t="s">
        <v>1075</v>
      </c>
      <c r="Q124" s="210" t="s">
        <v>1076</v>
      </c>
      <c r="R124" s="210" t="s">
        <v>1084</v>
      </c>
      <c r="S124" s="210" t="s">
        <v>1078</v>
      </c>
      <c r="T124" s="210" t="s">
        <v>349</v>
      </c>
      <c r="U124" s="210" t="s">
        <v>1114</v>
      </c>
      <c r="V124" s="210" t="s">
        <v>19</v>
      </c>
      <c r="W124" s="211" t="s">
        <v>1017</v>
      </c>
      <c r="X124" s="211">
        <v>1000</v>
      </c>
      <c r="Y124" s="211">
        <v>1000</v>
      </c>
      <c r="Z124" s="212">
        <v>500</v>
      </c>
      <c r="AA124" s="240">
        <v>31</v>
      </c>
      <c r="AB124" s="213">
        <v>5.0000000000000001E-3</v>
      </c>
      <c r="AC124" s="213">
        <v>0</v>
      </c>
      <c r="AD124" s="213" t="s">
        <v>109</v>
      </c>
      <c r="AE124" s="213">
        <v>1.3333333333333333E-3</v>
      </c>
      <c r="AF124" s="241">
        <v>413908627.92000002</v>
      </c>
      <c r="AG124" s="241">
        <v>413908627.92000002</v>
      </c>
      <c r="AH124" s="213">
        <v>7.9000000000000001E-2</v>
      </c>
      <c r="AI124" s="352">
        <v>1.2166999999999999</v>
      </c>
      <c r="AJ124" s="213">
        <v>0.12559999999999999</v>
      </c>
      <c r="AK124" s="352">
        <v>1.335</v>
      </c>
      <c r="AL124" s="213">
        <v>0.18099999999999999</v>
      </c>
      <c r="AM124" s="352">
        <v>1.4983</v>
      </c>
      <c r="AN124" s="213">
        <v>0.1729</v>
      </c>
      <c r="AO124" s="352">
        <v>1.026</v>
      </c>
      <c r="AP124" s="213">
        <v>4.4000000000000003E-3</v>
      </c>
      <c r="AQ124" s="219">
        <v>6.3919612395102989</v>
      </c>
      <c r="AR124" s="213" t="s">
        <v>1827</v>
      </c>
      <c r="AU124" s="343"/>
      <c r="AV124" s="343"/>
      <c r="AW124" s="328"/>
      <c r="AX124" s="329"/>
      <c r="AY124" s="328"/>
      <c r="AZ124" s="328"/>
      <c r="BA124" s="330"/>
      <c r="BB124" s="328"/>
      <c r="BC124" s="328"/>
      <c r="BD124" s="328"/>
      <c r="BE124" s="330"/>
      <c r="BF124" s="330"/>
      <c r="BG124" s="344"/>
      <c r="BH124" s="330"/>
      <c r="BI124" s="330"/>
      <c r="BJ124" s="330"/>
      <c r="BK124" s="330"/>
      <c r="BL124" s="330"/>
      <c r="BM124" s="330"/>
      <c r="BN124" s="330"/>
      <c r="BO124" s="330"/>
      <c r="BP124" s="331"/>
      <c r="BQ124" s="332"/>
      <c r="BR124" s="333"/>
    </row>
    <row r="125" spans="2:70" ht="15.75" customHeight="1">
      <c r="B125" s="216" t="s">
        <v>1115</v>
      </c>
      <c r="C125" s="212">
        <v>544342</v>
      </c>
      <c r="D125" s="223">
        <v>11209172000196</v>
      </c>
      <c r="E125" s="217" t="s">
        <v>28</v>
      </c>
      <c r="F125" s="217" t="s">
        <v>950</v>
      </c>
      <c r="G125" s="217"/>
      <c r="H125" s="218"/>
      <c r="I125" s="217" t="s">
        <v>66</v>
      </c>
      <c r="J125" s="217" t="s">
        <v>66</v>
      </c>
      <c r="K125" s="218" t="s">
        <v>951</v>
      </c>
      <c r="L125" s="212" t="s">
        <v>87</v>
      </c>
      <c r="M125" s="250"/>
      <c r="N125" s="239">
        <v>40210</v>
      </c>
      <c r="O125" s="210" t="s">
        <v>130</v>
      </c>
      <c r="P125" s="210" t="s">
        <v>1075</v>
      </c>
      <c r="Q125" s="210" t="s">
        <v>1076</v>
      </c>
      <c r="R125" s="210" t="s">
        <v>1084</v>
      </c>
      <c r="S125" s="210" t="s">
        <v>1078</v>
      </c>
      <c r="T125" s="210" t="s">
        <v>1079</v>
      </c>
      <c r="U125" s="210" t="s">
        <v>950</v>
      </c>
      <c r="V125" s="210" t="s">
        <v>1080</v>
      </c>
      <c r="W125" s="211" t="s">
        <v>1007</v>
      </c>
      <c r="X125" s="211">
        <v>1000</v>
      </c>
      <c r="Y125" s="211">
        <v>1000</v>
      </c>
      <c r="Z125" s="212">
        <v>1000</v>
      </c>
      <c r="AA125" s="240">
        <v>12</v>
      </c>
      <c r="AB125" s="213">
        <v>0.02</v>
      </c>
      <c r="AC125" s="213">
        <v>0.15</v>
      </c>
      <c r="AD125" s="213" t="s">
        <v>113</v>
      </c>
      <c r="AE125" s="213">
        <v>5.3333333333333332E-3</v>
      </c>
      <c r="AF125" s="241">
        <v>69487123.950000003</v>
      </c>
      <c r="AG125" s="241">
        <v>69487123.950000003</v>
      </c>
      <c r="AH125" s="213">
        <v>-2.86E-2</v>
      </c>
      <c r="AI125" s="352">
        <v>-0.43980000000000002</v>
      </c>
      <c r="AJ125" s="213">
        <v>-0.1757</v>
      </c>
      <c r="AK125" s="352">
        <v>-1.8673</v>
      </c>
      <c r="AL125" s="213">
        <v>3.7499999999999999E-2</v>
      </c>
      <c r="AM125" s="352">
        <v>0.31040000000000001</v>
      </c>
      <c r="AN125" s="213">
        <v>0.12189999999999999</v>
      </c>
      <c r="AO125" s="352">
        <v>0.72370000000000001</v>
      </c>
      <c r="AP125" s="213">
        <v>0.2258</v>
      </c>
      <c r="AQ125" s="219">
        <v>-1.1410361081501574</v>
      </c>
      <c r="AR125" s="213" t="s">
        <v>1827</v>
      </c>
      <c r="AU125" s="343"/>
      <c r="AV125" s="343"/>
      <c r="AW125" s="328"/>
      <c r="AX125" s="329"/>
      <c r="AY125" s="328"/>
      <c r="AZ125" s="328"/>
      <c r="BA125" s="330"/>
      <c r="BB125" s="328"/>
      <c r="BC125" s="328"/>
      <c r="BD125" s="328"/>
      <c r="BE125" s="330"/>
      <c r="BF125" s="330"/>
      <c r="BG125" s="344"/>
      <c r="BH125" s="330"/>
      <c r="BI125" s="330"/>
      <c r="BJ125" s="330"/>
      <c r="BK125" s="330"/>
      <c r="BL125" s="330"/>
      <c r="BM125" s="330"/>
      <c r="BN125" s="330"/>
      <c r="BO125" s="330"/>
      <c r="BP125" s="331"/>
      <c r="BQ125" s="332"/>
      <c r="BR125" s="333"/>
    </row>
    <row r="126" spans="2:70" ht="15.75" customHeight="1">
      <c r="B126" s="216" t="s">
        <v>1116</v>
      </c>
      <c r="C126" s="212">
        <v>607278</v>
      </c>
      <c r="D126" s="223">
        <v>31848238000103</v>
      </c>
      <c r="E126" s="217" t="s">
        <v>28</v>
      </c>
      <c r="F126" s="217" t="s">
        <v>950</v>
      </c>
      <c r="G126" s="217"/>
      <c r="H126" s="218"/>
      <c r="I126" s="217" t="s">
        <v>66</v>
      </c>
      <c r="J126" s="217" t="s">
        <v>66</v>
      </c>
      <c r="K126" s="218" t="s">
        <v>951</v>
      </c>
      <c r="L126" s="212" t="s">
        <v>87</v>
      </c>
      <c r="M126" s="250"/>
      <c r="N126" s="239">
        <v>43658</v>
      </c>
      <c r="O126" s="210" t="s">
        <v>132</v>
      </c>
      <c r="P126" s="210" t="s">
        <v>1117</v>
      </c>
      <c r="Q126" s="210" t="s">
        <v>1117</v>
      </c>
      <c r="R126" s="210" t="s">
        <v>1084</v>
      </c>
      <c r="S126" s="210" t="s">
        <v>1078</v>
      </c>
      <c r="T126" s="210" t="s">
        <v>1079</v>
      </c>
      <c r="U126" s="210" t="s">
        <v>950</v>
      </c>
      <c r="V126" s="210" t="s">
        <v>1080</v>
      </c>
      <c r="W126" s="211" t="s">
        <v>1013</v>
      </c>
      <c r="X126" s="211">
        <v>5000</v>
      </c>
      <c r="Y126" s="211">
        <v>500</v>
      </c>
      <c r="Z126" s="212">
        <v>5000</v>
      </c>
      <c r="AA126" s="240">
        <v>13</v>
      </c>
      <c r="AB126" s="213">
        <v>0.02</v>
      </c>
      <c r="AC126" s="213">
        <v>0.2</v>
      </c>
      <c r="AD126" s="213" t="s">
        <v>1014</v>
      </c>
      <c r="AE126" s="213">
        <v>1.3333333333333333E-3</v>
      </c>
      <c r="AF126" s="241">
        <v>2286734.02</v>
      </c>
      <c r="AG126" s="241">
        <v>2286734.02</v>
      </c>
      <c r="AH126" s="213">
        <v>-4.3099999999999999E-2</v>
      </c>
      <c r="AI126" s="352">
        <v>-0.6643</v>
      </c>
      <c r="AJ126" s="213">
        <v>-0.20019999999999999</v>
      </c>
      <c r="AK126" s="352">
        <v>-2.1280000000000001</v>
      </c>
      <c r="AL126" s="213">
        <v>-5.9400000000000001E-2</v>
      </c>
      <c r="AM126" s="352">
        <v>-0.49149999999999999</v>
      </c>
      <c r="AN126" s="213">
        <v>4.4900000000000002E-2</v>
      </c>
      <c r="AO126" s="352">
        <v>0.26669999999999999</v>
      </c>
      <c r="AP126" s="213">
        <v>0.17929999999999999</v>
      </c>
      <c r="AQ126" s="219">
        <v>-1.65692639630929</v>
      </c>
      <c r="AR126" s="213" t="s">
        <v>1824</v>
      </c>
      <c r="AU126" s="343"/>
      <c r="AV126" s="343"/>
      <c r="AW126" s="328"/>
      <c r="AX126" s="329"/>
      <c r="AY126" s="328"/>
      <c r="AZ126" s="328"/>
      <c r="BA126" s="330"/>
      <c r="BB126" s="328"/>
      <c r="BC126" s="328"/>
      <c r="BD126" s="328"/>
      <c r="BE126" s="330"/>
      <c r="BF126" s="330"/>
      <c r="BG126" s="344"/>
      <c r="BH126" s="330"/>
      <c r="BI126" s="330"/>
      <c r="BJ126" s="330"/>
      <c r="BK126" s="330"/>
      <c r="BL126" s="330"/>
      <c r="BM126" s="330"/>
      <c r="BN126" s="330"/>
      <c r="BO126" s="330"/>
      <c r="BP126" s="331"/>
      <c r="BQ126" s="332"/>
      <c r="BR126" s="333"/>
    </row>
    <row r="127" spans="2:70" ht="15.75" customHeight="1">
      <c r="B127" s="216" t="s">
        <v>1118</v>
      </c>
      <c r="C127" s="212">
        <v>847394</v>
      </c>
      <c r="D127" s="223">
        <v>12987743000186</v>
      </c>
      <c r="E127" s="217" t="s">
        <v>28</v>
      </c>
      <c r="F127" s="217" t="s">
        <v>950</v>
      </c>
      <c r="G127" s="217"/>
      <c r="H127" s="218"/>
      <c r="I127" s="217" t="s">
        <v>66</v>
      </c>
      <c r="J127" s="217" t="s">
        <v>66</v>
      </c>
      <c r="K127" s="218" t="s">
        <v>951</v>
      </c>
      <c r="L127" s="212" t="s">
        <v>87</v>
      </c>
      <c r="M127" s="250"/>
      <c r="N127" s="239">
        <v>40567</v>
      </c>
      <c r="O127" s="210" t="s">
        <v>134</v>
      </c>
      <c r="P127" s="210" t="s">
        <v>1075</v>
      </c>
      <c r="Q127" s="210" t="s">
        <v>1076</v>
      </c>
      <c r="R127" s="210" t="s">
        <v>1077</v>
      </c>
      <c r="S127" s="210" t="s">
        <v>1078</v>
      </c>
      <c r="T127" s="210" t="s">
        <v>1079</v>
      </c>
      <c r="U127" s="210" t="s">
        <v>950</v>
      </c>
      <c r="V127" s="210" t="s">
        <v>1080</v>
      </c>
      <c r="W127" s="211" t="s">
        <v>1007</v>
      </c>
      <c r="X127" s="211">
        <v>5000</v>
      </c>
      <c r="Y127" s="211">
        <v>1000</v>
      </c>
      <c r="Z127" s="212">
        <v>5000</v>
      </c>
      <c r="AA127" s="240">
        <v>32</v>
      </c>
      <c r="AB127" s="213">
        <v>1.8499999999999999E-2</v>
      </c>
      <c r="AC127" s="213">
        <v>0.2</v>
      </c>
      <c r="AD127" s="213" t="s">
        <v>1100</v>
      </c>
      <c r="AE127" s="213">
        <v>4.6249999999999998E-3</v>
      </c>
      <c r="AF127" s="241">
        <v>1069878920.27</v>
      </c>
      <c r="AG127" s="241">
        <v>1069878920.27</v>
      </c>
      <c r="AH127" s="213">
        <v>6.7699999999999996E-2</v>
      </c>
      <c r="AI127" s="352">
        <v>1.0429999999999999</v>
      </c>
      <c r="AJ127" s="213">
        <v>-0.22620000000000001</v>
      </c>
      <c r="AK127" s="352">
        <v>-2.4045999999999998</v>
      </c>
      <c r="AL127" s="213">
        <v>-9.0700000000000003E-2</v>
      </c>
      <c r="AM127" s="352">
        <v>-0.75090000000000001</v>
      </c>
      <c r="AN127" s="213">
        <v>-0.47199999999999998</v>
      </c>
      <c r="AO127" s="352">
        <v>-2.8012000000000001</v>
      </c>
      <c r="AP127" s="213">
        <v>0.4335</v>
      </c>
      <c r="AQ127" s="219">
        <v>-0.58132672249700135</v>
      </c>
      <c r="AR127" s="213" t="s">
        <v>1827</v>
      </c>
      <c r="AU127" s="343"/>
      <c r="AV127" s="343"/>
      <c r="AW127" s="328"/>
      <c r="AX127" s="329"/>
      <c r="AY127" s="328"/>
      <c r="AZ127" s="328"/>
      <c r="BA127" s="330"/>
      <c r="BB127" s="328"/>
      <c r="BC127" s="328"/>
      <c r="BD127" s="328"/>
      <c r="BE127" s="330"/>
      <c r="BF127" s="330"/>
      <c r="BG127" s="344"/>
      <c r="BH127" s="330"/>
      <c r="BI127" s="330"/>
      <c r="BJ127" s="330"/>
      <c r="BK127" s="330"/>
      <c r="BL127" s="330"/>
      <c r="BM127" s="330"/>
      <c r="BN127" s="330"/>
      <c r="BO127" s="330"/>
      <c r="BP127" s="331"/>
      <c r="BQ127" s="332"/>
      <c r="BR127" s="333"/>
    </row>
    <row r="128" spans="2:70" ht="15.75" customHeight="1">
      <c r="B128" s="216" t="s">
        <v>1119</v>
      </c>
      <c r="C128" s="212">
        <v>534556</v>
      </c>
      <c r="D128" s="223">
        <v>26648868000196</v>
      </c>
      <c r="E128" s="217" t="s">
        <v>28</v>
      </c>
      <c r="F128" s="217" t="s">
        <v>950</v>
      </c>
      <c r="G128" s="217"/>
      <c r="H128" s="218"/>
      <c r="I128" s="217" t="s">
        <v>66</v>
      </c>
      <c r="J128" s="217" t="s">
        <v>66</v>
      </c>
      <c r="K128" s="218" t="s">
        <v>951</v>
      </c>
      <c r="L128" s="212" t="s">
        <v>87</v>
      </c>
      <c r="M128" s="250"/>
      <c r="N128" s="239">
        <v>42738</v>
      </c>
      <c r="O128" s="210" t="s">
        <v>134</v>
      </c>
      <c r="P128" s="210" t="s">
        <v>1075</v>
      </c>
      <c r="Q128" s="210" t="s">
        <v>1076</v>
      </c>
      <c r="R128" s="210" t="s">
        <v>1084</v>
      </c>
      <c r="S128" s="210" t="s">
        <v>1078</v>
      </c>
      <c r="T128" s="210" t="s">
        <v>1079</v>
      </c>
      <c r="U128" s="210" t="s">
        <v>950</v>
      </c>
      <c r="V128" s="210" t="s">
        <v>1080</v>
      </c>
      <c r="W128" s="211" t="s">
        <v>1007</v>
      </c>
      <c r="X128" s="211">
        <v>1000</v>
      </c>
      <c r="Y128" s="211">
        <v>500</v>
      </c>
      <c r="Z128" s="212">
        <v>1000</v>
      </c>
      <c r="AA128" s="240">
        <v>32</v>
      </c>
      <c r="AB128" s="213">
        <v>1.8499999999999999E-2</v>
      </c>
      <c r="AC128" s="213">
        <v>0.2</v>
      </c>
      <c r="AD128" s="213" t="s">
        <v>113</v>
      </c>
      <c r="AE128" s="213">
        <v>4.6249999999999998E-3</v>
      </c>
      <c r="AF128" s="241">
        <v>268292192.41999999</v>
      </c>
      <c r="AG128" s="241">
        <v>268292192.41999999</v>
      </c>
      <c r="AH128" s="213">
        <v>6.8500000000000005E-2</v>
      </c>
      <c r="AI128" s="352">
        <v>1.0548999999999999</v>
      </c>
      <c r="AJ128" s="213">
        <v>-0.22539999999999999</v>
      </c>
      <c r="AK128" s="352">
        <v>-2.3959999999999999</v>
      </c>
      <c r="AL128" s="213">
        <v>-8.6599999999999996E-2</v>
      </c>
      <c r="AM128" s="352">
        <v>-0.71650000000000003</v>
      </c>
      <c r="AN128" s="213">
        <v>-0.45939999999999998</v>
      </c>
      <c r="AO128" s="352">
        <v>-2.7261000000000002</v>
      </c>
      <c r="AP128" s="213">
        <v>0.43369999999999997</v>
      </c>
      <c r="AQ128" s="219">
        <v>-0.57835639736916322</v>
      </c>
      <c r="AR128" s="213" t="s">
        <v>1827</v>
      </c>
      <c r="AU128" s="343"/>
      <c r="AV128" s="343"/>
      <c r="AW128" s="328"/>
      <c r="AX128" s="329"/>
      <c r="AY128" s="328"/>
      <c r="AZ128" s="328"/>
      <c r="BA128" s="330"/>
      <c r="BB128" s="328"/>
      <c r="BC128" s="328"/>
      <c r="BD128" s="328"/>
      <c r="BE128" s="330"/>
      <c r="BF128" s="330"/>
      <c r="BG128" s="344"/>
      <c r="BH128" s="330"/>
      <c r="BI128" s="330"/>
      <c r="BJ128" s="330"/>
      <c r="BK128" s="330"/>
      <c r="BL128" s="330"/>
      <c r="BM128" s="330"/>
      <c r="BN128" s="330"/>
      <c r="BO128" s="330"/>
      <c r="BP128" s="331"/>
      <c r="BQ128" s="332"/>
      <c r="BR128" s="333"/>
    </row>
    <row r="129" spans="2:70" ht="15.75" customHeight="1">
      <c r="B129" s="216" t="s">
        <v>135</v>
      </c>
      <c r="C129" s="212">
        <v>562087</v>
      </c>
      <c r="D129" s="223">
        <v>26673556000132</v>
      </c>
      <c r="E129" s="217" t="s">
        <v>28</v>
      </c>
      <c r="F129" s="217" t="s">
        <v>950</v>
      </c>
      <c r="G129" s="217"/>
      <c r="H129" s="218"/>
      <c r="I129" s="217" t="s">
        <v>66</v>
      </c>
      <c r="J129" s="217" t="s">
        <v>66</v>
      </c>
      <c r="K129" s="218" t="s">
        <v>951</v>
      </c>
      <c r="L129" s="212" t="s">
        <v>87</v>
      </c>
      <c r="M129" s="250"/>
      <c r="N129" s="239">
        <v>42787</v>
      </c>
      <c r="O129" s="210" t="s">
        <v>134</v>
      </c>
      <c r="P129" s="210" t="s">
        <v>1075</v>
      </c>
      <c r="Q129" s="210" t="s">
        <v>1076</v>
      </c>
      <c r="R129" s="210" t="s">
        <v>1084</v>
      </c>
      <c r="S129" s="210" t="s">
        <v>1078</v>
      </c>
      <c r="T129" s="210" t="s">
        <v>1079</v>
      </c>
      <c r="U129" s="210" t="s">
        <v>950</v>
      </c>
      <c r="V129" s="210" t="s">
        <v>1080</v>
      </c>
      <c r="W129" s="211" t="s">
        <v>1007</v>
      </c>
      <c r="X129" s="211">
        <v>1000</v>
      </c>
      <c r="Y129" s="211">
        <v>500</v>
      </c>
      <c r="Z129" s="212">
        <v>1000</v>
      </c>
      <c r="AA129" s="240">
        <v>32</v>
      </c>
      <c r="AB129" s="213">
        <v>0.02</v>
      </c>
      <c r="AC129" s="213">
        <v>0.2</v>
      </c>
      <c r="AD129" s="213" t="s">
        <v>113</v>
      </c>
      <c r="AE129" s="213">
        <v>4.0000000000000001E-3</v>
      </c>
      <c r="AF129" s="241">
        <v>1261405221.0699999</v>
      </c>
      <c r="AG129" s="241">
        <v>1261405221.0699999</v>
      </c>
      <c r="AH129" s="213">
        <v>-2.5999999999999999E-3</v>
      </c>
      <c r="AI129" s="352">
        <v>-3.9699999999999999E-2</v>
      </c>
      <c r="AJ129" s="213">
        <v>-8.2199999999999995E-2</v>
      </c>
      <c r="AK129" s="352">
        <v>-0.87370000000000003</v>
      </c>
      <c r="AL129" s="213">
        <v>7.2400000000000006E-2</v>
      </c>
      <c r="AM129" s="352">
        <v>0.59919999999999995</v>
      </c>
      <c r="AN129" s="213">
        <v>0.15959999999999999</v>
      </c>
      <c r="AO129" s="352">
        <v>0.94689999999999996</v>
      </c>
      <c r="AP129" s="213">
        <v>0.21149999999999999</v>
      </c>
      <c r="AQ129" s="219">
        <v>-0.72514758516153477</v>
      </c>
      <c r="AR129" s="213" t="s">
        <v>1824</v>
      </c>
      <c r="AU129" s="343"/>
      <c r="AV129" s="343"/>
      <c r="AW129" s="328"/>
      <c r="AX129" s="329"/>
      <c r="AY129" s="328"/>
      <c r="AZ129" s="328"/>
      <c r="BA129" s="330"/>
      <c r="BB129" s="328"/>
      <c r="BC129" s="328"/>
      <c r="BD129" s="328"/>
      <c r="BE129" s="330"/>
      <c r="BF129" s="330"/>
      <c r="BG129" s="344"/>
      <c r="BH129" s="330"/>
      <c r="BI129" s="330"/>
      <c r="BJ129" s="330"/>
      <c r="BK129" s="330"/>
      <c r="BL129" s="330"/>
      <c r="BM129" s="330"/>
      <c r="BN129" s="330"/>
      <c r="BO129" s="330"/>
      <c r="BP129" s="331"/>
      <c r="BQ129" s="332"/>
      <c r="BR129" s="333"/>
    </row>
    <row r="130" spans="2:70" ht="15.75" customHeight="1">
      <c r="B130" s="216" t="s">
        <v>1120</v>
      </c>
      <c r="C130" s="212">
        <v>564999</v>
      </c>
      <c r="D130" s="223">
        <v>13001211000190</v>
      </c>
      <c r="E130" s="217" t="s">
        <v>25</v>
      </c>
      <c r="F130" s="217" t="s">
        <v>958</v>
      </c>
      <c r="G130" s="217" t="s">
        <v>962</v>
      </c>
      <c r="H130" s="218" t="s">
        <v>66</v>
      </c>
      <c r="I130" s="217" t="s">
        <v>1259</v>
      </c>
      <c r="J130" s="217" t="s">
        <v>66</v>
      </c>
      <c r="K130" s="218"/>
      <c r="L130" s="212" t="s">
        <v>87</v>
      </c>
      <c r="M130" s="250"/>
      <c r="N130" s="239">
        <v>40588</v>
      </c>
      <c r="O130" s="210" t="s">
        <v>134</v>
      </c>
      <c r="P130" s="210" t="s">
        <v>1075</v>
      </c>
      <c r="Q130" s="210" t="s">
        <v>1076</v>
      </c>
      <c r="R130" s="210" t="s">
        <v>1084</v>
      </c>
      <c r="S130" s="210" t="s">
        <v>1078</v>
      </c>
      <c r="T130" s="210" t="s">
        <v>1082</v>
      </c>
      <c r="U130" s="210" t="s">
        <v>958</v>
      </c>
      <c r="V130" s="210" t="s">
        <v>25</v>
      </c>
      <c r="W130" s="211" t="s">
        <v>1012</v>
      </c>
      <c r="X130" s="211">
        <v>5000</v>
      </c>
      <c r="Y130" s="211">
        <v>1000</v>
      </c>
      <c r="Z130" s="212">
        <v>5000</v>
      </c>
      <c r="AA130" s="240">
        <v>15</v>
      </c>
      <c r="AB130" s="213">
        <v>0.02</v>
      </c>
      <c r="AC130" s="213">
        <v>0.2</v>
      </c>
      <c r="AD130" s="213" t="s">
        <v>109</v>
      </c>
      <c r="AE130" s="213">
        <v>4.0000000000000001E-3</v>
      </c>
      <c r="AF130" s="241">
        <v>118996592.54000001</v>
      </c>
      <c r="AG130" s="241">
        <v>118996592.54000001</v>
      </c>
      <c r="AH130" s="213">
        <v>3.5900000000000001E-2</v>
      </c>
      <c r="AI130" s="352">
        <v>0.55289999999999995</v>
      </c>
      <c r="AJ130" s="213">
        <v>2.63E-2</v>
      </c>
      <c r="AK130" s="352">
        <v>0.27939999999999998</v>
      </c>
      <c r="AL130" s="213">
        <v>4.2200000000000001E-2</v>
      </c>
      <c r="AM130" s="352">
        <v>0.34949999999999998</v>
      </c>
      <c r="AN130" s="213">
        <v>0.14219999999999999</v>
      </c>
      <c r="AO130" s="352">
        <v>0.84360000000000002</v>
      </c>
      <c r="AP130" s="213">
        <v>6.5199999999999994E-2</v>
      </c>
      <c r="AQ130" s="219">
        <v>-0.94923577787779834</v>
      </c>
      <c r="AR130" s="213" t="s">
        <v>1827</v>
      </c>
      <c r="AU130" s="343"/>
      <c r="AV130" s="343"/>
      <c r="AW130" s="328"/>
      <c r="AX130" s="329"/>
      <c r="AY130" s="328"/>
      <c r="AZ130" s="328"/>
      <c r="BA130" s="330"/>
      <c r="BB130" s="328"/>
      <c r="BC130" s="328"/>
      <c r="BD130" s="328"/>
      <c r="BE130" s="330"/>
      <c r="BF130" s="330"/>
      <c r="BG130" s="344"/>
      <c r="BH130" s="330"/>
      <c r="BI130" s="330"/>
      <c r="BJ130" s="330"/>
      <c r="BK130" s="330"/>
      <c r="BL130" s="330"/>
      <c r="BM130" s="330"/>
      <c r="BN130" s="330"/>
      <c r="BO130" s="330"/>
      <c r="BP130" s="331"/>
      <c r="BQ130" s="332"/>
      <c r="BR130" s="333"/>
    </row>
    <row r="131" spans="2:70" ht="15.75" customHeight="1">
      <c r="B131" s="216" t="s">
        <v>137</v>
      </c>
      <c r="C131" s="212">
        <v>1521053</v>
      </c>
      <c r="D131" s="223">
        <v>575922000127</v>
      </c>
      <c r="E131" s="217" t="s">
        <v>28</v>
      </c>
      <c r="F131" s="217" t="s">
        <v>950</v>
      </c>
      <c r="G131" s="217"/>
      <c r="H131" s="218"/>
      <c r="I131" s="217" t="s">
        <v>66</v>
      </c>
      <c r="J131" s="217" t="s">
        <v>66</v>
      </c>
      <c r="K131" s="218" t="s">
        <v>951</v>
      </c>
      <c r="L131" s="212" t="s">
        <v>87</v>
      </c>
      <c r="M131" s="250"/>
      <c r="N131" s="239">
        <v>34822</v>
      </c>
      <c r="O131" s="210" t="s">
        <v>136</v>
      </c>
      <c r="P131" s="210" t="s">
        <v>136</v>
      </c>
      <c r="Q131" s="210" t="s">
        <v>1089</v>
      </c>
      <c r="R131" s="210" t="s">
        <v>1084</v>
      </c>
      <c r="S131" s="210" t="s">
        <v>1078</v>
      </c>
      <c r="T131" s="210" t="s">
        <v>1079</v>
      </c>
      <c r="U131" s="210" t="s">
        <v>950</v>
      </c>
      <c r="V131" s="210" t="s">
        <v>1080</v>
      </c>
      <c r="W131" s="211" t="s">
        <v>1018</v>
      </c>
      <c r="X131" s="211">
        <v>1000</v>
      </c>
      <c r="Y131" s="211">
        <v>100</v>
      </c>
      <c r="Z131" s="212">
        <v>100</v>
      </c>
      <c r="AA131" s="240">
        <v>3</v>
      </c>
      <c r="AB131" s="213">
        <v>0.02</v>
      </c>
      <c r="AC131" s="213">
        <v>0</v>
      </c>
      <c r="AD131" s="213" t="s">
        <v>1014</v>
      </c>
      <c r="AE131" s="213">
        <v>5.3333333333333332E-3</v>
      </c>
      <c r="AF131" s="241">
        <v>27611282</v>
      </c>
      <c r="AG131" s="241">
        <v>27611282</v>
      </c>
      <c r="AH131" s="213">
        <v>-0.21840000000000001</v>
      </c>
      <c r="AI131" s="352">
        <v>-3.3641999999999999</v>
      </c>
      <c r="AJ131" s="213">
        <v>-0.48249999999999998</v>
      </c>
      <c r="AK131" s="352">
        <v>-5.1279000000000003</v>
      </c>
      <c r="AL131" s="213">
        <v>-0.35570000000000002</v>
      </c>
      <c r="AM131" s="352">
        <v>-2.9441000000000002</v>
      </c>
      <c r="AN131" s="213">
        <v>-0.34510000000000002</v>
      </c>
      <c r="AO131" s="352">
        <v>-2.0478000000000001</v>
      </c>
      <c r="AP131" s="213">
        <v>0.22889999999999999</v>
      </c>
      <c r="AQ131" s="219">
        <v>-3.1520146770491007</v>
      </c>
      <c r="AR131" s="213" t="s">
        <v>1827</v>
      </c>
      <c r="AU131" s="343"/>
      <c r="AV131" s="343"/>
      <c r="AW131" s="328"/>
      <c r="AX131" s="329"/>
      <c r="AY131" s="328"/>
      <c r="AZ131" s="328"/>
      <c r="BA131" s="330"/>
      <c r="BB131" s="328"/>
      <c r="BC131" s="328"/>
      <c r="BD131" s="328"/>
      <c r="BE131" s="330"/>
      <c r="BF131" s="330"/>
      <c r="BG131" s="344"/>
      <c r="BH131" s="330"/>
      <c r="BI131" s="330"/>
      <c r="BJ131" s="330"/>
      <c r="BK131" s="330"/>
      <c r="BL131" s="330"/>
      <c r="BM131" s="330"/>
      <c r="BN131" s="330"/>
      <c r="BO131" s="330"/>
      <c r="BP131" s="331"/>
      <c r="BQ131" s="332"/>
      <c r="BR131" s="333"/>
    </row>
    <row r="132" spans="2:70" ht="15.75" customHeight="1">
      <c r="B132" s="216" t="s">
        <v>1121</v>
      </c>
      <c r="C132" s="212">
        <v>820866</v>
      </c>
      <c r="D132" s="223">
        <v>33422090000168</v>
      </c>
      <c r="E132" s="217" t="s">
        <v>19</v>
      </c>
      <c r="F132" s="217" t="s">
        <v>964</v>
      </c>
      <c r="G132" s="217" t="s">
        <v>1042</v>
      </c>
      <c r="H132" s="218" t="s">
        <v>1113</v>
      </c>
      <c r="I132" s="217" t="s">
        <v>66</v>
      </c>
      <c r="J132" s="217"/>
      <c r="K132" s="218" t="s">
        <v>951</v>
      </c>
      <c r="L132" s="212" t="s">
        <v>87</v>
      </c>
      <c r="M132" s="250"/>
      <c r="N132" s="239">
        <v>43753</v>
      </c>
      <c r="O132" s="210" t="s">
        <v>136</v>
      </c>
      <c r="P132" s="210" t="s">
        <v>136</v>
      </c>
      <c r="Q132" s="210" t="s">
        <v>1089</v>
      </c>
      <c r="R132" s="210" t="s">
        <v>1084</v>
      </c>
      <c r="S132" s="210" t="s">
        <v>1078</v>
      </c>
      <c r="T132" s="210" t="s">
        <v>349</v>
      </c>
      <c r="U132" s="210" t="s">
        <v>964</v>
      </c>
      <c r="V132" s="210" t="s">
        <v>19</v>
      </c>
      <c r="W132" s="211" t="s">
        <v>1024</v>
      </c>
      <c r="X132" s="211">
        <v>1000</v>
      </c>
      <c r="Y132" s="211">
        <v>1000</v>
      </c>
      <c r="Z132" s="212">
        <v>1000</v>
      </c>
      <c r="AA132" s="240">
        <v>31</v>
      </c>
      <c r="AB132" s="213">
        <v>8.0000000000000002E-3</v>
      </c>
      <c r="AC132" s="213">
        <v>0.2</v>
      </c>
      <c r="AD132" s="213" t="s">
        <v>981</v>
      </c>
      <c r="AE132" s="213">
        <v>2.1333333333333334E-3</v>
      </c>
      <c r="AF132" s="241">
        <v>100160077.78</v>
      </c>
      <c r="AG132" s="241">
        <v>100160077.78</v>
      </c>
      <c r="AH132" s="213">
        <v>6.3899999999999998E-2</v>
      </c>
      <c r="AI132" s="352">
        <v>0.98450000000000004</v>
      </c>
      <c r="AJ132" s="213">
        <v>7.9000000000000001E-2</v>
      </c>
      <c r="AK132" s="352">
        <v>0.83919999999999995</v>
      </c>
      <c r="AL132" s="213">
        <v>0.155</v>
      </c>
      <c r="AM132" s="352">
        <v>1.2827</v>
      </c>
      <c r="AN132" s="213" t="s">
        <v>66</v>
      </c>
      <c r="AO132" s="352" t="s">
        <v>66</v>
      </c>
      <c r="AP132" s="213">
        <v>2.9899999999999999E-2</v>
      </c>
      <c r="AQ132" s="219">
        <v>-0.45059247056814949</v>
      </c>
      <c r="AR132" s="213" t="s">
        <v>1827</v>
      </c>
      <c r="AU132" s="343"/>
      <c r="AV132" s="343"/>
      <c r="AW132" s="328"/>
      <c r="AX132" s="329"/>
      <c r="AY132" s="328"/>
      <c r="AZ132" s="328"/>
      <c r="BA132" s="330"/>
      <c r="BB132" s="328"/>
      <c r="BC132" s="328"/>
      <c r="BD132" s="328"/>
      <c r="BE132" s="330"/>
      <c r="BF132" s="330"/>
      <c r="BG132" s="344"/>
      <c r="BH132" s="330"/>
      <c r="BI132" s="330"/>
      <c r="BJ132" s="330"/>
      <c r="BK132" s="330"/>
      <c r="BL132" s="330"/>
      <c r="BM132" s="330"/>
      <c r="BN132" s="330"/>
      <c r="BO132" s="330"/>
      <c r="BP132" s="331"/>
      <c r="BQ132" s="332"/>
      <c r="BR132" s="333"/>
    </row>
    <row r="133" spans="2:70" ht="15.75" customHeight="1">
      <c r="B133" s="216" t="s">
        <v>771</v>
      </c>
      <c r="C133" s="212">
        <v>1311421</v>
      </c>
      <c r="D133" s="223">
        <v>2733791000194</v>
      </c>
      <c r="E133" s="217" t="s">
        <v>19</v>
      </c>
      <c r="F133" s="217" t="s">
        <v>963</v>
      </c>
      <c r="G133" s="217" t="s">
        <v>1011</v>
      </c>
      <c r="H133" s="218" t="s">
        <v>1260</v>
      </c>
      <c r="I133" s="217" t="s">
        <v>66</v>
      </c>
      <c r="J133" s="217" t="s">
        <v>1794</v>
      </c>
      <c r="K133" s="218" t="s">
        <v>951</v>
      </c>
      <c r="L133" s="212" t="s">
        <v>87</v>
      </c>
      <c r="M133" s="250"/>
      <c r="N133" s="239">
        <v>36059</v>
      </c>
      <c r="O133" s="210" t="s">
        <v>136</v>
      </c>
      <c r="P133" s="210" t="s">
        <v>136</v>
      </c>
      <c r="Q133" s="210" t="s">
        <v>1089</v>
      </c>
      <c r="R133" s="210" t="s">
        <v>1084</v>
      </c>
      <c r="S133" s="210" t="s">
        <v>1085</v>
      </c>
      <c r="T133" s="210" t="s">
        <v>349</v>
      </c>
      <c r="U133" s="210" t="s">
        <v>1114</v>
      </c>
      <c r="V133" s="210" t="s">
        <v>19</v>
      </c>
      <c r="W133" s="211" t="s">
        <v>1895</v>
      </c>
      <c r="X133" s="211">
        <v>20000</v>
      </c>
      <c r="Y133" s="211">
        <v>100</v>
      </c>
      <c r="Z133" s="212">
        <v>100</v>
      </c>
      <c r="AA133" s="240">
        <v>0</v>
      </c>
      <c r="AB133" s="213">
        <v>5.0000000000000001E-3</v>
      </c>
      <c r="AC133" s="213">
        <v>0</v>
      </c>
      <c r="AD133" s="213" t="s">
        <v>109</v>
      </c>
      <c r="AE133" s="213">
        <v>1.3335E-3</v>
      </c>
      <c r="AF133" s="241">
        <v>133659197.33</v>
      </c>
      <c r="AG133" s="241">
        <v>133659197.33</v>
      </c>
      <c r="AH133" s="213">
        <v>6.7500000000000004E-2</v>
      </c>
      <c r="AI133" s="352">
        <v>1.0396000000000001</v>
      </c>
      <c r="AJ133" s="213">
        <v>9.6699999999999994E-2</v>
      </c>
      <c r="AK133" s="352">
        <v>1.0275000000000001</v>
      </c>
      <c r="AL133" s="213">
        <v>0.13420000000000001</v>
      </c>
      <c r="AM133" s="352">
        <v>1.1111</v>
      </c>
      <c r="AN133" s="213">
        <v>0.16389999999999999</v>
      </c>
      <c r="AO133" s="352">
        <v>0.97289999999999999</v>
      </c>
      <c r="AP133" s="213">
        <v>4.8999999999999998E-3</v>
      </c>
      <c r="AQ133" s="219">
        <v>0.48248436365351915</v>
      </c>
      <c r="AR133" s="213" t="s">
        <v>1827</v>
      </c>
      <c r="AU133" s="343"/>
      <c r="AV133" s="343"/>
      <c r="AW133" s="328"/>
      <c r="AX133" s="329"/>
      <c r="AY133" s="328"/>
      <c r="AZ133" s="328"/>
      <c r="BA133" s="330"/>
      <c r="BB133" s="328"/>
      <c r="BC133" s="328"/>
      <c r="BD133" s="328"/>
      <c r="BE133" s="330"/>
      <c r="BF133" s="330"/>
      <c r="BG133" s="344"/>
      <c r="BH133" s="330"/>
      <c r="BI133" s="330"/>
      <c r="BJ133" s="330"/>
      <c r="BK133" s="330"/>
      <c r="BL133" s="330"/>
      <c r="BM133" s="330"/>
      <c r="BN133" s="330"/>
      <c r="BO133" s="330"/>
      <c r="BP133" s="331"/>
      <c r="BQ133" s="332"/>
      <c r="BR133" s="333"/>
    </row>
    <row r="134" spans="2:70" ht="15.75" customHeight="1">
      <c r="B134" s="216" t="s">
        <v>138</v>
      </c>
      <c r="C134" s="212">
        <v>2540992</v>
      </c>
      <c r="D134" s="223">
        <v>30056825000199</v>
      </c>
      <c r="E134" s="217" t="s">
        <v>19</v>
      </c>
      <c r="F134" s="217" t="s">
        <v>963</v>
      </c>
      <c r="G134" s="217" t="s">
        <v>1011</v>
      </c>
      <c r="H134" s="218" t="s">
        <v>1113</v>
      </c>
      <c r="I134" s="217" t="s">
        <v>66</v>
      </c>
      <c r="J134" s="217"/>
      <c r="K134" s="218" t="s">
        <v>951</v>
      </c>
      <c r="L134" s="212" t="s">
        <v>87</v>
      </c>
      <c r="M134" s="250"/>
      <c r="N134" s="239">
        <v>43671</v>
      </c>
      <c r="O134" s="210" t="s">
        <v>136</v>
      </c>
      <c r="P134" s="210" t="s">
        <v>136</v>
      </c>
      <c r="Q134" s="210" t="s">
        <v>1089</v>
      </c>
      <c r="R134" s="210" t="s">
        <v>1084</v>
      </c>
      <c r="S134" s="210" t="s">
        <v>1078</v>
      </c>
      <c r="T134" s="210" t="s">
        <v>349</v>
      </c>
      <c r="U134" s="210" t="s">
        <v>1114</v>
      </c>
      <c r="V134" s="210" t="s">
        <v>19</v>
      </c>
      <c r="W134" s="211" t="s">
        <v>1895</v>
      </c>
      <c r="X134" s="211">
        <v>1000</v>
      </c>
      <c r="Y134" s="211">
        <v>1000</v>
      </c>
      <c r="Z134" s="212">
        <v>1000</v>
      </c>
      <c r="AA134" s="240">
        <v>31</v>
      </c>
      <c r="AB134" s="213">
        <v>4.0000000000000001E-3</v>
      </c>
      <c r="AC134" s="213">
        <v>0</v>
      </c>
      <c r="AD134" s="213" t="s">
        <v>109</v>
      </c>
      <c r="AE134" s="213">
        <v>1.0666666666666667E-3</v>
      </c>
      <c r="AF134" s="241">
        <v>81959331.510000005</v>
      </c>
      <c r="AG134" s="241">
        <v>81959331.510000005</v>
      </c>
      <c r="AH134" s="213">
        <v>7.3999999999999996E-2</v>
      </c>
      <c r="AI134" s="352">
        <v>1.1403000000000001</v>
      </c>
      <c r="AJ134" s="213">
        <v>0.1147</v>
      </c>
      <c r="AK134" s="352">
        <v>1.2194</v>
      </c>
      <c r="AL134" s="213">
        <v>0.17330000000000001</v>
      </c>
      <c r="AM134" s="352">
        <v>1.4341999999999999</v>
      </c>
      <c r="AN134" s="213">
        <v>0.20849999999999999</v>
      </c>
      <c r="AO134" s="352">
        <v>1.2375</v>
      </c>
      <c r="AP134" s="213">
        <v>3.8E-3</v>
      </c>
      <c r="AQ134" s="219">
        <v>4.9652790719241171</v>
      </c>
      <c r="AR134" s="213" t="s">
        <v>1827</v>
      </c>
      <c r="AU134" s="343"/>
      <c r="AV134" s="343"/>
      <c r="AW134" s="328"/>
      <c r="AX134" s="329"/>
      <c r="AY134" s="328"/>
      <c r="AZ134" s="328"/>
      <c r="BA134" s="330"/>
      <c r="BB134" s="328"/>
      <c r="BC134" s="328"/>
      <c r="BD134" s="328"/>
      <c r="BE134" s="330"/>
      <c r="BF134" s="330"/>
      <c r="BG134" s="344"/>
      <c r="BH134" s="330"/>
      <c r="BI134" s="330"/>
      <c r="BJ134" s="330"/>
      <c r="BK134" s="330"/>
      <c r="BL134" s="330"/>
      <c r="BM134" s="330"/>
      <c r="BN134" s="330"/>
      <c r="BO134" s="330"/>
      <c r="BP134" s="331"/>
      <c r="BQ134" s="332"/>
      <c r="BR134" s="333"/>
    </row>
    <row r="135" spans="2:70" ht="15.75" customHeight="1">
      <c r="B135" s="216" t="s">
        <v>139</v>
      </c>
      <c r="C135" s="212">
        <v>820867</v>
      </c>
      <c r="D135" s="223">
        <v>28504521000103</v>
      </c>
      <c r="E135" s="217" t="s">
        <v>19</v>
      </c>
      <c r="F135" s="217" t="s">
        <v>963</v>
      </c>
      <c r="G135" s="217" t="s">
        <v>1011</v>
      </c>
      <c r="H135" s="218" t="s">
        <v>1113</v>
      </c>
      <c r="I135" s="217" t="s">
        <v>66</v>
      </c>
      <c r="J135" s="217"/>
      <c r="K135" s="218" t="s">
        <v>951</v>
      </c>
      <c r="L135" s="212" t="s">
        <v>87</v>
      </c>
      <c r="M135" s="250"/>
      <c r="N135" s="239">
        <v>43368</v>
      </c>
      <c r="O135" s="210" t="s">
        <v>136</v>
      </c>
      <c r="P135" s="210" t="s">
        <v>136</v>
      </c>
      <c r="Q135" s="210" t="s">
        <v>1089</v>
      </c>
      <c r="R135" s="210" t="s">
        <v>1084</v>
      </c>
      <c r="S135" s="210" t="s">
        <v>1078</v>
      </c>
      <c r="T135" s="210" t="s">
        <v>349</v>
      </c>
      <c r="U135" s="210" t="s">
        <v>1114</v>
      </c>
      <c r="V135" s="210" t="s">
        <v>19</v>
      </c>
      <c r="W135" s="211" t="s">
        <v>1895</v>
      </c>
      <c r="X135" s="211">
        <v>1000</v>
      </c>
      <c r="Y135" s="211">
        <v>1000</v>
      </c>
      <c r="Z135" s="212">
        <v>1000</v>
      </c>
      <c r="AA135" s="240">
        <v>1</v>
      </c>
      <c r="AB135" s="213">
        <v>4.0000000000000001E-3</v>
      </c>
      <c r="AC135" s="213">
        <v>0</v>
      </c>
      <c r="AD135" s="213" t="s">
        <v>109</v>
      </c>
      <c r="AE135" s="213">
        <v>1.0666666666666667E-3</v>
      </c>
      <c r="AF135" s="241">
        <v>372320112.51999998</v>
      </c>
      <c r="AG135" s="241">
        <v>372320112.51999998</v>
      </c>
      <c r="AH135" s="213">
        <v>7.2700000000000001E-2</v>
      </c>
      <c r="AI135" s="352">
        <v>1.1191</v>
      </c>
      <c r="AJ135" s="213">
        <v>0.1096</v>
      </c>
      <c r="AK135" s="352">
        <v>1.1647000000000001</v>
      </c>
      <c r="AL135" s="213">
        <v>0.1623</v>
      </c>
      <c r="AM135" s="352">
        <v>1.3431999999999999</v>
      </c>
      <c r="AN135" s="213">
        <v>0.19189999999999999</v>
      </c>
      <c r="AO135" s="352">
        <v>1.1386000000000001</v>
      </c>
      <c r="AP135" s="213">
        <v>3.0000000000000001E-3</v>
      </c>
      <c r="AQ135" s="219">
        <v>4.7262266250004492</v>
      </c>
      <c r="AR135" s="213" t="s">
        <v>1827</v>
      </c>
      <c r="AU135" s="343"/>
      <c r="AV135" s="343"/>
      <c r="AW135" s="328"/>
      <c r="AX135" s="329"/>
      <c r="AY135" s="328"/>
      <c r="AZ135" s="328"/>
      <c r="BA135" s="330"/>
      <c r="BB135" s="328"/>
      <c r="BC135" s="328"/>
      <c r="BD135" s="328"/>
      <c r="BE135" s="330"/>
      <c r="BF135" s="330"/>
      <c r="BG135" s="344"/>
      <c r="BH135" s="330"/>
      <c r="BI135" s="330"/>
      <c r="BJ135" s="330"/>
      <c r="BK135" s="330"/>
      <c r="BL135" s="330"/>
      <c r="BM135" s="330"/>
      <c r="BN135" s="330"/>
      <c r="BO135" s="330"/>
      <c r="BP135" s="331"/>
      <c r="BQ135" s="332"/>
      <c r="BR135" s="333"/>
    </row>
    <row r="136" spans="2:70" ht="15.75" customHeight="1">
      <c r="B136" s="216" t="s">
        <v>140</v>
      </c>
      <c r="C136" s="212">
        <v>820870</v>
      </c>
      <c r="D136" s="223">
        <v>27707783000102</v>
      </c>
      <c r="E136" s="217" t="s">
        <v>25</v>
      </c>
      <c r="F136" s="217" t="s">
        <v>958</v>
      </c>
      <c r="G136" s="217" t="s">
        <v>962</v>
      </c>
      <c r="H136" s="218" t="s">
        <v>66</v>
      </c>
      <c r="I136" s="217" t="s">
        <v>1842</v>
      </c>
      <c r="J136" s="217" t="s">
        <v>66</v>
      </c>
      <c r="K136" s="218"/>
      <c r="L136" s="212" t="s">
        <v>87</v>
      </c>
      <c r="M136" s="250"/>
      <c r="N136" s="239">
        <v>42957</v>
      </c>
      <c r="O136" s="210" t="s">
        <v>141</v>
      </c>
      <c r="P136" s="210" t="s">
        <v>1075</v>
      </c>
      <c r="Q136" s="210" t="s">
        <v>1076</v>
      </c>
      <c r="R136" s="210" t="s">
        <v>1077</v>
      </c>
      <c r="S136" s="210" t="s">
        <v>1078</v>
      </c>
      <c r="T136" s="210" t="s">
        <v>1082</v>
      </c>
      <c r="U136" s="210" t="s">
        <v>958</v>
      </c>
      <c r="V136" s="210" t="s">
        <v>25</v>
      </c>
      <c r="W136" s="211" t="s">
        <v>1016</v>
      </c>
      <c r="X136" s="211">
        <v>5000</v>
      </c>
      <c r="Y136" s="211">
        <v>1000</v>
      </c>
      <c r="Z136" s="212">
        <v>1000</v>
      </c>
      <c r="AA136" s="240">
        <v>34</v>
      </c>
      <c r="AB136" s="213">
        <v>1.6E-2</v>
      </c>
      <c r="AC136" s="213">
        <v>0.2</v>
      </c>
      <c r="AD136" s="213" t="s">
        <v>113</v>
      </c>
      <c r="AE136" s="213">
        <v>5.3333333333333332E-3</v>
      </c>
      <c r="AF136" s="241">
        <v>38085916.93</v>
      </c>
      <c r="AG136" s="241">
        <v>38085916.93</v>
      </c>
      <c r="AH136" s="213">
        <v>-0.15620000000000001</v>
      </c>
      <c r="AI136" s="352">
        <v>-2.4062000000000001</v>
      </c>
      <c r="AJ136" s="213">
        <v>-0.2717</v>
      </c>
      <c r="AK136" s="352">
        <v>-2.8881000000000001</v>
      </c>
      <c r="AL136" s="213">
        <v>-0.23280000000000001</v>
      </c>
      <c r="AM136" s="352">
        <v>-1.927</v>
      </c>
      <c r="AN136" s="213">
        <v>1.34E-2</v>
      </c>
      <c r="AO136" s="352">
        <v>7.9600000000000004E-2</v>
      </c>
      <c r="AP136" s="213">
        <v>0.2457</v>
      </c>
      <c r="AQ136" s="219">
        <v>-1.5329902741070784</v>
      </c>
      <c r="AR136" s="213" t="s">
        <v>1827</v>
      </c>
      <c r="AU136" s="343"/>
      <c r="AV136" s="343"/>
      <c r="AW136" s="328"/>
      <c r="AX136" s="329"/>
      <c r="AY136" s="328"/>
      <c r="AZ136" s="328"/>
      <c r="BA136" s="330"/>
      <c r="BB136" s="328"/>
      <c r="BC136" s="328"/>
      <c r="BD136" s="328"/>
      <c r="BE136" s="330"/>
      <c r="BF136" s="330"/>
      <c r="BG136" s="344"/>
      <c r="BH136" s="330"/>
      <c r="BI136" s="330"/>
      <c r="BJ136" s="330"/>
      <c r="BK136" s="330"/>
      <c r="BL136" s="330"/>
      <c r="BM136" s="330"/>
      <c r="BN136" s="330"/>
      <c r="BO136" s="330"/>
      <c r="BP136" s="331"/>
      <c r="BQ136" s="332"/>
      <c r="BR136" s="333"/>
    </row>
    <row r="137" spans="2:70" ht="15.75" customHeight="1">
      <c r="B137" s="216" t="s">
        <v>1122</v>
      </c>
      <c r="C137" s="212">
        <v>822921</v>
      </c>
      <c r="D137" s="223">
        <v>34839385000105</v>
      </c>
      <c r="E137" s="217" t="s">
        <v>28</v>
      </c>
      <c r="F137" s="217" t="s">
        <v>957</v>
      </c>
      <c r="G137" s="217"/>
      <c r="H137" s="218"/>
      <c r="I137" s="217" t="s">
        <v>1842</v>
      </c>
      <c r="J137" s="217" t="s">
        <v>66</v>
      </c>
      <c r="K137" s="218" t="s">
        <v>951</v>
      </c>
      <c r="L137" s="212" t="s">
        <v>87</v>
      </c>
      <c r="M137" s="250"/>
      <c r="N137" s="239">
        <v>43888</v>
      </c>
      <c r="O137" s="210" t="s">
        <v>142</v>
      </c>
      <c r="P137" s="210" t="s">
        <v>1090</v>
      </c>
      <c r="Q137" s="210" t="s">
        <v>1091</v>
      </c>
      <c r="R137" s="210" t="s">
        <v>1077</v>
      </c>
      <c r="S137" s="210" t="s">
        <v>1078</v>
      </c>
      <c r="T137" s="210" t="s">
        <v>1079</v>
      </c>
      <c r="U137" s="210" t="s">
        <v>957</v>
      </c>
      <c r="V137" s="210" t="s">
        <v>1080</v>
      </c>
      <c r="W137" s="211" t="s">
        <v>1007</v>
      </c>
      <c r="X137" s="211">
        <v>5000</v>
      </c>
      <c r="Y137" s="211">
        <v>1000</v>
      </c>
      <c r="Z137" s="212">
        <v>1000</v>
      </c>
      <c r="AA137" s="240">
        <v>32</v>
      </c>
      <c r="AB137" s="213">
        <v>1.8499999999999999E-2</v>
      </c>
      <c r="AC137" s="213">
        <v>0.2</v>
      </c>
      <c r="AD137" s="213" t="s">
        <v>254</v>
      </c>
      <c r="AE137" s="213">
        <v>2.4666666666666665E-3</v>
      </c>
      <c r="AF137" s="241">
        <v>81937267.819999993</v>
      </c>
      <c r="AG137" s="241">
        <v>81937267.819999993</v>
      </c>
      <c r="AH137" s="213">
        <v>-0.1023</v>
      </c>
      <c r="AI137" s="352">
        <v>-1.5752999999999999</v>
      </c>
      <c r="AJ137" s="213">
        <v>-0.35149999999999998</v>
      </c>
      <c r="AK137" s="352">
        <v>-3.7355999999999998</v>
      </c>
      <c r="AL137" s="213">
        <v>-0.2424</v>
      </c>
      <c r="AM137" s="352">
        <v>-2.0064000000000002</v>
      </c>
      <c r="AN137" s="213">
        <v>-0.17649999999999999</v>
      </c>
      <c r="AO137" s="352">
        <v>-1.0475000000000001</v>
      </c>
      <c r="AP137" s="213">
        <v>0.29380000000000001</v>
      </c>
      <c r="AQ137" s="219">
        <v>-1.6316755250734942</v>
      </c>
      <c r="AR137" s="213" t="s">
        <v>1827</v>
      </c>
      <c r="AU137" s="343"/>
      <c r="AV137" s="343"/>
      <c r="AW137" s="328"/>
      <c r="AX137" s="329"/>
      <c r="AY137" s="328"/>
      <c r="AZ137" s="328"/>
      <c r="BA137" s="330"/>
      <c r="BB137" s="328"/>
      <c r="BC137" s="328"/>
      <c r="BD137" s="328"/>
      <c r="BE137" s="330"/>
      <c r="BF137" s="330"/>
      <c r="BG137" s="344"/>
      <c r="BH137" s="330"/>
      <c r="BI137" s="330"/>
      <c r="BJ137" s="330"/>
      <c r="BK137" s="330"/>
      <c r="BL137" s="330"/>
      <c r="BM137" s="330"/>
      <c r="BN137" s="330"/>
      <c r="BO137" s="330"/>
      <c r="BP137" s="331"/>
      <c r="BQ137" s="332"/>
      <c r="BR137" s="333"/>
    </row>
    <row r="138" spans="2:70" ht="15.75" customHeight="1">
      <c r="B138" s="216" t="s">
        <v>1123</v>
      </c>
      <c r="C138" s="212">
        <v>1267902</v>
      </c>
      <c r="D138" s="223">
        <v>36352721000108</v>
      </c>
      <c r="E138" s="217" t="s">
        <v>28</v>
      </c>
      <c r="F138" s="217" t="s">
        <v>950</v>
      </c>
      <c r="G138" s="217"/>
      <c r="H138" s="218"/>
      <c r="I138" s="217" t="s">
        <v>66</v>
      </c>
      <c r="J138" s="217" t="s">
        <v>66</v>
      </c>
      <c r="K138" s="218" t="s">
        <v>951</v>
      </c>
      <c r="L138" s="212" t="s">
        <v>87</v>
      </c>
      <c r="M138" s="250"/>
      <c r="N138" s="239">
        <v>44000</v>
      </c>
      <c r="O138" s="210" t="s">
        <v>142</v>
      </c>
      <c r="P138" s="210" t="s">
        <v>1090</v>
      </c>
      <c r="Q138" s="210" t="s">
        <v>1091</v>
      </c>
      <c r="R138" s="210" t="s">
        <v>1084</v>
      </c>
      <c r="S138" s="210" t="s">
        <v>1078</v>
      </c>
      <c r="T138" s="210" t="s">
        <v>1079</v>
      </c>
      <c r="U138" s="210" t="s">
        <v>950</v>
      </c>
      <c r="V138" s="210" t="s">
        <v>1080</v>
      </c>
      <c r="W138" s="211" t="s">
        <v>1007</v>
      </c>
      <c r="X138" s="211">
        <v>1000</v>
      </c>
      <c r="Y138" s="211">
        <v>1000</v>
      </c>
      <c r="Z138" s="212">
        <v>1000</v>
      </c>
      <c r="AA138" s="240">
        <v>32</v>
      </c>
      <c r="AB138" s="213">
        <v>0.02</v>
      </c>
      <c r="AC138" s="213">
        <v>0.2</v>
      </c>
      <c r="AD138" s="213" t="s">
        <v>113</v>
      </c>
      <c r="AE138" s="213">
        <v>2.6666666666666666E-3</v>
      </c>
      <c r="AF138" s="241">
        <v>2775961.46</v>
      </c>
      <c r="AG138" s="241">
        <v>2775961.46</v>
      </c>
      <c r="AH138" s="213">
        <v>-0.14230000000000001</v>
      </c>
      <c r="AI138" s="352">
        <v>-2.1911</v>
      </c>
      <c r="AJ138" s="213">
        <v>-0.38619999999999999</v>
      </c>
      <c r="AK138" s="352">
        <v>-4.1052999999999997</v>
      </c>
      <c r="AL138" s="213">
        <v>-0.25380000000000003</v>
      </c>
      <c r="AM138" s="352">
        <v>-2.1006999999999998</v>
      </c>
      <c r="AN138" s="213" t="s">
        <v>66</v>
      </c>
      <c r="AO138" s="352" t="s">
        <v>66</v>
      </c>
      <c r="AP138" s="213">
        <v>0.2757</v>
      </c>
      <c r="AQ138" s="219">
        <v>-1.9570062576632803</v>
      </c>
      <c r="AR138" s="213" t="s">
        <v>1824</v>
      </c>
      <c r="AU138" s="343"/>
      <c r="AV138" s="343"/>
      <c r="AW138" s="328"/>
      <c r="AX138" s="329"/>
      <c r="AY138" s="328"/>
      <c r="AZ138" s="328"/>
      <c r="BA138" s="330"/>
      <c r="BB138" s="328"/>
      <c r="BC138" s="328"/>
      <c r="BD138" s="328"/>
      <c r="BE138" s="330"/>
      <c r="BF138" s="330"/>
      <c r="BG138" s="344"/>
      <c r="BH138" s="330"/>
      <c r="BI138" s="330"/>
      <c r="BJ138" s="330"/>
      <c r="BK138" s="330"/>
      <c r="BL138" s="330"/>
      <c r="BM138" s="330"/>
      <c r="BN138" s="330"/>
      <c r="BO138" s="330"/>
      <c r="BP138" s="331"/>
      <c r="BQ138" s="332"/>
      <c r="BR138" s="333"/>
    </row>
    <row r="139" spans="2:70" ht="15.75" customHeight="1">
      <c r="B139" s="216" t="s">
        <v>1124</v>
      </c>
      <c r="C139" s="212">
        <v>1456108</v>
      </c>
      <c r="D139" s="223">
        <v>39506707000100</v>
      </c>
      <c r="E139" s="217" t="s">
        <v>25</v>
      </c>
      <c r="F139" s="217" t="s">
        <v>958</v>
      </c>
      <c r="G139" s="217" t="s">
        <v>962</v>
      </c>
      <c r="H139" s="218" t="s">
        <v>66</v>
      </c>
      <c r="I139" s="217" t="s">
        <v>1842</v>
      </c>
      <c r="J139" s="217" t="s">
        <v>66</v>
      </c>
      <c r="K139" s="218"/>
      <c r="L139" s="212" t="s">
        <v>87</v>
      </c>
      <c r="M139" s="250"/>
      <c r="N139" s="239">
        <v>44469</v>
      </c>
      <c r="O139" s="210" t="s">
        <v>1125</v>
      </c>
      <c r="P139" s="210" t="s">
        <v>1110</v>
      </c>
      <c r="Q139" s="210" t="s">
        <v>1110</v>
      </c>
      <c r="R139" s="210" t="s">
        <v>1077</v>
      </c>
      <c r="S139" s="210" t="s">
        <v>1085</v>
      </c>
      <c r="T139" s="210" t="s">
        <v>1082</v>
      </c>
      <c r="U139" s="210" t="s">
        <v>958</v>
      </c>
      <c r="V139" s="210" t="s">
        <v>25</v>
      </c>
      <c r="W139" s="211" t="s">
        <v>1016</v>
      </c>
      <c r="X139" s="211">
        <v>5000</v>
      </c>
      <c r="Y139" s="211">
        <v>1000</v>
      </c>
      <c r="Z139" s="212">
        <v>5000</v>
      </c>
      <c r="AA139" s="240">
        <v>32</v>
      </c>
      <c r="AB139" s="213">
        <v>1.9E-2</v>
      </c>
      <c r="AC139" s="213">
        <v>0.2</v>
      </c>
      <c r="AD139" s="213" t="s">
        <v>109</v>
      </c>
      <c r="AE139" s="213">
        <v>5.0666666666666664E-3</v>
      </c>
      <c r="AF139" s="241">
        <v>399641442.14999998</v>
      </c>
      <c r="AG139" s="241">
        <v>399641442.14999998</v>
      </c>
      <c r="AH139" s="213">
        <v>0.15629999999999999</v>
      </c>
      <c r="AI139" s="352">
        <v>2.4072</v>
      </c>
      <c r="AJ139" s="213" t="s">
        <v>66</v>
      </c>
      <c r="AK139" s="352" t="s">
        <v>66</v>
      </c>
      <c r="AL139" s="213" t="s">
        <v>66</v>
      </c>
      <c r="AM139" s="352" t="s">
        <v>66</v>
      </c>
      <c r="AN139" s="213" t="s">
        <v>66</v>
      </c>
      <c r="AO139" s="352" t="s">
        <v>66</v>
      </c>
      <c r="AP139" s="213" t="s">
        <v>66</v>
      </c>
      <c r="AQ139" s="219" t="s">
        <v>66</v>
      </c>
      <c r="AR139" s="213" t="s">
        <v>1827</v>
      </c>
      <c r="AU139" s="343"/>
      <c r="AV139" s="343"/>
      <c r="AW139" s="328"/>
      <c r="AX139" s="329"/>
      <c r="AY139" s="328"/>
      <c r="AZ139" s="328"/>
      <c r="BA139" s="330"/>
      <c r="BB139" s="328"/>
      <c r="BC139" s="328"/>
      <c r="BD139" s="328"/>
      <c r="BE139" s="330"/>
      <c r="BF139" s="330"/>
      <c r="BG139" s="344"/>
      <c r="BH139" s="330"/>
      <c r="BI139" s="330"/>
      <c r="BJ139" s="330"/>
      <c r="BK139" s="330"/>
      <c r="BL139" s="330"/>
      <c r="BM139" s="330"/>
      <c r="BN139" s="330"/>
      <c r="BO139" s="330"/>
      <c r="BP139" s="331"/>
      <c r="BQ139" s="332"/>
      <c r="BR139" s="333"/>
    </row>
    <row r="140" spans="2:70" ht="15.75" customHeight="1">
      <c r="B140" s="216" t="s">
        <v>1126</v>
      </c>
      <c r="C140" s="212">
        <v>3914246</v>
      </c>
      <c r="D140" s="223">
        <v>29562563000155</v>
      </c>
      <c r="E140" s="217" t="s">
        <v>28</v>
      </c>
      <c r="F140" s="217" t="s">
        <v>957</v>
      </c>
      <c r="G140" s="217"/>
      <c r="H140" s="218"/>
      <c r="I140" s="217" t="s">
        <v>1842</v>
      </c>
      <c r="J140" s="217" t="s">
        <v>66</v>
      </c>
      <c r="K140" s="218" t="s">
        <v>951</v>
      </c>
      <c r="L140" s="212" t="s">
        <v>87</v>
      </c>
      <c r="M140" s="250"/>
      <c r="N140" s="239">
        <v>43195</v>
      </c>
      <c r="O140" s="210" t="s">
        <v>143</v>
      </c>
      <c r="P140" s="210" t="s">
        <v>1075</v>
      </c>
      <c r="Q140" s="210" t="s">
        <v>1076</v>
      </c>
      <c r="R140" s="210" t="s">
        <v>1084</v>
      </c>
      <c r="S140" s="210" t="s">
        <v>1078</v>
      </c>
      <c r="T140" s="210" t="s">
        <v>1079</v>
      </c>
      <c r="U140" s="210" t="s">
        <v>957</v>
      </c>
      <c r="V140" s="210" t="s">
        <v>25</v>
      </c>
      <c r="W140" s="211" t="s">
        <v>1016</v>
      </c>
      <c r="X140" s="211">
        <v>1000</v>
      </c>
      <c r="Y140" s="211">
        <v>500</v>
      </c>
      <c r="Z140" s="212">
        <v>500</v>
      </c>
      <c r="AA140" s="240">
        <v>32</v>
      </c>
      <c r="AB140" s="213">
        <v>1.34E-2</v>
      </c>
      <c r="AC140" s="213">
        <v>0.2</v>
      </c>
      <c r="AD140" s="213" t="s">
        <v>203</v>
      </c>
      <c r="AE140" s="213">
        <v>3.5737799999999999E-3</v>
      </c>
      <c r="AF140" s="241">
        <v>98144268.5</v>
      </c>
      <c r="AG140" s="241">
        <v>98144268.5</v>
      </c>
      <c r="AH140" s="213">
        <v>-9.2999999999999999E-2</v>
      </c>
      <c r="AI140" s="352">
        <v>-1.4331</v>
      </c>
      <c r="AJ140" s="213">
        <v>-0.28849999999999998</v>
      </c>
      <c r="AK140" s="352">
        <v>-3.0661999999999998</v>
      </c>
      <c r="AL140" s="213">
        <v>-0.10100000000000001</v>
      </c>
      <c r="AM140" s="352">
        <v>-0.83589999999999998</v>
      </c>
      <c r="AN140" s="213">
        <v>1.18E-2</v>
      </c>
      <c r="AO140" s="352">
        <v>7.0199999999999999E-2</v>
      </c>
      <c r="AP140" s="213">
        <v>0.18390000000000001</v>
      </c>
      <c r="AQ140" s="219">
        <v>-2.2459543529262134</v>
      </c>
      <c r="AR140" s="213" t="s">
        <v>1827</v>
      </c>
      <c r="AU140" s="343"/>
      <c r="AV140" s="343"/>
      <c r="AW140" s="328"/>
      <c r="AX140" s="329"/>
      <c r="AY140" s="328"/>
      <c r="AZ140" s="328"/>
      <c r="BA140" s="330"/>
      <c r="BB140" s="328"/>
      <c r="BC140" s="328"/>
      <c r="BD140" s="328"/>
      <c r="BE140" s="330"/>
      <c r="BF140" s="330"/>
      <c r="BG140" s="344"/>
      <c r="BH140" s="330"/>
      <c r="BI140" s="330"/>
      <c r="BJ140" s="330"/>
      <c r="BK140" s="330"/>
      <c r="BL140" s="330"/>
      <c r="BM140" s="330"/>
      <c r="BN140" s="330"/>
      <c r="BO140" s="330"/>
      <c r="BP140" s="331"/>
      <c r="BQ140" s="332"/>
      <c r="BR140" s="333"/>
    </row>
    <row r="141" spans="2:70" ht="15.75" customHeight="1">
      <c r="B141" s="216" t="s">
        <v>1127</v>
      </c>
      <c r="C141" s="212">
        <v>550015</v>
      </c>
      <c r="D141" s="223">
        <v>32238591000126</v>
      </c>
      <c r="E141" s="217" t="s">
        <v>19</v>
      </c>
      <c r="F141" s="217" t="s">
        <v>963</v>
      </c>
      <c r="G141" s="217" t="s">
        <v>1034</v>
      </c>
      <c r="H141" s="218" t="s">
        <v>1113</v>
      </c>
      <c r="I141" s="217" t="s">
        <v>66</v>
      </c>
      <c r="J141" s="217" t="s">
        <v>1822</v>
      </c>
      <c r="K141" s="218" t="s">
        <v>951</v>
      </c>
      <c r="L141" s="212" t="s">
        <v>87</v>
      </c>
      <c r="M141" s="250"/>
      <c r="N141" s="239">
        <v>43557</v>
      </c>
      <c r="O141" s="210" t="s">
        <v>144</v>
      </c>
      <c r="P141" s="210" t="s">
        <v>1075</v>
      </c>
      <c r="Q141" s="210" t="s">
        <v>1076</v>
      </c>
      <c r="R141" s="210" t="s">
        <v>1077</v>
      </c>
      <c r="S141" s="210" t="s">
        <v>1078</v>
      </c>
      <c r="T141" s="210" t="s">
        <v>349</v>
      </c>
      <c r="U141" s="210" t="s">
        <v>1114</v>
      </c>
      <c r="V141" s="210" t="s">
        <v>19</v>
      </c>
      <c r="W141" s="211" t="s">
        <v>1024</v>
      </c>
      <c r="X141" s="211">
        <v>25000</v>
      </c>
      <c r="Y141" s="211">
        <v>5000</v>
      </c>
      <c r="Z141" s="212">
        <v>10000</v>
      </c>
      <c r="AA141" s="240">
        <v>182</v>
      </c>
      <c r="AB141" s="213">
        <v>5.0000000000000001E-3</v>
      </c>
      <c r="AC141" s="213">
        <v>0</v>
      </c>
      <c r="AD141" s="213" t="s">
        <v>109</v>
      </c>
      <c r="AE141" s="213">
        <v>3.3333333333333331E-3</v>
      </c>
      <c r="AF141" s="241">
        <v>42103485.840000004</v>
      </c>
      <c r="AG141" s="241">
        <v>42103485.840000004</v>
      </c>
      <c r="AH141" s="213">
        <v>6.3899999999999998E-2</v>
      </c>
      <c r="AI141" s="352">
        <v>0.98470000000000002</v>
      </c>
      <c r="AJ141" s="213">
        <v>9.6000000000000002E-2</v>
      </c>
      <c r="AK141" s="352">
        <v>1.0202</v>
      </c>
      <c r="AL141" s="213">
        <v>0.15559999999999999</v>
      </c>
      <c r="AM141" s="352">
        <v>1.2884</v>
      </c>
      <c r="AN141" s="213">
        <v>0.26190000000000002</v>
      </c>
      <c r="AO141" s="352">
        <v>1.5542</v>
      </c>
      <c r="AP141" s="213">
        <v>4.7999999999999996E-3</v>
      </c>
      <c r="AQ141" s="219">
        <v>0.36457165907003225</v>
      </c>
      <c r="AR141" s="213" t="s">
        <v>1827</v>
      </c>
      <c r="AU141" s="343"/>
      <c r="AV141" s="343"/>
      <c r="AW141" s="328"/>
      <c r="AX141" s="329"/>
      <c r="AY141" s="328"/>
      <c r="AZ141" s="328"/>
      <c r="BA141" s="330"/>
      <c r="BB141" s="328"/>
      <c r="BC141" s="328"/>
      <c r="BD141" s="328"/>
      <c r="BE141" s="330"/>
      <c r="BF141" s="330"/>
      <c r="BG141" s="344"/>
      <c r="BH141" s="330"/>
      <c r="BI141" s="330"/>
      <c r="BJ141" s="330"/>
      <c r="BK141" s="330"/>
      <c r="BL141" s="330"/>
      <c r="BM141" s="330"/>
      <c r="BN141" s="330"/>
      <c r="BO141" s="330"/>
      <c r="BP141" s="331"/>
      <c r="BQ141" s="332"/>
      <c r="BR141" s="333"/>
    </row>
    <row r="142" spans="2:70" ht="15.75" customHeight="1">
      <c r="B142" s="216" t="s">
        <v>1128</v>
      </c>
      <c r="C142" s="212">
        <v>596851</v>
      </c>
      <c r="D142" s="223">
        <v>30910036000173</v>
      </c>
      <c r="E142" s="217" t="s">
        <v>19</v>
      </c>
      <c r="F142" s="217" t="s">
        <v>963</v>
      </c>
      <c r="G142" s="217" t="s">
        <v>1011</v>
      </c>
      <c r="H142" s="218" t="s">
        <v>1113</v>
      </c>
      <c r="I142" s="217" t="s">
        <v>66</v>
      </c>
      <c r="J142" s="217" t="s">
        <v>1794</v>
      </c>
      <c r="K142" s="218" t="s">
        <v>951</v>
      </c>
      <c r="L142" s="212" t="s">
        <v>87</v>
      </c>
      <c r="M142" s="250"/>
      <c r="N142" s="239">
        <v>43353</v>
      </c>
      <c r="O142" s="210" t="s">
        <v>144</v>
      </c>
      <c r="P142" s="210" t="s">
        <v>1075</v>
      </c>
      <c r="Q142" s="210" t="s">
        <v>1076</v>
      </c>
      <c r="R142" s="210" t="s">
        <v>1077</v>
      </c>
      <c r="S142" s="210" t="s">
        <v>1078</v>
      </c>
      <c r="T142" s="210" t="s">
        <v>349</v>
      </c>
      <c r="U142" s="210" t="s">
        <v>1114</v>
      </c>
      <c r="V142" s="210" t="s">
        <v>19</v>
      </c>
      <c r="W142" s="211" t="s">
        <v>1024</v>
      </c>
      <c r="X142" s="211">
        <v>25000</v>
      </c>
      <c r="Y142" s="211">
        <v>5000</v>
      </c>
      <c r="Z142" s="212">
        <v>10000</v>
      </c>
      <c r="AA142" s="240">
        <v>181</v>
      </c>
      <c r="AB142" s="213">
        <v>1.6E-2</v>
      </c>
      <c r="AC142" s="213">
        <v>0.2</v>
      </c>
      <c r="AD142" s="213" t="s">
        <v>109</v>
      </c>
      <c r="AE142" s="213" t="s">
        <v>66</v>
      </c>
      <c r="AF142" s="241">
        <v>649572752.38</v>
      </c>
      <c r="AG142" s="241">
        <v>649572752.38</v>
      </c>
      <c r="AH142" s="213">
        <v>6.7500000000000004E-2</v>
      </c>
      <c r="AI142" s="352">
        <v>1.0394000000000001</v>
      </c>
      <c r="AJ142" s="213">
        <v>0.1024</v>
      </c>
      <c r="AK142" s="352">
        <v>1.0885</v>
      </c>
      <c r="AL142" s="213">
        <v>0.17</v>
      </c>
      <c r="AM142" s="352">
        <v>1.4076</v>
      </c>
      <c r="AN142" s="213">
        <v>0.2873</v>
      </c>
      <c r="AO142" s="352">
        <v>1.7052</v>
      </c>
      <c r="AP142" s="213">
        <v>4.8999999999999998E-3</v>
      </c>
      <c r="AQ142" s="219">
        <v>1.5551076071661387</v>
      </c>
      <c r="AR142" s="213" t="s">
        <v>1827</v>
      </c>
      <c r="AU142" s="343"/>
      <c r="AV142" s="343"/>
      <c r="AW142" s="328"/>
      <c r="AX142" s="329"/>
      <c r="AY142" s="328"/>
      <c r="AZ142" s="328"/>
      <c r="BA142" s="330"/>
      <c r="BB142" s="328"/>
      <c r="BC142" s="328"/>
      <c r="BD142" s="328"/>
      <c r="BE142" s="330"/>
      <c r="BF142" s="330"/>
      <c r="BG142" s="344"/>
      <c r="BH142" s="330"/>
      <c r="BI142" s="330"/>
      <c r="BJ142" s="330"/>
      <c r="BK142" s="330"/>
      <c r="BL142" s="330"/>
      <c r="BM142" s="330"/>
      <c r="BN142" s="330"/>
      <c r="BO142" s="330"/>
      <c r="BP142" s="331"/>
      <c r="BQ142" s="332"/>
      <c r="BR142" s="333"/>
    </row>
    <row r="143" spans="2:70" ht="15.75" customHeight="1">
      <c r="B143" s="216" t="s">
        <v>1129</v>
      </c>
      <c r="C143" s="212">
        <v>568374</v>
      </c>
      <c r="D143" s="223">
        <v>9620860000100</v>
      </c>
      <c r="E143" s="217" t="s">
        <v>19</v>
      </c>
      <c r="F143" s="217" t="s">
        <v>963</v>
      </c>
      <c r="G143" s="217" t="s">
        <v>1011</v>
      </c>
      <c r="H143" s="218" t="s">
        <v>1113</v>
      </c>
      <c r="I143" s="217" t="s">
        <v>66</v>
      </c>
      <c r="J143" s="217"/>
      <c r="K143" s="218" t="s">
        <v>951</v>
      </c>
      <c r="L143" s="212" t="s">
        <v>87</v>
      </c>
      <c r="M143" s="250"/>
      <c r="N143" s="239">
        <v>39632</v>
      </c>
      <c r="O143" s="210" t="s">
        <v>144</v>
      </c>
      <c r="P143" s="210" t="s">
        <v>1090</v>
      </c>
      <c r="Q143" s="210" t="s">
        <v>1091</v>
      </c>
      <c r="R143" s="210" t="s">
        <v>1084</v>
      </c>
      <c r="S143" s="210" t="s">
        <v>1078</v>
      </c>
      <c r="T143" s="210" t="s">
        <v>349</v>
      </c>
      <c r="U143" s="210" t="s">
        <v>1114</v>
      </c>
      <c r="V143" s="210" t="s">
        <v>25</v>
      </c>
      <c r="W143" s="211" t="s">
        <v>1016</v>
      </c>
      <c r="X143" s="211">
        <v>10000</v>
      </c>
      <c r="Y143" s="211">
        <v>5000</v>
      </c>
      <c r="Z143" s="212">
        <v>5000</v>
      </c>
      <c r="AA143" s="240">
        <v>4</v>
      </c>
      <c r="AB143" s="213">
        <v>0.02</v>
      </c>
      <c r="AC143" s="213">
        <v>0.2</v>
      </c>
      <c r="AD143" s="213" t="s">
        <v>109</v>
      </c>
      <c r="AE143" s="213">
        <v>4.1999999999999997E-3</v>
      </c>
      <c r="AF143" s="241">
        <v>235086950.36000001</v>
      </c>
      <c r="AG143" s="241">
        <v>235086950.36000001</v>
      </c>
      <c r="AH143" s="213">
        <v>6.5100000000000005E-2</v>
      </c>
      <c r="AI143" s="352">
        <v>1.0029999999999999</v>
      </c>
      <c r="AJ143" s="213">
        <v>9.5100000000000004E-2</v>
      </c>
      <c r="AK143" s="352">
        <v>1.0112000000000001</v>
      </c>
      <c r="AL143" s="213">
        <v>0.13039999999999999</v>
      </c>
      <c r="AM143" s="352">
        <v>1.0795999999999999</v>
      </c>
      <c r="AN143" s="213">
        <v>0.18640000000000001</v>
      </c>
      <c r="AO143" s="352">
        <v>1.1064000000000001</v>
      </c>
      <c r="AP143" s="213">
        <v>2.7000000000000001E-3</v>
      </c>
      <c r="AQ143" s="219">
        <v>0.35496688560318262</v>
      </c>
      <c r="AR143" s="213" t="s">
        <v>1827</v>
      </c>
      <c r="AU143" s="343"/>
      <c r="AV143" s="343"/>
      <c r="AW143" s="328"/>
      <c r="AX143" s="329"/>
      <c r="AY143" s="328"/>
      <c r="AZ143" s="328"/>
      <c r="BA143" s="330"/>
      <c r="BB143" s="328"/>
      <c r="BC143" s="328"/>
      <c r="BD143" s="328"/>
      <c r="BE143" s="330"/>
      <c r="BF143" s="330"/>
      <c r="BG143" s="344"/>
      <c r="BH143" s="330"/>
      <c r="BI143" s="330"/>
      <c r="BJ143" s="330"/>
      <c r="BK143" s="330"/>
      <c r="BL143" s="330"/>
      <c r="BM143" s="330"/>
      <c r="BN143" s="330"/>
      <c r="BO143" s="330"/>
      <c r="BP143" s="331"/>
      <c r="BQ143" s="332"/>
      <c r="BR143" s="333"/>
    </row>
    <row r="144" spans="2:70" ht="15.75" customHeight="1">
      <c r="B144" s="216" t="s">
        <v>146</v>
      </c>
      <c r="C144" s="212">
        <v>534090</v>
      </c>
      <c r="D144" s="223">
        <v>37227754000199</v>
      </c>
      <c r="E144" s="217" t="s">
        <v>19</v>
      </c>
      <c r="F144" s="217" t="s">
        <v>963</v>
      </c>
      <c r="G144" s="217" t="s">
        <v>1011</v>
      </c>
      <c r="H144" s="218" t="s">
        <v>1113</v>
      </c>
      <c r="I144" s="217" t="s">
        <v>66</v>
      </c>
      <c r="J144" s="217"/>
      <c r="K144" s="218" t="s">
        <v>951</v>
      </c>
      <c r="L144" s="212" t="s">
        <v>87</v>
      </c>
      <c r="M144" s="250"/>
      <c r="N144" s="239">
        <v>44005</v>
      </c>
      <c r="O144" s="210" t="s">
        <v>144</v>
      </c>
      <c r="P144" s="210" t="s">
        <v>1075</v>
      </c>
      <c r="Q144" s="210" t="s">
        <v>1076</v>
      </c>
      <c r="R144" s="210" t="s">
        <v>1077</v>
      </c>
      <c r="S144" s="210" t="s">
        <v>1078</v>
      </c>
      <c r="T144" s="210" t="s">
        <v>349</v>
      </c>
      <c r="U144" s="210" t="s">
        <v>1114</v>
      </c>
      <c r="V144" s="210" t="s">
        <v>25</v>
      </c>
      <c r="W144" s="211" t="s">
        <v>1016</v>
      </c>
      <c r="X144" s="211">
        <v>20000</v>
      </c>
      <c r="Y144" s="211">
        <v>5000</v>
      </c>
      <c r="Z144" s="212">
        <v>5000</v>
      </c>
      <c r="AA144" s="240">
        <v>91</v>
      </c>
      <c r="AB144" s="213">
        <v>1.4999999999999999E-2</v>
      </c>
      <c r="AC144" s="213">
        <v>0.2</v>
      </c>
      <c r="AD144" s="213" t="s">
        <v>113</v>
      </c>
      <c r="AE144" s="213">
        <v>2.9999999999999996E-3</v>
      </c>
      <c r="AF144" s="241">
        <v>21868021.09</v>
      </c>
      <c r="AG144" s="241">
        <v>21868021.09</v>
      </c>
      <c r="AH144" s="213">
        <v>7.2700000000000001E-2</v>
      </c>
      <c r="AI144" s="352">
        <v>1.1194</v>
      </c>
      <c r="AJ144" s="213">
        <v>0.1105</v>
      </c>
      <c r="AK144" s="352">
        <v>1.175</v>
      </c>
      <c r="AL144" s="213">
        <v>0.17230000000000001</v>
      </c>
      <c r="AM144" s="352">
        <v>1.4262999999999999</v>
      </c>
      <c r="AN144" s="213" t="s">
        <v>66</v>
      </c>
      <c r="AO144" s="352" t="s">
        <v>66</v>
      </c>
      <c r="AP144" s="213">
        <v>3.8999999999999998E-3</v>
      </c>
      <c r="AQ144" s="219">
        <v>3.7990380727356317</v>
      </c>
      <c r="AR144" s="213" t="s">
        <v>1827</v>
      </c>
      <c r="AU144" s="343"/>
      <c r="AV144" s="343"/>
      <c r="AW144" s="328"/>
      <c r="AX144" s="329"/>
      <c r="AY144" s="328"/>
      <c r="AZ144" s="328"/>
      <c r="BA144" s="330"/>
      <c r="BB144" s="328"/>
      <c r="BC144" s="328"/>
      <c r="BD144" s="328"/>
      <c r="BE144" s="330"/>
      <c r="BF144" s="330"/>
      <c r="BG144" s="344"/>
      <c r="BH144" s="330"/>
      <c r="BI144" s="330"/>
      <c r="BJ144" s="330"/>
      <c r="BK144" s="330"/>
      <c r="BL144" s="330"/>
      <c r="BM144" s="330"/>
      <c r="BN144" s="330"/>
      <c r="BO144" s="330"/>
      <c r="BP144" s="331"/>
      <c r="BQ144" s="332"/>
      <c r="BR144" s="333"/>
    </row>
    <row r="145" spans="2:70" ht="15.75" customHeight="1">
      <c r="B145" s="216" t="s">
        <v>147</v>
      </c>
      <c r="C145" s="212">
        <v>1218968</v>
      </c>
      <c r="D145" s="223">
        <v>15862830000103</v>
      </c>
      <c r="E145" s="217" t="s">
        <v>28</v>
      </c>
      <c r="F145" s="217" t="s">
        <v>950</v>
      </c>
      <c r="G145" s="217" t="s">
        <v>1038</v>
      </c>
      <c r="H145" s="218"/>
      <c r="I145" s="217" t="s">
        <v>66</v>
      </c>
      <c r="J145" s="217" t="s">
        <v>66</v>
      </c>
      <c r="K145" s="218" t="s">
        <v>954</v>
      </c>
      <c r="L145" s="212"/>
      <c r="M145" s="250"/>
      <c r="N145" s="239">
        <v>41141</v>
      </c>
      <c r="O145" s="210" t="s">
        <v>148</v>
      </c>
      <c r="P145" s="210" t="s">
        <v>1090</v>
      </c>
      <c r="Q145" s="210" t="s">
        <v>1091</v>
      </c>
      <c r="R145" s="210" t="s">
        <v>1084</v>
      </c>
      <c r="S145" s="210" t="s">
        <v>1078</v>
      </c>
      <c r="T145" s="210" t="s">
        <v>1079</v>
      </c>
      <c r="U145" s="210" t="s">
        <v>950</v>
      </c>
      <c r="V145" s="210" t="s">
        <v>1080</v>
      </c>
      <c r="W145" s="211" t="s">
        <v>1007</v>
      </c>
      <c r="X145" s="211">
        <v>1000</v>
      </c>
      <c r="Y145" s="211">
        <v>1000</v>
      </c>
      <c r="Z145" s="212">
        <v>1000</v>
      </c>
      <c r="AA145" s="240">
        <v>32</v>
      </c>
      <c r="AB145" s="213">
        <v>1.9E-2</v>
      </c>
      <c r="AC145" s="213">
        <v>0.2</v>
      </c>
      <c r="AD145" s="213" t="s">
        <v>1014</v>
      </c>
      <c r="AE145" s="213">
        <v>3.9899999999999996E-3</v>
      </c>
      <c r="AF145" s="241">
        <v>162376589.66</v>
      </c>
      <c r="AG145" s="241">
        <v>162376589.66</v>
      </c>
      <c r="AH145" s="213">
        <v>9.4000000000000004E-3</v>
      </c>
      <c r="AI145" s="352">
        <v>0.1452</v>
      </c>
      <c r="AJ145" s="213">
        <v>-0.17169999999999999</v>
      </c>
      <c r="AK145" s="352">
        <v>-1.8246</v>
      </c>
      <c r="AL145" s="213">
        <v>-3.8699999999999998E-2</v>
      </c>
      <c r="AM145" s="352">
        <v>-0.32069999999999999</v>
      </c>
      <c r="AN145" s="213">
        <v>-8.9599999999999999E-2</v>
      </c>
      <c r="AO145" s="352">
        <v>-0.53169999999999995</v>
      </c>
      <c r="AP145" s="213">
        <v>0.20979999999999999</v>
      </c>
      <c r="AQ145" s="219">
        <v>-1.2210688608178748</v>
      </c>
      <c r="AR145" s="213" t="s">
        <v>1824</v>
      </c>
      <c r="AU145" s="343"/>
      <c r="AV145" s="343"/>
      <c r="AW145" s="328"/>
      <c r="AX145" s="329"/>
      <c r="AY145" s="328"/>
      <c r="AZ145" s="328"/>
      <c r="BA145" s="330"/>
      <c r="BB145" s="328"/>
      <c r="BC145" s="328"/>
      <c r="BD145" s="328"/>
      <c r="BE145" s="330"/>
      <c r="BF145" s="330"/>
      <c r="BG145" s="344"/>
      <c r="BH145" s="330"/>
      <c r="BI145" s="330"/>
      <c r="BJ145" s="330"/>
      <c r="BK145" s="330"/>
      <c r="BL145" s="330"/>
      <c r="BM145" s="330"/>
      <c r="BN145" s="330"/>
      <c r="BO145" s="330"/>
      <c r="BP145" s="331"/>
      <c r="BQ145" s="332"/>
      <c r="BR145" s="333"/>
    </row>
    <row r="146" spans="2:70" ht="15.75" customHeight="1">
      <c r="B146" s="216" t="s">
        <v>1130</v>
      </c>
      <c r="C146" s="212">
        <v>539561</v>
      </c>
      <c r="D146" s="223">
        <v>38026540000117</v>
      </c>
      <c r="E146" s="217" t="s">
        <v>28</v>
      </c>
      <c r="F146" s="217" t="s">
        <v>950</v>
      </c>
      <c r="G146" s="217" t="s">
        <v>1038</v>
      </c>
      <c r="H146" s="218"/>
      <c r="I146" s="217" t="s">
        <v>66</v>
      </c>
      <c r="J146" s="217" t="s">
        <v>66</v>
      </c>
      <c r="K146" s="218" t="s">
        <v>951</v>
      </c>
      <c r="L146" s="212" t="s">
        <v>87</v>
      </c>
      <c r="M146" s="250"/>
      <c r="N146" s="239">
        <v>44187</v>
      </c>
      <c r="O146" s="210" t="s">
        <v>148</v>
      </c>
      <c r="P146" s="210" t="s">
        <v>1090</v>
      </c>
      <c r="Q146" s="210" t="s">
        <v>1091</v>
      </c>
      <c r="R146" s="210" t="s">
        <v>1084</v>
      </c>
      <c r="S146" s="210" t="s">
        <v>1078</v>
      </c>
      <c r="T146" s="210" t="s">
        <v>1079</v>
      </c>
      <c r="U146" s="210" t="s">
        <v>950</v>
      </c>
      <c r="V146" s="210" t="s">
        <v>1080</v>
      </c>
      <c r="W146" s="211" t="s">
        <v>1007</v>
      </c>
      <c r="X146" s="211">
        <v>500</v>
      </c>
      <c r="Y146" s="211">
        <v>100</v>
      </c>
      <c r="Z146" s="212">
        <v>100</v>
      </c>
      <c r="AA146" s="240">
        <v>32</v>
      </c>
      <c r="AB146" s="213">
        <v>1.9E-2</v>
      </c>
      <c r="AC146" s="213">
        <v>0.2</v>
      </c>
      <c r="AD146" s="213" t="s">
        <v>113</v>
      </c>
      <c r="AE146" s="213">
        <v>5.0666666666666664E-3</v>
      </c>
      <c r="AF146" s="241">
        <v>8388005.8499999996</v>
      </c>
      <c r="AG146" s="241">
        <v>8388005.8499999996</v>
      </c>
      <c r="AH146" s="213">
        <v>1E-3</v>
      </c>
      <c r="AI146" s="352">
        <v>1.5900000000000001E-2</v>
      </c>
      <c r="AJ146" s="213">
        <v>-0.1855</v>
      </c>
      <c r="AK146" s="352">
        <v>-1.9717</v>
      </c>
      <c r="AL146" s="213" t="s">
        <v>66</v>
      </c>
      <c r="AM146" s="352" t="s">
        <v>66</v>
      </c>
      <c r="AN146" s="213" t="s">
        <v>66</v>
      </c>
      <c r="AO146" s="352" t="s">
        <v>66</v>
      </c>
      <c r="AP146" s="213">
        <v>0.21160000000000001</v>
      </c>
      <c r="AQ146" s="219">
        <v>-1.2885796300004113</v>
      </c>
      <c r="AR146" s="213" t="s">
        <v>1824</v>
      </c>
      <c r="AU146" s="343"/>
      <c r="AV146" s="343"/>
      <c r="AW146" s="328"/>
      <c r="AX146" s="329"/>
      <c r="AY146" s="328"/>
      <c r="AZ146" s="328"/>
      <c r="BA146" s="330"/>
      <c r="BB146" s="328"/>
      <c r="BC146" s="328"/>
      <c r="BD146" s="328"/>
      <c r="BE146" s="330"/>
      <c r="BF146" s="330"/>
      <c r="BG146" s="344"/>
      <c r="BH146" s="330"/>
      <c r="BI146" s="330"/>
      <c r="BJ146" s="330"/>
      <c r="BK146" s="330"/>
      <c r="BL146" s="330"/>
      <c r="BM146" s="330"/>
      <c r="BN146" s="330"/>
      <c r="BO146" s="330"/>
      <c r="BP146" s="331"/>
      <c r="BQ146" s="332"/>
      <c r="BR146" s="333"/>
    </row>
    <row r="147" spans="2:70" ht="15.75" customHeight="1">
      <c r="B147" s="216" t="s">
        <v>149</v>
      </c>
      <c r="C147" s="212">
        <v>1462514</v>
      </c>
      <c r="D147" s="223">
        <v>13608337000128</v>
      </c>
      <c r="E147" s="217" t="s">
        <v>25</v>
      </c>
      <c r="F147" s="217" t="s">
        <v>959</v>
      </c>
      <c r="G147" s="217" t="s">
        <v>960</v>
      </c>
      <c r="H147" s="218" t="s">
        <v>66</v>
      </c>
      <c r="I147" s="217" t="s">
        <v>1841</v>
      </c>
      <c r="J147" s="217" t="s">
        <v>66</v>
      </c>
      <c r="K147" s="218" t="s">
        <v>951</v>
      </c>
      <c r="L147" s="212" t="s">
        <v>87</v>
      </c>
      <c r="M147" s="250"/>
      <c r="N147" s="239">
        <v>40877</v>
      </c>
      <c r="O147" s="210" t="s">
        <v>148</v>
      </c>
      <c r="P147" s="210" t="s">
        <v>1090</v>
      </c>
      <c r="Q147" s="210" t="s">
        <v>1091</v>
      </c>
      <c r="R147" s="210" t="s">
        <v>1084</v>
      </c>
      <c r="S147" s="210" t="s">
        <v>1078</v>
      </c>
      <c r="T147" s="210" t="s">
        <v>1082</v>
      </c>
      <c r="U147" s="210" t="s">
        <v>1086</v>
      </c>
      <c r="V147" s="210" t="s">
        <v>25</v>
      </c>
      <c r="W147" s="211" t="s">
        <v>1016</v>
      </c>
      <c r="X147" s="211">
        <v>5000</v>
      </c>
      <c r="Y147" s="211">
        <v>5000</v>
      </c>
      <c r="Z147" s="212">
        <v>5000</v>
      </c>
      <c r="AA147" s="240">
        <v>30</v>
      </c>
      <c r="AB147" s="213">
        <v>0.02</v>
      </c>
      <c r="AC147" s="213">
        <v>0.2</v>
      </c>
      <c r="AD147" s="213" t="s">
        <v>109</v>
      </c>
      <c r="AE147" s="213">
        <v>4.0000000000000001E-3</v>
      </c>
      <c r="AF147" s="241">
        <v>295734130.99000001</v>
      </c>
      <c r="AG147" s="241">
        <v>295734130.99000001</v>
      </c>
      <c r="AH147" s="213">
        <v>6.7400000000000002E-2</v>
      </c>
      <c r="AI147" s="352">
        <v>1.0375000000000001</v>
      </c>
      <c r="AJ147" s="213">
        <v>1.0699999999999999E-2</v>
      </c>
      <c r="AK147" s="352">
        <v>0.1133</v>
      </c>
      <c r="AL147" s="213">
        <v>-5.1000000000000004E-3</v>
      </c>
      <c r="AM147" s="352">
        <v>-4.2299999999999997E-2</v>
      </c>
      <c r="AN147" s="213">
        <v>9.6600000000000005E-2</v>
      </c>
      <c r="AO147" s="352">
        <v>0.57310000000000005</v>
      </c>
      <c r="AP147" s="213">
        <v>3.8300000000000001E-2</v>
      </c>
      <c r="AQ147" s="219">
        <v>-2.0496372510376633</v>
      </c>
      <c r="AR147" s="213" t="s">
        <v>1827</v>
      </c>
      <c r="AU147" s="343"/>
      <c r="AV147" s="343"/>
      <c r="AW147" s="328"/>
      <c r="AX147" s="329"/>
      <c r="AY147" s="328"/>
      <c r="AZ147" s="328"/>
      <c r="BA147" s="330"/>
      <c r="BB147" s="328"/>
      <c r="BC147" s="328"/>
      <c r="BD147" s="328"/>
      <c r="BE147" s="330"/>
      <c r="BF147" s="330"/>
      <c r="BG147" s="344"/>
      <c r="BH147" s="330"/>
      <c r="BI147" s="330"/>
      <c r="BJ147" s="330"/>
      <c r="BK147" s="330"/>
      <c r="BL147" s="330"/>
      <c r="BM147" s="330"/>
      <c r="BN147" s="330"/>
      <c r="BO147" s="330"/>
      <c r="BP147" s="331"/>
      <c r="BQ147" s="332"/>
      <c r="BR147" s="333"/>
    </row>
    <row r="148" spans="2:70" ht="15.75" customHeight="1">
      <c r="B148" s="216" t="s">
        <v>1131</v>
      </c>
      <c r="C148" s="212">
        <v>594770</v>
      </c>
      <c r="D148" s="223">
        <v>38377278000155</v>
      </c>
      <c r="E148" s="217" t="s">
        <v>28</v>
      </c>
      <c r="F148" s="217" t="s">
        <v>950</v>
      </c>
      <c r="G148" s="217"/>
      <c r="H148" s="218"/>
      <c r="I148" s="217" t="s">
        <v>66</v>
      </c>
      <c r="J148" s="217" t="s">
        <v>66</v>
      </c>
      <c r="K148" s="218" t="s">
        <v>954</v>
      </c>
      <c r="L148" s="212"/>
      <c r="M148" s="250"/>
      <c r="N148" s="239">
        <v>44235</v>
      </c>
      <c r="O148" s="210" t="s">
        <v>148</v>
      </c>
      <c r="P148" s="210" t="s">
        <v>1090</v>
      </c>
      <c r="Q148" s="210" t="s">
        <v>1091</v>
      </c>
      <c r="R148" s="210" t="s">
        <v>1077</v>
      </c>
      <c r="S148" s="210" t="s">
        <v>1078</v>
      </c>
      <c r="T148" s="210" t="s">
        <v>1079</v>
      </c>
      <c r="U148" s="210" t="s">
        <v>65</v>
      </c>
      <c r="V148" s="210" t="s">
        <v>1080</v>
      </c>
      <c r="W148" s="211" t="s">
        <v>1036</v>
      </c>
      <c r="X148" s="211">
        <v>500</v>
      </c>
      <c r="Y148" s="211">
        <v>100</v>
      </c>
      <c r="Z148" s="212">
        <v>100</v>
      </c>
      <c r="AA148" s="240">
        <v>7</v>
      </c>
      <c r="AB148" s="213">
        <v>1.4999999999999999E-2</v>
      </c>
      <c r="AC148" s="213">
        <v>0.2</v>
      </c>
      <c r="AD148" s="213" t="s">
        <v>113</v>
      </c>
      <c r="AE148" s="213">
        <v>4.0000000000000001E-3</v>
      </c>
      <c r="AF148" s="241">
        <v>87338.81</v>
      </c>
      <c r="AG148" s="241">
        <v>87338.81</v>
      </c>
      <c r="AH148" s="213">
        <v>-0.31879999999999997</v>
      </c>
      <c r="AI148" s="352">
        <v>-4.9111000000000002</v>
      </c>
      <c r="AJ148" s="213">
        <v>-0.1754</v>
      </c>
      <c r="AK148" s="352">
        <v>-1.8645</v>
      </c>
      <c r="AL148" s="213" t="s">
        <v>66</v>
      </c>
      <c r="AM148" s="352" t="s">
        <v>66</v>
      </c>
      <c r="AN148" s="213" t="s">
        <v>66</v>
      </c>
      <c r="AO148" s="352" t="s">
        <v>66</v>
      </c>
      <c r="AP148" s="213">
        <v>0.219</v>
      </c>
      <c r="AQ148" s="219">
        <v>-1.1823474167980197</v>
      </c>
      <c r="AR148" s="213" t="s">
        <v>1827</v>
      </c>
      <c r="AU148" s="343"/>
      <c r="AV148" s="343"/>
      <c r="AW148" s="328"/>
      <c r="AX148" s="329"/>
      <c r="AY148" s="328"/>
      <c r="AZ148" s="328"/>
      <c r="BA148" s="330"/>
      <c r="BB148" s="328"/>
      <c r="BC148" s="328"/>
      <c r="BD148" s="328"/>
      <c r="BE148" s="330"/>
      <c r="BF148" s="330"/>
      <c r="BG148" s="344"/>
      <c r="BH148" s="330"/>
      <c r="BI148" s="330"/>
      <c r="BJ148" s="330"/>
      <c r="BK148" s="330"/>
      <c r="BL148" s="330"/>
      <c r="BM148" s="330"/>
      <c r="BN148" s="330"/>
      <c r="BO148" s="330"/>
      <c r="BP148" s="331"/>
      <c r="BQ148" s="332"/>
      <c r="BR148" s="333"/>
    </row>
    <row r="149" spans="2:70" ht="15.75" customHeight="1">
      <c r="B149" s="216" t="s">
        <v>150</v>
      </c>
      <c r="C149" s="212">
        <v>1464252</v>
      </c>
      <c r="D149" s="223">
        <v>17397804000179</v>
      </c>
      <c r="E149" s="217" t="s">
        <v>28</v>
      </c>
      <c r="F149" s="217" t="s">
        <v>957</v>
      </c>
      <c r="G149" s="217" t="s">
        <v>1038</v>
      </c>
      <c r="H149" s="218"/>
      <c r="I149" s="217" t="s">
        <v>1259</v>
      </c>
      <c r="J149" s="217" t="s">
        <v>66</v>
      </c>
      <c r="K149" s="218" t="s">
        <v>951</v>
      </c>
      <c r="L149" s="212" t="s">
        <v>87</v>
      </c>
      <c r="M149" s="250"/>
      <c r="N149" s="239">
        <v>41379</v>
      </c>
      <c r="O149" s="210" t="s">
        <v>148</v>
      </c>
      <c r="P149" s="210" t="s">
        <v>1090</v>
      </c>
      <c r="Q149" s="210" t="s">
        <v>1091</v>
      </c>
      <c r="R149" s="210" t="s">
        <v>1077</v>
      </c>
      <c r="S149" s="210" t="s">
        <v>1078</v>
      </c>
      <c r="T149" s="210" t="s">
        <v>1079</v>
      </c>
      <c r="U149" s="210" t="s">
        <v>957</v>
      </c>
      <c r="V149" s="210" t="s">
        <v>1080</v>
      </c>
      <c r="W149" s="211" t="s">
        <v>1007</v>
      </c>
      <c r="X149" s="211">
        <v>1000</v>
      </c>
      <c r="Y149" s="211">
        <v>1000</v>
      </c>
      <c r="Z149" s="212">
        <v>1000</v>
      </c>
      <c r="AA149" s="240">
        <v>32</v>
      </c>
      <c r="AB149" s="213">
        <v>1.9E-2</v>
      </c>
      <c r="AC149" s="213">
        <v>0.2</v>
      </c>
      <c r="AD149" s="213" t="s">
        <v>109</v>
      </c>
      <c r="AE149" s="213">
        <v>3.9899999999999996E-3</v>
      </c>
      <c r="AF149" s="241">
        <v>119894926.3</v>
      </c>
      <c r="AG149" s="241">
        <v>119894926.3</v>
      </c>
      <c r="AH149" s="213">
        <v>5.91E-2</v>
      </c>
      <c r="AI149" s="352">
        <v>0.91110000000000002</v>
      </c>
      <c r="AJ149" s="213">
        <v>-0.1356</v>
      </c>
      <c r="AK149" s="352">
        <v>-1.4412</v>
      </c>
      <c r="AL149" s="213">
        <v>-0.1033</v>
      </c>
      <c r="AM149" s="352">
        <v>-0.85470000000000002</v>
      </c>
      <c r="AN149" s="213">
        <v>-0.11609999999999999</v>
      </c>
      <c r="AO149" s="352">
        <v>-0.68879999999999997</v>
      </c>
      <c r="AP149" s="213">
        <v>0.14000000000000001</v>
      </c>
      <c r="AQ149" s="219">
        <v>-1.6132808913963748</v>
      </c>
      <c r="AR149" s="213" t="s">
        <v>1827</v>
      </c>
      <c r="AU149" s="343"/>
      <c r="AV149" s="343"/>
      <c r="AW149" s="328"/>
      <c r="AX149" s="329"/>
      <c r="AY149" s="328"/>
      <c r="AZ149" s="328"/>
      <c r="BA149" s="330"/>
      <c r="BB149" s="328"/>
      <c r="BC149" s="328"/>
      <c r="BD149" s="328"/>
      <c r="BE149" s="330"/>
      <c r="BF149" s="330"/>
      <c r="BG149" s="344"/>
      <c r="BH149" s="330"/>
      <c r="BI149" s="330"/>
      <c r="BJ149" s="330"/>
      <c r="BK149" s="330"/>
      <c r="BL149" s="330"/>
      <c r="BM149" s="330"/>
      <c r="BN149" s="330"/>
      <c r="BO149" s="330"/>
      <c r="BP149" s="331"/>
      <c r="BQ149" s="332"/>
      <c r="BR149" s="333"/>
    </row>
    <row r="150" spans="2:70" ht="15.75" customHeight="1">
      <c r="B150" s="216" t="s">
        <v>1132</v>
      </c>
      <c r="C150" s="212">
        <v>534909</v>
      </c>
      <c r="D150" s="223">
        <v>15862797000103</v>
      </c>
      <c r="E150" s="217" t="s">
        <v>28</v>
      </c>
      <c r="F150" s="217" t="s">
        <v>957</v>
      </c>
      <c r="G150" s="217" t="s">
        <v>1038</v>
      </c>
      <c r="H150" s="218"/>
      <c r="I150" s="217" t="s">
        <v>1259</v>
      </c>
      <c r="J150" s="217" t="s">
        <v>66</v>
      </c>
      <c r="K150" s="218" t="s">
        <v>951</v>
      </c>
      <c r="L150" s="212" t="s">
        <v>87</v>
      </c>
      <c r="M150" s="250"/>
      <c r="N150" s="239">
        <v>41148</v>
      </c>
      <c r="O150" s="210" t="s">
        <v>148</v>
      </c>
      <c r="P150" s="210" t="s">
        <v>1090</v>
      </c>
      <c r="Q150" s="210" t="s">
        <v>1091</v>
      </c>
      <c r="R150" s="210" t="s">
        <v>1077</v>
      </c>
      <c r="S150" s="210" t="s">
        <v>1085</v>
      </c>
      <c r="T150" s="210" t="s">
        <v>1079</v>
      </c>
      <c r="U150" s="210" t="s">
        <v>957</v>
      </c>
      <c r="V150" s="210" t="s">
        <v>1080</v>
      </c>
      <c r="W150" s="211" t="s">
        <v>1007</v>
      </c>
      <c r="X150" s="211">
        <v>20000</v>
      </c>
      <c r="Y150" s="211">
        <v>5000</v>
      </c>
      <c r="Z150" s="212">
        <v>5000</v>
      </c>
      <c r="AA150" s="240">
        <v>32</v>
      </c>
      <c r="AB150" s="213">
        <v>1.9E-2</v>
      </c>
      <c r="AC150" s="213">
        <v>0.2</v>
      </c>
      <c r="AD150" s="213" t="s">
        <v>203</v>
      </c>
      <c r="AE150" s="213">
        <v>3.9899999999999996E-3</v>
      </c>
      <c r="AF150" s="241">
        <v>3610345.6</v>
      </c>
      <c r="AG150" s="241">
        <v>3610345.6</v>
      </c>
      <c r="AH150" s="213">
        <v>5.5899999999999998E-2</v>
      </c>
      <c r="AI150" s="352">
        <v>0.8609</v>
      </c>
      <c r="AJ150" s="213">
        <v>-0.1396</v>
      </c>
      <c r="AK150" s="352">
        <v>-1.4836</v>
      </c>
      <c r="AL150" s="213">
        <v>-0.1079</v>
      </c>
      <c r="AM150" s="352">
        <v>-0.89339999999999997</v>
      </c>
      <c r="AN150" s="213">
        <v>-0.1174</v>
      </c>
      <c r="AO150" s="352">
        <v>-0.69669999999999999</v>
      </c>
      <c r="AP150" s="213">
        <v>0.14019999999999999</v>
      </c>
      <c r="AQ150" s="219">
        <v>-1.6438168858119062</v>
      </c>
      <c r="AR150" s="213" t="s">
        <v>1827</v>
      </c>
      <c r="AU150" s="343"/>
      <c r="AV150" s="343"/>
      <c r="AW150" s="328"/>
      <c r="AX150" s="329"/>
      <c r="AY150" s="328"/>
      <c r="AZ150" s="328"/>
      <c r="BA150" s="330"/>
      <c r="BB150" s="328"/>
      <c r="BC150" s="328"/>
      <c r="BD150" s="328"/>
      <c r="BE150" s="330"/>
      <c r="BF150" s="330"/>
      <c r="BG150" s="344"/>
      <c r="BH150" s="330"/>
      <c r="BI150" s="330"/>
      <c r="BJ150" s="330"/>
      <c r="BK150" s="330"/>
      <c r="BL150" s="330"/>
      <c r="BM150" s="330"/>
      <c r="BN150" s="330"/>
      <c r="BO150" s="330"/>
      <c r="BP150" s="331"/>
      <c r="BQ150" s="332"/>
      <c r="BR150" s="333"/>
    </row>
    <row r="151" spans="2:70" ht="15.75" customHeight="1">
      <c r="B151" s="216" t="s">
        <v>1133</v>
      </c>
      <c r="C151" s="212">
        <v>1245505</v>
      </c>
      <c r="D151" s="223">
        <v>27826024000150</v>
      </c>
      <c r="E151" s="217" t="s">
        <v>28</v>
      </c>
      <c r="F151" s="217" t="s">
        <v>957</v>
      </c>
      <c r="G151" s="217" t="s">
        <v>1038</v>
      </c>
      <c r="H151" s="218"/>
      <c r="I151" s="217" t="s">
        <v>1259</v>
      </c>
      <c r="J151" s="217" t="s">
        <v>66</v>
      </c>
      <c r="K151" s="218" t="s">
        <v>951</v>
      </c>
      <c r="L151" s="212" t="s">
        <v>87</v>
      </c>
      <c r="M151" s="250"/>
      <c r="N151" s="239">
        <v>43090</v>
      </c>
      <c r="O151" s="210" t="s">
        <v>148</v>
      </c>
      <c r="P151" s="210" t="s">
        <v>1090</v>
      </c>
      <c r="Q151" s="210" t="s">
        <v>1091</v>
      </c>
      <c r="R151" s="210" t="s">
        <v>1084</v>
      </c>
      <c r="S151" s="210" t="s">
        <v>1085</v>
      </c>
      <c r="T151" s="210" t="s">
        <v>1079</v>
      </c>
      <c r="U151" s="210" t="s">
        <v>957</v>
      </c>
      <c r="V151" s="210" t="s">
        <v>25</v>
      </c>
      <c r="W151" s="211" t="s">
        <v>1016</v>
      </c>
      <c r="X151" s="211">
        <v>1000</v>
      </c>
      <c r="Y151" s="211">
        <v>1000</v>
      </c>
      <c r="Z151" s="212">
        <v>1000</v>
      </c>
      <c r="AA151" s="240">
        <v>32</v>
      </c>
      <c r="AB151" s="213">
        <v>1.9E-2</v>
      </c>
      <c r="AC151" s="213">
        <v>0.2</v>
      </c>
      <c r="AD151" s="213" t="s">
        <v>109</v>
      </c>
      <c r="AE151" s="213">
        <v>4.7499999999999999E-3</v>
      </c>
      <c r="AF151" s="241">
        <v>42738872.659999996</v>
      </c>
      <c r="AG151" s="241">
        <v>42738872.659999996</v>
      </c>
      <c r="AH151" s="213">
        <v>6.2E-2</v>
      </c>
      <c r="AI151" s="352">
        <v>0.95499999999999996</v>
      </c>
      <c r="AJ151" s="213">
        <v>-0.12720000000000001</v>
      </c>
      <c r="AK151" s="352">
        <v>-1.3519000000000001</v>
      </c>
      <c r="AL151" s="213">
        <v>-9.3100000000000002E-2</v>
      </c>
      <c r="AM151" s="352">
        <v>-0.77059999999999995</v>
      </c>
      <c r="AN151" s="213">
        <v>-8.7400000000000005E-2</v>
      </c>
      <c r="AO151" s="352">
        <v>-0.51880000000000004</v>
      </c>
      <c r="AP151" s="213">
        <v>0.13819999999999999</v>
      </c>
      <c r="AQ151" s="219">
        <v>-1.56591220855383</v>
      </c>
      <c r="AR151" s="213" t="s">
        <v>1827</v>
      </c>
      <c r="AU151" s="343"/>
      <c r="AV151" s="343"/>
      <c r="AW151" s="328"/>
      <c r="AX151" s="329"/>
      <c r="AY151" s="328"/>
      <c r="AZ151" s="328"/>
      <c r="BA151" s="330"/>
      <c r="BB151" s="328"/>
      <c r="BC151" s="328"/>
      <c r="BD151" s="328"/>
      <c r="BE151" s="330"/>
      <c r="BF151" s="330"/>
      <c r="BG151" s="344"/>
      <c r="BH151" s="330"/>
      <c r="BI151" s="330"/>
      <c r="BJ151" s="330"/>
      <c r="BK151" s="330"/>
      <c r="BL151" s="330"/>
      <c r="BM151" s="330"/>
      <c r="BN151" s="330"/>
      <c r="BO151" s="330"/>
      <c r="BP151" s="331"/>
      <c r="BQ151" s="332"/>
      <c r="BR151" s="333"/>
    </row>
    <row r="152" spans="2:70" ht="15.75" customHeight="1">
      <c r="B152" s="216" t="s">
        <v>151</v>
      </c>
      <c r="C152" s="212">
        <v>553325</v>
      </c>
      <c r="D152" s="223">
        <v>36352617000113</v>
      </c>
      <c r="E152" s="217" t="s">
        <v>28</v>
      </c>
      <c r="F152" s="217" t="s">
        <v>957</v>
      </c>
      <c r="G152" s="217" t="s">
        <v>1038</v>
      </c>
      <c r="H152" s="218"/>
      <c r="I152" s="217" t="s">
        <v>1259</v>
      </c>
      <c r="J152" s="217" t="s">
        <v>66</v>
      </c>
      <c r="K152" s="218" t="s">
        <v>951</v>
      </c>
      <c r="L152" s="212" t="s">
        <v>87</v>
      </c>
      <c r="M152" s="250"/>
      <c r="N152" s="239">
        <v>43943</v>
      </c>
      <c r="O152" s="210" t="s">
        <v>148</v>
      </c>
      <c r="P152" s="210" t="s">
        <v>1090</v>
      </c>
      <c r="Q152" s="210" t="s">
        <v>1091</v>
      </c>
      <c r="R152" s="210" t="s">
        <v>1084</v>
      </c>
      <c r="S152" s="210" t="s">
        <v>1078</v>
      </c>
      <c r="T152" s="210" t="s">
        <v>1079</v>
      </c>
      <c r="U152" s="210" t="s">
        <v>957</v>
      </c>
      <c r="V152" s="210" t="s">
        <v>25</v>
      </c>
      <c r="W152" s="211" t="s">
        <v>1016</v>
      </c>
      <c r="X152" s="211">
        <v>500</v>
      </c>
      <c r="Y152" s="211">
        <v>100</v>
      </c>
      <c r="Z152" s="212">
        <v>100</v>
      </c>
      <c r="AA152" s="240">
        <v>32</v>
      </c>
      <c r="AB152" s="213">
        <v>1.9E-2</v>
      </c>
      <c r="AC152" s="213">
        <v>0.2</v>
      </c>
      <c r="AD152" s="213" t="s">
        <v>113</v>
      </c>
      <c r="AE152" s="213">
        <v>5.0666666666666664E-3</v>
      </c>
      <c r="AF152" s="241">
        <v>7973536.5</v>
      </c>
      <c r="AG152" s="241">
        <v>7973536.5</v>
      </c>
      <c r="AH152" s="213">
        <v>6.0100000000000001E-2</v>
      </c>
      <c r="AI152" s="352">
        <v>0.92549999999999999</v>
      </c>
      <c r="AJ152" s="213">
        <v>-0.13020000000000001</v>
      </c>
      <c r="AK152" s="352">
        <v>-1.3842000000000001</v>
      </c>
      <c r="AL152" s="213">
        <v>-0.1125</v>
      </c>
      <c r="AM152" s="352">
        <v>-0.93100000000000005</v>
      </c>
      <c r="AN152" s="213" t="s">
        <v>66</v>
      </c>
      <c r="AO152" s="352" t="s">
        <v>66</v>
      </c>
      <c r="AP152" s="213">
        <v>0.1363</v>
      </c>
      <c r="AQ152" s="219">
        <v>-1.6146299057674822</v>
      </c>
      <c r="AR152" s="213" t="s">
        <v>1827</v>
      </c>
      <c r="AU152" s="343"/>
      <c r="AV152" s="343"/>
      <c r="AW152" s="328"/>
      <c r="AX152" s="329"/>
      <c r="AY152" s="328"/>
      <c r="AZ152" s="328"/>
      <c r="BA152" s="330"/>
      <c r="BB152" s="328"/>
      <c r="BC152" s="328"/>
      <c r="BD152" s="328"/>
      <c r="BE152" s="330"/>
      <c r="BF152" s="330"/>
      <c r="BG152" s="344"/>
      <c r="BH152" s="330"/>
      <c r="BI152" s="330"/>
      <c r="BJ152" s="330"/>
      <c r="BK152" s="330"/>
      <c r="BL152" s="330"/>
      <c r="BM152" s="330"/>
      <c r="BN152" s="330"/>
      <c r="BO152" s="330"/>
      <c r="BP152" s="331"/>
      <c r="BQ152" s="332"/>
      <c r="BR152" s="333"/>
    </row>
    <row r="153" spans="2:70" ht="15.75" customHeight="1">
      <c r="B153" s="216" t="s">
        <v>1134</v>
      </c>
      <c r="C153" s="212">
        <v>1310053</v>
      </c>
      <c r="D153" s="223">
        <v>28798135000163</v>
      </c>
      <c r="E153" s="217" t="s">
        <v>28</v>
      </c>
      <c r="F153" s="217" t="s">
        <v>957</v>
      </c>
      <c r="G153" s="217" t="s">
        <v>1038</v>
      </c>
      <c r="H153" s="218"/>
      <c r="I153" s="217" t="s">
        <v>1259</v>
      </c>
      <c r="J153" s="217" t="s">
        <v>66</v>
      </c>
      <c r="K153" s="218" t="s">
        <v>951</v>
      </c>
      <c r="L153" s="212" t="s">
        <v>87</v>
      </c>
      <c r="M153" s="250"/>
      <c r="N153" s="239">
        <v>43090</v>
      </c>
      <c r="O153" s="210" t="s">
        <v>114</v>
      </c>
      <c r="P153" s="210" t="s">
        <v>1075</v>
      </c>
      <c r="Q153" s="210" t="s">
        <v>1076</v>
      </c>
      <c r="R153" s="210" t="s">
        <v>1084</v>
      </c>
      <c r="S153" s="210" t="s">
        <v>1085</v>
      </c>
      <c r="T153" s="210" t="s">
        <v>1079</v>
      </c>
      <c r="U153" s="210" t="s">
        <v>957</v>
      </c>
      <c r="V153" s="210" t="s">
        <v>25</v>
      </c>
      <c r="W153" s="211" t="s">
        <v>1016</v>
      </c>
      <c r="X153" s="211">
        <v>1000</v>
      </c>
      <c r="Y153" s="211">
        <v>500</v>
      </c>
      <c r="Z153" s="212">
        <v>0</v>
      </c>
      <c r="AA153" s="240">
        <v>32</v>
      </c>
      <c r="AB153" s="213">
        <v>1.9E-2</v>
      </c>
      <c r="AC153" s="213">
        <v>0.2</v>
      </c>
      <c r="AD153" s="213" t="s">
        <v>113</v>
      </c>
      <c r="AE153" s="213">
        <v>4.7499999999999999E-3</v>
      </c>
      <c r="AF153" s="241">
        <v>29907768.460000001</v>
      </c>
      <c r="AG153" s="241">
        <v>29907768.460000001</v>
      </c>
      <c r="AH153" s="213">
        <v>6.13E-2</v>
      </c>
      <c r="AI153" s="352">
        <v>0.94469999999999998</v>
      </c>
      <c r="AJ153" s="213">
        <v>-0.1237</v>
      </c>
      <c r="AK153" s="352">
        <v>-1.3144</v>
      </c>
      <c r="AL153" s="213">
        <v>-9.0399999999999994E-2</v>
      </c>
      <c r="AM153" s="352">
        <v>-0.74809999999999999</v>
      </c>
      <c r="AN153" s="213">
        <v>-8.3599999999999994E-2</v>
      </c>
      <c r="AO153" s="352">
        <v>-0.49630000000000002</v>
      </c>
      <c r="AP153" s="213">
        <v>0.13619999999999999</v>
      </c>
      <c r="AQ153" s="219">
        <v>-1.5611817956394343</v>
      </c>
      <c r="AR153" s="213" t="s">
        <v>1827</v>
      </c>
      <c r="AU153" s="343"/>
      <c r="AV153" s="343"/>
      <c r="AW153" s="328"/>
      <c r="AX153" s="329"/>
      <c r="AY153" s="328"/>
      <c r="AZ153" s="328"/>
      <c r="BA153" s="330"/>
      <c r="BB153" s="328"/>
      <c r="BC153" s="328"/>
      <c r="BD153" s="328"/>
      <c r="BE153" s="330"/>
      <c r="BF153" s="330"/>
      <c r="BG153" s="344"/>
      <c r="BH153" s="330"/>
      <c r="BI153" s="330"/>
      <c r="BJ153" s="330"/>
      <c r="BK153" s="330"/>
      <c r="BL153" s="330"/>
      <c r="BM153" s="330"/>
      <c r="BN153" s="330"/>
      <c r="BO153" s="330"/>
      <c r="BP153" s="331"/>
      <c r="BQ153" s="332"/>
      <c r="BR153" s="333"/>
    </row>
    <row r="154" spans="2:70" ht="15.75" customHeight="1">
      <c r="B154" s="216" t="s">
        <v>1135</v>
      </c>
      <c r="C154" s="212">
        <v>1176365</v>
      </c>
      <c r="D154" s="223">
        <v>36014075000179</v>
      </c>
      <c r="E154" s="217" t="s">
        <v>28</v>
      </c>
      <c r="F154" s="217" t="s">
        <v>957</v>
      </c>
      <c r="G154" s="217" t="s">
        <v>1038</v>
      </c>
      <c r="H154" s="218"/>
      <c r="I154" s="217" t="s">
        <v>1259</v>
      </c>
      <c r="J154" s="217" t="s">
        <v>66</v>
      </c>
      <c r="K154" s="218" t="s">
        <v>951</v>
      </c>
      <c r="L154" s="212" t="s">
        <v>87</v>
      </c>
      <c r="M154" s="250"/>
      <c r="N154" s="239">
        <v>44007</v>
      </c>
      <c r="O154" s="210" t="s">
        <v>114</v>
      </c>
      <c r="P154" s="210" t="s">
        <v>1075</v>
      </c>
      <c r="Q154" s="210" t="s">
        <v>1076</v>
      </c>
      <c r="R154" s="210" t="s">
        <v>1084</v>
      </c>
      <c r="S154" s="210" t="s">
        <v>1078</v>
      </c>
      <c r="T154" s="210" t="s">
        <v>1079</v>
      </c>
      <c r="U154" s="210" t="s">
        <v>957</v>
      </c>
      <c r="V154" s="210" t="s">
        <v>25</v>
      </c>
      <c r="W154" s="211" t="s">
        <v>1016</v>
      </c>
      <c r="X154" s="211">
        <v>1000</v>
      </c>
      <c r="Y154" s="211">
        <v>1000</v>
      </c>
      <c r="Z154" s="212">
        <v>1000</v>
      </c>
      <c r="AA154" s="240">
        <v>32</v>
      </c>
      <c r="AB154" s="213">
        <v>1.9E-2</v>
      </c>
      <c r="AC154" s="213">
        <v>0.2</v>
      </c>
      <c r="AD154" s="213" t="s">
        <v>113</v>
      </c>
      <c r="AE154" s="213">
        <v>4.7499999999999999E-3</v>
      </c>
      <c r="AF154" s="241">
        <v>1717387.14</v>
      </c>
      <c r="AG154" s="241">
        <v>1717387.14</v>
      </c>
      <c r="AH154" s="213">
        <v>5.74E-2</v>
      </c>
      <c r="AI154" s="352">
        <v>0.88360000000000005</v>
      </c>
      <c r="AJ154" s="213">
        <v>-0.13439999999999999</v>
      </c>
      <c r="AK154" s="352">
        <v>-1.4288000000000001</v>
      </c>
      <c r="AL154" s="213">
        <v>-9.98E-2</v>
      </c>
      <c r="AM154" s="352">
        <v>-0.82609999999999995</v>
      </c>
      <c r="AN154" s="213" t="s">
        <v>66</v>
      </c>
      <c r="AO154" s="352" t="s">
        <v>66</v>
      </c>
      <c r="AP154" s="213">
        <v>0.13350000000000001</v>
      </c>
      <c r="AQ154" s="219">
        <v>-1.6873817410498548</v>
      </c>
      <c r="AR154" s="213" t="s">
        <v>1827</v>
      </c>
      <c r="AU154" s="343"/>
      <c r="AV154" s="343"/>
      <c r="AW154" s="328"/>
      <c r="AX154" s="329"/>
      <c r="AY154" s="328"/>
      <c r="AZ154" s="328"/>
      <c r="BA154" s="330"/>
      <c r="BB154" s="328"/>
      <c r="BC154" s="328"/>
      <c r="BD154" s="328"/>
      <c r="BE154" s="330"/>
      <c r="BF154" s="330"/>
      <c r="BG154" s="344"/>
      <c r="BH154" s="330"/>
      <c r="BI154" s="330"/>
      <c r="BJ154" s="330"/>
      <c r="BK154" s="330"/>
      <c r="BL154" s="330"/>
      <c r="BM154" s="330"/>
      <c r="BN154" s="330"/>
      <c r="BO154" s="330"/>
      <c r="BP154" s="331"/>
      <c r="BQ154" s="332"/>
      <c r="BR154" s="333"/>
    </row>
    <row r="155" spans="2:70" ht="15.75" customHeight="1">
      <c r="B155" s="216" t="s">
        <v>1136</v>
      </c>
      <c r="C155" s="212">
        <v>1176367</v>
      </c>
      <c r="D155" s="223">
        <v>43164374000155</v>
      </c>
      <c r="E155" s="217" t="s">
        <v>25</v>
      </c>
      <c r="F155" s="217" t="s">
        <v>959</v>
      </c>
      <c r="G155" s="217" t="s">
        <v>961</v>
      </c>
      <c r="H155" s="218" t="s">
        <v>66</v>
      </c>
      <c r="I155" s="217" t="s">
        <v>1842</v>
      </c>
      <c r="J155" s="217" t="s">
        <v>66</v>
      </c>
      <c r="K155" s="218" t="s">
        <v>954</v>
      </c>
      <c r="L155" s="212"/>
      <c r="M155" s="250"/>
      <c r="N155" s="239">
        <v>44441</v>
      </c>
      <c r="O155" s="210" t="s">
        <v>249</v>
      </c>
      <c r="P155" s="210" t="s">
        <v>1075</v>
      </c>
      <c r="Q155" s="210" t="s">
        <v>1076</v>
      </c>
      <c r="R155" s="210" t="s">
        <v>1077</v>
      </c>
      <c r="S155" s="210" t="s">
        <v>1078</v>
      </c>
      <c r="T155" s="210" t="s">
        <v>1082</v>
      </c>
      <c r="U155" s="210" t="s">
        <v>1086</v>
      </c>
      <c r="V155" s="210" t="s">
        <v>25</v>
      </c>
      <c r="W155" s="211" t="s">
        <v>1028</v>
      </c>
      <c r="X155" s="211">
        <v>5000</v>
      </c>
      <c r="Y155" s="211">
        <v>5000</v>
      </c>
      <c r="Z155" s="212">
        <v>5000</v>
      </c>
      <c r="AA155" s="240">
        <v>6</v>
      </c>
      <c r="AB155" s="213">
        <v>0.01</v>
      </c>
      <c r="AC155" s="213">
        <v>0</v>
      </c>
      <c r="AD155" s="213" t="s">
        <v>113</v>
      </c>
      <c r="AE155" s="213" t="s">
        <v>66</v>
      </c>
      <c r="AF155" s="241">
        <v>2800944.57</v>
      </c>
      <c r="AG155" s="241">
        <v>2800944.57</v>
      </c>
      <c r="AH155" s="213">
        <v>2.5000000000000001E-3</v>
      </c>
      <c r="AI155" s="352">
        <v>3.8199999999999998E-2</v>
      </c>
      <c r="AJ155" s="213" t="s">
        <v>66</v>
      </c>
      <c r="AK155" s="352" t="s">
        <v>66</v>
      </c>
      <c r="AL155" s="213" t="s">
        <v>66</v>
      </c>
      <c r="AM155" s="352" t="s">
        <v>66</v>
      </c>
      <c r="AN155" s="213" t="s">
        <v>66</v>
      </c>
      <c r="AO155" s="352" t="s">
        <v>66</v>
      </c>
      <c r="AP155" s="213" t="s">
        <v>66</v>
      </c>
      <c r="AQ155" s="219" t="s">
        <v>66</v>
      </c>
      <c r="AR155" s="213" t="s">
        <v>1824</v>
      </c>
      <c r="AU155" s="343"/>
      <c r="AV155" s="343"/>
      <c r="AW155" s="328"/>
      <c r="AX155" s="329"/>
      <c r="AY155" s="328"/>
      <c r="AZ155" s="328"/>
      <c r="BA155" s="330"/>
      <c r="BB155" s="328"/>
      <c r="BC155" s="328"/>
      <c r="BD155" s="328"/>
      <c r="BE155" s="330"/>
      <c r="BF155" s="330"/>
      <c r="BG155" s="344"/>
      <c r="BH155" s="330"/>
      <c r="BI155" s="330"/>
      <c r="BJ155" s="330"/>
      <c r="BK155" s="330"/>
      <c r="BL155" s="330"/>
      <c r="BM155" s="330"/>
      <c r="BN155" s="330"/>
      <c r="BO155" s="330"/>
      <c r="BP155" s="331"/>
      <c r="BQ155" s="332"/>
      <c r="BR155" s="333"/>
    </row>
    <row r="156" spans="2:70" ht="15.75" customHeight="1">
      <c r="B156" s="216" t="s">
        <v>1137</v>
      </c>
      <c r="C156" s="212">
        <v>2995300</v>
      </c>
      <c r="D156" s="223">
        <v>35002927000145</v>
      </c>
      <c r="E156" s="217" t="s">
        <v>28</v>
      </c>
      <c r="F156" s="217" t="s">
        <v>957</v>
      </c>
      <c r="G156" s="217"/>
      <c r="H156" s="218"/>
      <c r="I156" s="217" t="s">
        <v>1259</v>
      </c>
      <c r="J156" s="217" t="s">
        <v>66</v>
      </c>
      <c r="K156" s="218" t="s">
        <v>954</v>
      </c>
      <c r="L156" s="212" t="s">
        <v>87</v>
      </c>
      <c r="M156" s="250"/>
      <c r="N156" s="239">
        <v>43881</v>
      </c>
      <c r="O156" s="210" t="s">
        <v>249</v>
      </c>
      <c r="P156" s="210" t="s">
        <v>1075</v>
      </c>
      <c r="Q156" s="210" t="s">
        <v>1076</v>
      </c>
      <c r="R156" s="210" t="s">
        <v>1077</v>
      </c>
      <c r="S156" s="210" t="s">
        <v>1078</v>
      </c>
      <c r="T156" s="210" t="s">
        <v>1082</v>
      </c>
      <c r="U156" s="210" t="s">
        <v>65</v>
      </c>
      <c r="V156" s="210" t="s">
        <v>25</v>
      </c>
      <c r="W156" s="211" t="s">
        <v>1028</v>
      </c>
      <c r="X156" s="211">
        <v>5000</v>
      </c>
      <c r="Y156" s="211">
        <v>5000</v>
      </c>
      <c r="Z156" s="212">
        <v>5000</v>
      </c>
      <c r="AA156" s="240">
        <v>12</v>
      </c>
      <c r="AB156" s="213">
        <v>8.0000000000000002E-3</v>
      </c>
      <c r="AC156" s="213">
        <v>0</v>
      </c>
      <c r="AD156" s="213" t="s">
        <v>113</v>
      </c>
      <c r="AE156" s="213">
        <v>6.4000000000000003E-3</v>
      </c>
      <c r="AF156" s="241">
        <v>10713931.699999999</v>
      </c>
      <c r="AG156" s="241">
        <v>10713931.699999999</v>
      </c>
      <c r="AH156" s="213">
        <v>0.02</v>
      </c>
      <c r="AI156" s="352">
        <v>0.3075</v>
      </c>
      <c r="AJ156" s="213">
        <v>0.15890000000000001</v>
      </c>
      <c r="AK156" s="352">
        <v>1.6884999999999999</v>
      </c>
      <c r="AL156" s="213">
        <v>0.31259999999999999</v>
      </c>
      <c r="AM156" s="352">
        <v>2.5878000000000001</v>
      </c>
      <c r="AN156" s="213" t="s">
        <v>66</v>
      </c>
      <c r="AO156" s="352" t="s">
        <v>66</v>
      </c>
      <c r="AP156" s="213">
        <v>0.15</v>
      </c>
      <c r="AQ156" s="219">
        <v>0.45848029083209235</v>
      </c>
      <c r="AR156" s="213" t="s">
        <v>1824</v>
      </c>
      <c r="AU156" s="343"/>
      <c r="AV156" s="343"/>
      <c r="AW156" s="328"/>
      <c r="AX156" s="329"/>
      <c r="AY156" s="328"/>
      <c r="AZ156" s="328"/>
      <c r="BA156" s="330"/>
      <c r="BB156" s="328"/>
      <c r="BC156" s="328"/>
      <c r="BD156" s="328"/>
      <c r="BE156" s="330"/>
      <c r="BF156" s="330"/>
      <c r="BG156" s="344"/>
      <c r="BH156" s="330"/>
      <c r="BI156" s="330"/>
      <c r="BJ156" s="330"/>
      <c r="BK156" s="330"/>
      <c r="BL156" s="330"/>
      <c r="BM156" s="330"/>
      <c r="BN156" s="330"/>
      <c r="BO156" s="330"/>
      <c r="BP156" s="331"/>
      <c r="BQ156" s="332"/>
      <c r="BR156" s="333"/>
    </row>
    <row r="157" spans="2:70" ht="15.75" customHeight="1">
      <c r="B157" s="216" t="s">
        <v>1138</v>
      </c>
      <c r="C157" s="212">
        <v>2830351</v>
      </c>
      <c r="D157" s="223">
        <v>8815380000124</v>
      </c>
      <c r="E157" s="217" t="s">
        <v>19</v>
      </c>
      <c r="F157" s="217" t="s">
        <v>963</v>
      </c>
      <c r="G157" s="217" t="s">
        <v>1011</v>
      </c>
      <c r="H157" s="218" t="s">
        <v>1113</v>
      </c>
      <c r="I157" s="217" t="s">
        <v>66</v>
      </c>
      <c r="J157" s="217"/>
      <c r="K157" s="218" t="s">
        <v>951</v>
      </c>
      <c r="L157" s="212" t="s">
        <v>87</v>
      </c>
      <c r="M157" s="250"/>
      <c r="N157" s="239">
        <v>39265</v>
      </c>
      <c r="O157" s="210" t="s">
        <v>1139</v>
      </c>
      <c r="P157" s="210" t="s">
        <v>1140</v>
      </c>
      <c r="Q157" s="210" t="s">
        <v>1140</v>
      </c>
      <c r="R157" s="210" t="s">
        <v>1084</v>
      </c>
      <c r="S157" s="210" t="s">
        <v>1078</v>
      </c>
      <c r="T157" s="210" t="s">
        <v>349</v>
      </c>
      <c r="U157" s="210" t="s">
        <v>1114</v>
      </c>
      <c r="V157" s="210" t="s">
        <v>25</v>
      </c>
      <c r="W157" s="211" t="s">
        <v>1016</v>
      </c>
      <c r="X157" s="211">
        <v>1000</v>
      </c>
      <c r="Y157" s="211">
        <v>1000</v>
      </c>
      <c r="Z157" s="212">
        <v>1000</v>
      </c>
      <c r="AA157" s="240">
        <v>1</v>
      </c>
      <c r="AB157" s="213">
        <v>1.2500000000000001E-2</v>
      </c>
      <c r="AC157" s="213">
        <v>0.2</v>
      </c>
      <c r="AD157" s="213" t="s">
        <v>109</v>
      </c>
      <c r="AE157" s="213" t="s">
        <v>66</v>
      </c>
      <c r="AF157" s="241">
        <v>6673330.1399999997</v>
      </c>
      <c r="AG157" s="241">
        <v>6673330.1399999997</v>
      </c>
      <c r="AH157" s="213">
        <v>4.6300000000000001E-2</v>
      </c>
      <c r="AI157" s="352">
        <v>0.71340000000000003</v>
      </c>
      <c r="AJ157" s="213">
        <v>4.9299999999999997E-2</v>
      </c>
      <c r="AK157" s="352">
        <v>0.52349999999999997</v>
      </c>
      <c r="AL157" s="213">
        <v>8.5400000000000004E-2</v>
      </c>
      <c r="AM157" s="352">
        <v>0.70669999999999999</v>
      </c>
      <c r="AN157" s="213">
        <v>0.1221</v>
      </c>
      <c r="AO157" s="352">
        <v>0.72440000000000004</v>
      </c>
      <c r="AP157" s="213">
        <v>2.0799999999999999E-2</v>
      </c>
      <c r="AQ157" s="219">
        <v>-2.0002743953416666</v>
      </c>
      <c r="AR157" s="213" t="s">
        <v>1827</v>
      </c>
      <c r="AU157" s="343"/>
      <c r="AV157" s="343"/>
      <c r="AW157" s="328"/>
      <c r="AX157" s="329"/>
      <c r="AY157" s="328"/>
      <c r="AZ157" s="328"/>
      <c r="BA157" s="330"/>
      <c r="BB157" s="328"/>
      <c r="BC157" s="328"/>
      <c r="BD157" s="328"/>
      <c r="BE157" s="330"/>
      <c r="BF157" s="330"/>
      <c r="BG157" s="344"/>
      <c r="BH157" s="330"/>
      <c r="BI157" s="330"/>
      <c r="BJ157" s="330"/>
      <c r="BK157" s="330"/>
      <c r="BL157" s="330"/>
      <c r="BM157" s="330"/>
      <c r="BN157" s="330"/>
      <c r="BO157" s="330"/>
      <c r="BP157" s="331"/>
      <c r="BQ157" s="332"/>
      <c r="BR157" s="333"/>
    </row>
    <row r="158" spans="2:70" ht="15.75" customHeight="1">
      <c r="B158" s="216" t="s">
        <v>1141</v>
      </c>
      <c r="C158" s="212">
        <v>759347</v>
      </c>
      <c r="D158" s="223">
        <v>4812385000142</v>
      </c>
      <c r="E158" s="217" t="s">
        <v>28</v>
      </c>
      <c r="F158" s="217" t="s">
        <v>957</v>
      </c>
      <c r="G158" s="217"/>
      <c r="H158" s="218"/>
      <c r="I158" s="217" t="s">
        <v>1842</v>
      </c>
      <c r="J158" s="217" t="s">
        <v>66</v>
      </c>
      <c r="K158" s="218" t="s">
        <v>951</v>
      </c>
      <c r="L158" s="212" t="s">
        <v>87</v>
      </c>
      <c r="M158" s="250"/>
      <c r="N158" s="239">
        <v>41814</v>
      </c>
      <c r="O158" s="210" t="s">
        <v>1139</v>
      </c>
      <c r="P158" s="210" t="s">
        <v>1140</v>
      </c>
      <c r="Q158" s="210" t="s">
        <v>1140</v>
      </c>
      <c r="R158" s="210" t="s">
        <v>1084</v>
      </c>
      <c r="S158" s="210" t="s">
        <v>1078</v>
      </c>
      <c r="T158" s="210" t="s">
        <v>1079</v>
      </c>
      <c r="U158" s="210" t="s">
        <v>950</v>
      </c>
      <c r="V158" s="210" t="s">
        <v>1080</v>
      </c>
      <c r="W158" s="211" t="s">
        <v>1007</v>
      </c>
      <c r="X158" s="211">
        <v>1000</v>
      </c>
      <c r="Y158" s="211">
        <v>1000</v>
      </c>
      <c r="Z158" s="212">
        <v>1000</v>
      </c>
      <c r="AA158" s="240">
        <v>3</v>
      </c>
      <c r="AB158" s="213">
        <v>0.02</v>
      </c>
      <c r="AC158" s="213">
        <v>0.1</v>
      </c>
      <c r="AD158" s="213" t="s">
        <v>1014</v>
      </c>
      <c r="AE158" s="213" t="s">
        <v>66</v>
      </c>
      <c r="AF158" s="241">
        <v>25027020.620000001</v>
      </c>
      <c r="AG158" s="241">
        <v>25027020.620000001</v>
      </c>
      <c r="AH158" s="213">
        <v>-0.1147</v>
      </c>
      <c r="AI158" s="352">
        <v>-1.7669999999999999</v>
      </c>
      <c r="AJ158" s="213">
        <v>-0.2601</v>
      </c>
      <c r="AK158" s="352">
        <v>-2.7645</v>
      </c>
      <c r="AL158" s="213">
        <v>-7.3800000000000004E-2</v>
      </c>
      <c r="AM158" s="352">
        <v>-0.61080000000000001</v>
      </c>
      <c r="AN158" s="213">
        <v>-0.20319999999999999</v>
      </c>
      <c r="AO158" s="352">
        <v>-1.2056</v>
      </c>
      <c r="AP158" s="213">
        <v>0.19600000000000001</v>
      </c>
      <c r="AQ158" s="219">
        <v>-1.8966203579813641</v>
      </c>
      <c r="AR158" s="213" t="s">
        <v>1827</v>
      </c>
      <c r="AU158" s="343"/>
      <c r="AV158" s="343"/>
      <c r="AW158" s="328"/>
      <c r="AX158" s="329"/>
      <c r="AY158" s="328"/>
      <c r="AZ158" s="328"/>
      <c r="BA158" s="330"/>
      <c r="BB158" s="328"/>
      <c r="BC158" s="328"/>
      <c r="BD158" s="328"/>
      <c r="BE158" s="330"/>
      <c r="BF158" s="330"/>
      <c r="BG158" s="344"/>
      <c r="BH158" s="330"/>
      <c r="BI158" s="330"/>
      <c r="BJ158" s="330"/>
      <c r="BK158" s="330"/>
      <c r="BL158" s="330"/>
      <c r="BM158" s="330"/>
      <c r="BN158" s="330"/>
      <c r="BO158" s="330"/>
      <c r="BP158" s="331"/>
      <c r="BQ158" s="332"/>
      <c r="BR158" s="333"/>
    </row>
    <row r="159" spans="2:70" ht="15.75" customHeight="1">
      <c r="B159" s="216" t="s">
        <v>1142</v>
      </c>
      <c r="C159" s="212">
        <v>760742</v>
      </c>
      <c r="D159" s="223">
        <v>21689246000192</v>
      </c>
      <c r="E159" s="217" t="s">
        <v>28</v>
      </c>
      <c r="F159" s="217" t="s">
        <v>950</v>
      </c>
      <c r="G159" s="217"/>
      <c r="H159" s="218"/>
      <c r="I159" s="217" t="s">
        <v>66</v>
      </c>
      <c r="J159" s="217" t="s">
        <v>66</v>
      </c>
      <c r="K159" s="218" t="s">
        <v>954</v>
      </c>
      <c r="L159" s="212" t="s">
        <v>87</v>
      </c>
      <c r="M159" s="250"/>
      <c r="N159" s="239">
        <v>42086</v>
      </c>
      <c r="O159" s="210" t="s">
        <v>152</v>
      </c>
      <c r="P159" s="210" t="s">
        <v>1075</v>
      </c>
      <c r="Q159" s="210" t="s">
        <v>1076</v>
      </c>
      <c r="R159" s="210" t="s">
        <v>1077</v>
      </c>
      <c r="S159" s="210" t="s">
        <v>1078</v>
      </c>
      <c r="T159" s="210" t="s">
        <v>1079</v>
      </c>
      <c r="U159" s="210" t="s">
        <v>65</v>
      </c>
      <c r="V159" s="210" t="s">
        <v>1080</v>
      </c>
      <c r="W159" s="211" t="s">
        <v>1007</v>
      </c>
      <c r="X159" s="211">
        <v>1000</v>
      </c>
      <c r="Y159" s="211">
        <v>1000</v>
      </c>
      <c r="Z159" s="212">
        <v>1000</v>
      </c>
      <c r="AA159" s="240">
        <v>12</v>
      </c>
      <c r="AB159" s="213">
        <v>0.02</v>
      </c>
      <c r="AC159" s="213">
        <v>0.2</v>
      </c>
      <c r="AD159" s="213" t="s">
        <v>113</v>
      </c>
      <c r="AE159" s="213">
        <v>6.6666666666666662E-3</v>
      </c>
      <c r="AF159" s="241">
        <v>140855557.69999999</v>
      </c>
      <c r="AG159" s="241">
        <v>140855557.69999999</v>
      </c>
      <c r="AH159" s="213">
        <v>-0.22509999999999999</v>
      </c>
      <c r="AI159" s="352">
        <v>-3.4670000000000001</v>
      </c>
      <c r="AJ159" s="213">
        <v>-0.23630000000000001</v>
      </c>
      <c r="AK159" s="352">
        <v>-2.5118999999999998</v>
      </c>
      <c r="AL159" s="213">
        <v>0.13420000000000001</v>
      </c>
      <c r="AM159" s="352">
        <v>1.1113</v>
      </c>
      <c r="AN159" s="213">
        <v>1.1194</v>
      </c>
      <c r="AO159" s="352">
        <v>6.6429</v>
      </c>
      <c r="AP159" s="213">
        <v>0.30109999999999998</v>
      </c>
      <c r="AQ159" s="219">
        <v>-1.0431335621264872</v>
      </c>
      <c r="AR159" s="213" t="s">
        <v>1827</v>
      </c>
      <c r="AU159" s="343"/>
      <c r="AV159" s="343"/>
      <c r="AW159" s="328"/>
      <c r="AX159" s="329"/>
      <c r="AY159" s="328"/>
      <c r="AZ159" s="328"/>
      <c r="BA159" s="330"/>
      <c r="BB159" s="328"/>
      <c r="BC159" s="328"/>
      <c r="BD159" s="328"/>
      <c r="BE159" s="330"/>
      <c r="BF159" s="330"/>
      <c r="BG159" s="344"/>
      <c r="BH159" s="330"/>
      <c r="BI159" s="330"/>
      <c r="BJ159" s="330"/>
      <c r="BK159" s="330"/>
      <c r="BL159" s="330"/>
      <c r="BM159" s="330"/>
      <c r="BN159" s="330"/>
      <c r="BO159" s="330"/>
      <c r="BP159" s="331"/>
      <c r="BQ159" s="332"/>
      <c r="BR159" s="333"/>
    </row>
    <row r="160" spans="2:70" ht="15.75" customHeight="1">
      <c r="B160" s="216" t="s">
        <v>153</v>
      </c>
      <c r="C160" s="212">
        <v>926037</v>
      </c>
      <c r="D160" s="223">
        <v>41373625000186</v>
      </c>
      <c r="E160" s="217" t="s">
        <v>28</v>
      </c>
      <c r="F160" s="217" t="s">
        <v>950</v>
      </c>
      <c r="G160" s="217"/>
      <c r="H160" s="218"/>
      <c r="I160" s="217" t="s">
        <v>66</v>
      </c>
      <c r="J160" s="217" t="s">
        <v>66</v>
      </c>
      <c r="K160" s="218" t="s">
        <v>954</v>
      </c>
      <c r="L160" s="212" t="s">
        <v>88</v>
      </c>
      <c r="M160" s="250"/>
      <c r="N160" s="239">
        <v>44316</v>
      </c>
      <c r="O160" s="210" t="s">
        <v>152</v>
      </c>
      <c r="P160" s="210" t="s">
        <v>1075</v>
      </c>
      <c r="Q160" s="210" t="s">
        <v>1076</v>
      </c>
      <c r="R160" s="210" t="s">
        <v>1077</v>
      </c>
      <c r="S160" s="210" t="s">
        <v>1078</v>
      </c>
      <c r="T160" s="210" t="s">
        <v>1079</v>
      </c>
      <c r="U160" s="210" t="s">
        <v>65</v>
      </c>
      <c r="V160" s="210" t="s">
        <v>1080</v>
      </c>
      <c r="W160" s="211" t="s">
        <v>1036</v>
      </c>
      <c r="X160" s="211">
        <v>1000</v>
      </c>
      <c r="Y160" s="211">
        <v>1000</v>
      </c>
      <c r="Z160" s="212">
        <v>1000</v>
      </c>
      <c r="AA160" s="240">
        <v>12</v>
      </c>
      <c r="AB160" s="213">
        <v>0.02</v>
      </c>
      <c r="AC160" s="213">
        <v>0.2</v>
      </c>
      <c r="AD160" s="213" t="s">
        <v>113</v>
      </c>
      <c r="AE160" s="213">
        <v>6.6666666666666662E-3</v>
      </c>
      <c r="AF160" s="241">
        <v>9466780.7200000007</v>
      </c>
      <c r="AG160" s="241">
        <v>9466780.7200000007</v>
      </c>
      <c r="AH160" s="213">
        <v>-0.2913</v>
      </c>
      <c r="AI160" s="352">
        <v>-4.4874999999999998</v>
      </c>
      <c r="AJ160" s="213">
        <v>-0.26090000000000002</v>
      </c>
      <c r="AK160" s="352">
        <v>-2.7732000000000001</v>
      </c>
      <c r="AL160" s="213" t="s">
        <v>66</v>
      </c>
      <c r="AM160" s="352" t="s">
        <v>66</v>
      </c>
      <c r="AN160" s="213" t="s">
        <v>66</v>
      </c>
      <c r="AO160" s="352" t="s">
        <v>66</v>
      </c>
      <c r="AP160" s="213">
        <v>0.29060000000000002</v>
      </c>
      <c r="AQ160" s="219">
        <v>-1.2048525425262864</v>
      </c>
      <c r="AR160" s="213" t="s">
        <v>1827</v>
      </c>
      <c r="AU160" s="343"/>
      <c r="AV160" s="343"/>
      <c r="AW160" s="328"/>
      <c r="AX160" s="329"/>
      <c r="AY160" s="328"/>
      <c r="AZ160" s="328"/>
      <c r="BA160" s="330"/>
      <c r="BB160" s="328"/>
      <c r="BC160" s="328"/>
      <c r="BD160" s="328"/>
      <c r="BE160" s="330"/>
      <c r="BF160" s="330"/>
      <c r="BG160" s="344"/>
      <c r="BH160" s="330"/>
      <c r="BI160" s="330"/>
      <c r="BJ160" s="330"/>
      <c r="BK160" s="330"/>
      <c r="BL160" s="330"/>
      <c r="BM160" s="330"/>
      <c r="BN160" s="330"/>
      <c r="BO160" s="330"/>
      <c r="BP160" s="331"/>
      <c r="BQ160" s="332"/>
      <c r="BR160" s="333"/>
    </row>
    <row r="161" spans="2:70" ht="15.75" customHeight="1">
      <c r="B161" s="216" t="s">
        <v>1144</v>
      </c>
      <c r="C161" s="212">
        <v>3143478</v>
      </c>
      <c r="D161" s="223">
        <v>19523641000159</v>
      </c>
      <c r="E161" s="217" t="s">
        <v>25</v>
      </c>
      <c r="F161" s="217" t="s">
        <v>958</v>
      </c>
      <c r="G161" s="217" t="s">
        <v>962</v>
      </c>
      <c r="H161" s="218" t="s">
        <v>66</v>
      </c>
      <c r="I161" s="217" t="s">
        <v>1841</v>
      </c>
      <c r="J161" s="217" t="s">
        <v>66</v>
      </c>
      <c r="K161" s="218"/>
      <c r="L161" s="212" t="s">
        <v>87</v>
      </c>
      <c r="M161" s="250"/>
      <c r="N161" s="239">
        <v>41757</v>
      </c>
      <c r="O161" s="210" t="s">
        <v>157</v>
      </c>
      <c r="P161" s="210" t="s">
        <v>1075</v>
      </c>
      <c r="Q161" s="210" t="s">
        <v>1091</v>
      </c>
      <c r="R161" s="210" t="s">
        <v>1084</v>
      </c>
      <c r="S161" s="210" t="s">
        <v>1078</v>
      </c>
      <c r="T161" s="210" t="s">
        <v>1082</v>
      </c>
      <c r="U161" s="210" t="s">
        <v>958</v>
      </c>
      <c r="V161" s="210" t="s">
        <v>25</v>
      </c>
      <c r="W161" s="211" t="s">
        <v>1016</v>
      </c>
      <c r="X161" s="211">
        <v>1000</v>
      </c>
      <c r="Y161" s="211">
        <v>1000</v>
      </c>
      <c r="Z161" s="212">
        <v>1000</v>
      </c>
      <c r="AA161" s="240">
        <v>30</v>
      </c>
      <c r="AB161" s="213">
        <v>1.4E-2</v>
      </c>
      <c r="AC161" s="213">
        <v>0.15</v>
      </c>
      <c r="AD161" s="213" t="s">
        <v>109</v>
      </c>
      <c r="AE161" s="213">
        <v>3.7333333333333333E-3</v>
      </c>
      <c r="AF161" s="241">
        <v>59028996.93</v>
      </c>
      <c r="AG161" s="241">
        <v>59028996.93</v>
      </c>
      <c r="AH161" s="213">
        <v>9.6699999999999994E-2</v>
      </c>
      <c r="AI161" s="352">
        <v>1.4886999999999999</v>
      </c>
      <c r="AJ161" s="213">
        <v>9.5100000000000004E-2</v>
      </c>
      <c r="AK161" s="352">
        <v>1.0105</v>
      </c>
      <c r="AL161" s="213">
        <v>0.18129999999999999</v>
      </c>
      <c r="AM161" s="352">
        <v>1.5004</v>
      </c>
      <c r="AN161" s="213">
        <v>0.1726</v>
      </c>
      <c r="AO161" s="352">
        <v>1.0244</v>
      </c>
      <c r="AP161" s="213">
        <v>3.8399999999999997E-2</v>
      </c>
      <c r="AQ161" s="219">
        <v>4.2677408819868805E-2</v>
      </c>
      <c r="AR161" s="213" t="s">
        <v>1827</v>
      </c>
      <c r="AU161" s="343"/>
      <c r="AV161" s="343"/>
      <c r="AW161" s="328"/>
      <c r="AX161" s="329"/>
      <c r="AY161" s="328"/>
      <c r="AZ161" s="328"/>
      <c r="BA161" s="330"/>
      <c r="BB161" s="328"/>
      <c r="BC161" s="328"/>
      <c r="BD161" s="328"/>
      <c r="BE161" s="330"/>
      <c r="BF161" s="330"/>
      <c r="BG161" s="344"/>
      <c r="BH161" s="330"/>
      <c r="BI161" s="330"/>
      <c r="BJ161" s="330"/>
      <c r="BK161" s="330"/>
      <c r="BL161" s="330"/>
      <c r="BM161" s="330"/>
      <c r="BN161" s="330"/>
      <c r="BO161" s="330"/>
      <c r="BP161" s="331"/>
      <c r="BQ161" s="332"/>
      <c r="BR161" s="333"/>
    </row>
    <row r="162" spans="2:70" ht="15.75" customHeight="1">
      <c r="B162" s="216" t="s">
        <v>156</v>
      </c>
      <c r="C162" s="212">
        <v>786937</v>
      </c>
      <c r="D162" s="223">
        <v>36327745000107</v>
      </c>
      <c r="E162" s="217" t="s">
        <v>25</v>
      </c>
      <c r="F162" s="217" t="s">
        <v>958</v>
      </c>
      <c r="G162" s="217" t="s">
        <v>962</v>
      </c>
      <c r="H162" s="218" t="s">
        <v>66</v>
      </c>
      <c r="I162" s="217" t="s">
        <v>1842</v>
      </c>
      <c r="J162" s="217" t="s">
        <v>66</v>
      </c>
      <c r="K162" s="218"/>
      <c r="L162" s="212" t="s">
        <v>87</v>
      </c>
      <c r="M162" s="250"/>
      <c r="N162" s="239">
        <v>43970</v>
      </c>
      <c r="O162" s="210" t="s">
        <v>157</v>
      </c>
      <c r="P162" s="210" t="s">
        <v>1075</v>
      </c>
      <c r="Q162" s="210" t="s">
        <v>1091</v>
      </c>
      <c r="R162" s="210" t="s">
        <v>1084</v>
      </c>
      <c r="S162" s="210" t="s">
        <v>1078</v>
      </c>
      <c r="T162" s="210" t="s">
        <v>1082</v>
      </c>
      <c r="U162" s="210" t="s">
        <v>958</v>
      </c>
      <c r="V162" s="210" t="s">
        <v>25</v>
      </c>
      <c r="W162" s="211" t="s">
        <v>1016</v>
      </c>
      <c r="X162" s="211">
        <v>1000</v>
      </c>
      <c r="Y162" s="211">
        <v>1000</v>
      </c>
      <c r="Z162" s="212">
        <v>1000</v>
      </c>
      <c r="AA162" s="240">
        <v>30</v>
      </c>
      <c r="AB162" s="213">
        <v>0.02</v>
      </c>
      <c r="AC162" s="213">
        <v>0.2</v>
      </c>
      <c r="AD162" s="213" t="s">
        <v>113</v>
      </c>
      <c r="AE162" s="213">
        <v>5.3333333333333332E-3</v>
      </c>
      <c r="AF162" s="241">
        <v>33352794.699999999</v>
      </c>
      <c r="AG162" s="241">
        <v>33352794.699999999</v>
      </c>
      <c r="AH162" s="213">
        <v>0.13239999999999999</v>
      </c>
      <c r="AI162" s="352">
        <v>2.0390000000000001</v>
      </c>
      <c r="AJ162" s="213">
        <v>0.10580000000000001</v>
      </c>
      <c r="AK162" s="352">
        <v>1.1240000000000001</v>
      </c>
      <c r="AL162" s="213">
        <v>0.22489999999999999</v>
      </c>
      <c r="AM162" s="352">
        <v>1.8619000000000001</v>
      </c>
      <c r="AN162" s="213" t="s">
        <v>66</v>
      </c>
      <c r="AO162" s="352" t="s">
        <v>66</v>
      </c>
      <c r="AP162" s="213">
        <v>7.2900000000000006E-2</v>
      </c>
      <c r="AQ162" s="219">
        <v>0.18190840598622599</v>
      </c>
      <c r="AR162" s="213" t="s">
        <v>1827</v>
      </c>
      <c r="AU162" s="343"/>
      <c r="AV162" s="343"/>
      <c r="AW162" s="328"/>
      <c r="AX162" s="329"/>
      <c r="AY162" s="328"/>
      <c r="AZ162" s="328"/>
      <c r="BA162" s="330"/>
      <c r="BB162" s="328"/>
      <c r="BC162" s="328"/>
      <c r="BD162" s="328"/>
      <c r="BE162" s="330"/>
      <c r="BF162" s="330"/>
      <c r="BG162" s="344"/>
      <c r="BH162" s="330"/>
      <c r="BI162" s="330"/>
      <c r="BJ162" s="330"/>
      <c r="BK162" s="330"/>
      <c r="BL162" s="330"/>
      <c r="BM162" s="330"/>
      <c r="BN162" s="330"/>
      <c r="BO162" s="330"/>
      <c r="BP162" s="331"/>
      <c r="BQ162" s="332"/>
      <c r="BR162" s="333"/>
    </row>
    <row r="163" spans="2:70" ht="15.75" customHeight="1">
      <c r="B163" s="216" t="s">
        <v>1145</v>
      </c>
      <c r="C163" s="212">
        <v>1818563</v>
      </c>
      <c r="D163" s="223">
        <v>34172497000147</v>
      </c>
      <c r="E163" s="217" t="s">
        <v>25</v>
      </c>
      <c r="F163" s="217" t="s">
        <v>958</v>
      </c>
      <c r="G163" s="217" t="s">
        <v>962</v>
      </c>
      <c r="H163" s="218" t="s">
        <v>66</v>
      </c>
      <c r="I163" s="217" t="s">
        <v>1842</v>
      </c>
      <c r="J163" s="217" t="s">
        <v>66</v>
      </c>
      <c r="K163" s="218"/>
      <c r="L163" s="212" t="s">
        <v>87</v>
      </c>
      <c r="M163" s="250"/>
      <c r="N163" s="239">
        <v>43761</v>
      </c>
      <c r="O163" s="210" t="s">
        <v>159</v>
      </c>
      <c r="P163" s="210" t="s">
        <v>1075</v>
      </c>
      <c r="Q163" s="210" t="s">
        <v>1076</v>
      </c>
      <c r="R163" s="210" t="s">
        <v>1077</v>
      </c>
      <c r="S163" s="210" t="s">
        <v>1078</v>
      </c>
      <c r="T163" s="210" t="s">
        <v>1082</v>
      </c>
      <c r="U163" s="210" t="s">
        <v>958</v>
      </c>
      <c r="V163" s="210" t="s">
        <v>25</v>
      </c>
      <c r="W163" s="211" t="s">
        <v>1016</v>
      </c>
      <c r="X163" s="211">
        <v>10000</v>
      </c>
      <c r="Y163" s="211">
        <v>2000</v>
      </c>
      <c r="Z163" s="212">
        <v>2000</v>
      </c>
      <c r="AA163" s="240">
        <v>22</v>
      </c>
      <c r="AB163" s="213">
        <v>0.02</v>
      </c>
      <c r="AC163" s="213">
        <v>0.2</v>
      </c>
      <c r="AD163" s="213" t="s">
        <v>113</v>
      </c>
      <c r="AE163" s="213">
        <v>5.3333333333333332E-3</v>
      </c>
      <c r="AF163" s="241">
        <v>129872443.31</v>
      </c>
      <c r="AG163" s="241">
        <v>129872443.31</v>
      </c>
      <c r="AH163" s="213">
        <v>0.157</v>
      </c>
      <c r="AI163" s="352">
        <v>2.4184999999999999</v>
      </c>
      <c r="AJ163" s="213">
        <v>0.2271</v>
      </c>
      <c r="AK163" s="352">
        <v>2.4135</v>
      </c>
      <c r="AL163" s="213">
        <v>0.24410000000000001</v>
      </c>
      <c r="AM163" s="352">
        <v>2.0207999999999999</v>
      </c>
      <c r="AN163" s="213" t="s">
        <v>66</v>
      </c>
      <c r="AO163" s="352" t="s">
        <v>66</v>
      </c>
      <c r="AP163" s="213">
        <v>0.1008</v>
      </c>
      <c r="AQ163" s="219">
        <v>1.188701781549937</v>
      </c>
      <c r="AR163" s="213" t="s">
        <v>1827</v>
      </c>
      <c r="AU163" s="343"/>
      <c r="AV163" s="343"/>
      <c r="AW163" s="328"/>
      <c r="AX163" s="329"/>
      <c r="AY163" s="328"/>
      <c r="AZ163" s="328"/>
      <c r="BA163" s="330"/>
      <c r="BB163" s="328"/>
      <c r="BC163" s="328"/>
      <c r="BD163" s="328"/>
      <c r="BE163" s="330"/>
      <c r="BF163" s="330"/>
      <c r="BG163" s="344"/>
      <c r="BH163" s="330"/>
      <c r="BI163" s="330"/>
      <c r="BJ163" s="330"/>
      <c r="BK163" s="330"/>
      <c r="BL163" s="330"/>
      <c r="BM163" s="330"/>
      <c r="BN163" s="330"/>
      <c r="BO163" s="330"/>
      <c r="BP163" s="331"/>
      <c r="BQ163" s="332"/>
      <c r="BR163" s="333"/>
    </row>
    <row r="164" spans="2:70" ht="15.75" customHeight="1">
      <c r="B164" s="216" t="s">
        <v>1146</v>
      </c>
      <c r="C164" s="212">
        <v>947549</v>
      </c>
      <c r="D164" s="223">
        <v>33601214000172</v>
      </c>
      <c r="E164" s="217" t="s">
        <v>25</v>
      </c>
      <c r="F164" s="217" t="s">
        <v>958</v>
      </c>
      <c r="G164" s="217" t="s">
        <v>962</v>
      </c>
      <c r="H164" s="218" t="s">
        <v>66</v>
      </c>
      <c r="I164" s="217" t="s">
        <v>1842</v>
      </c>
      <c r="J164" s="217" t="s">
        <v>66</v>
      </c>
      <c r="K164" s="218"/>
      <c r="L164" s="212" t="s">
        <v>87</v>
      </c>
      <c r="M164" s="250"/>
      <c r="N164" s="239">
        <v>43661</v>
      </c>
      <c r="O164" s="210" t="s">
        <v>159</v>
      </c>
      <c r="P164" s="210" t="s">
        <v>1075</v>
      </c>
      <c r="Q164" s="210" t="s">
        <v>1076</v>
      </c>
      <c r="R164" s="210" t="s">
        <v>1077</v>
      </c>
      <c r="S164" s="210" t="s">
        <v>1078</v>
      </c>
      <c r="T164" s="210" t="s">
        <v>1082</v>
      </c>
      <c r="U164" s="210" t="s">
        <v>958</v>
      </c>
      <c r="V164" s="210" t="s">
        <v>25</v>
      </c>
      <c r="W164" s="211" t="s">
        <v>1016</v>
      </c>
      <c r="X164" s="211">
        <v>5000</v>
      </c>
      <c r="Y164" s="211">
        <v>1000</v>
      </c>
      <c r="Z164" s="212">
        <v>1000</v>
      </c>
      <c r="AA164" s="240">
        <v>22</v>
      </c>
      <c r="AB164" s="213">
        <v>1.4999999999999999E-2</v>
      </c>
      <c r="AC164" s="213">
        <v>0.2</v>
      </c>
      <c r="AD164" s="213" t="s">
        <v>113</v>
      </c>
      <c r="AE164" s="213">
        <v>4.0000000000000001E-3</v>
      </c>
      <c r="AF164" s="241" t="s">
        <v>66</v>
      </c>
      <c r="AG164" s="241" t="s">
        <v>66</v>
      </c>
      <c r="AH164" s="213" t="s">
        <v>66</v>
      </c>
      <c r="AI164" s="352" t="s">
        <v>66</v>
      </c>
      <c r="AJ164" s="213" t="s">
        <v>66</v>
      </c>
      <c r="AK164" s="352" t="s">
        <v>66</v>
      </c>
      <c r="AL164" s="213" t="s">
        <v>66</v>
      </c>
      <c r="AM164" s="352" t="s">
        <v>66</v>
      </c>
      <c r="AN164" s="213" t="s">
        <v>66</v>
      </c>
      <c r="AO164" s="352" t="s">
        <v>66</v>
      </c>
      <c r="AP164" s="213" t="s">
        <v>66</v>
      </c>
      <c r="AQ164" s="219" t="s">
        <v>66</v>
      </c>
      <c r="AR164" s="213" t="s">
        <v>1827</v>
      </c>
      <c r="AU164" s="343"/>
      <c r="AV164" s="343"/>
      <c r="AW164" s="328"/>
      <c r="AX164" s="329"/>
      <c r="AY164" s="328"/>
      <c r="AZ164" s="328"/>
      <c r="BA164" s="330"/>
      <c r="BB164" s="328"/>
      <c r="BC164" s="328"/>
      <c r="BD164" s="328"/>
      <c r="BE164" s="330"/>
      <c r="BF164" s="330"/>
      <c r="BG164" s="344"/>
      <c r="BH164" s="330"/>
      <c r="BI164" s="330"/>
      <c r="BJ164" s="330"/>
      <c r="BK164" s="330"/>
      <c r="BL164" s="330"/>
      <c r="BM164" s="330"/>
      <c r="BN164" s="330"/>
      <c r="BO164" s="330"/>
      <c r="BP164" s="331"/>
      <c r="BQ164" s="332"/>
      <c r="BR164" s="333"/>
    </row>
    <row r="165" spans="2:70" ht="15.75" customHeight="1">
      <c r="B165" s="216" t="s">
        <v>1147</v>
      </c>
      <c r="C165" s="212">
        <v>947546</v>
      </c>
      <c r="D165" s="223">
        <v>44613740000179</v>
      </c>
      <c r="E165" s="217" t="s">
        <v>25</v>
      </c>
      <c r="F165" s="217" t="s">
        <v>958</v>
      </c>
      <c r="G165" s="217" t="s">
        <v>962</v>
      </c>
      <c r="H165" s="218" t="s">
        <v>66</v>
      </c>
      <c r="I165" s="217" t="s">
        <v>1842</v>
      </c>
      <c r="J165" s="217" t="s">
        <v>66</v>
      </c>
      <c r="K165" s="218"/>
      <c r="L165" s="212" t="s">
        <v>87</v>
      </c>
      <c r="M165" s="250"/>
      <c r="N165" s="239">
        <v>44593</v>
      </c>
      <c r="O165" s="210" t="s">
        <v>159</v>
      </c>
      <c r="P165" s="210" t="s">
        <v>1075</v>
      </c>
      <c r="Q165" s="210" t="s">
        <v>1076</v>
      </c>
      <c r="R165" s="210" t="s">
        <v>1084</v>
      </c>
      <c r="S165" s="210" t="s">
        <v>1078</v>
      </c>
      <c r="T165" s="210" t="s">
        <v>1082</v>
      </c>
      <c r="U165" s="210" t="s">
        <v>958</v>
      </c>
      <c r="V165" s="210" t="s">
        <v>25</v>
      </c>
      <c r="W165" s="211" t="s">
        <v>1016</v>
      </c>
      <c r="X165" s="211">
        <v>1000</v>
      </c>
      <c r="Y165" s="211">
        <v>500</v>
      </c>
      <c r="Z165" s="212">
        <v>500</v>
      </c>
      <c r="AA165" s="240">
        <v>21</v>
      </c>
      <c r="AB165" s="213">
        <v>1.4999999999999999E-2</v>
      </c>
      <c r="AC165" s="213">
        <v>0.2</v>
      </c>
      <c r="AD165" s="213" t="s">
        <v>1100</v>
      </c>
      <c r="AE165" s="213">
        <v>4.0000000000000001E-3</v>
      </c>
      <c r="AF165" s="241">
        <v>6375355.2000000002</v>
      </c>
      <c r="AG165" s="241">
        <v>6375355.2000000002</v>
      </c>
      <c r="AH165" s="213" t="s">
        <v>66</v>
      </c>
      <c r="AI165" s="352" t="s">
        <v>66</v>
      </c>
      <c r="AJ165" s="213" t="s">
        <v>66</v>
      </c>
      <c r="AK165" s="352" t="s">
        <v>66</v>
      </c>
      <c r="AL165" s="213" t="s">
        <v>66</v>
      </c>
      <c r="AM165" s="352" t="s">
        <v>66</v>
      </c>
      <c r="AN165" s="213" t="s">
        <v>66</v>
      </c>
      <c r="AO165" s="352" t="s">
        <v>66</v>
      </c>
      <c r="AP165" s="213" t="s">
        <v>66</v>
      </c>
      <c r="AQ165" s="219" t="s">
        <v>66</v>
      </c>
      <c r="AR165" s="213" t="s">
        <v>1827</v>
      </c>
      <c r="AU165" s="343"/>
      <c r="AV165" s="343"/>
      <c r="AW165" s="328"/>
      <c r="AX165" s="329"/>
      <c r="AY165" s="328"/>
      <c r="AZ165" s="328"/>
      <c r="BA165" s="330"/>
      <c r="BB165" s="328"/>
      <c r="BC165" s="328"/>
      <c r="BD165" s="328"/>
      <c r="BE165" s="330"/>
      <c r="BF165" s="330"/>
      <c r="BG165" s="344"/>
      <c r="BH165" s="330"/>
      <c r="BI165" s="330"/>
      <c r="BJ165" s="330"/>
      <c r="BK165" s="330"/>
      <c r="BL165" s="330"/>
      <c r="BM165" s="330"/>
      <c r="BN165" s="330"/>
      <c r="BO165" s="330"/>
      <c r="BP165" s="331"/>
      <c r="BQ165" s="332"/>
      <c r="BR165" s="333"/>
    </row>
    <row r="166" spans="2:70" ht="15.75" customHeight="1">
      <c r="B166" s="216" t="s">
        <v>160</v>
      </c>
      <c r="C166" s="212">
        <v>3710389</v>
      </c>
      <c r="D166" s="223">
        <v>31848209000133</v>
      </c>
      <c r="E166" s="217" t="s">
        <v>25</v>
      </c>
      <c r="F166" s="217" t="s">
        <v>958</v>
      </c>
      <c r="G166" s="217" t="s">
        <v>962</v>
      </c>
      <c r="H166" s="218" t="s">
        <v>66</v>
      </c>
      <c r="I166" s="217" t="s">
        <v>1841</v>
      </c>
      <c r="J166" s="217" t="s">
        <v>66</v>
      </c>
      <c r="K166" s="218"/>
      <c r="L166" s="212" t="s">
        <v>87</v>
      </c>
      <c r="M166" s="250"/>
      <c r="N166" s="239">
        <v>43560</v>
      </c>
      <c r="O166" s="210" t="s">
        <v>161</v>
      </c>
      <c r="P166" s="210" t="s">
        <v>1140</v>
      </c>
      <c r="Q166" s="210" t="s">
        <v>1148</v>
      </c>
      <c r="R166" s="210" t="s">
        <v>1077</v>
      </c>
      <c r="S166" s="210" t="s">
        <v>1085</v>
      </c>
      <c r="T166" s="210" t="s">
        <v>1082</v>
      </c>
      <c r="U166" s="210" t="s">
        <v>958</v>
      </c>
      <c r="V166" s="210" t="s">
        <v>25</v>
      </c>
      <c r="W166" s="211" t="s">
        <v>1048</v>
      </c>
      <c r="X166" s="211">
        <v>50000</v>
      </c>
      <c r="Y166" s="211">
        <v>5000</v>
      </c>
      <c r="Z166" s="212">
        <v>25000</v>
      </c>
      <c r="AA166" s="240">
        <v>121</v>
      </c>
      <c r="AB166" s="213">
        <v>0.02</v>
      </c>
      <c r="AC166" s="213">
        <v>0.2</v>
      </c>
      <c r="AD166" s="213" t="s">
        <v>109</v>
      </c>
      <c r="AE166" s="213">
        <v>6.6666666666666662E-3</v>
      </c>
      <c r="AF166" s="241">
        <v>45522222.560000002</v>
      </c>
      <c r="AG166" s="241">
        <v>45522222.560000002</v>
      </c>
      <c r="AH166" s="213">
        <v>7.4399999999999994E-2</v>
      </c>
      <c r="AI166" s="352">
        <v>1.1463000000000001</v>
      </c>
      <c r="AJ166" s="213">
        <v>0.1328</v>
      </c>
      <c r="AK166" s="352">
        <v>1.4113</v>
      </c>
      <c r="AL166" s="213">
        <v>0.2218</v>
      </c>
      <c r="AM166" s="352">
        <v>1.8358000000000001</v>
      </c>
      <c r="AN166" s="213">
        <v>0.39129999999999998</v>
      </c>
      <c r="AO166" s="352">
        <v>2.3222</v>
      </c>
      <c r="AP166" s="213">
        <v>2.4400000000000002E-2</v>
      </c>
      <c r="AQ166" s="219">
        <v>1.4360373397706678</v>
      </c>
      <c r="AR166" s="213" t="s">
        <v>1827</v>
      </c>
      <c r="AU166" s="343"/>
      <c r="AV166" s="343"/>
      <c r="AW166" s="328"/>
      <c r="AX166" s="329"/>
      <c r="AY166" s="328"/>
      <c r="AZ166" s="328"/>
      <c r="BA166" s="330"/>
      <c r="BB166" s="328"/>
      <c r="BC166" s="328"/>
      <c r="BD166" s="328"/>
      <c r="BE166" s="330"/>
      <c r="BF166" s="330"/>
      <c r="BG166" s="344"/>
      <c r="BH166" s="330"/>
      <c r="BI166" s="330"/>
      <c r="BJ166" s="330"/>
      <c r="BK166" s="330"/>
      <c r="BL166" s="330"/>
      <c r="BM166" s="330"/>
      <c r="BN166" s="330"/>
      <c r="BO166" s="330"/>
      <c r="BP166" s="331"/>
      <c r="BQ166" s="332"/>
      <c r="BR166" s="333"/>
    </row>
    <row r="167" spans="2:70" ht="15.75" customHeight="1">
      <c r="B167" s="216" t="s">
        <v>1149</v>
      </c>
      <c r="C167" s="212">
        <v>1155320</v>
      </c>
      <c r="D167" s="223">
        <v>20441301000168</v>
      </c>
      <c r="E167" s="217" t="s">
        <v>19</v>
      </c>
      <c r="F167" s="217" t="s">
        <v>963</v>
      </c>
      <c r="G167" s="217" t="s">
        <v>1034</v>
      </c>
      <c r="H167" s="218" t="s">
        <v>1113</v>
      </c>
      <c r="I167" s="217" t="s">
        <v>66</v>
      </c>
      <c r="J167" s="217" t="s">
        <v>1822</v>
      </c>
      <c r="K167" s="218" t="s">
        <v>951</v>
      </c>
      <c r="L167" s="212" t="s">
        <v>87</v>
      </c>
      <c r="M167" s="250"/>
      <c r="N167" s="239">
        <v>41838</v>
      </c>
      <c r="O167" s="210" t="s">
        <v>161</v>
      </c>
      <c r="P167" s="210" t="s">
        <v>1140</v>
      </c>
      <c r="Q167" s="210" t="s">
        <v>1148</v>
      </c>
      <c r="R167" s="210" t="s">
        <v>1077</v>
      </c>
      <c r="S167" s="210" t="s">
        <v>1078</v>
      </c>
      <c r="T167" s="210" t="s">
        <v>32</v>
      </c>
      <c r="U167" s="210" t="s">
        <v>1150</v>
      </c>
      <c r="V167" s="210" t="s">
        <v>25</v>
      </c>
      <c r="W167" s="211" t="s">
        <v>1016</v>
      </c>
      <c r="X167" s="211">
        <v>5000</v>
      </c>
      <c r="Y167" s="211">
        <v>5000</v>
      </c>
      <c r="Z167" s="212">
        <v>5000</v>
      </c>
      <c r="AA167" s="240">
        <v>91</v>
      </c>
      <c r="AB167" s="213">
        <v>0.02</v>
      </c>
      <c r="AC167" s="213">
        <v>0.2</v>
      </c>
      <c r="AD167" s="213" t="s">
        <v>109</v>
      </c>
      <c r="AE167" s="213">
        <v>6.6666666666666662E-3</v>
      </c>
      <c r="AF167" s="241">
        <v>580895896.33000004</v>
      </c>
      <c r="AG167" s="241">
        <v>580895896.33000004</v>
      </c>
      <c r="AH167" s="213">
        <v>7.9799999999999996E-2</v>
      </c>
      <c r="AI167" s="352">
        <v>1.2298</v>
      </c>
      <c r="AJ167" s="213">
        <v>0.12609999999999999</v>
      </c>
      <c r="AK167" s="352">
        <v>1.3398000000000001</v>
      </c>
      <c r="AL167" s="213">
        <v>0.20069999999999999</v>
      </c>
      <c r="AM167" s="352">
        <v>1.6614</v>
      </c>
      <c r="AN167" s="213">
        <v>0.28449999999999998</v>
      </c>
      <c r="AO167" s="352">
        <v>1.6883999999999999</v>
      </c>
      <c r="AP167" s="213">
        <v>1.4E-3</v>
      </c>
      <c r="AQ167" s="219">
        <v>21.178326909457503</v>
      </c>
      <c r="AR167" s="213" t="s">
        <v>1827</v>
      </c>
      <c r="AU167" s="343"/>
      <c r="AV167" s="343"/>
      <c r="AW167" s="328"/>
      <c r="AX167" s="329"/>
      <c r="AY167" s="328"/>
      <c r="AZ167" s="328"/>
      <c r="BA167" s="330"/>
      <c r="BB167" s="328"/>
      <c r="BC167" s="328"/>
      <c r="BD167" s="328"/>
      <c r="BE167" s="330"/>
      <c r="BF167" s="330"/>
      <c r="BG167" s="344"/>
      <c r="BH167" s="330"/>
      <c r="BI167" s="330"/>
      <c r="BJ167" s="330"/>
      <c r="BK167" s="330"/>
      <c r="BL167" s="330"/>
      <c r="BM167" s="330"/>
      <c r="BN167" s="330"/>
      <c r="BO167" s="330"/>
      <c r="BP167" s="331"/>
      <c r="BQ167" s="332"/>
      <c r="BR167" s="333"/>
    </row>
    <row r="168" spans="2:70" ht="15.75" customHeight="1">
      <c r="B168" s="216" t="s">
        <v>162</v>
      </c>
      <c r="C168" s="212">
        <v>535221</v>
      </c>
      <c r="D168" s="223">
        <v>24773832000109</v>
      </c>
      <c r="E168" s="217" t="s">
        <v>19</v>
      </c>
      <c r="F168" s="217" t="s">
        <v>963</v>
      </c>
      <c r="G168" s="217" t="s">
        <v>1034</v>
      </c>
      <c r="H168" s="218" t="s">
        <v>1113</v>
      </c>
      <c r="I168" s="217" t="s">
        <v>66</v>
      </c>
      <c r="J168" s="217" t="s">
        <v>1794</v>
      </c>
      <c r="K168" s="218" t="s">
        <v>951</v>
      </c>
      <c r="L168" s="212" t="s">
        <v>87</v>
      </c>
      <c r="M168" s="250"/>
      <c r="N168" s="239">
        <v>42534</v>
      </c>
      <c r="O168" s="210" t="s">
        <v>161</v>
      </c>
      <c r="P168" s="210" t="s">
        <v>1140</v>
      </c>
      <c r="Q168" s="210" t="s">
        <v>1148</v>
      </c>
      <c r="R168" s="210" t="s">
        <v>1084</v>
      </c>
      <c r="S168" s="210" t="s">
        <v>1078</v>
      </c>
      <c r="T168" s="210" t="s">
        <v>349</v>
      </c>
      <c r="U168" s="210" t="s">
        <v>1114</v>
      </c>
      <c r="V168" s="210" t="s">
        <v>19</v>
      </c>
      <c r="W168" s="211" t="s">
        <v>1017</v>
      </c>
      <c r="X168" s="211">
        <v>100</v>
      </c>
      <c r="Y168" s="211">
        <v>100</v>
      </c>
      <c r="Z168" s="212">
        <v>100</v>
      </c>
      <c r="AA168" s="240">
        <v>0</v>
      </c>
      <c r="AB168" s="213">
        <v>5.0000000000000001E-3</v>
      </c>
      <c r="AC168" s="213">
        <v>0</v>
      </c>
      <c r="AD168" s="213" t="s">
        <v>109</v>
      </c>
      <c r="AE168" s="213">
        <v>1.3333333333333333E-3</v>
      </c>
      <c r="AF168" s="241">
        <v>371957982.85000002</v>
      </c>
      <c r="AG168" s="241">
        <v>371957982.85000002</v>
      </c>
      <c r="AH168" s="213">
        <v>6.5699999999999995E-2</v>
      </c>
      <c r="AI168" s="352">
        <v>1.0122</v>
      </c>
      <c r="AJ168" s="213">
        <v>9.7600000000000006E-2</v>
      </c>
      <c r="AK168" s="352">
        <v>1.0375000000000001</v>
      </c>
      <c r="AL168" s="213">
        <v>0.12809999999999999</v>
      </c>
      <c r="AM168" s="352">
        <v>1.0601</v>
      </c>
      <c r="AN168" s="213">
        <v>0.17730000000000001</v>
      </c>
      <c r="AO168" s="352">
        <v>1.0522</v>
      </c>
      <c r="AP168" s="213">
        <v>1.5E-3</v>
      </c>
      <c r="AQ168" s="219">
        <v>2.1502903811081189</v>
      </c>
      <c r="AR168" s="213" t="s">
        <v>1827</v>
      </c>
      <c r="AU168" s="343"/>
      <c r="AV168" s="343"/>
      <c r="AW168" s="328"/>
      <c r="AX168" s="329"/>
      <c r="AY168" s="328"/>
      <c r="AZ168" s="328"/>
      <c r="BA168" s="330"/>
      <c r="BB168" s="328"/>
      <c r="BC168" s="328"/>
      <c r="BD168" s="328"/>
      <c r="BE168" s="330"/>
      <c r="BF168" s="330"/>
      <c r="BG168" s="344"/>
      <c r="BH168" s="330"/>
      <c r="BI168" s="330"/>
      <c r="BJ168" s="330"/>
      <c r="BK168" s="330"/>
      <c r="BL168" s="330"/>
      <c r="BM168" s="330"/>
      <c r="BN168" s="330"/>
      <c r="BO168" s="330"/>
      <c r="BP168" s="331"/>
      <c r="BQ168" s="332"/>
      <c r="BR168" s="333"/>
    </row>
    <row r="169" spans="2:70" ht="15.75" customHeight="1">
      <c r="B169" s="216" t="s">
        <v>163</v>
      </c>
      <c r="C169" s="212">
        <v>1101672</v>
      </c>
      <c r="D169" s="223">
        <v>9625909000100</v>
      </c>
      <c r="E169" s="217" t="s">
        <v>19</v>
      </c>
      <c r="F169" s="217" t="s">
        <v>963</v>
      </c>
      <c r="G169" s="217" t="s">
        <v>1034</v>
      </c>
      <c r="H169" s="218" t="s">
        <v>1113</v>
      </c>
      <c r="I169" s="217" t="s">
        <v>66</v>
      </c>
      <c r="J169" s="217" t="s">
        <v>1794</v>
      </c>
      <c r="K169" s="218" t="s">
        <v>951</v>
      </c>
      <c r="L169" s="212" t="s">
        <v>87</v>
      </c>
      <c r="M169" s="250"/>
      <c r="N169" s="239">
        <v>39791</v>
      </c>
      <c r="O169" s="210" t="s">
        <v>161</v>
      </c>
      <c r="P169" s="210" t="s">
        <v>1075</v>
      </c>
      <c r="Q169" s="210" t="s">
        <v>1076</v>
      </c>
      <c r="R169" s="210" t="s">
        <v>1084</v>
      </c>
      <c r="S169" s="210" t="s">
        <v>1078</v>
      </c>
      <c r="T169" s="210" t="s">
        <v>1082</v>
      </c>
      <c r="U169" s="210" t="s">
        <v>958</v>
      </c>
      <c r="V169" s="210" t="s">
        <v>25</v>
      </c>
      <c r="W169" s="211" t="s">
        <v>1016</v>
      </c>
      <c r="X169" s="211">
        <v>100</v>
      </c>
      <c r="Y169" s="211">
        <v>100</v>
      </c>
      <c r="Z169" s="212">
        <v>100</v>
      </c>
      <c r="AA169" s="240">
        <v>2</v>
      </c>
      <c r="AB169" s="213">
        <v>0.02</v>
      </c>
      <c r="AC169" s="213">
        <v>0.2</v>
      </c>
      <c r="AD169" s="213" t="s">
        <v>109</v>
      </c>
      <c r="AE169" s="213">
        <v>6.6666666666666662E-3</v>
      </c>
      <c r="AF169" s="241">
        <v>365632338.36000001</v>
      </c>
      <c r="AG169" s="241">
        <v>365632338.36000001</v>
      </c>
      <c r="AH169" s="213">
        <v>6.4600000000000005E-2</v>
      </c>
      <c r="AI169" s="352">
        <v>0.99570000000000003</v>
      </c>
      <c r="AJ169" s="213">
        <v>9.4600000000000004E-2</v>
      </c>
      <c r="AK169" s="352">
        <v>1.0055000000000001</v>
      </c>
      <c r="AL169" s="213">
        <v>0.13500000000000001</v>
      </c>
      <c r="AM169" s="352">
        <v>1.1174999999999999</v>
      </c>
      <c r="AN169" s="213">
        <v>0.23039999999999999</v>
      </c>
      <c r="AO169" s="352">
        <v>1.3673</v>
      </c>
      <c r="AP169" s="213">
        <v>6.1000000000000004E-3</v>
      </c>
      <c r="AQ169" s="219">
        <v>8.0580062102737965E-2</v>
      </c>
      <c r="AR169" s="213" t="s">
        <v>1827</v>
      </c>
      <c r="AU169" s="343"/>
      <c r="AV169" s="343"/>
      <c r="AW169" s="328"/>
      <c r="AX169" s="329"/>
      <c r="AY169" s="328"/>
      <c r="AZ169" s="328"/>
      <c r="BA169" s="330"/>
      <c r="BB169" s="328"/>
      <c r="BC169" s="328"/>
      <c r="BD169" s="328"/>
      <c r="BE169" s="330"/>
      <c r="BF169" s="330"/>
      <c r="BG169" s="344"/>
      <c r="BH169" s="330"/>
      <c r="BI169" s="330"/>
      <c r="BJ169" s="330"/>
      <c r="BK169" s="330"/>
      <c r="BL169" s="330"/>
      <c r="BM169" s="330"/>
      <c r="BN169" s="330"/>
      <c r="BO169" s="330"/>
      <c r="BP169" s="331"/>
      <c r="BQ169" s="332"/>
      <c r="BR169" s="333"/>
    </row>
    <row r="170" spans="2:70" ht="15.75" customHeight="1">
      <c r="B170" s="216" t="s">
        <v>1151</v>
      </c>
      <c r="C170" s="212">
        <v>305622</v>
      </c>
      <c r="D170" s="223">
        <v>18302338000163</v>
      </c>
      <c r="E170" s="217" t="s">
        <v>28</v>
      </c>
      <c r="F170" s="217" t="s">
        <v>950</v>
      </c>
      <c r="G170" s="217"/>
      <c r="H170" s="218"/>
      <c r="I170" s="217" t="s">
        <v>66</v>
      </c>
      <c r="J170" s="217" t="s">
        <v>66</v>
      </c>
      <c r="K170" s="218" t="s">
        <v>951</v>
      </c>
      <c r="L170" s="212" t="s">
        <v>87</v>
      </c>
      <c r="M170" s="250"/>
      <c r="N170" s="239">
        <v>43735</v>
      </c>
      <c r="O170" s="210" t="s">
        <v>1152</v>
      </c>
      <c r="P170" s="210" t="s">
        <v>1075</v>
      </c>
      <c r="Q170" s="210" t="s">
        <v>1076</v>
      </c>
      <c r="R170" s="210" t="s">
        <v>1077</v>
      </c>
      <c r="S170" s="210" t="s">
        <v>1078</v>
      </c>
      <c r="T170" s="210" t="s">
        <v>1079</v>
      </c>
      <c r="U170" s="210" t="s">
        <v>950</v>
      </c>
      <c r="V170" s="210" t="s">
        <v>1080</v>
      </c>
      <c r="W170" s="211" t="s">
        <v>1007</v>
      </c>
      <c r="X170" s="211">
        <v>20000</v>
      </c>
      <c r="Y170" s="211">
        <v>1000</v>
      </c>
      <c r="Z170" s="212">
        <v>10000</v>
      </c>
      <c r="AA170" s="240">
        <v>90</v>
      </c>
      <c r="AB170" s="213">
        <v>0.02</v>
      </c>
      <c r="AC170" s="213">
        <v>0.2</v>
      </c>
      <c r="AD170" s="213" t="s">
        <v>113</v>
      </c>
      <c r="AE170" s="213" t="s">
        <v>66</v>
      </c>
      <c r="AF170" s="241">
        <v>164724976.44</v>
      </c>
      <c r="AG170" s="241">
        <v>164724976.44</v>
      </c>
      <c r="AH170" s="213">
        <v>-0.17249999999999999</v>
      </c>
      <c r="AI170" s="352">
        <v>-2.6566999999999998</v>
      </c>
      <c r="AJ170" s="213">
        <v>-0.20499999999999999</v>
      </c>
      <c r="AK170" s="352">
        <v>-2.1791999999999998</v>
      </c>
      <c r="AL170" s="213">
        <v>0.12939999999999999</v>
      </c>
      <c r="AM170" s="352">
        <v>1.0710999999999999</v>
      </c>
      <c r="AN170" s="213" t="s">
        <v>66</v>
      </c>
      <c r="AO170" s="352" t="s">
        <v>66</v>
      </c>
      <c r="AP170" s="213">
        <v>0.1744</v>
      </c>
      <c r="AQ170" s="219">
        <v>-1.7434071353328486</v>
      </c>
      <c r="AR170" s="213" t="s">
        <v>1827</v>
      </c>
      <c r="AU170" s="343"/>
      <c r="AV170" s="343"/>
      <c r="AW170" s="328"/>
      <c r="AX170" s="329"/>
      <c r="AY170" s="328"/>
      <c r="AZ170" s="328"/>
      <c r="BA170" s="330"/>
      <c r="BB170" s="328"/>
      <c r="BC170" s="328"/>
      <c r="BD170" s="328"/>
      <c r="BE170" s="330"/>
      <c r="BF170" s="330"/>
      <c r="BG170" s="344"/>
      <c r="BH170" s="330"/>
      <c r="BI170" s="330"/>
      <c r="BJ170" s="330"/>
      <c r="BK170" s="330"/>
      <c r="BL170" s="330"/>
      <c r="BM170" s="330"/>
      <c r="BN170" s="330"/>
      <c r="BO170" s="330"/>
      <c r="BP170" s="331"/>
      <c r="BQ170" s="332"/>
      <c r="BR170" s="333"/>
    </row>
    <row r="171" spans="2:70" ht="15.75" customHeight="1">
      <c r="B171" s="216" t="s">
        <v>1155</v>
      </c>
      <c r="C171" s="212">
        <v>548363</v>
      </c>
      <c r="D171" s="223">
        <v>37368116000198</v>
      </c>
      <c r="E171" s="217" t="s">
        <v>19</v>
      </c>
      <c r="F171" s="217" t="s">
        <v>964</v>
      </c>
      <c r="G171" s="217" t="s">
        <v>1042</v>
      </c>
      <c r="H171" s="218" t="s">
        <v>1260</v>
      </c>
      <c r="I171" s="217" t="s">
        <v>66</v>
      </c>
      <c r="J171" s="217"/>
      <c r="K171" s="218" t="s">
        <v>951</v>
      </c>
      <c r="L171" s="212" t="s">
        <v>87</v>
      </c>
      <c r="M171" s="250"/>
      <c r="N171" s="239">
        <v>44041</v>
      </c>
      <c r="O171" s="210" t="s">
        <v>165</v>
      </c>
      <c r="P171" s="210" t="s">
        <v>1090</v>
      </c>
      <c r="Q171" s="210" t="s">
        <v>1091</v>
      </c>
      <c r="R171" s="210" t="s">
        <v>1084</v>
      </c>
      <c r="S171" s="210" t="s">
        <v>1078</v>
      </c>
      <c r="T171" s="210" t="s">
        <v>349</v>
      </c>
      <c r="U171" s="210" t="s">
        <v>964</v>
      </c>
      <c r="V171" s="210" t="s">
        <v>19</v>
      </c>
      <c r="W171" s="211" t="s">
        <v>1024</v>
      </c>
      <c r="X171" s="211">
        <v>500</v>
      </c>
      <c r="Y171" s="211">
        <v>100</v>
      </c>
      <c r="Z171" s="212">
        <v>100</v>
      </c>
      <c r="AA171" s="240">
        <v>31</v>
      </c>
      <c r="AB171" s="213">
        <v>7.0000000000000001E-3</v>
      </c>
      <c r="AC171" s="213">
        <v>0</v>
      </c>
      <c r="AD171" s="213" t="s">
        <v>981</v>
      </c>
      <c r="AE171" s="213">
        <v>1.8666666666666666E-3</v>
      </c>
      <c r="AF171" s="241">
        <v>41029119.75</v>
      </c>
      <c r="AG171" s="241">
        <v>41029119.75</v>
      </c>
      <c r="AH171" s="213">
        <v>3.5099999999999999E-2</v>
      </c>
      <c r="AI171" s="352">
        <v>0.54039999999999999</v>
      </c>
      <c r="AJ171" s="213">
        <v>4.4699999999999997E-2</v>
      </c>
      <c r="AK171" s="352">
        <v>0.47520000000000001</v>
      </c>
      <c r="AL171" s="213" t="s">
        <v>66</v>
      </c>
      <c r="AM171" s="352" t="s">
        <v>66</v>
      </c>
      <c r="AN171" s="213" t="s">
        <v>66</v>
      </c>
      <c r="AO171" s="352" t="s">
        <v>66</v>
      </c>
      <c r="AP171" s="213">
        <v>6.4199999999999993E-2</v>
      </c>
      <c r="AQ171" s="219">
        <v>-0.68800567012083613</v>
      </c>
      <c r="AR171" s="213" t="s">
        <v>1827</v>
      </c>
      <c r="AU171" s="343"/>
      <c r="AV171" s="343"/>
      <c r="AW171" s="328"/>
      <c r="AX171" s="329"/>
      <c r="AY171" s="328"/>
      <c r="AZ171" s="328"/>
      <c r="BA171" s="330"/>
      <c r="BB171" s="328"/>
      <c r="BC171" s="328"/>
      <c r="BD171" s="328"/>
      <c r="BE171" s="330"/>
      <c r="BF171" s="330"/>
      <c r="BG171" s="344"/>
      <c r="BH171" s="330"/>
      <c r="BI171" s="330"/>
      <c r="BJ171" s="330"/>
      <c r="BK171" s="330"/>
      <c r="BL171" s="330"/>
      <c r="BM171" s="330"/>
      <c r="BN171" s="330"/>
      <c r="BO171" s="330"/>
      <c r="BP171" s="331"/>
      <c r="BQ171" s="332"/>
      <c r="BR171" s="333"/>
    </row>
    <row r="172" spans="2:70" ht="15.75" customHeight="1">
      <c r="B172" s="216" t="s">
        <v>166</v>
      </c>
      <c r="C172" s="212">
        <v>804433</v>
      </c>
      <c r="D172" s="223">
        <v>6041290000106</v>
      </c>
      <c r="E172" s="217" t="s">
        <v>25</v>
      </c>
      <c r="F172" s="217" t="s">
        <v>958</v>
      </c>
      <c r="G172" s="217" t="s">
        <v>962</v>
      </c>
      <c r="H172" s="218" t="s">
        <v>66</v>
      </c>
      <c r="I172" s="217" t="s">
        <v>1842</v>
      </c>
      <c r="J172" s="217" t="s">
        <v>66</v>
      </c>
      <c r="K172" s="218"/>
      <c r="L172" s="212" t="s">
        <v>87</v>
      </c>
      <c r="M172" s="250"/>
      <c r="N172" s="239">
        <v>37978</v>
      </c>
      <c r="O172" s="210" t="s">
        <v>165</v>
      </c>
      <c r="P172" s="210" t="s">
        <v>1090</v>
      </c>
      <c r="Q172" s="210" t="s">
        <v>1091</v>
      </c>
      <c r="R172" s="210" t="s">
        <v>1084</v>
      </c>
      <c r="S172" s="210" t="s">
        <v>1078</v>
      </c>
      <c r="T172" s="210" t="s">
        <v>1082</v>
      </c>
      <c r="U172" s="210" t="s">
        <v>958</v>
      </c>
      <c r="V172" s="210" t="s">
        <v>25</v>
      </c>
      <c r="W172" s="211" t="s">
        <v>1016</v>
      </c>
      <c r="X172" s="211">
        <v>1000</v>
      </c>
      <c r="Y172" s="211">
        <v>1000</v>
      </c>
      <c r="Z172" s="212">
        <v>1000</v>
      </c>
      <c r="AA172" s="240">
        <v>5</v>
      </c>
      <c r="AB172" s="213">
        <v>0.02</v>
      </c>
      <c r="AC172" s="213">
        <v>0.2</v>
      </c>
      <c r="AD172" s="213" t="s">
        <v>109</v>
      </c>
      <c r="AE172" s="213">
        <v>5.0000000000000001E-3</v>
      </c>
      <c r="AF172" s="241">
        <v>374223599.62</v>
      </c>
      <c r="AG172" s="241">
        <v>374223599.62</v>
      </c>
      <c r="AH172" s="213">
        <v>3.2000000000000001E-2</v>
      </c>
      <c r="AI172" s="352">
        <v>0.49220000000000003</v>
      </c>
      <c r="AJ172" s="213">
        <v>3.04E-2</v>
      </c>
      <c r="AK172" s="352">
        <v>0.32279999999999998</v>
      </c>
      <c r="AL172" s="213">
        <v>0.17080000000000001</v>
      </c>
      <c r="AM172" s="352">
        <v>1.4137999999999999</v>
      </c>
      <c r="AN172" s="213">
        <v>0.33069999999999999</v>
      </c>
      <c r="AO172" s="352">
        <v>1.9623999999999999</v>
      </c>
      <c r="AP172" s="213">
        <v>0.10730000000000001</v>
      </c>
      <c r="AQ172" s="219">
        <v>-0.50604364734001228</v>
      </c>
      <c r="AR172" s="213" t="s">
        <v>1827</v>
      </c>
      <c r="AU172" s="343"/>
      <c r="AV172" s="343"/>
      <c r="AW172" s="328"/>
      <c r="AX172" s="329"/>
      <c r="AY172" s="328"/>
      <c r="AZ172" s="328"/>
      <c r="BA172" s="330"/>
      <c r="BB172" s="328"/>
      <c r="BC172" s="328"/>
      <c r="BD172" s="328"/>
      <c r="BE172" s="330"/>
      <c r="BF172" s="330"/>
      <c r="BG172" s="344"/>
      <c r="BH172" s="330"/>
      <c r="BI172" s="330"/>
      <c r="BJ172" s="330"/>
      <c r="BK172" s="330"/>
      <c r="BL172" s="330"/>
      <c r="BM172" s="330"/>
      <c r="BN172" s="330"/>
      <c r="BO172" s="330"/>
      <c r="BP172" s="331"/>
      <c r="BQ172" s="332"/>
      <c r="BR172" s="333"/>
    </row>
    <row r="173" spans="2:70" ht="15.75" customHeight="1">
      <c r="B173" s="216" t="s">
        <v>167</v>
      </c>
      <c r="C173" s="212">
        <v>551073</v>
      </c>
      <c r="D173" s="223">
        <v>4515848000104</v>
      </c>
      <c r="E173" s="217" t="s">
        <v>28</v>
      </c>
      <c r="F173" s="217" t="s">
        <v>950</v>
      </c>
      <c r="G173" s="217"/>
      <c r="H173" s="218"/>
      <c r="I173" s="217" t="s">
        <v>66</v>
      </c>
      <c r="J173" s="217" t="s">
        <v>66</v>
      </c>
      <c r="K173" s="218" t="s">
        <v>954</v>
      </c>
      <c r="L173" s="212"/>
      <c r="M173" s="250"/>
      <c r="N173" s="239">
        <v>37090</v>
      </c>
      <c r="O173" s="210" t="s">
        <v>165</v>
      </c>
      <c r="P173" s="210" t="s">
        <v>1090</v>
      </c>
      <c r="Q173" s="210" t="s">
        <v>1091</v>
      </c>
      <c r="R173" s="210" t="s">
        <v>1084</v>
      </c>
      <c r="S173" s="210" t="s">
        <v>1078</v>
      </c>
      <c r="T173" s="210" t="s">
        <v>1079</v>
      </c>
      <c r="U173" s="210" t="s">
        <v>950</v>
      </c>
      <c r="V173" s="210" t="s">
        <v>1080</v>
      </c>
      <c r="W173" s="211" t="s">
        <v>1018</v>
      </c>
      <c r="X173" s="211">
        <v>500</v>
      </c>
      <c r="Y173" s="211">
        <v>100</v>
      </c>
      <c r="Z173" s="212">
        <v>100</v>
      </c>
      <c r="AA173" s="240">
        <v>3</v>
      </c>
      <c r="AB173" s="213">
        <v>1.4999999999999999E-2</v>
      </c>
      <c r="AC173" s="213">
        <v>0.2</v>
      </c>
      <c r="AD173" s="213" t="s">
        <v>1014</v>
      </c>
      <c r="AE173" s="213">
        <v>3.4999999999999996E-3</v>
      </c>
      <c r="AF173" s="241" t="s">
        <v>66</v>
      </c>
      <c r="AG173" s="241" t="s">
        <v>66</v>
      </c>
      <c r="AH173" s="213" t="s">
        <v>66</v>
      </c>
      <c r="AI173" s="352" t="s">
        <v>66</v>
      </c>
      <c r="AJ173" s="213" t="s">
        <v>66</v>
      </c>
      <c r="AK173" s="352" t="s">
        <v>66</v>
      </c>
      <c r="AL173" s="213" t="s">
        <v>66</v>
      </c>
      <c r="AM173" s="352" t="s">
        <v>66</v>
      </c>
      <c r="AN173" s="213" t="s">
        <v>66</v>
      </c>
      <c r="AO173" s="352" t="s">
        <v>66</v>
      </c>
      <c r="AP173" s="213" t="s">
        <v>66</v>
      </c>
      <c r="AQ173" s="219" t="s">
        <v>66</v>
      </c>
      <c r="AR173" s="213" t="s">
        <v>1824</v>
      </c>
      <c r="AU173" s="343"/>
      <c r="AV173" s="343"/>
      <c r="AW173" s="328"/>
      <c r="AX173" s="329"/>
      <c r="AY173" s="328"/>
      <c r="AZ173" s="328"/>
      <c r="BA173" s="330"/>
      <c r="BB173" s="328"/>
      <c r="BC173" s="328"/>
      <c r="BD173" s="328"/>
      <c r="BE173" s="330"/>
      <c r="BF173" s="330"/>
      <c r="BG173" s="344"/>
      <c r="BH173" s="330"/>
      <c r="BI173" s="330"/>
      <c r="BJ173" s="330"/>
      <c r="BK173" s="330"/>
      <c r="BL173" s="330"/>
      <c r="BM173" s="330"/>
      <c r="BN173" s="330"/>
      <c r="BO173" s="330"/>
      <c r="BP173" s="331"/>
      <c r="BQ173" s="332"/>
      <c r="BR173" s="333"/>
    </row>
    <row r="174" spans="2:70" ht="15.75" customHeight="1">
      <c r="B174" s="216" t="s">
        <v>168</v>
      </c>
      <c r="C174" s="212">
        <v>790381</v>
      </c>
      <c r="D174" s="223">
        <v>3168062000103</v>
      </c>
      <c r="E174" s="217" t="s">
        <v>28</v>
      </c>
      <c r="F174" s="217" t="s">
        <v>950</v>
      </c>
      <c r="G174" s="217"/>
      <c r="H174" s="218"/>
      <c r="I174" s="217" t="s">
        <v>66</v>
      </c>
      <c r="J174" s="217" t="s">
        <v>66</v>
      </c>
      <c r="K174" s="218" t="s">
        <v>951</v>
      </c>
      <c r="L174" s="212" t="s">
        <v>87</v>
      </c>
      <c r="M174" s="250"/>
      <c r="N174" s="239">
        <v>36328</v>
      </c>
      <c r="O174" s="210" t="s">
        <v>165</v>
      </c>
      <c r="P174" s="210" t="s">
        <v>1090</v>
      </c>
      <c r="Q174" s="210" t="s">
        <v>1091</v>
      </c>
      <c r="R174" s="210" t="s">
        <v>1084</v>
      </c>
      <c r="S174" s="210" t="s">
        <v>1078</v>
      </c>
      <c r="T174" s="210" t="s">
        <v>1079</v>
      </c>
      <c r="U174" s="210" t="s">
        <v>950</v>
      </c>
      <c r="V174" s="210" t="s">
        <v>1080</v>
      </c>
      <c r="W174" s="211" t="s">
        <v>1015</v>
      </c>
      <c r="X174" s="211">
        <v>500</v>
      </c>
      <c r="Y174" s="211">
        <v>100</v>
      </c>
      <c r="Z174" s="212">
        <v>100</v>
      </c>
      <c r="AA174" s="240">
        <v>3</v>
      </c>
      <c r="AB174" s="213">
        <v>0.03</v>
      </c>
      <c r="AC174" s="213">
        <v>0</v>
      </c>
      <c r="AD174" s="213" t="s">
        <v>1157</v>
      </c>
      <c r="AE174" s="213">
        <v>7.4999999999999997E-3</v>
      </c>
      <c r="AF174" s="241">
        <v>519741827.38999999</v>
      </c>
      <c r="AG174" s="241">
        <v>519741827.38999999</v>
      </c>
      <c r="AH174" s="213">
        <v>-6.4799999999999996E-2</v>
      </c>
      <c r="AI174" s="352">
        <v>-0.99790000000000001</v>
      </c>
      <c r="AJ174" s="213">
        <v>-0.1804</v>
      </c>
      <c r="AK174" s="352">
        <v>-1.9177</v>
      </c>
      <c r="AL174" s="213">
        <v>-6.8900000000000003E-2</v>
      </c>
      <c r="AM174" s="352">
        <v>-0.57010000000000005</v>
      </c>
      <c r="AN174" s="213">
        <v>7.1599999999999997E-2</v>
      </c>
      <c r="AO174" s="352">
        <v>0.4249</v>
      </c>
      <c r="AP174" s="213">
        <v>0.1958</v>
      </c>
      <c r="AQ174" s="219">
        <v>-1.3772571825230502</v>
      </c>
      <c r="AR174" s="213" t="s">
        <v>1824</v>
      </c>
      <c r="AU174" s="343"/>
      <c r="AV174" s="343"/>
      <c r="AW174" s="328"/>
      <c r="AX174" s="329"/>
      <c r="AY174" s="328"/>
      <c r="AZ174" s="328"/>
      <c r="BA174" s="330"/>
      <c r="BB174" s="328"/>
      <c r="BC174" s="328"/>
      <c r="BD174" s="328"/>
      <c r="BE174" s="330"/>
      <c r="BF174" s="330"/>
      <c r="BG174" s="344"/>
      <c r="BH174" s="330"/>
      <c r="BI174" s="330"/>
      <c r="BJ174" s="330"/>
      <c r="BK174" s="330"/>
      <c r="BL174" s="330"/>
      <c r="BM174" s="330"/>
      <c r="BN174" s="330"/>
      <c r="BO174" s="330"/>
      <c r="BP174" s="331"/>
      <c r="BQ174" s="332"/>
      <c r="BR174" s="333"/>
    </row>
    <row r="175" spans="2:70" ht="15.75" customHeight="1">
      <c r="B175" s="216" t="s">
        <v>169</v>
      </c>
      <c r="C175" s="212">
        <v>551075</v>
      </c>
      <c r="D175" s="223">
        <v>10237480000162</v>
      </c>
      <c r="E175" s="217" t="s">
        <v>28</v>
      </c>
      <c r="F175" s="217" t="s">
        <v>950</v>
      </c>
      <c r="G175" s="217"/>
      <c r="H175" s="218"/>
      <c r="I175" s="217" t="s">
        <v>66</v>
      </c>
      <c r="J175" s="217" t="s">
        <v>66</v>
      </c>
      <c r="K175" s="218" t="s">
        <v>951</v>
      </c>
      <c r="L175" s="212" t="s">
        <v>87</v>
      </c>
      <c r="M175" s="250"/>
      <c r="N175" s="239">
        <v>39696</v>
      </c>
      <c r="O175" s="210" t="s">
        <v>165</v>
      </c>
      <c r="P175" s="210" t="s">
        <v>1090</v>
      </c>
      <c r="Q175" s="210" t="s">
        <v>1091</v>
      </c>
      <c r="R175" s="210" t="s">
        <v>1084</v>
      </c>
      <c r="S175" s="210" t="s">
        <v>1078</v>
      </c>
      <c r="T175" s="210" t="s">
        <v>1079</v>
      </c>
      <c r="U175" s="210" t="s">
        <v>950</v>
      </c>
      <c r="V175" s="210" t="s">
        <v>1080</v>
      </c>
      <c r="W175" s="211" t="s">
        <v>1007</v>
      </c>
      <c r="X175" s="211">
        <v>1000</v>
      </c>
      <c r="Y175" s="211">
        <v>1000</v>
      </c>
      <c r="Z175" s="212">
        <v>1000</v>
      </c>
      <c r="AA175" s="240">
        <v>32</v>
      </c>
      <c r="AB175" s="213">
        <v>0.02</v>
      </c>
      <c r="AC175" s="213">
        <v>0.2</v>
      </c>
      <c r="AD175" s="213" t="s">
        <v>1014</v>
      </c>
      <c r="AE175" s="213">
        <v>4.6666666666666662E-3</v>
      </c>
      <c r="AF175" s="241">
        <v>27968927.48</v>
      </c>
      <c r="AG175" s="241">
        <v>27968927.48</v>
      </c>
      <c r="AH175" s="213">
        <v>-7.2700000000000001E-2</v>
      </c>
      <c r="AI175" s="352">
        <v>-1.1197999999999999</v>
      </c>
      <c r="AJ175" s="213">
        <v>-0.30869999999999997</v>
      </c>
      <c r="AK175" s="352">
        <v>-3.2814999999999999</v>
      </c>
      <c r="AL175" s="213">
        <v>-0.14580000000000001</v>
      </c>
      <c r="AM175" s="352">
        <v>-1.2073</v>
      </c>
      <c r="AN175" s="213">
        <v>-0.13059999999999999</v>
      </c>
      <c r="AO175" s="352">
        <v>-0.77480000000000004</v>
      </c>
      <c r="AP175" s="213">
        <v>0.23089999999999999</v>
      </c>
      <c r="AQ175" s="219">
        <v>-1.8720666775660277</v>
      </c>
      <c r="AR175" s="213" t="s">
        <v>1824</v>
      </c>
      <c r="AU175" s="343"/>
      <c r="AV175" s="343"/>
      <c r="AW175" s="328"/>
      <c r="AX175" s="329"/>
      <c r="AY175" s="328"/>
      <c r="AZ175" s="328"/>
      <c r="BA175" s="330"/>
      <c r="BB175" s="328"/>
      <c r="BC175" s="328"/>
      <c r="BD175" s="328"/>
      <c r="BE175" s="330"/>
      <c r="BF175" s="330"/>
      <c r="BG175" s="344"/>
      <c r="BH175" s="330"/>
      <c r="BI175" s="330"/>
      <c r="BJ175" s="330"/>
      <c r="BK175" s="330"/>
      <c r="BL175" s="330"/>
      <c r="BM175" s="330"/>
      <c r="BN175" s="330"/>
      <c r="BO175" s="330"/>
      <c r="BP175" s="331"/>
      <c r="BQ175" s="332"/>
      <c r="BR175" s="333"/>
    </row>
    <row r="176" spans="2:70" ht="15.75" customHeight="1">
      <c r="B176" s="216" t="s">
        <v>843</v>
      </c>
      <c r="C176" s="212">
        <v>587478</v>
      </c>
      <c r="D176" s="223">
        <v>41888275000190</v>
      </c>
      <c r="E176" s="217" t="s">
        <v>25</v>
      </c>
      <c r="F176" s="217" t="s">
        <v>958</v>
      </c>
      <c r="G176" s="217" t="s">
        <v>962</v>
      </c>
      <c r="H176" s="218" t="s">
        <v>66</v>
      </c>
      <c r="I176" s="217" t="s">
        <v>1842</v>
      </c>
      <c r="J176" s="217" t="s">
        <v>66</v>
      </c>
      <c r="K176" s="218"/>
      <c r="L176" s="212" t="s">
        <v>87</v>
      </c>
      <c r="M176" s="250"/>
      <c r="N176" s="239">
        <v>44406</v>
      </c>
      <c r="O176" s="210" t="s">
        <v>165</v>
      </c>
      <c r="P176" s="210" t="s">
        <v>1090</v>
      </c>
      <c r="Q176" s="210" t="s">
        <v>1091</v>
      </c>
      <c r="R176" s="210" t="s">
        <v>1084</v>
      </c>
      <c r="S176" s="210" t="s">
        <v>1078</v>
      </c>
      <c r="T176" s="210" t="s">
        <v>1082</v>
      </c>
      <c r="U176" s="210" t="s">
        <v>958</v>
      </c>
      <c r="V176" s="210" t="s">
        <v>25</v>
      </c>
      <c r="W176" s="211" t="s">
        <v>1012</v>
      </c>
      <c r="X176" s="211">
        <v>1000</v>
      </c>
      <c r="Y176" s="211">
        <v>1000</v>
      </c>
      <c r="Z176" s="212">
        <v>1000</v>
      </c>
      <c r="AA176" s="240">
        <v>16</v>
      </c>
      <c r="AB176" s="213">
        <v>0.02</v>
      </c>
      <c r="AC176" s="213">
        <v>0.2</v>
      </c>
      <c r="AD176" s="213" t="s">
        <v>109</v>
      </c>
      <c r="AE176" s="213">
        <v>4.0000000000000001E-3</v>
      </c>
      <c r="AF176" s="241">
        <v>26593801.09</v>
      </c>
      <c r="AG176" s="241">
        <v>26593801.09</v>
      </c>
      <c r="AH176" s="213">
        <v>4.2500000000000003E-2</v>
      </c>
      <c r="AI176" s="352">
        <v>0.6542</v>
      </c>
      <c r="AJ176" s="213">
        <v>6.6500000000000004E-2</v>
      </c>
      <c r="AK176" s="352">
        <v>0.70730000000000004</v>
      </c>
      <c r="AL176" s="213" t="s">
        <v>66</v>
      </c>
      <c r="AM176" s="352" t="s">
        <v>66</v>
      </c>
      <c r="AN176" s="213" t="s">
        <v>66</v>
      </c>
      <c r="AO176" s="352" t="s">
        <v>66</v>
      </c>
      <c r="AP176" s="213">
        <v>7.9000000000000001E-2</v>
      </c>
      <c r="AQ176" s="219">
        <v>-0.28361105874403508</v>
      </c>
      <c r="AR176" s="213" t="s">
        <v>1827</v>
      </c>
      <c r="AU176" s="343"/>
      <c r="AV176" s="343"/>
      <c r="AW176" s="328"/>
      <c r="AX176" s="329"/>
      <c r="AY176" s="328"/>
      <c r="AZ176" s="328"/>
      <c r="BA176" s="330"/>
      <c r="BB176" s="328"/>
      <c r="BC176" s="328"/>
      <c r="BD176" s="328"/>
      <c r="BE176" s="330"/>
      <c r="BF176" s="330"/>
      <c r="BG176" s="344"/>
      <c r="BH176" s="330"/>
      <c r="BI176" s="330"/>
      <c r="BJ176" s="330"/>
      <c r="BK176" s="330"/>
      <c r="BL176" s="330"/>
      <c r="BM176" s="330"/>
      <c r="BN176" s="330"/>
      <c r="BO176" s="330"/>
      <c r="BP176" s="331"/>
      <c r="BQ176" s="332"/>
      <c r="BR176" s="333"/>
    </row>
    <row r="177" spans="2:70" ht="15.75" customHeight="1">
      <c r="B177" s="216" t="s">
        <v>1158</v>
      </c>
      <c r="C177" s="212">
        <v>2309413</v>
      </c>
      <c r="D177" s="223">
        <v>17414721000140</v>
      </c>
      <c r="E177" s="217" t="s">
        <v>25</v>
      </c>
      <c r="F177" s="217" t="s">
        <v>958</v>
      </c>
      <c r="G177" s="217" t="s">
        <v>962</v>
      </c>
      <c r="H177" s="218" t="s">
        <v>66</v>
      </c>
      <c r="I177" s="217" t="s">
        <v>1842</v>
      </c>
      <c r="J177" s="217" t="s">
        <v>66</v>
      </c>
      <c r="K177" s="218"/>
      <c r="L177" s="212" t="s">
        <v>87</v>
      </c>
      <c r="M177" s="250"/>
      <c r="N177" s="239">
        <v>42185</v>
      </c>
      <c r="O177" s="210" t="s">
        <v>165</v>
      </c>
      <c r="P177" s="210" t="s">
        <v>1090</v>
      </c>
      <c r="Q177" s="210" t="s">
        <v>1091</v>
      </c>
      <c r="R177" s="210" t="s">
        <v>1084</v>
      </c>
      <c r="S177" s="210" t="s">
        <v>1078</v>
      </c>
      <c r="T177" s="210" t="s">
        <v>1082</v>
      </c>
      <c r="U177" s="210" t="s">
        <v>958</v>
      </c>
      <c r="V177" s="210" t="s">
        <v>25</v>
      </c>
      <c r="W177" s="211" t="s">
        <v>1012</v>
      </c>
      <c r="X177" s="211">
        <v>1000</v>
      </c>
      <c r="Y177" s="211">
        <v>1000</v>
      </c>
      <c r="Z177" s="212">
        <v>1000</v>
      </c>
      <c r="AA177" s="240">
        <v>1</v>
      </c>
      <c r="AB177" s="213">
        <v>0.02</v>
      </c>
      <c r="AC177" s="213">
        <v>0.2</v>
      </c>
      <c r="AD177" s="213" t="s">
        <v>109</v>
      </c>
      <c r="AE177" s="213">
        <v>4.6666666666666662E-3</v>
      </c>
      <c r="AF177" s="241">
        <v>767146441.71000004</v>
      </c>
      <c r="AG177" s="241">
        <v>767146441.71000004</v>
      </c>
      <c r="AH177" s="213">
        <v>4.24E-2</v>
      </c>
      <c r="AI177" s="352">
        <v>0.65329999999999999</v>
      </c>
      <c r="AJ177" s="213">
        <v>7.0400000000000004E-2</v>
      </c>
      <c r="AK177" s="352">
        <v>0.74829999999999997</v>
      </c>
      <c r="AL177" s="213">
        <v>0.2107</v>
      </c>
      <c r="AM177" s="352">
        <v>1.744</v>
      </c>
      <c r="AN177" s="213">
        <v>0.34520000000000001</v>
      </c>
      <c r="AO177" s="352">
        <v>2.0484</v>
      </c>
      <c r="AP177" s="213">
        <v>8.1299999999999997E-2</v>
      </c>
      <c r="AQ177" s="219">
        <v>-0.22875531739385685</v>
      </c>
      <c r="AR177" s="213" t="s">
        <v>1827</v>
      </c>
      <c r="AU177" s="343"/>
      <c r="AV177" s="343"/>
      <c r="AW177" s="328"/>
      <c r="AX177" s="329"/>
      <c r="AY177" s="328"/>
      <c r="AZ177" s="328"/>
      <c r="BA177" s="330"/>
      <c r="BB177" s="328"/>
      <c r="BC177" s="328"/>
      <c r="BD177" s="328"/>
      <c r="BE177" s="330"/>
      <c r="BF177" s="330"/>
      <c r="BG177" s="344"/>
      <c r="BH177" s="330"/>
      <c r="BI177" s="330"/>
      <c r="BJ177" s="330"/>
      <c r="BK177" s="330"/>
      <c r="BL177" s="330"/>
      <c r="BM177" s="330"/>
      <c r="BN177" s="330"/>
      <c r="BO177" s="330"/>
      <c r="BP177" s="331"/>
      <c r="BQ177" s="332"/>
      <c r="BR177" s="333"/>
    </row>
    <row r="178" spans="2:70" ht="15.75" customHeight="1">
      <c r="B178" s="216" t="s">
        <v>1159</v>
      </c>
      <c r="C178" s="212">
        <v>931507</v>
      </c>
      <c r="D178" s="223">
        <v>30910553000142</v>
      </c>
      <c r="E178" s="217" t="s">
        <v>19</v>
      </c>
      <c r="F178" s="217" t="s">
        <v>963</v>
      </c>
      <c r="G178" s="217" t="s">
        <v>1011</v>
      </c>
      <c r="H178" s="218" t="s">
        <v>1113</v>
      </c>
      <c r="I178" s="217" t="s">
        <v>66</v>
      </c>
      <c r="J178" s="217"/>
      <c r="K178" s="218" t="s">
        <v>951</v>
      </c>
      <c r="L178" s="212" t="s">
        <v>87</v>
      </c>
      <c r="M178" s="250"/>
      <c r="N178" s="239">
        <v>43336</v>
      </c>
      <c r="O178" s="210" t="s">
        <v>165</v>
      </c>
      <c r="P178" s="210" t="s">
        <v>1090</v>
      </c>
      <c r="Q178" s="210" t="s">
        <v>1091</v>
      </c>
      <c r="R178" s="210" t="s">
        <v>1084</v>
      </c>
      <c r="S178" s="210" t="s">
        <v>1085</v>
      </c>
      <c r="T178" s="210" t="s">
        <v>349</v>
      </c>
      <c r="U178" s="210" t="s">
        <v>1114</v>
      </c>
      <c r="V178" s="210" t="s">
        <v>19</v>
      </c>
      <c r="W178" s="211" t="s">
        <v>1010</v>
      </c>
      <c r="X178" s="211">
        <v>1000</v>
      </c>
      <c r="Y178" s="211">
        <v>1000</v>
      </c>
      <c r="Z178" s="212">
        <v>1000</v>
      </c>
      <c r="AA178" s="240">
        <v>31</v>
      </c>
      <c r="AB178" s="213">
        <v>5.0000000000000001E-3</v>
      </c>
      <c r="AC178" s="213">
        <v>0</v>
      </c>
      <c r="AD178" s="213" t="s">
        <v>109</v>
      </c>
      <c r="AE178" s="213">
        <v>1.4000000000000002E-3</v>
      </c>
      <c r="AF178" s="241">
        <v>1443486383.1099999</v>
      </c>
      <c r="AG178" s="241">
        <v>1443486383.1099999</v>
      </c>
      <c r="AH178" s="213">
        <v>7.4999999999999997E-2</v>
      </c>
      <c r="AI178" s="352">
        <v>1.1548</v>
      </c>
      <c r="AJ178" s="213">
        <v>0.1172</v>
      </c>
      <c r="AK178" s="352">
        <v>1.2457</v>
      </c>
      <c r="AL178" s="213">
        <v>0.19869999999999999</v>
      </c>
      <c r="AM178" s="352">
        <v>1.6446000000000001</v>
      </c>
      <c r="AN178" s="213">
        <v>0.21970000000000001</v>
      </c>
      <c r="AO178" s="352">
        <v>1.3037000000000001</v>
      </c>
      <c r="AP178" s="213">
        <v>2.3E-3</v>
      </c>
      <c r="AQ178" s="219">
        <v>9.227812576285233</v>
      </c>
      <c r="AR178" s="213" t="s">
        <v>1827</v>
      </c>
      <c r="AU178" s="343"/>
      <c r="AV178" s="343"/>
      <c r="AW178" s="328"/>
      <c r="AX178" s="329"/>
      <c r="AY178" s="328"/>
      <c r="AZ178" s="328"/>
      <c r="BA178" s="330"/>
      <c r="BB178" s="328"/>
      <c r="BC178" s="328"/>
      <c r="BD178" s="328"/>
      <c r="BE178" s="330"/>
      <c r="BF178" s="330"/>
      <c r="BG178" s="344"/>
      <c r="BH178" s="330"/>
      <c r="BI178" s="330"/>
      <c r="BJ178" s="330"/>
      <c r="BK178" s="330"/>
      <c r="BL178" s="330"/>
      <c r="BM178" s="330"/>
      <c r="BN178" s="330"/>
      <c r="BO178" s="330"/>
      <c r="BP178" s="331"/>
      <c r="BQ178" s="332"/>
      <c r="BR178" s="333"/>
    </row>
    <row r="179" spans="2:70" ht="15.75" customHeight="1">
      <c r="B179" s="216" t="s">
        <v>1160</v>
      </c>
      <c r="C179" s="212">
        <v>548361</v>
      </c>
      <c r="D179" s="223">
        <v>20458815000126</v>
      </c>
      <c r="E179" s="217" t="s">
        <v>25</v>
      </c>
      <c r="F179" s="217" t="s">
        <v>959</v>
      </c>
      <c r="G179" s="217" t="s">
        <v>960</v>
      </c>
      <c r="H179" s="218" t="s">
        <v>66</v>
      </c>
      <c r="I179" s="217" t="s">
        <v>1842</v>
      </c>
      <c r="J179" s="217" t="s">
        <v>66</v>
      </c>
      <c r="K179" s="218" t="s">
        <v>951</v>
      </c>
      <c r="L179" s="212" t="s">
        <v>87</v>
      </c>
      <c r="M179" s="250"/>
      <c r="N179" s="239">
        <v>41883</v>
      </c>
      <c r="O179" s="210" t="s">
        <v>170</v>
      </c>
      <c r="P179" s="210" t="s">
        <v>1090</v>
      </c>
      <c r="Q179" s="210" t="s">
        <v>1091</v>
      </c>
      <c r="R179" s="210" t="s">
        <v>1084</v>
      </c>
      <c r="S179" s="210" t="s">
        <v>1078</v>
      </c>
      <c r="T179" s="210" t="s">
        <v>1082</v>
      </c>
      <c r="U179" s="210" t="s">
        <v>958</v>
      </c>
      <c r="V179" s="210" t="s">
        <v>25</v>
      </c>
      <c r="W179" s="211" t="s">
        <v>1016</v>
      </c>
      <c r="X179" s="211">
        <v>10000</v>
      </c>
      <c r="Y179" s="211">
        <v>5000</v>
      </c>
      <c r="Z179" s="212">
        <v>5000</v>
      </c>
      <c r="AA179" s="240">
        <v>31</v>
      </c>
      <c r="AB179" s="213">
        <v>1.9E-2</v>
      </c>
      <c r="AC179" s="213">
        <v>0.2</v>
      </c>
      <c r="AD179" s="213" t="s">
        <v>113</v>
      </c>
      <c r="AE179" s="213">
        <v>3.7999999999999996E-3</v>
      </c>
      <c r="AF179" s="241">
        <v>601869253.37</v>
      </c>
      <c r="AG179" s="241">
        <v>601869253.37</v>
      </c>
      <c r="AH179" s="213">
        <v>0.25819999999999999</v>
      </c>
      <c r="AI179" s="352">
        <v>3.9777</v>
      </c>
      <c r="AJ179" s="213">
        <v>0.35089999999999999</v>
      </c>
      <c r="AK179" s="352">
        <v>3.7298</v>
      </c>
      <c r="AL179" s="213">
        <v>0.32490000000000002</v>
      </c>
      <c r="AM179" s="352">
        <v>2.6894</v>
      </c>
      <c r="AN179" s="213">
        <v>0.49959999999999999</v>
      </c>
      <c r="AO179" s="352">
        <v>2.9645000000000001</v>
      </c>
      <c r="AP179" s="213">
        <v>8.4099999999999994E-2</v>
      </c>
      <c r="AQ179" s="219">
        <v>2.5520424274594231</v>
      </c>
      <c r="AR179" s="213" t="s">
        <v>1827</v>
      </c>
      <c r="AU179" s="343"/>
      <c r="AV179" s="343"/>
      <c r="AW179" s="328"/>
      <c r="AX179" s="329"/>
      <c r="AY179" s="328"/>
      <c r="AZ179" s="328"/>
      <c r="BA179" s="330"/>
      <c r="BB179" s="328"/>
      <c r="BC179" s="328"/>
      <c r="BD179" s="328"/>
      <c r="BE179" s="330"/>
      <c r="BF179" s="330"/>
      <c r="BG179" s="344"/>
      <c r="BH179" s="330"/>
      <c r="BI179" s="330"/>
      <c r="BJ179" s="330"/>
      <c r="BK179" s="330"/>
      <c r="BL179" s="330"/>
      <c r="BM179" s="330"/>
      <c r="BN179" s="330"/>
      <c r="BO179" s="330"/>
      <c r="BP179" s="331"/>
      <c r="BQ179" s="332"/>
      <c r="BR179" s="333"/>
    </row>
    <row r="180" spans="2:70" ht="15.75" customHeight="1">
      <c r="B180" s="216" t="s">
        <v>886</v>
      </c>
      <c r="C180" s="212">
        <v>551972</v>
      </c>
      <c r="D180" s="223">
        <v>38597242000187</v>
      </c>
      <c r="E180" s="217" t="s">
        <v>28</v>
      </c>
      <c r="F180" s="217" t="s">
        <v>957</v>
      </c>
      <c r="G180" s="217"/>
      <c r="H180" s="218"/>
      <c r="I180" s="217" t="s">
        <v>1842</v>
      </c>
      <c r="J180" s="217" t="s">
        <v>66</v>
      </c>
      <c r="K180" s="218" t="s">
        <v>951</v>
      </c>
      <c r="L180" s="212" t="s">
        <v>87</v>
      </c>
      <c r="M180" s="250"/>
      <c r="N180" s="239">
        <v>44355</v>
      </c>
      <c r="O180" s="210" t="s">
        <v>170</v>
      </c>
      <c r="P180" s="210" t="s">
        <v>1090</v>
      </c>
      <c r="Q180" s="210" t="s">
        <v>1091</v>
      </c>
      <c r="R180" s="210" t="s">
        <v>1077</v>
      </c>
      <c r="S180" s="210" t="s">
        <v>1078</v>
      </c>
      <c r="T180" s="210" t="s">
        <v>1079</v>
      </c>
      <c r="U180" s="210" t="s">
        <v>957</v>
      </c>
      <c r="V180" s="210" t="s">
        <v>25</v>
      </c>
      <c r="W180" s="211" t="s">
        <v>1016</v>
      </c>
      <c r="X180" s="211">
        <v>10000</v>
      </c>
      <c r="Y180" s="211">
        <v>5000</v>
      </c>
      <c r="Z180" s="212">
        <v>5000</v>
      </c>
      <c r="AA180" s="240">
        <v>32</v>
      </c>
      <c r="AB180" s="213">
        <v>1.9E-2</v>
      </c>
      <c r="AC180" s="213">
        <v>0.2</v>
      </c>
      <c r="AD180" s="213" t="s">
        <v>113</v>
      </c>
      <c r="AE180" s="213">
        <v>3.7999999999999996E-3</v>
      </c>
      <c r="AF180" s="241">
        <v>24825133.620000001</v>
      </c>
      <c r="AG180" s="241">
        <v>24825133.620000001</v>
      </c>
      <c r="AH180" s="213">
        <v>-7.1800000000000003E-2</v>
      </c>
      <c r="AI180" s="352">
        <v>-1.1060000000000001</v>
      </c>
      <c r="AJ180" s="213">
        <v>-0.21210000000000001</v>
      </c>
      <c r="AK180" s="352">
        <v>-2.2545999999999999</v>
      </c>
      <c r="AL180" s="213" t="s">
        <v>66</v>
      </c>
      <c r="AM180" s="352" t="s">
        <v>66</v>
      </c>
      <c r="AN180" s="213" t="s">
        <v>66</v>
      </c>
      <c r="AO180" s="352" t="s">
        <v>66</v>
      </c>
      <c r="AP180" s="213">
        <v>0.20710000000000001</v>
      </c>
      <c r="AQ180" s="219">
        <v>-1.4816051854986751</v>
      </c>
      <c r="AR180" s="213" t="s">
        <v>1827</v>
      </c>
      <c r="AU180" s="343"/>
      <c r="AV180" s="343"/>
      <c r="AW180" s="328"/>
      <c r="AX180" s="329"/>
      <c r="AY180" s="328"/>
      <c r="AZ180" s="328"/>
      <c r="BA180" s="330"/>
      <c r="BB180" s="328"/>
      <c r="BC180" s="328"/>
      <c r="BD180" s="328"/>
      <c r="BE180" s="330"/>
      <c r="BF180" s="330"/>
      <c r="BG180" s="344"/>
      <c r="BH180" s="330"/>
      <c r="BI180" s="330"/>
      <c r="BJ180" s="330"/>
      <c r="BK180" s="330"/>
      <c r="BL180" s="330"/>
      <c r="BM180" s="330"/>
      <c r="BN180" s="330"/>
      <c r="BO180" s="330"/>
      <c r="BP180" s="331"/>
      <c r="BQ180" s="332"/>
      <c r="BR180" s="333"/>
    </row>
    <row r="181" spans="2:70" ht="15.75" customHeight="1">
      <c r="B181" s="216" t="s">
        <v>834</v>
      </c>
      <c r="C181" s="212">
        <v>2243457</v>
      </c>
      <c r="D181" s="223">
        <v>40677875000147</v>
      </c>
      <c r="E181" s="217" t="s">
        <v>25</v>
      </c>
      <c r="F181" s="217" t="s">
        <v>958</v>
      </c>
      <c r="G181" s="217" t="s">
        <v>962</v>
      </c>
      <c r="H181" s="218" t="s">
        <v>66</v>
      </c>
      <c r="I181" s="217" t="s">
        <v>1259</v>
      </c>
      <c r="J181" s="217" t="s">
        <v>66</v>
      </c>
      <c r="K181" s="218"/>
      <c r="L181" s="212" t="s">
        <v>87</v>
      </c>
      <c r="M181" s="250"/>
      <c r="N181" s="239">
        <v>44341</v>
      </c>
      <c r="O181" s="210" t="s">
        <v>170</v>
      </c>
      <c r="P181" s="210" t="s">
        <v>1090</v>
      </c>
      <c r="Q181" s="210" t="s">
        <v>1091</v>
      </c>
      <c r="R181" s="210" t="s">
        <v>1084</v>
      </c>
      <c r="S181" s="210" t="s">
        <v>1078</v>
      </c>
      <c r="T181" s="210" t="s">
        <v>1082</v>
      </c>
      <c r="U181" s="210" t="s">
        <v>958</v>
      </c>
      <c r="V181" s="210" t="s">
        <v>25</v>
      </c>
      <c r="W181" s="211" t="s">
        <v>1016</v>
      </c>
      <c r="X181" s="211">
        <v>10000</v>
      </c>
      <c r="Y181" s="211">
        <v>5000</v>
      </c>
      <c r="Z181" s="212">
        <v>5000</v>
      </c>
      <c r="AA181" s="240">
        <v>31</v>
      </c>
      <c r="AB181" s="213">
        <v>1.9E-2</v>
      </c>
      <c r="AC181" s="213">
        <v>0.2</v>
      </c>
      <c r="AD181" s="213" t="s">
        <v>113</v>
      </c>
      <c r="AE181" s="213">
        <v>3.7999999999999996E-3</v>
      </c>
      <c r="AF181" s="241">
        <v>13961526.189999999</v>
      </c>
      <c r="AG181" s="241">
        <v>13961526.189999999</v>
      </c>
      <c r="AH181" s="213">
        <v>2.0000000000000001E-4</v>
      </c>
      <c r="AI181" s="352">
        <v>3.8E-3</v>
      </c>
      <c r="AJ181" s="213">
        <v>1.5800000000000002E-2</v>
      </c>
      <c r="AK181" s="352">
        <v>0.1681</v>
      </c>
      <c r="AL181" s="213" t="s">
        <v>66</v>
      </c>
      <c r="AM181" s="352" t="s">
        <v>66</v>
      </c>
      <c r="AN181" s="213" t="s">
        <v>66</v>
      </c>
      <c r="AO181" s="352" t="s">
        <v>66</v>
      </c>
      <c r="AP181" s="213">
        <v>5.5199999999999999E-2</v>
      </c>
      <c r="AQ181" s="219">
        <v>-1.3171988356757018</v>
      </c>
      <c r="AR181" s="213" t="s">
        <v>1827</v>
      </c>
      <c r="AU181" s="343"/>
      <c r="AV181" s="343"/>
      <c r="AW181" s="328"/>
      <c r="AX181" s="329"/>
      <c r="AY181" s="328"/>
      <c r="AZ181" s="328"/>
      <c r="BA181" s="330"/>
      <c r="BB181" s="328"/>
      <c r="BC181" s="328"/>
      <c r="BD181" s="328"/>
      <c r="BE181" s="330"/>
      <c r="BF181" s="330"/>
      <c r="BG181" s="344"/>
      <c r="BH181" s="330"/>
      <c r="BI181" s="330"/>
      <c r="BJ181" s="330"/>
      <c r="BK181" s="330"/>
      <c r="BL181" s="330"/>
      <c r="BM181" s="330"/>
      <c r="BN181" s="330"/>
      <c r="BO181" s="330"/>
      <c r="BP181" s="331"/>
      <c r="BQ181" s="332"/>
      <c r="BR181" s="333"/>
    </row>
    <row r="182" spans="2:70" ht="15.75" customHeight="1">
      <c r="B182" s="216" t="s">
        <v>1161</v>
      </c>
      <c r="C182" s="212">
        <v>2243469</v>
      </c>
      <c r="D182" s="223">
        <v>43917039000180</v>
      </c>
      <c r="E182" s="217" t="s">
        <v>28</v>
      </c>
      <c r="F182" s="217" t="s">
        <v>950</v>
      </c>
      <c r="G182" s="217"/>
      <c r="H182" s="218"/>
      <c r="I182" s="217" t="s">
        <v>66</v>
      </c>
      <c r="J182" s="217" t="s">
        <v>66</v>
      </c>
      <c r="K182" s="218" t="s">
        <v>951</v>
      </c>
      <c r="L182" s="212" t="s">
        <v>87</v>
      </c>
      <c r="M182" s="250"/>
      <c r="N182" s="239">
        <v>44530</v>
      </c>
      <c r="O182" s="210" t="s">
        <v>1162</v>
      </c>
      <c r="P182" s="210" t="s">
        <v>1075</v>
      </c>
      <c r="Q182" s="210" t="s">
        <v>1076</v>
      </c>
      <c r="R182" s="210" t="s">
        <v>1077</v>
      </c>
      <c r="S182" s="210" t="s">
        <v>1078</v>
      </c>
      <c r="T182" s="210" t="s">
        <v>1079</v>
      </c>
      <c r="U182" s="210" t="s">
        <v>950</v>
      </c>
      <c r="V182" s="210" t="s">
        <v>1080</v>
      </c>
      <c r="W182" s="211" t="s">
        <v>1007</v>
      </c>
      <c r="X182" s="211">
        <v>500</v>
      </c>
      <c r="Y182" s="211">
        <v>500</v>
      </c>
      <c r="Z182" s="212">
        <v>500</v>
      </c>
      <c r="AA182" s="240">
        <v>32</v>
      </c>
      <c r="AB182" s="213">
        <v>1.7999999999999999E-2</v>
      </c>
      <c r="AC182" s="213">
        <v>0.2</v>
      </c>
      <c r="AD182" s="213" t="s">
        <v>1100</v>
      </c>
      <c r="AE182" s="213">
        <v>4.8005999999999995E-3</v>
      </c>
      <c r="AF182" s="241">
        <v>92911861.019999996</v>
      </c>
      <c r="AG182" s="241">
        <v>92911861.019999996</v>
      </c>
      <c r="AH182" s="213">
        <v>-0.14480000000000001</v>
      </c>
      <c r="AI182" s="352">
        <v>-2.2298</v>
      </c>
      <c r="AJ182" s="213" t="s">
        <v>66</v>
      </c>
      <c r="AK182" s="352" t="s">
        <v>66</v>
      </c>
      <c r="AL182" s="213" t="s">
        <v>66</v>
      </c>
      <c r="AM182" s="352" t="s">
        <v>66</v>
      </c>
      <c r="AN182" s="213" t="s">
        <v>66</v>
      </c>
      <c r="AO182" s="352" t="s">
        <v>66</v>
      </c>
      <c r="AP182" s="213" t="s">
        <v>66</v>
      </c>
      <c r="AQ182" s="219" t="s">
        <v>66</v>
      </c>
      <c r="AR182" s="213" t="s">
        <v>1827</v>
      </c>
      <c r="AU182" s="343"/>
      <c r="AV182" s="343"/>
      <c r="AW182" s="328"/>
      <c r="AX182" s="329"/>
      <c r="AY182" s="328"/>
      <c r="AZ182" s="328"/>
      <c r="BA182" s="330"/>
      <c r="BB182" s="328"/>
      <c r="BC182" s="328"/>
      <c r="BD182" s="328"/>
      <c r="BE182" s="330"/>
      <c r="BF182" s="330"/>
      <c r="BG182" s="344"/>
      <c r="BH182" s="330"/>
      <c r="BI182" s="330"/>
      <c r="BJ182" s="330"/>
      <c r="BK182" s="330"/>
      <c r="BL182" s="330"/>
      <c r="BM182" s="330"/>
      <c r="BN182" s="330"/>
      <c r="BO182" s="330"/>
      <c r="BP182" s="331"/>
      <c r="BQ182" s="332"/>
      <c r="BR182" s="333"/>
    </row>
    <row r="183" spans="2:70" ht="15.75" customHeight="1">
      <c r="B183" s="216" t="s">
        <v>1163</v>
      </c>
      <c r="C183" s="212">
        <v>2962932</v>
      </c>
      <c r="D183" s="223">
        <v>43915574000100</v>
      </c>
      <c r="E183" s="217" t="s">
        <v>28</v>
      </c>
      <c r="F183" s="217" t="s">
        <v>950</v>
      </c>
      <c r="G183" s="217"/>
      <c r="H183" s="218"/>
      <c r="I183" s="217" t="s">
        <v>66</v>
      </c>
      <c r="J183" s="217" t="s">
        <v>66</v>
      </c>
      <c r="K183" s="218" t="s">
        <v>951</v>
      </c>
      <c r="L183" s="212" t="s">
        <v>87</v>
      </c>
      <c r="M183" s="250"/>
      <c r="N183" s="239">
        <v>44530</v>
      </c>
      <c r="O183" s="210" t="s">
        <v>1162</v>
      </c>
      <c r="P183" s="210" t="s">
        <v>1075</v>
      </c>
      <c r="Q183" s="210" t="s">
        <v>1076</v>
      </c>
      <c r="R183" s="210" t="s">
        <v>1084</v>
      </c>
      <c r="S183" s="210" t="s">
        <v>1078</v>
      </c>
      <c r="T183" s="210" t="s">
        <v>1079</v>
      </c>
      <c r="U183" s="210" t="s">
        <v>950</v>
      </c>
      <c r="V183" s="210" t="s">
        <v>1080</v>
      </c>
      <c r="W183" s="211" t="s">
        <v>1007</v>
      </c>
      <c r="X183" s="211">
        <v>500</v>
      </c>
      <c r="Y183" s="211">
        <v>500</v>
      </c>
      <c r="Z183" s="212">
        <v>500</v>
      </c>
      <c r="AA183" s="240">
        <v>32</v>
      </c>
      <c r="AB183" s="213">
        <v>1.7999999999999999E-2</v>
      </c>
      <c r="AC183" s="213">
        <v>0.2</v>
      </c>
      <c r="AD183" s="213" t="s">
        <v>1100</v>
      </c>
      <c r="AE183" s="213">
        <v>4.8005999999999995E-3</v>
      </c>
      <c r="AF183" s="241">
        <v>14696229.869999999</v>
      </c>
      <c r="AG183" s="241">
        <v>14696229.869999999</v>
      </c>
      <c r="AH183" s="213">
        <v>-0.14380000000000001</v>
      </c>
      <c r="AI183" s="352">
        <v>-2.2147999999999999</v>
      </c>
      <c r="AJ183" s="213" t="s">
        <v>66</v>
      </c>
      <c r="AK183" s="352" t="s">
        <v>66</v>
      </c>
      <c r="AL183" s="213" t="s">
        <v>66</v>
      </c>
      <c r="AM183" s="352" t="s">
        <v>66</v>
      </c>
      <c r="AN183" s="213" t="s">
        <v>66</v>
      </c>
      <c r="AO183" s="352" t="s">
        <v>66</v>
      </c>
      <c r="AP183" s="213" t="s">
        <v>66</v>
      </c>
      <c r="AQ183" s="219" t="s">
        <v>66</v>
      </c>
      <c r="AR183" s="213" t="s">
        <v>1827</v>
      </c>
      <c r="AU183" s="343"/>
      <c r="AV183" s="343"/>
      <c r="AW183" s="328"/>
      <c r="AX183" s="329"/>
      <c r="AY183" s="328"/>
      <c r="AZ183" s="328"/>
      <c r="BA183" s="330"/>
      <c r="BB183" s="328"/>
      <c r="BC183" s="328"/>
      <c r="BD183" s="328"/>
      <c r="BE183" s="330"/>
      <c r="BF183" s="330"/>
      <c r="BG183" s="344"/>
      <c r="BH183" s="330"/>
      <c r="BI183" s="330"/>
      <c r="BJ183" s="330"/>
      <c r="BK183" s="330"/>
      <c r="BL183" s="330"/>
      <c r="BM183" s="330"/>
      <c r="BN183" s="330"/>
      <c r="BO183" s="330"/>
      <c r="BP183" s="331"/>
      <c r="BQ183" s="332"/>
      <c r="BR183" s="333"/>
    </row>
    <row r="184" spans="2:70" ht="15.75" customHeight="1">
      <c r="B184" s="216" t="s">
        <v>1164</v>
      </c>
      <c r="C184" s="212">
        <v>2962915</v>
      </c>
      <c r="D184" s="223">
        <v>31848081000108</v>
      </c>
      <c r="E184" s="217" t="s">
        <v>28</v>
      </c>
      <c r="F184" s="217" t="s">
        <v>950</v>
      </c>
      <c r="G184" s="217"/>
      <c r="H184" s="218"/>
      <c r="I184" s="217" t="s">
        <v>66</v>
      </c>
      <c r="J184" s="217" t="s">
        <v>66</v>
      </c>
      <c r="K184" s="218" t="s">
        <v>951</v>
      </c>
      <c r="L184" s="212" t="s">
        <v>87</v>
      </c>
      <c r="M184" s="250"/>
      <c r="N184" s="239">
        <v>43447</v>
      </c>
      <c r="O184" s="210" t="s">
        <v>1165</v>
      </c>
      <c r="P184" s="210" t="s">
        <v>1140</v>
      </c>
      <c r="Q184" s="210" t="s">
        <v>1140</v>
      </c>
      <c r="R184" s="210" t="s">
        <v>1084</v>
      </c>
      <c r="S184" s="210" t="s">
        <v>1078</v>
      </c>
      <c r="T184" s="210" t="s">
        <v>1079</v>
      </c>
      <c r="U184" s="210" t="s">
        <v>950</v>
      </c>
      <c r="V184" s="210" t="s">
        <v>1080</v>
      </c>
      <c r="W184" s="211" t="s">
        <v>1007</v>
      </c>
      <c r="X184" s="211">
        <v>100</v>
      </c>
      <c r="Y184" s="211">
        <v>100</v>
      </c>
      <c r="Z184" s="212">
        <v>100</v>
      </c>
      <c r="AA184" s="240">
        <v>12</v>
      </c>
      <c r="AB184" s="213">
        <v>0.02</v>
      </c>
      <c r="AC184" s="213">
        <v>0.2</v>
      </c>
      <c r="AD184" s="213" t="s">
        <v>1014</v>
      </c>
      <c r="AE184" s="213">
        <v>5.3333333333333332E-3</v>
      </c>
      <c r="AF184" s="241">
        <v>4617676.24</v>
      </c>
      <c r="AG184" s="241">
        <v>4617676.24</v>
      </c>
      <c r="AH184" s="213">
        <v>-0.10539999999999999</v>
      </c>
      <c r="AI184" s="352">
        <v>-1.6231</v>
      </c>
      <c r="AJ184" s="213">
        <v>-0.19719999999999999</v>
      </c>
      <c r="AK184" s="352">
        <v>-2.0960999999999999</v>
      </c>
      <c r="AL184" s="213">
        <v>0.1091</v>
      </c>
      <c r="AM184" s="352">
        <v>0.90280000000000005</v>
      </c>
      <c r="AN184" s="213">
        <v>1E-4</v>
      </c>
      <c r="AO184" s="352">
        <v>4.0000000000000002E-4</v>
      </c>
      <c r="AP184" s="213">
        <v>0.18290000000000001</v>
      </c>
      <c r="AQ184" s="219">
        <v>-1.6011033793081488</v>
      </c>
      <c r="AR184" s="213" t="s">
        <v>1827</v>
      </c>
      <c r="AU184" s="343"/>
      <c r="AV184" s="343"/>
      <c r="AW184" s="328"/>
      <c r="AX184" s="329"/>
      <c r="AY184" s="328"/>
      <c r="AZ184" s="328"/>
      <c r="BA184" s="330"/>
      <c r="BB184" s="328"/>
      <c r="BC184" s="328"/>
      <c r="BD184" s="328"/>
      <c r="BE184" s="330"/>
      <c r="BF184" s="330"/>
      <c r="BG184" s="344"/>
      <c r="BH184" s="330"/>
      <c r="BI184" s="330"/>
      <c r="BJ184" s="330"/>
      <c r="BK184" s="330"/>
      <c r="BL184" s="330"/>
      <c r="BM184" s="330"/>
      <c r="BN184" s="330"/>
      <c r="BO184" s="330"/>
      <c r="BP184" s="331"/>
      <c r="BQ184" s="332"/>
      <c r="BR184" s="333"/>
    </row>
    <row r="185" spans="2:70" ht="15.75" customHeight="1">
      <c r="B185" s="216" t="s">
        <v>172</v>
      </c>
      <c r="C185" s="212">
        <v>1456078</v>
      </c>
      <c r="D185" s="223">
        <v>39737102000120</v>
      </c>
      <c r="E185" s="217" t="s">
        <v>28</v>
      </c>
      <c r="F185" s="217" t="s">
        <v>957</v>
      </c>
      <c r="G185" s="217"/>
      <c r="H185" s="218"/>
      <c r="I185" s="217" t="s">
        <v>1842</v>
      </c>
      <c r="J185" s="217" t="s">
        <v>66</v>
      </c>
      <c r="K185" s="218" t="s">
        <v>951</v>
      </c>
      <c r="L185" s="212" t="s">
        <v>87</v>
      </c>
      <c r="M185" s="250"/>
      <c r="N185" s="239">
        <v>44195</v>
      </c>
      <c r="O185" s="210" t="s">
        <v>173</v>
      </c>
      <c r="P185" s="210" t="s">
        <v>1090</v>
      </c>
      <c r="Q185" s="210" t="s">
        <v>1091</v>
      </c>
      <c r="R185" s="210" t="s">
        <v>1084</v>
      </c>
      <c r="S185" s="210" t="s">
        <v>1078</v>
      </c>
      <c r="T185" s="210" t="s">
        <v>1079</v>
      </c>
      <c r="U185" s="210" t="s">
        <v>957</v>
      </c>
      <c r="V185" s="210" t="s">
        <v>25</v>
      </c>
      <c r="W185" s="211" t="s">
        <v>1016</v>
      </c>
      <c r="X185" s="211">
        <v>500</v>
      </c>
      <c r="Y185" s="211">
        <v>100</v>
      </c>
      <c r="Z185" s="212">
        <v>500</v>
      </c>
      <c r="AA185" s="240">
        <v>33</v>
      </c>
      <c r="AB185" s="213">
        <v>1.7999999999999999E-2</v>
      </c>
      <c r="AC185" s="213">
        <v>0.2</v>
      </c>
      <c r="AD185" s="213" t="s">
        <v>113</v>
      </c>
      <c r="AE185" s="213">
        <v>3.5999999999999999E-3</v>
      </c>
      <c r="AF185" s="241">
        <v>101480325.56</v>
      </c>
      <c r="AG185" s="241">
        <v>101480325.56</v>
      </c>
      <c r="AH185" s="213">
        <v>-0.24010000000000001</v>
      </c>
      <c r="AI185" s="352">
        <v>-3.6989000000000001</v>
      </c>
      <c r="AJ185" s="213">
        <v>-0.27550000000000002</v>
      </c>
      <c r="AK185" s="352">
        <v>-2.9285000000000001</v>
      </c>
      <c r="AL185" s="213" t="s">
        <v>66</v>
      </c>
      <c r="AM185" s="352" t="s">
        <v>66</v>
      </c>
      <c r="AN185" s="213" t="s">
        <v>66</v>
      </c>
      <c r="AO185" s="352" t="s">
        <v>66</v>
      </c>
      <c r="AP185" s="213">
        <v>0.21759999999999999</v>
      </c>
      <c r="AQ185" s="219">
        <v>-1.7845291108491244</v>
      </c>
      <c r="AR185" s="213" t="s">
        <v>1827</v>
      </c>
      <c r="AU185" s="343"/>
      <c r="AV185" s="343"/>
      <c r="AW185" s="328"/>
      <c r="AX185" s="329"/>
      <c r="AY185" s="328"/>
      <c r="AZ185" s="328"/>
      <c r="BA185" s="330"/>
      <c r="BB185" s="328"/>
      <c r="BC185" s="328"/>
      <c r="BD185" s="328"/>
      <c r="BE185" s="330"/>
      <c r="BF185" s="330"/>
      <c r="BG185" s="344"/>
      <c r="BH185" s="383"/>
      <c r="BI185" s="330"/>
      <c r="BJ185" s="330"/>
      <c r="BK185" s="330"/>
      <c r="BL185" s="330"/>
      <c r="BM185" s="330"/>
      <c r="BN185" s="330"/>
      <c r="BO185" s="330"/>
      <c r="BP185" s="331"/>
      <c r="BQ185" s="332"/>
      <c r="BR185" s="333"/>
    </row>
    <row r="186" spans="2:70" ht="15.75" customHeight="1">
      <c r="B186" s="216" t="s">
        <v>764</v>
      </c>
      <c r="C186" s="212">
        <v>1305427</v>
      </c>
      <c r="D186" s="223">
        <v>43214822000188</v>
      </c>
      <c r="E186" s="217" t="s">
        <v>28</v>
      </c>
      <c r="F186" s="217" t="s">
        <v>950</v>
      </c>
      <c r="G186" s="217"/>
      <c r="H186" s="218"/>
      <c r="I186" s="217" t="s">
        <v>66</v>
      </c>
      <c r="J186" s="217" t="s">
        <v>66</v>
      </c>
      <c r="K186" s="218" t="s">
        <v>951</v>
      </c>
      <c r="L186" s="212" t="s">
        <v>87</v>
      </c>
      <c r="M186" s="250"/>
      <c r="N186" s="239">
        <v>44470</v>
      </c>
      <c r="O186" s="210" t="s">
        <v>171</v>
      </c>
      <c r="P186" s="210" t="s">
        <v>1075</v>
      </c>
      <c r="Q186" s="210" t="s">
        <v>1076</v>
      </c>
      <c r="R186" s="210" t="s">
        <v>1077</v>
      </c>
      <c r="S186" s="210" t="s">
        <v>1078</v>
      </c>
      <c r="T186" s="210" t="s">
        <v>1079</v>
      </c>
      <c r="U186" s="210" t="s">
        <v>950</v>
      </c>
      <c r="V186" s="210" t="s">
        <v>1080</v>
      </c>
      <c r="W186" s="211" t="s">
        <v>1018</v>
      </c>
      <c r="X186" s="211">
        <v>1000</v>
      </c>
      <c r="Y186" s="211">
        <v>1000</v>
      </c>
      <c r="Z186" s="212">
        <v>1000</v>
      </c>
      <c r="AA186" s="240">
        <v>7</v>
      </c>
      <c r="AB186" s="213">
        <v>1.6E-2</v>
      </c>
      <c r="AC186" s="213">
        <v>0.15</v>
      </c>
      <c r="AD186" s="213" t="s">
        <v>1014</v>
      </c>
      <c r="AE186" s="213" t="s">
        <v>66</v>
      </c>
      <c r="AF186" s="241">
        <v>38349324.549999997</v>
      </c>
      <c r="AG186" s="241">
        <v>38349324.549999997</v>
      </c>
      <c r="AH186" s="213">
        <v>-0.1178</v>
      </c>
      <c r="AI186" s="352">
        <v>-1.8141</v>
      </c>
      <c r="AJ186" s="213" t="s">
        <v>66</v>
      </c>
      <c r="AK186" s="352" t="s">
        <v>66</v>
      </c>
      <c r="AL186" s="213" t="s">
        <v>66</v>
      </c>
      <c r="AM186" s="352" t="s">
        <v>66</v>
      </c>
      <c r="AN186" s="213" t="s">
        <v>66</v>
      </c>
      <c r="AO186" s="352" t="s">
        <v>66</v>
      </c>
      <c r="AP186" s="213" t="s">
        <v>66</v>
      </c>
      <c r="AQ186" s="219" t="s">
        <v>66</v>
      </c>
      <c r="AR186" s="213" t="s">
        <v>1827</v>
      </c>
      <c r="AU186" s="343"/>
      <c r="AV186" s="343"/>
      <c r="AW186" s="328"/>
      <c r="AX186" s="329"/>
      <c r="AY186" s="328"/>
      <c r="AZ186" s="328"/>
      <c r="BA186" s="330"/>
      <c r="BB186" s="328"/>
      <c r="BC186" s="328"/>
      <c r="BD186" s="328"/>
      <c r="BE186" s="330"/>
      <c r="BF186" s="330"/>
      <c r="BG186" s="344"/>
      <c r="BH186" s="330"/>
      <c r="BI186" s="330"/>
      <c r="BJ186" s="330"/>
      <c r="BK186" s="330"/>
      <c r="BL186" s="330"/>
      <c r="BM186" s="330"/>
      <c r="BN186" s="330"/>
      <c r="BO186" s="330"/>
      <c r="BP186" s="331"/>
      <c r="BQ186" s="332"/>
      <c r="BR186" s="333"/>
    </row>
    <row r="187" spans="2:70" ht="15.75" customHeight="1">
      <c r="B187" s="216" t="s">
        <v>1166</v>
      </c>
      <c r="C187" s="212">
        <v>2617858</v>
      </c>
      <c r="D187" s="223">
        <v>20501989000124</v>
      </c>
      <c r="E187" s="217" t="s">
        <v>28</v>
      </c>
      <c r="F187" s="217" t="s">
        <v>957</v>
      </c>
      <c r="G187" s="217"/>
      <c r="H187" s="218"/>
      <c r="I187" s="217" t="s">
        <v>1259</v>
      </c>
      <c r="J187" s="217" t="s">
        <v>66</v>
      </c>
      <c r="K187" s="218" t="s">
        <v>951</v>
      </c>
      <c r="L187" s="212" t="s">
        <v>87</v>
      </c>
      <c r="M187" s="250"/>
      <c r="N187" s="239">
        <v>41920</v>
      </c>
      <c r="O187" s="210" t="s">
        <v>171</v>
      </c>
      <c r="P187" s="210" t="s">
        <v>1075</v>
      </c>
      <c r="Q187" s="210" t="s">
        <v>1076</v>
      </c>
      <c r="R187" s="210" t="s">
        <v>1077</v>
      </c>
      <c r="S187" s="210" t="s">
        <v>1078</v>
      </c>
      <c r="T187" s="210" t="s">
        <v>1079</v>
      </c>
      <c r="U187" s="210" t="s">
        <v>957</v>
      </c>
      <c r="V187" s="210" t="s">
        <v>1080</v>
      </c>
      <c r="W187" s="211" t="s">
        <v>1007</v>
      </c>
      <c r="X187" s="211">
        <v>1000</v>
      </c>
      <c r="Y187" s="211">
        <v>1000</v>
      </c>
      <c r="Z187" s="212">
        <v>1000</v>
      </c>
      <c r="AA187" s="240">
        <v>5</v>
      </c>
      <c r="AB187" s="213">
        <v>1.6E-2</v>
      </c>
      <c r="AC187" s="213">
        <v>0.15</v>
      </c>
      <c r="AD187" s="213" t="s">
        <v>113</v>
      </c>
      <c r="AE187" s="213">
        <v>4.2666666666666669E-3</v>
      </c>
      <c r="AF187" s="241">
        <v>87054134.510000005</v>
      </c>
      <c r="AG187" s="241">
        <v>87054134.510000005</v>
      </c>
      <c r="AH187" s="213">
        <v>-7.1199999999999999E-2</v>
      </c>
      <c r="AI187" s="352">
        <v>-1.0962000000000001</v>
      </c>
      <c r="AJ187" s="213">
        <v>-0.1895</v>
      </c>
      <c r="AK187" s="352">
        <v>-2.0137999999999998</v>
      </c>
      <c r="AL187" s="213">
        <v>-5.2400000000000002E-2</v>
      </c>
      <c r="AM187" s="352">
        <v>-0.43390000000000001</v>
      </c>
      <c r="AN187" s="213">
        <v>-8.1900000000000001E-2</v>
      </c>
      <c r="AO187" s="352">
        <v>-0.48620000000000002</v>
      </c>
      <c r="AP187" s="213">
        <v>0.17199999999999999</v>
      </c>
      <c r="AQ187" s="219">
        <v>-1.6583037453054299</v>
      </c>
      <c r="AR187" s="213" t="s">
        <v>1827</v>
      </c>
      <c r="AU187" s="343"/>
      <c r="AV187" s="343"/>
      <c r="AW187" s="328"/>
      <c r="AX187" s="329"/>
      <c r="AY187" s="328"/>
      <c r="AZ187" s="328"/>
      <c r="BA187" s="330"/>
      <c r="BB187" s="328"/>
      <c r="BC187" s="328"/>
      <c r="BD187" s="328"/>
      <c r="BE187" s="330"/>
      <c r="BF187" s="330"/>
      <c r="BG187" s="344"/>
      <c r="BH187" s="330"/>
      <c r="BI187" s="330"/>
      <c r="BJ187" s="330"/>
      <c r="BK187" s="330"/>
      <c r="BL187" s="330"/>
      <c r="BM187" s="330"/>
      <c r="BN187" s="330"/>
      <c r="BO187" s="330"/>
      <c r="BP187" s="331"/>
      <c r="BQ187" s="332"/>
      <c r="BR187" s="333"/>
    </row>
    <row r="188" spans="2:70" ht="15.75" customHeight="1">
      <c r="B188" s="216" t="s">
        <v>1167</v>
      </c>
      <c r="C188" s="212">
        <v>917902</v>
      </c>
      <c r="D188" s="223">
        <v>31340838000158</v>
      </c>
      <c r="E188" s="217" t="s">
        <v>19</v>
      </c>
      <c r="F188" s="217" t="s">
        <v>963</v>
      </c>
      <c r="G188" s="217" t="s">
        <v>1034</v>
      </c>
      <c r="H188" s="218" t="s">
        <v>1113</v>
      </c>
      <c r="I188" s="217" t="s">
        <v>66</v>
      </c>
      <c r="J188" s="217" t="s">
        <v>1822</v>
      </c>
      <c r="K188" s="218" t="s">
        <v>951</v>
      </c>
      <c r="L188" s="212" t="s">
        <v>87</v>
      </c>
      <c r="M188" s="250"/>
      <c r="N188" s="239">
        <v>43444</v>
      </c>
      <c r="O188" s="210" t="s">
        <v>171</v>
      </c>
      <c r="P188" s="210" t="s">
        <v>1075</v>
      </c>
      <c r="Q188" s="210" t="s">
        <v>1076</v>
      </c>
      <c r="R188" s="210" t="s">
        <v>1077</v>
      </c>
      <c r="S188" s="210" t="s">
        <v>1078</v>
      </c>
      <c r="T188" s="210" t="s">
        <v>32</v>
      </c>
      <c r="U188" s="210" t="s">
        <v>1150</v>
      </c>
      <c r="V188" s="210" t="s">
        <v>19</v>
      </c>
      <c r="W188" s="211" t="s">
        <v>1024</v>
      </c>
      <c r="X188" s="211">
        <v>1000</v>
      </c>
      <c r="Y188" s="211">
        <v>1000</v>
      </c>
      <c r="Z188" s="212">
        <v>1000</v>
      </c>
      <c r="AA188" s="240">
        <v>91</v>
      </c>
      <c r="AB188" s="213">
        <v>8.5000000000000006E-3</v>
      </c>
      <c r="AC188" s="213">
        <v>0.15</v>
      </c>
      <c r="AD188" s="213" t="s">
        <v>113</v>
      </c>
      <c r="AE188" s="213">
        <v>1.9833333333333335E-3</v>
      </c>
      <c r="AF188" s="241">
        <v>255232580.12</v>
      </c>
      <c r="AG188" s="241">
        <v>255232580.12</v>
      </c>
      <c r="AH188" s="213">
        <v>7.1199999999999999E-2</v>
      </c>
      <c r="AI188" s="352">
        <v>1.0972999999999999</v>
      </c>
      <c r="AJ188" s="213">
        <v>0.10639999999999999</v>
      </c>
      <c r="AK188" s="352">
        <v>1.1304000000000001</v>
      </c>
      <c r="AL188" s="213">
        <v>0.14729999999999999</v>
      </c>
      <c r="AM188" s="352">
        <v>1.2192000000000001</v>
      </c>
      <c r="AN188" s="213">
        <v>0.2019</v>
      </c>
      <c r="AO188" s="352">
        <v>1.198</v>
      </c>
      <c r="AP188" s="213">
        <v>2E-3</v>
      </c>
      <c r="AQ188" s="219">
        <v>5.5886620769284168</v>
      </c>
      <c r="AR188" s="213" t="s">
        <v>1827</v>
      </c>
      <c r="AU188" s="343"/>
      <c r="AV188" s="343"/>
      <c r="AW188" s="328"/>
      <c r="AX188" s="329"/>
      <c r="AY188" s="328"/>
      <c r="AZ188" s="328"/>
      <c r="BA188" s="330"/>
      <c r="BB188" s="328"/>
      <c r="BC188" s="328"/>
      <c r="BD188" s="328"/>
      <c r="BE188" s="330"/>
      <c r="BF188" s="330"/>
      <c r="BG188" s="344"/>
      <c r="BH188" s="383"/>
      <c r="BI188" s="330"/>
      <c r="BJ188" s="330"/>
      <c r="BK188" s="330"/>
      <c r="BL188" s="330"/>
      <c r="BM188" s="330"/>
      <c r="BN188" s="330"/>
      <c r="BO188" s="330"/>
      <c r="BP188" s="331"/>
      <c r="BQ188" s="332"/>
      <c r="BR188" s="333"/>
    </row>
    <row r="189" spans="2:70" ht="15.75" customHeight="1">
      <c r="B189" s="216" t="s">
        <v>1168</v>
      </c>
      <c r="C189" s="212">
        <v>917905</v>
      </c>
      <c r="D189" s="223">
        <v>17627210000107</v>
      </c>
      <c r="E189" s="217" t="s">
        <v>19</v>
      </c>
      <c r="F189" s="217" t="s">
        <v>963</v>
      </c>
      <c r="G189" s="217" t="s">
        <v>1011</v>
      </c>
      <c r="H189" s="218" t="s">
        <v>1113</v>
      </c>
      <c r="I189" s="217" t="s">
        <v>66</v>
      </c>
      <c r="J189" s="217"/>
      <c r="K189" s="218" t="s">
        <v>951</v>
      </c>
      <c r="L189" s="212" t="s">
        <v>87</v>
      </c>
      <c r="M189" s="250"/>
      <c r="N189" s="239">
        <v>41460</v>
      </c>
      <c r="O189" s="210" t="s">
        <v>171</v>
      </c>
      <c r="P189" s="210" t="s">
        <v>1075</v>
      </c>
      <c r="Q189" s="210" t="s">
        <v>1076</v>
      </c>
      <c r="R189" s="210" t="s">
        <v>1077</v>
      </c>
      <c r="S189" s="210" t="s">
        <v>1078</v>
      </c>
      <c r="T189" s="210" t="s">
        <v>349</v>
      </c>
      <c r="U189" s="210" t="s">
        <v>1114</v>
      </c>
      <c r="V189" s="210" t="s">
        <v>19</v>
      </c>
      <c r="W189" s="211" t="s">
        <v>1024</v>
      </c>
      <c r="X189" s="211">
        <v>1000</v>
      </c>
      <c r="Y189" s="211">
        <v>1000</v>
      </c>
      <c r="Z189" s="212">
        <v>1000</v>
      </c>
      <c r="AA189" s="240">
        <v>1</v>
      </c>
      <c r="AB189" s="213">
        <v>5.0000000000000001E-3</v>
      </c>
      <c r="AC189" s="213">
        <v>0.15</v>
      </c>
      <c r="AD189" s="213" t="s">
        <v>113</v>
      </c>
      <c r="AE189" s="213" t="s">
        <v>66</v>
      </c>
      <c r="AF189" s="241">
        <v>162186353.31999999</v>
      </c>
      <c r="AG189" s="241">
        <v>162186353.31999999</v>
      </c>
      <c r="AH189" s="213">
        <v>6.93E-2</v>
      </c>
      <c r="AI189" s="352">
        <v>1.0679000000000001</v>
      </c>
      <c r="AJ189" s="213">
        <v>0.10249999999999999</v>
      </c>
      <c r="AK189" s="352">
        <v>1.0892999999999999</v>
      </c>
      <c r="AL189" s="213">
        <v>0.14130000000000001</v>
      </c>
      <c r="AM189" s="352">
        <v>1.1694</v>
      </c>
      <c r="AN189" s="213">
        <v>0.1857</v>
      </c>
      <c r="AO189" s="352">
        <v>1.1019000000000001</v>
      </c>
      <c r="AP189" s="213">
        <v>1.8E-3</v>
      </c>
      <c r="AQ189" s="219">
        <v>4.3334557980390853</v>
      </c>
      <c r="AR189" s="213" t="s">
        <v>1827</v>
      </c>
      <c r="AU189" s="343"/>
      <c r="AV189" s="343"/>
      <c r="AW189" s="328"/>
      <c r="AX189" s="329"/>
      <c r="AY189" s="328"/>
      <c r="AZ189" s="328"/>
      <c r="BA189" s="330"/>
      <c r="BB189" s="328"/>
      <c r="BC189" s="328"/>
      <c r="BD189" s="328"/>
      <c r="BE189" s="330"/>
      <c r="BF189" s="330"/>
      <c r="BG189" s="344"/>
      <c r="BH189" s="330"/>
      <c r="BI189" s="330"/>
      <c r="BJ189" s="330"/>
      <c r="BK189" s="330"/>
      <c r="BL189" s="330"/>
      <c r="BM189" s="330"/>
      <c r="BN189" s="330"/>
      <c r="BO189" s="330"/>
      <c r="BP189" s="331"/>
      <c r="BQ189" s="332"/>
      <c r="BR189" s="333"/>
    </row>
    <row r="190" spans="2:70" ht="15.75" customHeight="1">
      <c r="B190" s="216" t="s">
        <v>175</v>
      </c>
      <c r="C190" s="212">
        <v>980880</v>
      </c>
      <c r="D190" s="223">
        <v>17249227000178</v>
      </c>
      <c r="E190" s="217" t="s">
        <v>28</v>
      </c>
      <c r="F190" s="217" t="s">
        <v>957</v>
      </c>
      <c r="G190" s="217"/>
      <c r="H190" s="218"/>
      <c r="I190" s="217" t="s">
        <v>1842</v>
      </c>
      <c r="J190" s="217" t="s">
        <v>66</v>
      </c>
      <c r="K190" s="218" t="s">
        <v>951</v>
      </c>
      <c r="L190" s="212" t="s">
        <v>87</v>
      </c>
      <c r="M190" s="250"/>
      <c r="N190" s="239">
        <v>41282</v>
      </c>
      <c r="O190" s="210" t="s">
        <v>174</v>
      </c>
      <c r="P190" s="210" t="s">
        <v>1075</v>
      </c>
      <c r="Q190" s="210" t="s">
        <v>1076</v>
      </c>
      <c r="R190" s="210" t="s">
        <v>1077</v>
      </c>
      <c r="S190" s="210" t="s">
        <v>1078</v>
      </c>
      <c r="T190" s="210" t="s">
        <v>1079</v>
      </c>
      <c r="U190" s="210" t="s">
        <v>950</v>
      </c>
      <c r="V190" s="210" t="s">
        <v>1080</v>
      </c>
      <c r="W190" s="211" t="s">
        <v>1007</v>
      </c>
      <c r="X190" s="211">
        <v>1000</v>
      </c>
      <c r="Y190" s="211">
        <v>0</v>
      </c>
      <c r="Z190" s="212">
        <v>0</v>
      </c>
      <c r="AA190" s="240">
        <v>32</v>
      </c>
      <c r="AB190" s="213">
        <v>0.02</v>
      </c>
      <c r="AC190" s="213">
        <v>0.2</v>
      </c>
      <c r="AD190" s="213" t="s">
        <v>113</v>
      </c>
      <c r="AE190" s="213">
        <v>5.0000000000000001E-3</v>
      </c>
      <c r="AF190" s="241">
        <v>111853220.7</v>
      </c>
      <c r="AG190" s="241">
        <v>111853220.7</v>
      </c>
      <c r="AH190" s="213">
        <v>6.3E-3</v>
      </c>
      <c r="AI190" s="352">
        <v>9.7000000000000003E-2</v>
      </c>
      <c r="AJ190" s="213">
        <v>-0.14979999999999999</v>
      </c>
      <c r="AK190" s="352">
        <v>-1.5919000000000001</v>
      </c>
      <c r="AL190" s="213">
        <v>5.1999999999999998E-3</v>
      </c>
      <c r="AM190" s="352">
        <v>4.3099999999999999E-2</v>
      </c>
      <c r="AN190" s="213">
        <v>1.4E-3</v>
      </c>
      <c r="AO190" s="352">
        <v>8.5000000000000006E-3</v>
      </c>
      <c r="AP190" s="213">
        <v>0.20899999999999999</v>
      </c>
      <c r="AQ190" s="219">
        <v>-1.102292612414256</v>
      </c>
      <c r="AR190" s="213" t="s">
        <v>1827</v>
      </c>
      <c r="AU190" s="343"/>
      <c r="AV190" s="343"/>
      <c r="AW190" s="328"/>
      <c r="AX190" s="329"/>
      <c r="AY190" s="328"/>
      <c r="AZ190" s="328"/>
      <c r="BA190" s="330"/>
      <c r="BB190" s="328"/>
      <c r="BC190" s="328"/>
      <c r="BD190" s="328"/>
      <c r="BE190" s="330"/>
      <c r="BF190" s="330"/>
      <c r="BG190" s="344"/>
      <c r="BH190" s="330"/>
      <c r="BI190" s="330"/>
      <c r="BJ190" s="330"/>
      <c r="BK190" s="330"/>
      <c r="BL190" s="330"/>
      <c r="BM190" s="330"/>
      <c r="BN190" s="330"/>
      <c r="BO190" s="330"/>
      <c r="BP190" s="331"/>
      <c r="BQ190" s="332"/>
      <c r="BR190" s="333"/>
    </row>
    <row r="191" spans="2:70" ht="15.75" customHeight="1">
      <c r="B191" s="216" t="s">
        <v>176</v>
      </c>
      <c r="C191" s="212">
        <v>535157</v>
      </c>
      <c r="D191" s="223">
        <v>23186344000132</v>
      </c>
      <c r="E191" s="217" t="s">
        <v>28</v>
      </c>
      <c r="F191" s="217" t="s">
        <v>950</v>
      </c>
      <c r="G191" s="217"/>
      <c r="H191" s="218"/>
      <c r="I191" s="217" t="s">
        <v>66</v>
      </c>
      <c r="J191" s="217" t="s">
        <v>66</v>
      </c>
      <c r="K191" s="218" t="s">
        <v>951</v>
      </c>
      <c r="L191" s="212" t="s">
        <v>87</v>
      </c>
      <c r="M191" s="250"/>
      <c r="N191" s="239">
        <v>42276</v>
      </c>
      <c r="O191" s="210" t="s">
        <v>174</v>
      </c>
      <c r="P191" s="210" t="s">
        <v>1075</v>
      </c>
      <c r="Q191" s="210" t="s">
        <v>1076</v>
      </c>
      <c r="R191" s="210" t="s">
        <v>1084</v>
      </c>
      <c r="S191" s="210" t="s">
        <v>1078</v>
      </c>
      <c r="T191" s="210" t="s">
        <v>1079</v>
      </c>
      <c r="U191" s="210" t="s">
        <v>950</v>
      </c>
      <c r="V191" s="210" t="s">
        <v>1080</v>
      </c>
      <c r="W191" s="211" t="s">
        <v>1007</v>
      </c>
      <c r="X191" s="211">
        <v>1000</v>
      </c>
      <c r="Y191" s="211">
        <v>0</v>
      </c>
      <c r="Z191" s="212">
        <v>0</v>
      </c>
      <c r="AA191" s="240">
        <v>32</v>
      </c>
      <c r="AB191" s="213">
        <v>0.03</v>
      </c>
      <c r="AC191" s="213">
        <v>0</v>
      </c>
      <c r="AD191" s="213" t="s">
        <v>113</v>
      </c>
      <c r="AE191" s="213">
        <v>1.0499999999999999E-2</v>
      </c>
      <c r="AF191" s="241">
        <v>130572491.16</v>
      </c>
      <c r="AG191" s="241">
        <v>130572491.16</v>
      </c>
      <c r="AH191" s="213">
        <v>1.2999999999999999E-3</v>
      </c>
      <c r="AI191" s="352">
        <v>1.9300000000000001E-2</v>
      </c>
      <c r="AJ191" s="213">
        <v>-0.161</v>
      </c>
      <c r="AK191" s="352">
        <v>-1.7107000000000001</v>
      </c>
      <c r="AL191" s="213">
        <v>-1.44E-2</v>
      </c>
      <c r="AM191" s="352">
        <v>-0.11899999999999999</v>
      </c>
      <c r="AN191" s="213">
        <v>-7.3000000000000001E-3</v>
      </c>
      <c r="AO191" s="352">
        <v>-4.36E-2</v>
      </c>
      <c r="AP191" s="213">
        <v>0.2114</v>
      </c>
      <c r="AQ191" s="219">
        <v>-1.1500633101479218</v>
      </c>
      <c r="AR191" s="213" t="s">
        <v>1827</v>
      </c>
      <c r="AU191" s="343"/>
      <c r="AV191" s="343"/>
      <c r="AW191" s="328"/>
      <c r="AX191" s="329"/>
      <c r="AY191" s="328"/>
      <c r="AZ191" s="328"/>
      <c r="BA191" s="330"/>
      <c r="BB191" s="328"/>
      <c r="BC191" s="328"/>
      <c r="BD191" s="328"/>
      <c r="BE191" s="330"/>
      <c r="BF191" s="330"/>
      <c r="BG191" s="344"/>
      <c r="BH191" s="330"/>
      <c r="BI191" s="330"/>
      <c r="BJ191" s="330"/>
      <c r="BK191" s="330"/>
      <c r="BL191" s="330"/>
      <c r="BM191" s="330"/>
      <c r="BN191" s="330"/>
      <c r="BO191" s="330"/>
      <c r="BP191" s="331"/>
      <c r="BQ191" s="332"/>
      <c r="BR191" s="333"/>
    </row>
    <row r="192" spans="2:70" ht="15.75" customHeight="1">
      <c r="B192" s="216" t="s">
        <v>177</v>
      </c>
      <c r="C192" s="212">
        <v>534508</v>
      </c>
      <c r="D192" s="223">
        <v>13083227000190</v>
      </c>
      <c r="E192" s="217" t="s">
        <v>28</v>
      </c>
      <c r="F192" s="217" t="s">
        <v>950</v>
      </c>
      <c r="G192" s="217"/>
      <c r="H192" s="218"/>
      <c r="I192" s="217" t="s">
        <v>66</v>
      </c>
      <c r="J192" s="217" t="s">
        <v>66</v>
      </c>
      <c r="K192" s="218" t="s">
        <v>951</v>
      </c>
      <c r="L192" s="212" t="s">
        <v>87</v>
      </c>
      <c r="M192" s="250"/>
      <c r="N192" s="239">
        <v>40786</v>
      </c>
      <c r="O192" s="210" t="s">
        <v>1169</v>
      </c>
      <c r="P192" s="210" t="s">
        <v>1083</v>
      </c>
      <c r="Q192" s="210" t="s">
        <v>102</v>
      </c>
      <c r="R192" s="210" t="s">
        <v>1084</v>
      </c>
      <c r="S192" s="210" t="s">
        <v>1078</v>
      </c>
      <c r="T192" s="210" t="s">
        <v>1079</v>
      </c>
      <c r="U192" s="210" t="s">
        <v>950</v>
      </c>
      <c r="V192" s="210" t="s">
        <v>1080</v>
      </c>
      <c r="W192" s="211" t="s">
        <v>1007</v>
      </c>
      <c r="X192" s="211">
        <v>500</v>
      </c>
      <c r="Y192" s="211">
        <v>500</v>
      </c>
      <c r="Z192" s="212">
        <v>500</v>
      </c>
      <c r="AA192" s="240">
        <v>32</v>
      </c>
      <c r="AB192" s="213">
        <v>0.02</v>
      </c>
      <c r="AC192" s="213">
        <v>0.2</v>
      </c>
      <c r="AD192" s="213" t="s">
        <v>1170</v>
      </c>
      <c r="AE192" s="213">
        <v>4.0000000000000001E-3</v>
      </c>
      <c r="AF192" s="241">
        <v>138206193.50999999</v>
      </c>
      <c r="AG192" s="241">
        <v>138206193.50999999</v>
      </c>
      <c r="AH192" s="213">
        <v>-0.11169999999999999</v>
      </c>
      <c r="AI192" s="352">
        <v>-1.7198</v>
      </c>
      <c r="AJ192" s="213">
        <v>-0.37619999999999998</v>
      </c>
      <c r="AK192" s="352">
        <v>-3.9982000000000002</v>
      </c>
      <c r="AL192" s="213">
        <v>-0.22259999999999999</v>
      </c>
      <c r="AM192" s="352">
        <v>-1.8427</v>
      </c>
      <c r="AN192" s="213">
        <v>-0.14230000000000001</v>
      </c>
      <c r="AO192" s="352">
        <v>-0.84450000000000003</v>
      </c>
      <c r="AP192" s="213">
        <v>0.25240000000000001</v>
      </c>
      <c r="AQ192" s="219">
        <v>-2.0981262538577639</v>
      </c>
      <c r="AR192" s="213" t="s">
        <v>1824</v>
      </c>
      <c r="AU192" s="343"/>
      <c r="AV192" s="343"/>
      <c r="AW192" s="328"/>
      <c r="AX192" s="329"/>
      <c r="AY192" s="328"/>
      <c r="AZ192" s="328"/>
      <c r="BA192" s="330"/>
      <c r="BB192" s="328"/>
      <c r="BC192" s="328"/>
      <c r="BD192" s="328"/>
      <c r="BE192" s="330"/>
      <c r="BF192" s="330"/>
      <c r="BG192" s="344"/>
      <c r="BH192" s="330"/>
      <c r="BI192" s="330"/>
      <c r="BJ192" s="330"/>
      <c r="BK192" s="330"/>
      <c r="BL192" s="330"/>
      <c r="BM192" s="330"/>
      <c r="BN192" s="330"/>
      <c r="BO192" s="330"/>
      <c r="BP192" s="331"/>
      <c r="BQ192" s="332"/>
      <c r="BR192" s="333"/>
    </row>
    <row r="193" spans="2:70" ht="15.75" customHeight="1">
      <c r="B193" s="216" t="s">
        <v>178</v>
      </c>
      <c r="C193" s="212">
        <v>558872</v>
      </c>
      <c r="D193" s="223">
        <v>36182298000145</v>
      </c>
      <c r="E193" s="217" t="s">
        <v>28</v>
      </c>
      <c r="F193" s="217" t="s">
        <v>957</v>
      </c>
      <c r="G193" s="217"/>
      <c r="H193" s="218"/>
      <c r="I193" s="217" t="s">
        <v>1842</v>
      </c>
      <c r="J193" s="217" t="s">
        <v>66</v>
      </c>
      <c r="K193" s="218" t="s">
        <v>951</v>
      </c>
      <c r="L193" s="212" t="s">
        <v>87</v>
      </c>
      <c r="M193" s="250"/>
      <c r="N193" s="239">
        <v>43895</v>
      </c>
      <c r="O193" s="210" t="s">
        <v>1169</v>
      </c>
      <c r="P193" s="210" t="s">
        <v>1083</v>
      </c>
      <c r="Q193" s="210" t="s">
        <v>102</v>
      </c>
      <c r="R193" s="210" t="s">
        <v>1077</v>
      </c>
      <c r="S193" s="210" t="s">
        <v>1078</v>
      </c>
      <c r="T193" s="210" t="s">
        <v>1079</v>
      </c>
      <c r="U193" s="210" t="s">
        <v>957</v>
      </c>
      <c r="V193" s="210" t="s">
        <v>25</v>
      </c>
      <c r="W193" s="211" t="s">
        <v>1016</v>
      </c>
      <c r="X193" s="211">
        <v>500</v>
      </c>
      <c r="Y193" s="211">
        <v>500</v>
      </c>
      <c r="Z193" s="212">
        <v>500</v>
      </c>
      <c r="AA193" s="240">
        <v>32</v>
      </c>
      <c r="AB193" s="213">
        <v>0.02</v>
      </c>
      <c r="AC193" s="213">
        <v>0.2</v>
      </c>
      <c r="AD193" s="213" t="s">
        <v>1157</v>
      </c>
      <c r="AE193" s="213">
        <v>4.0000000000000001E-3</v>
      </c>
      <c r="AF193" s="241">
        <v>107265701.77</v>
      </c>
      <c r="AG193" s="241">
        <v>107265701.77</v>
      </c>
      <c r="AH193" s="213">
        <v>-0.1109</v>
      </c>
      <c r="AI193" s="352">
        <v>-1.7077</v>
      </c>
      <c r="AJ193" s="213">
        <v>-0.2402</v>
      </c>
      <c r="AK193" s="352">
        <v>-2.5531000000000001</v>
      </c>
      <c r="AL193" s="213">
        <v>-7.7299999999999994E-2</v>
      </c>
      <c r="AM193" s="352">
        <v>-0.64</v>
      </c>
      <c r="AN193" s="213" t="s">
        <v>66</v>
      </c>
      <c r="AO193" s="352" t="s">
        <v>66</v>
      </c>
      <c r="AP193" s="213">
        <v>0.18260000000000001</v>
      </c>
      <c r="AQ193" s="219">
        <v>-1.9050467209686028</v>
      </c>
      <c r="AR193" s="213" t="s">
        <v>1827</v>
      </c>
      <c r="AU193" s="343"/>
      <c r="AV193" s="343"/>
      <c r="AW193" s="328"/>
      <c r="AX193" s="329"/>
      <c r="AY193" s="328"/>
      <c r="AZ193" s="328"/>
      <c r="BA193" s="330"/>
      <c r="BB193" s="328"/>
      <c r="BC193" s="328"/>
      <c r="BD193" s="328"/>
      <c r="BE193" s="330"/>
      <c r="BF193" s="330"/>
      <c r="BG193" s="344"/>
      <c r="BH193" s="330"/>
      <c r="BI193" s="330"/>
      <c r="BJ193" s="330"/>
      <c r="BK193" s="330"/>
      <c r="BL193" s="330"/>
      <c r="BM193" s="330"/>
      <c r="BN193" s="330"/>
      <c r="BO193" s="330"/>
      <c r="BP193" s="331"/>
      <c r="BQ193" s="332"/>
      <c r="BR193" s="333"/>
    </row>
    <row r="194" spans="2:70" ht="15.75" customHeight="1">
      <c r="B194" s="216" t="s">
        <v>1171</v>
      </c>
      <c r="C194" s="212">
        <v>1051386</v>
      </c>
      <c r="D194" s="223">
        <v>41544414000169</v>
      </c>
      <c r="E194" s="217" t="s">
        <v>28</v>
      </c>
      <c r="F194" s="217" t="s">
        <v>950</v>
      </c>
      <c r="G194" s="217"/>
      <c r="H194" s="218"/>
      <c r="I194" s="217" t="s">
        <v>66</v>
      </c>
      <c r="J194" s="217" t="s">
        <v>66</v>
      </c>
      <c r="K194" s="218" t="s">
        <v>954</v>
      </c>
      <c r="L194" s="212"/>
      <c r="M194" s="250"/>
      <c r="N194" s="239">
        <v>44334</v>
      </c>
      <c r="O194" s="210" t="s">
        <v>179</v>
      </c>
      <c r="P194" s="210" t="s">
        <v>1075</v>
      </c>
      <c r="Q194" s="210" t="s">
        <v>1076</v>
      </c>
      <c r="R194" s="210" t="s">
        <v>1077</v>
      </c>
      <c r="S194" s="210" t="s">
        <v>1078</v>
      </c>
      <c r="T194" s="210" t="s">
        <v>1079</v>
      </c>
      <c r="U194" s="210" t="s">
        <v>65</v>
      </c>
      <c r="V194" s="210" t="s">
        <v>25</v>
      </c>
      <c r="W194" s="211" t="s">
        <v>1016</v>
      </c>
      <c r="X194" s="211">
        <v>5000</v>
      </c>
      <c r="Y194" s="211">
        <v>1000</v>
      </c>
      <c r="Z194" s="212">
        <v>5000</v>
      </c>
      <c r="AA194" s="240">
        <v>17</v>
      </c>
      <c r="AB194" s="213">
        <v>1.8700000000000001E-2</v>
      </c>
      <c r="AC194" s="213">
        <v>0.2</v>
      </c>
      <c r="AD194" s="213" t="s">
        <v>1157</v>
      </c>
      <c r="AE194" s="213">
        <v>4.9872900000000001E-3</v>
      </c>
      <c r="AF194" s="241">
        <v>24633628.440000001</v>
      </c>
      <c r="AG194" s="241">
        <v>24633628.440000001</v>
      </c>
      <c r="AH194" s="213">
        <v>3.1300000000000001E-2</v>
      </c>
      <c r="AI194" s="352">
        <v>0.4819</v>
      </c>
      <c r="AJ194" s="213">
        <v>7.3300000000000004E-2</v>
      </c>
      <c r="AK194" s="352">
        <v>0.77929999999999999</v>
      </c>
      <c r="AL194" s="213" t="s">
        <v>66</v>
      </c>
      <c r="AM194" s="352" t="s">
        <v>66</v>
      </c>
      <c r="AN194" s="213" t="s">
        <v>66</v>
      </c>
      <c r="AO194" s="352" t="s">
        <v>66</v>
      </c>
      <c r="AP194" s="213">
        <v>9.9500000000000005E-2</v>
      </c>
      <c r="AQ194" s="219">
        <v>-0.14311472193382693</v>
      </c>
      <c r="AR194" s="213" t="s">
        <v>1827</v>
      </c>
      <c r="AU194" s="343"/>
      <c r="AV194" s="343"/>
      <c r="AW194" s="328"/>
      <c r="AX194" s="329"/>
      <c r="AY194" s="328"/>
      <c r="AZ194" s="328"/>
      <c r="BA194" s="330"/>
      <c r="BB194" s="328"/>
      <c r="BC194" s="328"/>
      <c r="BD194" s="328"/>
      <c r="BE194" s="330"/>
      <c r="BF194" s="330"/>
      <c r="BG194" s="344"/>
      <c r="BH194" s="330"/>
      <c r="BI194" s="330"/>
      <c r="BJ194" s="330"/>
      <c r="BK194" s="330"/>
      <c r="BL194" s="330"/>
      <c r="BM194" s="330"/>
      <c r="BN194" s="330"/>
      <c r="BO194" s="330"/>
      <c r="BP194" s="331"/>
      <c r="BQ194" s="332"/>
      <c r="BR194" s="333"/>
    </row>
    <row r="195" spans="2:70" ht="15.75" customHeight="1">
      <c r="B195" s="216" t="s">
        <v>1172</v>
      </c>
      <c r="C195" s="212">
        <v>931508</v>
      </c>
      <c r="D195" s="223">
        <v>14237118000142</v>
      </c>
      <c r="E195" s="217" t="s">
        <v>19</v>
      </c>
      <c r="F195" s="217" t="s">
        <v>963</v>
      </c>
      <c r="G195" s="217" t="s">
        <v>1011</v>
      </c>
      <c r="H195" s="218" t="s">
        <v>1113</v>
      </c>
      <c r="I195" s="217" t="s">
        <v>66</v>
      </c>
      <c r="J195" s="217"/>
      <c r="K195" s="218" t="s">
        <v>951</v>
      </c>
      <c r="L195" s="212" t="s">
        <v>87</v>
      </c>
      <c r="M195" s="250"/>
      <c r="N195" s="239">
        <v>40883</v>
      </c>
      <c r="O195" s="210" t="s">
        <v>181</v>
      </c>
      <c r="P195" s="210" t="s">
        <v>1110</v>
      </c>
      <c r="Q195" s="210" t="s">
        <v>1110</v>
      </c>
      <c r="R195" s="210" t="s">
        <v>1084</v>
      </c>
      <c r="S195" s="210" t="s">
        <v>1078</v>
      </c>
      <c r="T195" s="210" t="s">
        <v>349</v>
      </c>
      <c r="U195" s="210" t="s">
        <v>1114</v>
      </c>
      <c r="V195" s="210" t="s">
        <v>19</v>
      </c>
      <c r="W195" s="211" t="s">
        <v>1024</v>
      </c>
      <c r="X195" s="211">
        <v>5000</v>
      </c>
      <c r="Y195" s="211">
        <v>5000</v>
      </c>
      <c r="Z195" s="212">
        <v>5000</v>
      </c>
      <c r="AA195" s="240">
        <v>45</v>
      </c>
      <c r="AB195" s="213">
        <v>6.0000000000000001E-3</v>
      </c>
      <c r="AC195" s="213">
        <v>0.2</v>
      </c>
      <c r="AD195" s="213" t="s">
        <v>109</v>
      </c>
      <c r="AE195" s="213">
        <v>1.5E-3</v>
      </c>
      <c r="AF195" s="241">
        <v>154828661.62</v>
      </c>
      <c r="AG195" s="241">
        <v>154828661.62</v>
      </c>
      <c r="AH195" s="213">
        <v>7.5600000000000001E-2</v>
      </c>
      <c r="AI195" s="352">
        <v>1.1652</v>
      </c>
      <c r="AJ195" s="213">
        <v>0.1142</v>
      </c>
      <c r="AK195" s="352">
        <v>1.2137</v>
      </c>
      <c r="AL195" s="213">
        <v>0.17610000000000001</v>
      </c>
      <c r="AM195" s="352">
        <v>1.4575</v>
      </c>
      <c r="AN195" s="213">
        <v>0.21</v>
      </c>
      <c r="AO195" s="352">
        <v>1.2464</v>
      </c>
      <c r="AP195" s="213">
        <v>3.5000000000000001E-3</v>
      </c>
      <c r="AQ195" s="219">
        <v>5.1626622907899193</v>
      </c>
      <c r="AR195" s="213" t="s">
        <v>1827</v>
      </c>
      <c r="AU195" s="343"/>
      <c r="AV195" s="343"/>
      <c r="AW195" s="328"/>
      <c r="AX195" s="329"/>
      <c r="AY195" s="328"/>
      <c r="AZ195" s="328"/>
      <c r="BA195" s="330"/>
      <c r="BB195" s="328"/>
      <c r="BC195" s="328"/>
      <c r="BD195" s="328"/>
      <c r="BE195" s="330"/>
      <c r="BF195" s="330"/>
      <c r="BG195" s="344"/>
      <c r="BH195" s="330"/>
      <c r="BI195" s="330"/>
      <c r="BJ195" s="330"/>
      <c r="BK195" s="330"/>
      <c r="BL195" s="330"/>
      <c r="BM195" s="330"/>
      <c r="BN195" s="330"/>
      <c r="BO195" s="330"/>
      <c r="BP195" s="331"/>
      <c r="BQ195" s="332"/>
      <c r="BR195" s="333"/>
    </row>
    <row r="196" spans="2:70" ht="15.75" customHeight="1">
      <c r="B196" s="216" t="s">
        <v>183</v>
      </c>
      <c r="C196" s="212">
        <v>769507</v>
      </c>
      <c r="D196" s="223">
        <v>30353549000120</v>
      </c>
      <c r="E196" s="217" t="s">
        <v>19</v>
      </c>
      <c r="F196" s="217" t="s">
        <v>963</v>
      </c>
      <c r="G196" s="217" t="s">
        <v>1034</v>
      </c>
      <c r="H196" s="218" t="s">
        <v>1113</v>
      </c>
      <c r="I196" s="217" t="s">
        <v>66</v>
      </c>
      <c r="J196" s="217" t="s">
        <v>1822</v>
      </c>
      <c r="K196" s="218" t="s">
        <v>951</v>
      </c>
      <c r="L196" s="212" t="s">
        <v>87</v>
      </c>
      <c r="M196" s="250"/>
      <c r="N196" s="239">
        <v>43525</v>
      </c>
      <c r="O196" s="210" t="s">
        <v>181</v>
      </c>
      <c r="P196" s="210" t="s">
        <v>1110</v>
      </c>
      <c r="Q196" s="210" t="s">
        <v>1110</v>
      </c>
      <c r="R196" s="210" t="s">
        <v>1099</v>
      </c>
      <c r="S196" s="210" t="s">
        <v>1085</v>
      </c>
      <c r="T196" s="210" t="s">
        <v>32</v>
      </c>
      <c r="U196" s="210" t="s">
        <v>1150</v>
      </c>
      <c r="V196" s="210" t="s">
        <v>25</v>
      </c>
      <c r="W196" s="211" t="s">
        <v>1016</v>
      </c>
      <c r="X196" s="211">
        <v>100000</v>
      </c>
      <c r="Y196" s="211">
        <v>10000</v>
      </c>
      <c r="Z196" s="212">
        <v>100000</v>
      </c>
      <c r="AA196" s="240">
        <v>181</v>
      </c>
      <c r="AB196" s="213">
        <v>1.55E-2</v>
      </c>
      <c r="AC196" s="213">
        <v>0.2</v>
      </c>
      <c r="AD196" s="213" t="s">
        <v>109</v>
      </c>
      <c r="AE196" s="213">
        <v>2.5833333333333333E-3</v>
      </c>
      <c r="AF196" s="241">
        <v>154481054.78999999</v>
      </c>
      <c r="AG196" s="241">
        <v>154481054.78999999</v>
      </c>
      <c r="AH196" s="213">
        <v>8.2600000000000007E-2</v>
      </c>
      <c r="AI196" s="352">
        <v>1.2726</v>
      </c>
      <c r="AJ196" s="213">
        <v>0.13439999999999999</v>
      </c>
      <c r="AK196" s="352">
        <v>1.4287000000000001</v>
      </c>
      <c r="AL196" s="213">
        <v>0.21279999999999999</v>
      </c>
      <c r="AM196" s="352">
        <v>1.7617</v>
      </c>
      <c r="AN196" s="213">
        <v>0.26769999999999999</v>
      </c>
      <c r="AO196" s="352">
        <v>1.5884</v>
      </c>
      <c r="AP196" s="213">
        <v>4.4999999999999997E-3</v>
      </c>
      <c r="AQ196" s="219">
        <v>8.1382606075457833</v>
      </c>
      <c r="AR196" s="213" t="s">
        <v>1827</v>
      </c>
      <c r="AU196" s="343"/>
      <c r="AV196" s="343"/>
      <c r="AW196" s="328"/>
      <c r="AX196" s="329"/>
      <c r="AY196" s="328"/>
      <c r="AZ196" s="328"/>
      <c r="BA196" s="330"/>
      <c r="BB196" s="328"/>
      <c r="BC196" s="328"/>
      <c r="BD196" s="328"/>
      <c r="BE196" s="330"/>
      <c r="BF196" s="330"/>
      <c r="BG196" s="344"/>
      <c r="BH196" s="330"/>
      <c r="BI196" s="330"/>
      <c r="BJ196" s="330"/>
      <c r="BK196" s="330"/>
      <c r="BL196" s="330"/>
      <c r="BM196" s="330"/>
      <c r="BN196" s="330"/>
      <c r="BO196" s="330"/>
      <c r="BP196" s="331"/>
      <c r="BQ196" s="332"/>
      <c r="BR196" s="333"/>
    </row>
    <row r="197" spans="2:70" ht="15.75" customHeight="1">
      <c r="B197" s="216" t="s">
        <v>184</v>
      </c>
      <c r="C197" s="212">
        <v>769561</v>
      </c>
      <c r="D197" s="223">
        <v>32065814000109</v>
      </c>
      <c r="E197" s="217" t="s">
        <v>28</v>
      </c>
      <c r="F197" s="217" t="s">
        <v>950</v>
      </c>
      <c r="G197" s="217"/>
      <c r="H197" s="218"/>
      <c r="I197" s="217" t="s">
        <v>66</v>
      </c>
      <c r="J197" s="217" t="s">
        <v>66</v>
      </c>
      <c r="K197" s="218" t="s">
        <v>951</v>
      </c>
      <c r="L197" s="212" t="s">
        <v>87</v>
      </c>
      <c r="M197" s="250"/>
      <c r="N197" s="239">
        <v>43682</v>
      </c>
      <c r="O197" s="210" t="s">
        <v>185</v>
      </c>
      <c r="P197" s="210" t="s">
        <v>1075</v>
      </c>
      <c r="Q197" s="210" t="s">
        <v>1076</v>
      </c>
      <c r="R197" s="210" t="s">
        <v>1084</v>
      </c>
      <c r="S197" s="210" t="s">
        <v>1078</v>
      </c>
      <c r="T197" s="210" t="s">
        <v>1079</v>
      </c>
      <c r="U197" s="210" t="s">
        <v>950</v>
      </c>
      <c r="V197" s="210" t="s">
        <v>1080</v>
      </c>
      <c r="W197" s="211" t="s">
        <v>1007</v>
      </c>
      <c r="X197" s="211">
        <v>1000</v>
      </c>
      <c r="Y197" s="211">
        <v>1000</v>
      </c>
      <c r="Z197" s="212">
        <v>1000</v>
      </c>
      <c r="AA197" s="240">
        <v>12</v>
      </c>
      <c r="AB197" s="213">
        <v>0.02</v>
      </c>
      <c r="AC197" s="213">
        <v>0.2</v>
      </c>
      <c r="AD197" s="213" t="s">
        <v>1100</v>
      </c>
      <c r="AE197" s="213">
        <v>6.6666666666666662E-3</v>
      </c>
      <c r="AF197" s="241">
        <v>58201935.039999999</v>
      </c>
      <c r="AG197" s="241">
        <v>58201935.039999999</v>
      </c>
      <c r="AH197" s="213">
        <v>-4.4400000000000002E-2</v>
      </c>
      <c r="AI197" s="352">
        <v>-0.68400000000000005</v>
      </c>
      <c r="AJ197" s="213">
        <v>-0.16539999999999999</v>
      </c>
      <c r="AK197" s="352">
        <v>-1.7583</v>
      </c>
      <c r="AL197" s="213">
        <v>0.21479999999999999</v>
      </c>
      <c r="AM197" s="352">
        <v>1.7781</v>
      </c>
      <c r="AN197" s="213" t="s">
        <v>66</v>
      </c>
      <c r="AO197" s="352" t="s">
        <v>66</v>
      </c>
      <c r="AP197" s="213">
        <v>0.18509999999999999</v>
      </c>
      <c r="AQ197" s="219">
        <v>-1.370211459348327</v>
      </c>
      <c r="AR197" s="213" t="s">
        <v>1827</v>
      </c>
      <c r="AU197" s="343"/>
      <c r="AV197" s="343"/>
      <c r="AW197" s="328"/>
      <c r="AX197" s="329"/>
      <c r="AY197" s="328"/>
      <c r="AZ197" s="328"/>
      <c r="BA197" s="330"/>
      <c r="BB197" s="328"/>
      <c r="BC197" s="328"/>
      <c r="BD197" s="328"/>
      <c r="BE197" s="330"/>
      <c r="BF197" s="330"/>
      <c r="BG197" s="344"/>
      <c r="BH197" s="330"/>
      <c r="BI197" s="330"/>
      <c r="BJ197" s="330"/>
      <c r="BK197" s="330"/>
      <c r="BL197" s="330"/>
      <c r="BM197" s="330"/>
      <c r="BN197" s="330"/>
      <c r="BO197" s="330"/>
      <c r="BP197" s="331"/>
      <c r="BQ197" s="332"/>
      <c r="BR197" s="333"/>
    </row>
    <row r="198" spans="2:70" ht="15.75" customHeight="1">
      <c r="B198" s="216" t="s">
        <v>1173</v>
      </c>
      <c r="C198" s="212">
        <v>849879</v>
      </c>
      <c r="D198" s="223">
        <v>7279657000189</v>
      </c>
      <c r="E198" s="217" t="s">
        <v>28</v>
      </c>
      <c r="F198" s="217" t="s">
        <v>950</v>
      </c>
      <c r="G198" s="217"/>
      <c r="H198" s="218"/>
      <c r="I198" s="217" t="s">
        <v>66</v>
      </c>
      <c r="J198" s="217" t="s">
        <v>66</v>
      </c>
      <c r="K198" s="218" t="s">
        <v>951</v>
      </c>
      <c r="L198" s="212" t="s">
        <v>87</v>
      </c>
      <c r="M198" s="250"/>
      <c r="N198" s="239">
        <v>38504</v>
      </c>
      <c r="O198" s="210" t="s">
        <v>186</v>
      </c>
      <c r="P198" s="210" t="s">
        <v>1088</v>
      </c>
      <c r="Q198" s="210" t="s">
        <v>1089</v>
      </c>
      <c r="R198" s="210" t="s">
        <v>1084</v>
      </c>
      <c r="S198" s="210" t="s">
        <v>1078</v>
      </c>
      <c r="T198" s="210" t="s">
        <v>1079</v>
      </c>
      <c r="U198" s="210" t="s">
        <v>950</v>
      </c>
      <c r="V198" s="210" t="s">
        <v>1080</v>
      </c>
      <c r="W198" s="211" t="s">
        <v>1007</v>
      </c>
      <c r="X198" s="211">
        <v>1000</v>
      </c>
      <c r="Y198" s="211">
        <v>500</v>
      </c>
      <c r="Z198" s="212">
        <v>500</v>
      </c>
      <c r="AA198" s="240">
        <v>3</v>
      </c>
      <c r="AB198" s="213">
        <v>0.02</v>
      </c>
      <c r="AC198" s="213">
        <v>0.2</v>
      </c>
      <c r="AD198" s="213" t="s">
        <v>1014</v>
      </c>
      <c r="AE198" s="213">
        <v>5.6000000000000008E-3</v>
      </c>
      <c r="AF198" s="241">
        <v>308618751.56999999</v>
      </c>
      <c r="AG198" s="241">
        <v>308618751.56999999</v>
      </c>
      <c r="AH198" s="213">
        <v>-3.1800000000000002E-2</v>
      </c>
      <c r="AI198" s="352">
        <v>-0.48949999999999999</v>
      </c>
      <c r="AJ198" s="213">
        <v>-0.2321</v>
      </c>
      <c r="AK198" s="352">
        <v>-2.4668999999999999</v>
      </c>
      <c r="AL198" s="213">
        <v>-0.1336</v>
      </c>
      <c r="AM198" s="352">
        <v>-1.1061000000000001</v>
      </c>
      <c r="AN198" s="213">
        <v>-0.13039999999999999</v>
      </c>
      <c r="AO198" s="352">
        <v>-0.77370000000000005</v>
      </c>
      <c r="AP198" s="213">
        <v>0.17699999999999999</v>
      </c>
      <c r="AQ198" s="219">
        <v>-1.9109847303724152</v>
      </c>
      <c r="AR198" s="213" t="s">
        <v>1824</v>
      </c>
      <c r="AU198" s="343"/>
      <c r="AV198" s="343"/>
      <c r="AW198" s="328"/>
      <c r="AX198" s="329"/>
      <c r="AY198" s="328"/>
      <c r="AZ198" s="328"/>
      <c r="BA198" s="330"/>
      <c r="BB198" s="328"/>
      <c r="BC198" s="328"/>
      <c r="BD198" s="328"/>
      <c r="BE198" s="330"/>
      <c r="BF198" s="330"/>
      <c r="BG198" s="344"/>
      <c r="BH198" s="330"/>
      <c r="BI198" s="330"/>
      <c r="BJ198" s="330"/>
      <c r="BK198" s="330"/>
      <c r="BL198" s="330"/>
      <c r="BM198" s="330"/>
      <c r="BN198" s="330"/>
      <c r="BO198" s="330"/>
      <c r="BP198" s="331"/>
      <c r="BQ198" s="332"/>
      <c r="BR198" s="333"/>
    </row>
    <row r="199" spans="2:70" ht="15.75" customHeight="1">
      <c r="B199" s="216" t="s">
        <v>187</v>
      </c>
      <c r="C199" s="212">
        <v>547690</v>
      </c>
      <c r="D199" s="223">
        <v>22100009000107</v>
      </c>
      <c r="E199" s="217" t="s">
        <v>19</v>
      </c>
      <c r="F199" s="217" t="s">
        <v>963</v>
      </c>
      <c r="G199" s="217" t="s">
        <v>1011</v>
      </c>
      <c r="H199" s="218" t="s">
        <v>1113</v>
      </c>
      <c r="I199" s="217" t="s">
        <v>66</v>
      </c>
      <c r="J199" s="217"/>
      <c r="K199" s="218" t="s">
        <v>951</v>
      </c>
      <c r="L199" s="212" t="s">
        <v>87</v>
      </c>
      <c r="M199" s="250"/>
      <c r="N199" s="239">
        <v>42353</v>
      </c>
      <c r="O199" s="210" t="s">
        <v>186</v>
      </c>
      <c r="P199" s="210" t="s">
        <v>1090</v>
      </c>
      <c r="Q199" s="210" t="s">
        <v>1091</v>
      </c>
      <c r="R199" s="210" t="s">
        <v>1084</v>
      </c>
      <c r="S199" s="210" t="s">
        <v>1078</v>
      </c>
      <c r="T199" s="210" t="s">
        <v>349</v>
      </c>
      <c r="U199" s="210" t="s">
        <v>1114</v>
      </c>
      <c r="V199" s="210" t="s">
        <v>25</v>
      </c>
      <c r="W199" s="211" t="s">
        <v>1035</v>
      </c>
      <c r="X199" s="211">
        <v>1000</v>
      </c>
      <c r="Y199" s="211">
        <v>500</v>
      </c>
      <c r="Z199" s="212">
        <v>500</v>
      </c>
      <c r="AA199" s="240">
        <v>45</v>
      </c>
      <c r="AB199" s="213">
        <v>8.0000000000000002E-3</v>
      </c>
      <c r="AC199" s="213">
        <v>0.2</v>
      </c>
      <c r="AD199" s="213" t="s">
        <v>113</v>
      </c>
      <c r="AE199" s="213">
        <v>2.32E-3</v>
      </c>
      <c r="AF199" s="241">
        <v>716651116.33000004</v>
      </c>
      <c r="AG199" s="241">
        <v>716651116.33000004</v>
      </c>
      <c r="AH199" s="213">
        <v>7.1800000000000003E-2</v>
      </c>
      <c r="AI199" s="352">
        <v>1.1067</v>
      </c>
      <c r="AJ199" s="213">
        <v>0.10680000000000001</v>
      </c>
      <c r="AK199" s="352">
        <v>1.1354</v>
      </c>
      <c r="AL199" s="213">
        <v>0.19470000000000001</v>
      </c>
      <c r="AM199" s="352">
        <v>1.6119000000000001</v>
      </c>
      <c r="AN199" s="213">
        <v>0.2029</v>
      </c>
      <c r="AO199" s="352">
        <v>1.2041999999999999</v>
      </c>
      <c r="AP199" s="213">
        <v>4.4999999999999997E-3</v>
      </c>
      <c r="AQ199" s="219">
        <v>2.5573509691926977</v>
      </c>
      <c r="AR199" s="213" t="s">
        <v>1827</v>
      </c>
      <c r="AU199" s="343"/>
      <c r="AV199" s="343"/>
      <c r="AW199" s="328"/>
      <c r="AX199" s="329"/>
      <c r="AY199" s="328"/>
      <c r="AZ199" s="328"/>
      <c r="BA199" s="330"/>
      <c r="BB199" s="328"/>
      <c r="BC199" s="328"/>
      <c r="BD199" s="328"/>
      <c r="BE199" s="330"/>
      <c r="BF199" s="330"/>
      <c r="BG199" s="344"/>
      <c r="BH199" s="330"/>
      <c r="BI199" s="330"/>
      <c r="BJ199" s="330"/>
      <c r="BK199" s="330"/>
      <c r="BL199" s="330"/>
      <c r="BM199" s="330"/>
      <c r="BN199" s="330"/>
      <c r="BO199" s="330"/>
      <c r="BP199" s="331"/>
      <c r="BQ199" s="332"/>
      <c r="BR199" s="333"/>
    </row>
    <row r="200" spans="2:70" ht="15.75" customHeight="1">
      <c r="B200" s="216" t="s">
        <v>1174</v>
      </c>
      <c r="C200" s="212">
        <v>534711</v>
      </c>
      <c r="D200" s="223">
        <v>40102910000108</v>
      </c>
      <c r="E200" s="217" t="s">
        <v>28</v>
      </c>
      <c r="F200" s="217" t="s">
        <v>950</v>
      </c>
      <c r="G200" s="217"/>
      <c r="H200" s="218"/>
      <c r="I200" s="217" t="s">
        <v>66</v>
      </c>
      <c r="J200" s="217" t="s">
        <v>66</v>
      </c>
      <c r="K200" s="218" t="s">
        <v>955</v>
      </c>
      <c r="L200" s="212" t="s">
        <v>88</v>
      </c>
      <c r="M200" s="250"/>
      <c r="N200" s="239">
        <v>44253</v>
      </c>
      <c r="O200" s="210" t="s">
        <v>186</v>
      </c>
      <c r="P200" s="210" t="s">
        <v>1088</v>
      </c>
      <c r="Q200" s="210" t="s">
        <v>1089</v>
      </c>
      <c r="R200" s="210" t="s">
        <v>1077</v>
      </c>
      <c r="S200" s="210" t="s">
        <v>1078</v>
      </c>
      <c r="T200" s="210" t="s">
        <v>1079</v>
      </c>
      <c r="U200" s="210" t="s">
        <v>65</v>
      </c>
      <c r="V200" s="210" t="s">
        <v>1080</v>
      </c>
      <c r="W200" s="211" t="s">
        <v>1036</v>
      </c>
      <c r="X200" s="211">
        <v>10000</v>
      </c>
      <c r="Y200" s="211">
        <v>1000</v>
      </c>
      <c r="Z200" s="212">
        <v>1000</v>
      </c>
      <c r="AA200" s="240">
        <v>5</v>
      </c>
      <c r="AB200" s="213">
        <v>0.01</v>
      </c>
      <c r="AC200" s="213">
        <v>0</v>
      </c>
      <c r="AD200" s="213" t="s">
        <v>1157</v>
      </c>
      <c r="AE200" s="213">
        <v>5.3333333333333332E-3</v>
      </c>
      <c r="AF200" s="241">
        <v>8973389.8499999996</v>
      </c>
      <c r="AG200" s="241">
        <v>8973389.8499999996</v>
      </c>
      <c r="AH200" s="213">
        <v>-0.27579999999999999</v>
      </c>
      <c r="AI200" s="352">
        <v>-4.2481</v>
      </c>
      <c r="AJ200" s="213">
        <v>-0.22889999999999999</v>
      </c>
      <c r="AK200" s="352">
        <v>-2.4325000000000001</v>
      </c>
      <c r="AL200" s="213" t="s">
        <v>66</v>
      </c>
      <c r="AM200" s="352" t="s">
        <v>66</v>
      </c>
      <c r="AN200" s="213" t="s">
        <v>66</v>
      </c>
      <c r="AO200" s="352" t="s">
        <v>66</v>
      </c>
      <c r="AP200" s="213">
        <v>0.25850000000000001</v>
      </c>
      <c r="AQ200" s="219">
        <v>-1.2241137860367861</v>
      </c>
      <c r="AR200" s="213" t="s">
        <v>1824</v>
      </c>
      <c r="AU200" s="343"/>
      <c r="AV200" s="343"/>
      <c r="AW200" s="328"/>
      <c r="AX200" s="329"/>
      <c r="AY200" s="328"/>
      <c r="AZ200" s="328"/>
      <c r="BA200" s="330"/>
      <c r="BB200" s="328"/>
      <c r="BC200" s="328"/>
      <c r="BD200" s="328"/>
      <c r="BE200" s="330"/>
      <c r="BF200" s="330"/>
      <c r="BG200" s="344"/>
      <c r="BH200" s="330"/>
      <c r="BI200" s="330"/>
      <c r="BJ200" s="330"/>
      <c r="BK200" s="330"/>
      <c r="BL200" s="330"/>
      <c r="BM200" s="330"/>
      <c r="BN200" s="330"/>
      <c r="BO200" s="330"/>
      <c r="BP200" s="331"/>
      <c r="BQ200" s="332"/>
      <c r="BR200" s="333"/>
    </row>
    <row r="201" spans="2:70" ht="15.75" customHeight="1">
      <c r="B201" s="216" t="s">
        <v>1175</v>
      </c>
      <c r="C201" s="212">
        <v>1462274</v>
      </c>
      <c r="D201" s="223">
        <v>26387057000189</v>
      </c>
      <c r="E201" s="217" t="s">
        <v>19</v>
      </c>
      <c r="F201" s="217" t="s">
        <v>963</v>
      </c>
      <c r="G201" s="217" t="s">
        <v>1011</v>
      </c>
      <c r="H201" s="218" t="s">
        <v>1113</v>
      </c>
      <c r="I201" s="217" t="s">
        <v>66</v>
      </c>
      <c r="J201" s="217"/>
      <c r="K201" s="218"/>
      <c r="L201" s="212" t="s">
        <v>87</v>
      </c>
      <c r="M201" s="250"/>
      <c r="N201" s="239">
        <v>42691</v>
      </c>
      <c r="O201" s="210" t="s">
        <v>186</v>
      </c>
      <c r="P201" s="210" t="s">
        <v>1090</v>
      </c>
      <c r="Q201" s="210" t="s">
        <v>1091</v>
      </c>
      <c r="R201" s="210" t="s">
        <v>1084</v>
      </c>
      <c r="S201" s="210" t="s">
        <v>1078</v>
      </c>
      <c r="T201" s="210" t="s">
        <v>349</v>
      </c>
      <c r="U201" s="210" t="s">
        <v>1114</v>
      </c>
      <c r="V201" s="210" t="s">
        <v>25</v>
      </c>
      <c r="W201" s="211" t="s">
        <v>1016</v>
      </c>
      <c r="X201" s="211">
        <v>1000</v>
      </c>
      <c r="Y201" s="211">
        <v>500</v>
      </c>
      <c r="Z201" s="212">
        <v>500</v>
      </c>
      <c r="AA201" s="240">
        <v>6</v>
      </c>
      <c r="AB201" s="213">
        <v>8.0000000000000002E-3</v>
      </c>
      <c r="AC201" s="213">
        <v>0</v>
      </c>
      <c r="AD201" s="213" t="s">
        <v>113</v>
      </c>
      <c r="AE201" s="213">
        <v>1.6000000000000001E-3</v>
      </c>
      <c r="AF201" s="241" t="s">
        <v>66</v>
      </c>
      <c r="AG201" s="241" t="s">
        <v>66</v>
      </c>
      <c r="AH201" s="213" t="s">
        <v>66</v>
      </c>
      <c r="AI201" s="352" t="s">
        <v>66</v>
      </c>
      <c r="AJ201" s="213" t="s">
        <v>66</v>
      </c>
      <c r="AK201" s="352" t="s">
        <v>66</v>
      </c>
      <c r="AL201" s="213" t="s">
        <v>66</v>
      </c>
      <c r="AM201" s="352" t="s">
        <v>66</v>
      </c>
      <c r="AN201" s="213" t="s">
        <v>66</v>
      </c>
      <c r="AO201" s="352" t="s">
        <v>66</v>
      </c>
      <c r="AP201" s="213" t="s">
        <v>66</v>
      </c>
      <c r="AQ201" s="219" t="s">
        <v>66</v>
      </c>
      <c r="AR201" s="213" t="s">
        <v>1827</v>
      </c>
      <c r="AU201" s="343"/>
      <c r="AV201" s="343"/>
      <c r="AW201" s="328"/>
      <c r="AX201" s="329"/>
      <c r="AY201" s="328"/>
      <c r="AZ201" s="328"/>
      <c r="BA201" s="330"/>
      <c r="BB201" s="328"/>
      <c r="BC201" s="328"/>
      <c r="BD201" s="328"/>
      <c r="BE201" s="330"/>
      <c r="BF201" s="330"/>
      <c r="BG201" s="344"/>
      <c r="BH201" s="330"/>
      <c r="BI201" s="330"/>
      <c r="BJ201" s="330"/>
      <c r="BK201" s="330"/>
      <c r="BL201" s="330"/>
      <c r="BM201" s="330"/>
      <c r="BN201" s="330"/>
      <c r="BO201" s="330"/>
      <c r="BP201" s="331"/>
      <c r="BQ201" s="332"/>
      <c r="BR201" s="333"/>
    </row>
    <row r="202" spans="2:70" ht="15.75" customHeight="1">
      <c r="B202" s="216" t="s">
        <v>1176</v>
      </c>
      <c r="C202" s="212">
        <v>1038832</v>
      </c>
      <c r="D202" s="223">
        <v>25213405000139</v>
      </c>
      <c r="E202" s="217" t="s">
        <v>19</v>
      </c>
      <c r="F202" s="217" t="s">
        <v>964</v>
      </c>
      <c r="G202" s="217" t="s">
        <v>1042</v>
      </c>
      <c r="H202" s="218" t="s">
        <v>1113</v>
      </c>
      <c r="I202" s="217" t="s">
        <v>66</v>
      </c>
      <c r="J202" s="217"/>
      <c r="K202" s="218" t="s">
        <v>951</v>
      </c>
      <c r="L202" s="212" t="s">
        <v>87</v>
      </c>
      <c r="M202" s="250"/>
      <c r="N202" s="239">
        <v>42619</v>
      </c>
      <c r="O202" s="210" t="s">
        <v>186</v>
      </c>
      <c r="P202" s="210" t="s">
        <v>1090</v>
      </c>
      <c r="Q202" s="210" t="s">
        <v>1091</v>
      </c>
      <c r="R202" s="210" t="s">
        <v>1084</v>
      </c>
      <c r="S202" s="210" t="s">
        <v>1078</v>
      </c>
      <c r="T202" s="210" t="s">
        <v>349</v>
      </c>
      <c r="U202" s="210" t="s">
        <v>964</v>
      </c>
      <c r="V202" s="210" t="s">
        <v>25</v>
      </c>
      <c r="W202" s="211" t="s">
        <v>1019</v>
      </c>
      <c r="X202" s="211">
        <v>1000</v>
      </c>
      <c r="Y202" s="211">
        <v>500</v>
      </c>
      <c r="Z202" s="212">
        <v>500</v>
      </c>
      <c r="AA202" s="240">
        <v>30</v>
      </c>
      <c r="AB202" s="213">
        <v>1.0999999999999999E-2</v>
      </c>
      <c r="AC202" s="213">
        <v>0.2</v>
      </c>
      <c r="AD202" s="213" t="s">
        <v>981</v>
      </c>
      <c r="AE202" s="213">
        <v>2.7499999999999998E-3</v>
      </c>
      <c r="AF202" s="241">
        <v>208820676.69</v>
      </c>
      <c r="AG202" s="241">
        <v>208820676.69</v>
      </c>
      <c r="AH202" s="213">
        <v>6.6600000000000006E-2</v>
      </c>
      <c r="AI202" s="352">
        <v>1.0253000000000001</v>
      </c>
      <c r="AJ202" s="213">
        <v>0.1043</v>
      </c>
      <c r="AK202" s="352">
        <v>1.1082000000000001</v>
      </c>
      <c r="AL202" s="213">
        <v>0.20250000000000001</v>
      </c>
      <c r="AM202" s="352">
        <v>1.6758999999999999</v>
      </c>
      <c r="AN202" s="213">
        <v>0.2399</v>
      </c>
      <c r="AO202" s="352">
        <v>1.4234</v>
      </c>
      <c r="AP202" s="213">
        <v>2.5600000000000001E-2</v>
      </c>
      <c r="AQ202" s="219">
        <v>0.37500329219286521</v>
      </c>
      <c r="AR202" s="213" t="s">
        <v>1827</v>
      </c>
      <c r="AU202" s="343"/>
      <c r="AV202" s="343"/>
      <c r="AW202" s="328"/>
      <c r="AX202" s="329"/>
      <c r="AY202" s="328"/>
      <c r="AZ202" s="328"/>
      <c r="BA202" s="330"/>
      <c r="BB202" s="328"/>
      <c r="BC202" s="328"/>
      <c r="BD202" s="328"/>
      <c r="BE202" s="330"/>
      <c r="BF202" s="330"/>
      <c r="BG202" s="344"/>
      <c r="BH202" s="330"/>
      <c r="BI202" s="330"/>
      <c r="BJ202" s="330"/>
      <c r="BK202" s="330"/>
      <c r="BL202" s="330"/>
      <c r="BM202" s="330"/>
      <c r="BN202" s="330"/>
      <c r="BO202" s="330"/>
      <c r="BP202" s="331"/>
      <c r="BQ202" s="332"/>
      <c r="BR202" s="333"/>
    </row>
    <row r="203" spans="2:70" ht="15.75" customHeight="1">
      <c r="B203" s="216" t="s">
        <v>188</v>
      </c>
      <c r="C203" s="212">
        <v>544466</v>
      </c>
      <c r="D203" s="223">
        <v>9141893000160</v>
      </c>
      <c r="E203" s="217" t="s">
        <v>25</v>
      </c>
      <c r="F203" s="217" t="s">
        <v>959</v>
      </c>
      <c r="G203" s="217" t="s">
        <v>960</v>
      </c>
      <c r="H203" s="218" t="s">
        <v>66</v>
      </c>
      <c r="I203" s="217" t="s">
        <v>1841</v>
      </c>
      <c r="J203" s="217" t="s">
        <v>66</v>
      </c>
      <c r="K203" s="218" t="s">
        <v>951</v>
      </c>
      <c r="L203" s="212" t="s">
        <v>87</v>
      </c>
      <c r="M203" s="250"/>
      <c r="N203" s="239">
        <v>39416</v>
      </c>
      <c r="O203" s="210" t="s">
        <v>186</v>
      </c>
      <c r="P203" s="210" t="s">
        <v>1090</v>
      </c>
      <c r="Q203" s="210" t="s">
        <v>1091</v>
      </c>
      <c r="R203" s="210" t="s">
        <v>1084</v>
      </c>
      <c r="S203" s="210" t="s">
        <v>1078</v>
      </c>
      <c r="T203" s="210" t="s">
        <v>1082</v>
      </c>
      <c r="U203" s="210" t="s">
        <v>1086</v>
      </c>
      <c r="V203" s="210" t="s">
        <v>25</v>
      </c>
      <c r="W203" s="211" t="s">
        <v>1016</v>
      </c>
      <c r="X203" s="211">
        <v>1000</v>
      </c>
      <c r="Y203" s="211">
        <v>1000</v>
      </c>
      <c r="Z203" s="212">
        <v>1000</v>
      </c>
      <c r="AA203" s="240">
        <v>6</v>
      </c>
      <c r="AB203" s="213">
        <v>1.4999999999999999E-2</v>
      </c>
      <c r="AC203" s="213">
        <v>0.2</v>
      </c>
      <c r="AD203" s="213" t="s">
        <v>109</v>
      </c>
      <c r="AE203" s="213">
        <v>4.0000000000000001E-3</v>
      </c>
      <c r="AF203" s="241">
        <v>34993693.409999996</v>
      </c>
      <c r="AG203" s="241">
        <v>34993693.409999996</v>
      </c>
      <c r="AH203" s="213">
        <v>4.4999999999999998E-2</v>
      </c>
      <c r="AI203" s="352">
        <v>0.69279999999999997</v>
      </c>
      <c r="AJ203" s="213">
        <v>6.4600000000000005E-2</v>
      </c>
      <c r="AK203" s="352">
        <v>0.68630000000000002</v>
      </c>
      <c r="AL203" s="213">
        <v>5.7000000000000002E-2</v>
      </c>
      <c r="AM203" s="352">
        <v>0.47160000000000002</v>
      </c>
      <c r="AN203" s="213">
        <v>8.7999999999999995E-2</v>
      </c>
      <c r="AO203" s="352">
        <v>0.52200000000000002</v>
      </c>
      <c r="AP203" s="213">
        <v>2.46E-2</v>
      </c>
      <c r="AQ203" s="219">
        <v>-1.0993270539958997</v>
      </c>
      <c r="AR203" s="213" t="s">
        <v>1824</v>
      </c>
      <c r="AU203" s="343"/>
      <c r="AV203" s="343"/>
      <c r="AW203" s="328"/>
      <c r="AX203" s="329"/>
      <c r="AY203" s="328"/>
      <c r="AZ203" s="328"/>
      <c r="BA203" s="330"/>
      <c r="BB203" s="328"/>
      <c r="BC203" s="328"/>
      <c r="BD203" s="328"/>
      <c r="BE203" s="330"/>
      <c r="BF203" s="330"/>
      <c r="BG203" s="344"/>
      <c r="BH203" s="330"/>
      <c r="BI203" s="330"/>
      <c r="BJ203" s="330"/>
      <c r="BK203" s="330"/>
      <c r="BL203" s="330"/>
      <c r="BM203" s="330"/>
      <c r="BN203" s="330"/>
      <c r="BO203" s="330"/>
      <c r="BP203" s="331"/>
      <c r="BQ203" s="332"/>
      <c r="BR203" s="333"/>
    </row>
    <row r="204" spans="2:70" ht="15.75" customHeight="1">
      <c r="B204" s="216" t="s">
        <v>189</v>
      </c>
      <c r="C204" s="212">
        <v>547711</v>
      </c>
      <c r="D204" s="223">
        <v>10320188000109</v>
      </c>
      <c r="E204" s="217" t="s">
        <v>25</v>
      </c>
      <c r="F204" s="217" t="s">
        <v>958</v>
      </c>
      <c r="G204" s="217" t="s">
        <v>962</v>
      </c>
      <c r="H204" s="218" t="s">
        <v>66</v>
      </c>
      <c r="I204" s="217" t="s">
        <v>1841</v>
      </c>
      <c r="J204" s="217" t="s">
        <v>66</v>
      </c>
      <c r="K204" s="218"/>
      <c r="L204" s="212" t="s">
        <v>87</v>
      </c>
      <c r="M204" s="250"/>
      <c r="N204" s="239">
        <v>39780</v>
      </c>
      <c r="O204" s="210" t="s">
        <v>186</v>
      </c>
      <c r="P204" s="210" t="s">
        <v>1075</v>
      </c>
      <c r="Q204" s="210" t="s">
        <v>1076</v>
      </c>
      <c r="R204" s="210" t="s">
        <v>1084</v>
      </c>
      <c r="S204" s="210" t="s">
        <v>1078</v>
      </c>
      <c r="T204" s="210" t="s">
        <v>1082</v>
      </c>
      <c r="U204" s="210" t="s">
        <v>958</v>
      </c>
      <c r="V204" s="210" t="s">
        <v>25</v>
      </c>
      <c r="W204" s="211" t="s">
        <v>1035</v>
      </c>
      <c r="X204" s="211">
        <v>500</v>
      </c>
      <c r="Y204" s="211">
        <v>300</v>
      </c>
      <c r="Z204" s="212">
        <v>300</v>
      </c>
      <c r="AA204" s="240">
        <v>1</v>
      </c>
      <c r="AB204" s="213">
        <v>8.5000000000000006E-3</v>
      </c>
      <c r="AC204" s="213">
        <v>0.2</v>
      </c>
      <c r="AD204" s="213" t="s">
        <v>113</v>
      </c>
      <c r="AE204" s="213">
        <v>2.5500000000000002E-3</v>
      </c>
      <c r="AF204" s="241">
        <v>280172909.72000003</v>
      </c>
      <c r="AG204" s="241">
        <v>280172909.72000003</v>
      </c>
      <c r="AH204" s="213">
        <v>8.4099999999999994E-2</v>
      </c>
      <c r="AI204" s="352">
        <v>1.2955000000000001</v>
      </c>
      <c r="AJ204" s="213">
        <v>0.1236</v>
      </c>
      <c r="AK204" s="352">
        <v>1.3141</v>
      </c>
      <c r="AL204" s="213">
        <v>0.14349999999999999</v>
      </c>
      <c r="AM204" s="352">
        <v>1.1877</v>
      </c>
      <c r="AN204" s="213">
        <v>0.17369999999999999</v>
      </c>
      <c r="AO204" s="352">
        <v>1.0310999999999999</v>
      </c>
      <c r="AP204" s="213">
        <v>1.5100000000000001E-2</v>
      </c>
      <c r="AQ204" s="219">
        <v>1.777666589418039</v>
      </c>
      <c r="AR204" s="213" t="s">
        <v>1827</v>
      </c>
      <c r="AU204" s="343"/>
      <c r="AV204" s="343"/>
      <c r="AW204" s="328"/>
      <c r="AX204" s="329"/>
      <c r="AY204" s="328"/>
      <c r="AZ204" s="328"/>
      <c r="BA204" s="330"/>
      <c r="BB204" s="328"/>
      <c r="BC204" s="328"/>
      <c r="BD204" s="328"/>
      <c r="BE204" s="330"/>
      <c r="BF204" s="330"/>
      <c r="BG204" s="344"/>
      <c r="BH204" s="330"/>
      <c r="BI204" s="330"/>
      <c r="BJ204" s="330"/>
      <c r="BK204" s="330"/>
      <c r="BL204" s="330"/>
      <c r="BM204" s="330"/>
      <c r="BN204" s="330"/>
      <c r="BO204" s="330"/>
      <c r="BP204" s="331"/>
      <c r="BQ204" s="332"/>
      <c r="BR204" s="333"/>
    </row>
    <row r="205" spans="2:70" ht="15.75" customHeight="1">
      <c r="B205" s="216" t="s">
        <v>1177</v>
      </c>
      <c r="C205" s="212">
        <v>537030</v>
      </c>
      <c r="D205" s="223">
        <v>23556185000110</v>
      </c>
      <c r="E205" s="217" t="s">
        <v>19</v>
      </c>
      <c r="F205" s="217" t="s">
        <v>963</v>
      </c>
      <c r="G205" s="217" t="s">
        <v>1011</v>
      </c>
      <c r="H205" s="218" t="s">
        <v>1113</v>
      </c>
      <c r="I205" s="217" t="s">
        <v>66</v>
      </c>
      <c r="J205" s="217"/>
      <c r="K205" s="218" t="s">
        <v>951</v>
      </c>
      <c r="L205" s="212" t="s">
        <v>87</v>
      </c>
      <c r="M205" s="250"/>
      <c r="N205" s="239">
        <v>42349</v>
      </c>
      <c r="O205" s="210" t="s">
        <v>186</v>
      </c>
      <c r="P205" s="210" t="s">
        <v>1090</v>
      </c>
      <c r="Q205" s="210" t="s">
        <v>1091</v>
      </c>
      <c r="R205" s="210" t="s">
        <v>1084</v>
      </c>
      <c r="S205" s="210" t="s">
        <v>1078</v>
      </c>
      <c r="T205" s="210" t="s">
        <v>349</v>
      </c>
      <c r="U205" s="210" t="s">
        <v>1114</v>
      </c>
      <c r="V205" s="210" t="s">
        <v>19</v>
      </c>
      <c r="W205" s="211" t="s">
        <v>1017</v>
      </c>
      <c r="X205" s="211">
        <v>500</v>
      </c>
      <c r="Y205" s="211">
        <v>500</v>
      </c>
      <c r="Z205" s="212">
        <v>500</v>
      </c>
      <c r="AA205" s="240">
        <v>1</v>
      </c>
      <c r="AB205" s="213">
        <v>4.0000000000000001E-3</v>
      </c>
      <c r="AC205" s="213">
        <v>0</v>
      </c>
      <c r="AD205" s="213" t="s">
        <v>109</v>
      </c>
      <c r="AE205" s="213">
        <v>1.08E-3</v>
      </c>
      <c r="AF205" s="241">
        <v>2731361312.3600001</v>
      </c>
      <c r="AG205" s="241">
        <v>2731361312.3600001</v>
      </c>
      <c r="AH205" s="213">
        <v>7.0900000000000005E-2</v>
      </c>
      <c r="AI205" s="352">
        <v>1.0915999999999999</v>
      </c>
      <c r="AJ205" s="213">
        <v>0.1065</v>
      </c>
      <c r="AK205" s="352">
        <v>1.1324000000000001</v>
      </c>
      <c r="AL205" s="213">
        <v>0.16900000000000001</v>
      </c>
      <c r="AM205" s="352">
        <v>1.3985000000000001</v>
      </c>
      <c r="AN205" s="213">
        <v>0.16309999999999999</v>
      </c>
      <c r="AO205" s="352">
        <v>0.9677</v>
      </c>
      <c r="AP205" s="213">
        <v>1.8E-3</v>
      </c>
      <c r="AQ205" s="219">
        <v>6.3770608346080264</v>
      </c>
      <c r="AR205" s="213" t="s">
        <v>1827</v>
      </c>
      <c r="AU205" s="343"/>
      <c r="AV205" s="343"/>
      <c r="AW205" s="328"/>
      <c r="AX205" s="329"/>
      <c r="AY205" s="328"/>
      <c r="AZ205" s="328"/>
      <c r="BA205" s="330"/>
      <c r="BB205" s="328"/>
      <c r="BC205" s="328"/>
      <c r="BD205" s="328"/>
      <c r="BE205" s="330"/>
      <c r="BF205" s="330"/>
      <c r="BG205" s="344"/>
      <c r="BH205" s="330"/>
      <c r="BI205" s="330"/>
      <c r="BJ205" s="330"/>
      <c r="BK205" s="330"/>
      <c r="BL205" s="330"/>
      <c r="BM205" s="330"/>
      <c r="BN205" s="330"/>
      <c r="BO205" s="330"/>
      <c r="BP205" s="331"/>
      <c r="BQ205" s="332"/>
      <c r="BR205" s="333"/>
    </row>
    <row r="206" spans="2:70" ht="15.75" customHeight="1">
      <c r="B206" s="216" t="s">
        <v>190</v>
      </c>
      <c r="C206" s="212">
        <v>534835</v>
      </c>
      <c r="D206" s="223">
        <v>4455632000109</v>
      </c>
      <c r="E206" s="217" t="s">
        <v>25</v>
      </c>
      <c r="F206" s="217" t="s">
        <v>958</v>
      </c>
      <c r="G206" s="217" t="s">
        <v>962</v>
      </c>
      <c r="H206" s="218" t="s">
        <v>66</v>
      </c>
      <c r="I206" s="217" t="s">
        <v>1841</v>
      </c>
      <c r="J206" s="217" t="s">
        <v>66</v>
      </c>
      <c r="K206" s="218"/>
      <c r="L206" s="212" t="s">
        <v>87</v>
      </c>
      <c r="M206" s="250"/>
      <c r="N206" s="239">
        <v>37039</v>
      </c>
      <c r="O206" s="210" t="s">
        <v>186</v>
      </c>
      <c r="P206" s="210" t="s">
        <v>1090</v>
      </c>
      <c r="Q206" s="210" t="s">
        <v>1091</v>
      </c>
      <c r="R206" s="210" t="s">
        <v>1084</v>
      </c>
      <c r="S206" s="210" t="s">
        <v>1078</v>
      </c>
      <c r="T206" s="210" t="s">
        <v>1082</v>
      </c>
      <c r="U206" s="210" t="s">
        <v>958</v>
      </c>
      <c r="V206" s="210" t="s">
        <v>25</v>
      </c>
      <c r="W206" s="211" t="s">
        <v>1012</v>
      </c>
      <c r="X206" s="211">
        <v>1000</v>
      </c>
      <c r="Y206" s="211">
        <v>500</v>
      </c>
      <c r="Z206" s="212">
        <v>500</v>
      </c>
      <c r="AA206" s="240">
        <v>1</v>
      </c>
      <c r="AB206" s="213">
        <v>1.4999999999999999E-2</v>
      </c>
      <c r="AC206" s="213">
        <v>0.2</v>
      </c>
      <c r="AD206" s="213" t="s">
        <v>109</v>
      </c>
      <c r="AE206" s="213">
        <v>4.0000000000000001E-3</v>
      </c>
      <c r="AF206" s="241">
        <v>168607574.41</v>
      </c>
      <c r="AG206" s="241">
        <v>168607574.41</v>
      </c>
      <c r="AH206" s="213">
        <v>9.8500000000000004E-2</v>
      </c>
      <c r="AI206" s="352">
        <v>1.5166999999999999</v>
      </c>
      <c r="AJ206" s="213">
        <v>8.6599999999999996E-2</v>
      </c>
      <c r="AK206" s="352">
        <v>0.92020000000000002</v>
      </c>
      <c r="AL206" s="213">
        <v>0.1089</v>
      </c>
      <c r="AM206" s="352">
        <v>0.90180000000000005</v>
      </c>
      <c r="AN206" s="213">
        <v>0.17810000000000001</v>
      </c>
      <c r="AO206" s="352">
        <v>1.0569</v>
      </c>
      <c r="AP206" s="213">
        <v>3.3700000000000001E-2</v>
      </c>
      <c r="AQ206" s="219">
        <v>-0.18765516381937547</v>
      </c>
      <c r="AR206" s="213" t="s">
        <v>1827</v>
      </c>
      <c r="AU206" s="343"/>
      <c r="AV206" s="343"/>
      <c r="AW206" s="328"/>
      <c r="AX206" s="329"/>
      <c r="AY206" s="328"/>
      <c r="AZ206" s="328"/>
      <c r="BA206" s="330"/>
      <c r="BB206" s="328"/>
      <c r="BC206" s="328"/>
      <c r="BD206" s="328"/>
      <c r="BE206" s="330"/>
      <c r="BF206" s="330"/>
      <c r="BG206" s="344"/>
      <c r="BH206" s="330"/>
      <c r="BI206" s="330"/>
      <c r="BJ206" s="330"/>
      <c r="BK206" s="330"/>
      <c r="BL206" s="330"/>
      <c r="BM206" s="330"/>
      <c r="BN206" s="330"/>
      <c r="BO206" s="330"/>
      <c r="BP206" s="331"/>
      <c r="BQ206" s="332"/>
      <c r="BR206" s="333"/>
    </row>
    <row r="207" spans="2:70" ht="15.75" customHeight="1">
      <c r="B207" s="216" t="s">
        <v>191</v>
      </c>
      <c r="C207" s="212">
        <v>537039</v>
      </c>
      <c r="D207" s="223">
        <v>26323079000185</v>
      </c>
      <c r="E207" s="217" t="s">
        <v>25</v>
      </c>
      <c r="F207" s="217" t="s">
        <v>958</v>
      </c>
      <c r="G207" s="217" t="s">
        <v>962</v>
      </c>
      <c r="H207" s="218" t="s">
        <v>66</v>
      </c>
      <c r="I207" s="217" t="s">
        <v>1259</v>
      </c>
      <c r="J207" s="217" t="s">
        <v>66</v>
      </c>
      <c r="K207" s="218"/>
      <c r="L207" s="212" t="s">
        <v>87</v>
      </c>
      <c r="M207" s="250"/>
      <c r="N207" s="239">
        <v>42790</v>
      </c>
      <c r="O207" s="210" t="s">
        <v>186</v>
      </c>
      <c r="P207" s="210" t="s">
        <v>1090</v>
      </c>
      <c r="Q207" s="210" t="s">
        <v>1091</v>
      </c>
      <c r="R207" s="210" t="s">
        <v>1084</v>
      </c>
      <c r="S207" s="210" t="s">
        <v>1078</v>
      </c>
      <c r="T207" s="210" t="s">
        <v>1082</v>
      </c>
      <c r="U207" s="210" t="s">
        <v>958</v>
      </c>
      <c r="V207" s="210" t="s">
        <v>25</v>
      </c>
      <c r="W207" s="211" t="s">
        <v>1012</v>
      </c>
      <c r="X207" s="211">
        <v>1000</v>
      </c>
      <c r="Y207" s="211">
        <v>500</v>
      </c>
      <c r="Z207" s="212">
        <v>500</v>
      </c>
      <c r="AA207" s="240">
        <v>30</v>
      </c>
      <c r="AB207" s="213">
        <v>0.02</v>
      </c>
      <c r="AC207" s="213">
        <v>0.2</v>
      </c>
      <c r="AD207" s="213" t="s">
        <v>109</v>
      </c>
      <c r="AE207" s="213">
        <v>5.4000000000000003E-3</v>
      </c>
      <c r="AF207" s="241">
        <v>250602711.25999999</v>
      </c>
      <c r="AG207" s="241">
        <v>250602711.25999999</v>
      </c>
      <c r="AH207" s="213">
        <v>0.13980000000000001</v>
      </c>
      <c r="AI207" s="352">
        <v>2.1539000000000001</v>
      </c>
      <c r="AJ207" s="213">
        <v>8.8499999999999995E-2</v>
      </c>
      <c r="AK207" s="352">
        <v>0.94099999999999995</v>
      </c>
      <c r="AL207" s="213">
        <v>0.121</v>
      </c>
      <c r="AM207" s="352">
        <v>1.0019</v>
      </c>
      <c r="AN207" s="213">
        <v>0.22220000000000001</v>
      </c>
      <c r="AO207" s="352">
        <v>1.3188</v>
      </c>
      <c r="AP207" s="213">
        <v>6.7199999999999996E-2</v>
      </c>
      <c r="AQ207" s="219">
        <v>-4.2161840463773505E-2</v>
      </c>
      <c r="AR207" s="213" t="s">
        <v>1827</v>
      </c>
      <c r="AU207" s="343"/>
      <c r="AV207" s="343"/>
      <c r="AW207" s="328"/>
      <c r="AX207" s="329"/>
      <c r="AY207" s="328"/>
      <c r="AZ207" s="328"/>
      <c r="BA207" s="330"/>
      <c r="BB207" s="328"/>
      <c r="BC207" s="328"/>
      <c r="BD207" s="328"/>
      <c r="BE207" s="330"/>
      <c r="BF207" s="330"/>
      <c r="BG207" s="344"/>
      <c r="BH207" s="330"/>
      <c r="BI207" s="330"/>
      <c r="BJ207" s="330"/>
      <c r="BK207" s="330"/>
      <c r="BL207" s="330"/>
      <c r="BM207" s="330"/>
      <c r="BN207" s="330"/>
      <c r="BO207" s="330"/>
      <c r="BP207" s="331"/>
      <c r="BQ207" s="332"/>
      <c r="BR207" s="333"/>
    </row>
    <row r="208" spans="2:70" ht="15.75" customHeight="1">
      <c r="B208" s="216" t="s">
        <v>192</v>
      </c>
      <c r="C208" s="212">
        <v>547722</v>
      </c>
      <c r="D208" s="223">
        <v>11392165000172</v>
      </c>
      <c r="E208" s="217" t="s">
        <v>28</v>
      </c>
      <c r="F208" s="217" t="s">
        <v>950</v>
      </c>
      <c r="G208" s="217"/>
      <c r="H208" s="218"/>
      <c r="I208" s="217" t="s">
        <v>66</v>
      </c>
      <c r="J208" s="217" t="s">
        <v>66</v>
      </c>
      <c r="K208" s="218" t="s">
        <v>951</v>
      </c>
      <c r="L208" s="212" t="s">
        <v>87</v>
      </c>
      <c r="M208" s="250"/>
      <c r="N208" s="239">
        <v>40177</v>
      </c>
      <c r="O208" s="210" t="s">
        <v>186</v>
      </c>
      <c r="P208" s="210" t="s">
        <v>1088</v>
      </c>
      <c r="Q208" s="210" t="s">
        <v>1089</v>
      </c>
      <c r="R208" s="210" t="s">
        <v>1084</v>
      </c>
      <c r="S208" s="210" t="s">
        <v>1078</v>
      </c>
      <c r="T208" s="210" t="s">
        <v>1079</v>
      </c>
      <c r="U208" s="210" t="s">
        <v>950</v>
      </c>
      <c r="V208" s="210" t="s">
        <v>1080</v>
      </c>
      <c r="W208" s="211" t="s">
        <v>1007</v>
      </c>
      <c r="X208" s="211">
        <v>1000</v>
      </c>
      <c r="Y208" s="211">
        <v>500</v>
      </c>
      <c r="Z208" s="212">
        <v>500</v>
      </c>
      <c r="AA208" s="240">
        <v>29</v>
      </c>
      <c r="AB208" s="213">
        <v>0.02</v>
      </c>
      <c r="AC208" s="213">
        <v>0.2</v>
      </c>
      <c r="AD208" s="213" t="s">
        <v>1170</v>
      </c>
      <c r="AE208" s="213">
        <v>4.0000000000000001E-3</v>
      </c>
      <c r="AF208" s="241">
        <v>1062628935.91</v>
      </c>
      <c r="AG208" s="241">
        <v>1062628935.91</v>
      </c>
      <c r="AH208" s="213">
        <v>-8.6400000000000005E-2</v>
      </c>
      <c r="AI208" s="352">
        <v>-1.3313999999999999</v>
      </c>
      <c r="AJ208" s="213">
        <v>-0.26090000000000002</v>
      </c>
      <c r="AK208" s="352">
        <v>-2.7732999999999999</v>
      </c>
      <c r="AL208" s="213">
        <v>-0.11219999999999999</v>
      </c>
      <c r="AM208" s="352">
        <v>-0.92889999999999995</v>
      </c>
      <c r="AN208" s="213">
        <v>-8.8999999999999999E-3</v>
      </c>
      <c r="AO208" s="352">
        <v>-5.2999999999999999E-2</v>
      </c>
      <c r="AP208" s="213">
        <v>0.17100000000000001</v>
      </c>
      <c r="AQ208" s="219">
        <v>-2.2076863484084481</v>
      </c>
      <c r="AR208" s="213" t="s">
        <v>1824</v>
      </c>
      <c r="AU208" s="343"/>
      <c r="AV208" s="343"/>
      <c r="AW208" s="328"/>
      <c r="AX208" s="329"/>
      <c r="AY208" s="328"/>
      <c r="AZ208" s="328"/>
      <c r="BA208" s="330"/>
      <c r="BB208" s="328"/>
      <c r="BC208" s="328"/>
      <c r="BD208" s="328"/>
      <c r="BE208" s="330"/>
      <c r="BF208" s="330"/>
      <c r="BG208" s="344"/>
      <c r="BH208" s="330"/>
      <c r="BI208" s="330"/>
      <c r="BJ208" s="330"/>
      <c r="BK208" s="330"/>
      <c r="BL208" s="330"/>
      <c r="BM208" s="330"/>
      <c r="BN208" s="330"/>
      <c r="BO208" s="330"/>
      <c r="BP208" s="331"/>
      <c r="BQ208" s="332"/>
      <c r="BR208" s="333"/>
    </row>
    <row r="209" spans="2:70" ht="15.75" customHeight="1">
      <c r="B209" s="216" t="s">
        <v>193</v>
      </c>
      <c r="C209" s="212">
        <v>539324</v>
      </c>
      <c r="D209" s="223">
        <v>36352498000107</v>
      </c>
      <c r="E209" s="217" t="s">
        <v>19</v>
      </c>
      <c r="F209" s="217" t="s">
        <v>963</v>
      </c>
      <c r="G209" s="217" t="s">
        <v>1011</v>
      </c>
      <c r="H209" s="218" t="s">
        <v>1113</v>
      </c>
      <c r="I209" s="217" t="s">
        <v>66</v>
      </c>
      <c r="J209" s="217"/>
      <c r="K209" s="218" t="s">
        <v>951</v>
      </c>
      <c r="L209" s="212" t="s">
        <v>87</v>
      </c>
      <c r="M209" s="250"/>
      <c r="N209" s="239">
        <v>43997</v>
      </c>
      <c r="O209" s="210" t="s">
        <v>186</v>
      </c>
      <c r="P209" s="210" t="s">
        <v>1090</v>
      </c>
      <c r="Q209" s="210" t="s">
        <v>1091</v>
      </c>
      <c r="R209" s="210" t="s">
        <v>1077</v>
      </c>
      <c r="S209" s="210" t="s">
        <v>1078</v>
      </c>
      <c r="T209" s="210" t="s">
        <v>349</v>
      </c>
      <c r="U209" s="210" t="s">
        <v>1114</v>
      </c>
      <c r="V209" s="210" t="s">
        <v>25</v>
      </c>
      <c r="W209" s="211" t="s">
        <v>1016</v>
      </c>
      <c r="X209" s="211">
        <v>1000</v>
      </c>
      <c r="Y209" s="211">
        <v>500</v>
      </c>
      <c r="Z209" s="212">
        <v>500</v>
      </c>
      <c r="AA209" s="240">
        <v>90</v>
      </c>
      <c r="AB209" s="213">
        <v>1.2E-2</v>
      </c>
      <c r="AC209" s="213">
        <v>0.2</v>
      </c>
      <c r="AD209" s="213" t="s">
        <v>113</v>
      </c>
      <c r="AE209" s="213">
        <v>3.2000000000000002E-3</v>
      </c>
      <c r="AF209" s="241">
        <v>219987796.59999999</v>
      </c>
      <c r="AG209" s="241">
        <v>219987796.59999999</v>
      </c>
      <c r="AH209" s="213">
        <v>6.4299999999999996E-2</v>
      </c>
      <c r="AI209" s="352">
        <v>0.99</v>
      </c>
      <c r="AJ209" s="213">
        <v>9.5100000000000004E-2</v>
      </c>
      <c r="AK209" s="352">
        <v>1.0112000000000001</v>
      </c>
      <c r="AL209" s="213">
        <v>0.19819999999999999</v>
      </c>
      <c r="AM209" s="352">
        <v>1.6402000000000001</v>
      </c>
      <c r="AN209" s="213" t="s">
        <v>66</v>
      </c>
      <c r="AO209" s="352" t="s">
        <v>66</v>
      </c>
      <c r="AP209" s="213">
        <v>1.24E-2</v>
      </c>
      <c r="AQ209" s="219">
        <v>8.3603121830657726E-2</v>
      </c>
      <c r="AR209" s="213" t="s">
        <v>1827</v>
      </c>
      <c r="AU209" s="343"/>
      <c r="AV209" s="343"/>
      <c r="AW209" s="328"/>
      <c r="AX209" s="329"/>
      <c r="AY209" s="328"/>
      <c r="AZ209" s="328"/>
      <c r="BA209" s="330"/>
      <c r="BB209" s="328"/>
      <c r="BC209" s="328"/>
      <c r="BD209" s="328"/>
      <c r="BE209" s="330"/>
      <c r="BF209" s="330"/>
      <c r="BG209" s="344"/>
      <c r="BH209" s="330"/>
      <c r="BI209" s="330"/>
      <c r="BJ209" s="330"/>
      <c r="BK209" s="330"/>
      <c r="BL209" s="330"/>
      <c r="BM209" s="330"/>
      <c r="BN209" s="330"/>
      <c r="BO209" s="330"/>
      <c r="BP209" s="331"/>
      <c r="BQ209" s="332"/>
      <c r="BR209" s="333"/>
    </row>
    <row r="210" spans="2:70" ht="15.75" customHeight="1">
      <c r="B210" s="216" t="s">
        <v>1178</v>
      </c>
      <c r="C210" s="212">
        <v>1310049</v>
      </c>
      <c r="D210" s="223">
        <v>22681798000117</v>
      </c>
      <c r="E210" s="217" t="s">
        <v>19</v>
      </c>
      <c r="F210" s="217" t="s">
        <v>963</v>
      </c>
      <c r="G210" s="217" t="s">
        <v>1011</v>
      </c>
      <c r="H210" s="218" t="s">
        <v>1113</v>
      </c>
      <c r="I210" s="217" t="s">
        <v>66</v>
      </c>
      <c r="J210" s="217" t="s">
        <v>1794</v>
      </c>
      <c r="K210" s="218" t="s">
        <v>951</v>
      </c>
      <c r="L210" s="212" t="s">
        <v>87</v>
      </c>
      <c r="M210" s="250"/>
      <c r="N210" s="239">
        <v>42219</v>
      </c>
      <c r="O210" s="210" t="s">
        <v>186</v>
      </c>
      <c r="P210" s="210" t="s">
        <v>1075</v>
      </c>
      <c r="Q210" s="210" t="s">
        <v>1076</v>
      </c>
      <c r="R210" s="210" t="s">
        <v>1084</v>
      </c>
      <c r="S210" s="210" t="s">
        <v>1078</v>
      </c>
      <c r="T210" s="210" t="s">
        <v>349</v>
      </c>
      <c r="U210" s="210" t="s">
        <v>1114</v>
      </c>
      <c r="V210" s="210" t="s">
        <v>19</v>
      </c>
      <c r="W210" s="211" t="s">
        <v>1895</v>
      </c>
      <c r="X210" s="211">
        <v>500</v>
      </c>
      <c r="Y210" s="211">
        <v>300</v>
      </c>
      <c r="Z210" s="212">
        <v>300</v>
      </c>
      <c r="AA210" s="240">
        <v>7</v>
      </c>
      <c r="AB210" s="213">
        <v>4.0000000000000001E-3</v>
      </c>
      <c r="AC210" s="213">
        <v>0.1</v>
      </c>
      <c r="AD210" s="213" t="s">
        <v>113</v>
      </c>
      <c r="AE210" s="213">
        <v>1E-3</v>
      </c>
      <c r="AF210" s="241">
        <v>513315423.08999997</v>
      </c>
      <c r="AG210" s="241">
        <v>513315423.08999997</v>
      </c>
      <c r="AH210" s="213">
        <v>6.7100000000000007E-2</v>
      </c>
      <c r="AI210" s="352">
        <v>1.0334000000000001</v>
      </c>
      <c r="AJ210" s="213">
        <v>9.7600000000000006E-2</v>
      </c>
      <c r="AK210" s="352">
        <v>1.0370999999999999</v>
      </c>
      <c r="AL210" s="213">
        <v>0.1258</v>
      </c>
      <c r="AM210" s="352">
        <v>1.0412999999999999</v>
      </c>
      <c r="AN210" s="213">
        <v>0.1799</v>
      </c>
      <c r="AO210" s="352">
        <v>1.0677000000000001</v>
      </c>
      <c r="AP210" s="213">
        <v>1.8E-3</v>
      </c>
      <c r="AQ210" s="219">
        <v>1.7884230662870464</v>
      </c>
      <c r="AR210" s="213" t="s">
        <v>1827</v>
      </c>
      <c r="AU210" s="343"/>
      <c r="AV210" s="343"/>
      <c r="AW210" s="328"/>
      <c r="AX210" s="329"/>
      <c r="AY210" s="328"/>
      <c r="AZ210" s="328"/>
      <c r="BA210" s="330"/>
      <c r="BB210" s="328"/>
      <c r="BC210" s="328"/>
      <c r="BD210" s="328"/>
      <c r="BE210" s="330"/>
      <c r="BF210" s="330"/>
      <c r="BG210" s="344"/>
      <c r="BH210" s="330"/>
      <c r="BI210" s="330"/>
      <c r="BJ210" s="330"/>
      <c r="BK210" s="330"/>
      <c r="BL210" s="330"/>
      <c r="BM210" s="330"/>
      <c r="BN210" s="330"/>
      <c r="BO210" s="330"/>
      <c r="BP210" s="331"/>
      <c r="BQ210" s="332"/>
      <c r="BR210" s="333"/>
    </row>
    <row r="211" spans="2:70" ht="15.75" customHeight="1">
      <c r="B211" s="216" t="s">
        <v>194</v>
      </c>
      <c r="C211" s="212">
        <v>931279</v>
      </c>
      <c r="D211" s="223">
        <v>13974750000106</v>
      </c>
      <c r="E211" s="217" t="s">
        <v>28</v>
      </c>
      <c r="F211" s="217" t="s">
        <v>957</v>
      </c>
      <c r="G211" s="217"/>
      <c r="H211" s="218"/>
      <c r="I211" s="217" t="s">
        <v>1259</v>
      </c>
      <c r="J211" s="217" t="s">
        <v>66</v>
      </c>
      <c r="K211" s="218" t="s">
        <v>951</v>
      </c>
      <c r="L211" s="212" t="s">
        <v>87</v>
      </c>
      <c r="M211" s="250"/>
      <c r="N211" s="239">
        <v>40834</v>
      </c>
      <c r="O211" s="210" t="s">
        <v>186</v>
      </c>
      <c r="P211" s="210" t="s">
        <v>1090</v>
      </c>
      <c r="Q211" s="210" t="s">
        <v>1091</v>
      </c>
      <c r="R211" s="210" t="s">
        <v>1084</v>
      </c>
      <c r="S211" s="210" t="s">
        <v>1078</v>
      </c>
      <c r="T211" s="210" t="s">
        <v>1079</v>
      </c>
      <c r="U211" s="210" t="s">
        <v>957</v>
      </c>
      <c r="V211" s="210" t="s">
        <v>1080</v>
      </c>
      <c r="W211" s="211" t="s">
        <v>1007</v>
      </c>
      <c r="X211" s="211">
        <v>1000</v>
      </c>
      <c r="Y211" s="211">
        <v>500</v>
      </c>
      <c r="Z211" s="212">
        <v>500</v>
      </c>
      <c r="AA211" s="240">
        <v>32</v>
      </c>
      <c r="AB211" s="213">
        <v>0.02</v>
      </c>
      <c r="AC211" s="213">
        <v>0.2</v>
      </c>
      <c r="AD211" s="213" t="s">
        <v>1157</v>
      </c>
      <c r="AE211" s="213">
        <v>5.3333333333333332E-3</v>
      </c>
      <c r="AF211" s="241">
        <v>325772517.50999999</v>
      </c>
      <c r="AG211" s="241">
        <v>325772517.50999999</v>
      </c>
      <c r="AH211" s="213">
        <v>-9.4799999999999995E-2</v>
      </c>
      <c r="AI211" s="352">
        <v>-1.4599</v>
      </c>
      <c r="AJ211" s="213">
        <v>-0.13619999999999999</v>
      </c>
      <c r="AK211" s="352">
        <v>-1.4475</v>
      </c>
      <c r="AL211" s="213">
        <v>-3.5499999999999997E-2</v>
      </c>
      <c r="AM211" s="352">
        <v>-0.29370000000000002</v>
      </c>
      <c r="AN211" s="213">
        <v>1.7999999999999999E-2</v>
      </c>
      <c r="AO211" s="352">
        <v>0.10680000000000001</v>
      </c>
      <c r="AP211" s="213">
        <v>0.1018</v>
      </c>
      <c r="AQ211" s="219">
        <v>-2.2694621115311531</v>
      </c>
      <c r="AR211" s="213" t="s">
        <v>1827</v>
      </c>
      <c r="AU211" s="343"/>
      <c r="AV211" s="343"/>
      <c r="AW211" s="328"/>
      <c r="AX211" s="329"/>
      <c r="AY211" s="328"/>
      <c r="AZ211" s="328"/>
      <c r="BA211" s="330"/>
      <c r="BB211" s="328"/>
      <c r="BC211" s="328"/>
      <c r="BD211" s="328"/>
      <c r="BE211" s="330"/>
      <c r="BF211" s="330"/>
      <c r="BG211" s="344"/>
      <c r="BH211" s="330"/>
      <c r="BI211" s="330"/>
      <c r="BJ211" s="330"/>
      <c r="BK211" s="330"/>
      <c r="BL211" s="330"/>
      <c r="BM211" s="330"/>
      <c r="BN211" s="330"/>
      <c r="BO211" s="330"/>
      <c r="BP211" s="331"/>
      <c r="BQ211" s="332"/>
      <c r="BR211" s="333"/>
    </row>
    <row r="212" spans="2:70" ht="15.75" customHeight="1">
      <c r="B212" s="216" t="s">
        <v>195</v>
      </c>
      <c r="C212" s="212">
        <v>547717</v>
      </c>
      <c r="D212" s="223">
        <v>14812722000155</v>
      </c>
      <c r="E212" s="217" t="s">
        <v>25</v>
      </c>
      <c r="F212" s="217" t="s">
        <v>958</v>
      </c>
      <c r="G212" s="217" t="s">
        <v>962</v>
      </c>
      <c r="H212" s="218" t="s">
        <v>66</v>
      </c>
      <c r="I212" s="217" t="s">
        <v>1259</v>
      </c>
      <c r="J212" s="217" t="s">
        <v>66</v>
      </c>
      <c r="K212" s="218"/>
      <c r="L212" s="212" t="s">
        <v>87</v>
      </c>
      <c r="M212" s="250"/>
      <c r="N212" s="239">
        <v>40931</v>
      </c>
      <c r="O212" s="210" t="s">
        <v>186</v>
      </c>
      <c r="P212" s="210" t="s">
        <v>1090</v>
      </c>
      <c r="Q212" s="210" t="s">
        <v>1091</v>
      </c>
      <c r="R212" s="210" t="s">
        <v>1084</v>
      </c>
      <c r="S212" s="210" t="s">
        <v>1078</v>
      </c>
      <c r="T212" s="210" t="s">
        <v>1082</v>
      </c>
      <c r="U212" s="210" t="s">
        <v>958</v>
      </c>
      <c r="V212" s="210" t="s">
        <v>25</v>
      </c>
      <c r="W212" s="211" t="s">
        <v>1023</v>
      </c>
      <c r="X212" s="211">
        <v>1000</v>
      </c>
      <c r="Y212" s="211">
        <v>500</v>
      </c>
      <c r="Z212" s="212">
        <v>500</v>
      </c>
      <c r="AA212" s="240">
        <v>29</v>
      </c>
      <c r="AB212" s="213">
        <v>0.02</v>
      </c>
      <c r="AC212" s="213">
        <v>0.25</v>
      </c>
      <c r="AD212" s="213" t="s">
        <v>109</v>
      </c>
      <c r="AE212" s="213">
        <v>4.0000000000000001E-3</v>
      </c>
      <c r="AF212" s="241">
        <v>62544894.049999997</v>
      </c>
      <c r="AG212" s="241">
        <v>62544894.049999997</v>
      </c>
      <c r="AH212" s="213">
        <v>2.2700000000000001E-2</v>
      </c>
      <c r="AI212" s="352">
        <v>0.3493</v>
      </c>
      <c r="AJ212" s="213">
        <v>5.4300000000000001E-2</v>
      </c>
      <c r="AK212" s="352">
        <v>0.57679999999999998</v>
      </c>
      <c r="AL212" s="213">
        <v>2.7900000000000001E-2</v>
      </c>
      <c r="AM212" s="352">
        <v>0.2311</v>
      </c>
      <c r="AN212" s="213">
        <v>5.0299999999999997E-2</v>
      </c>
      <c r="AO212" s="352">
        <v>0.29849999999999999</v>
      </c>
      <c r="AP212" s="213">
        <v>5.62E-2</v>
      </c>
      <c r="AQ212" s="219">
        <v>-0.63159216524485429</v>
      </c>
      <c r="AR212" s="213" t="s">
        <v>1827</v>
      </c>
      <c r="AU212" s="343"/>
      <c r="AV212" s="343"/>
      <c r="AW212" s="328"/>
      <c r="AX212" s="329"/>
      <c r="AY212" s="328"/>
      <c r="AZ212" s="328"/>
      <c r="BA212" s="330"/>
      <c r="BB212" s="328"/>
      <c r="BC212" s="328"/>
      <c r="BD212" s="328"/>
      <c r="BE212" s="330"/>
      <c r="BF212" s="330"/>
      <c r="BG212" s="344"/>
      <c r="BH212" s="330"/>
      <c r="BI212" s="330"/>
      <c r="BJ212" s="330"/>
      <c r="BK212" s="330"/>
      <c r="BL212" s="330"/>
      <c r="BM212" s="330"/>
      <c r="BN212" s="330"/>
      <c r="BO212" s="330"/>
      <c r="BP212" s="331"/>
      <c r="BQ212" s="332"/>
      <c r="BR212" s="333"/>
    </row>
    <row r="213" spans="2:70" ht="15.75" customHeight="1">
      <c r="B213" s="216" t="s">
        <v>196</v>
      </c>
      <c r="C213" s="212">
        <v>547715</v>
      </c>
      <c r="D213" s="223">
        <v>19782311000188</v>
      </c>
      <c r="E213" s="217" t="s">
        <v>19</v>
      </c>
      <c r="F213" s="217" t="s">
        <v>963</v>
      </c>
      <c r="G213" s="217" t="s">
        <v>1011</v>
      </c>
      <c r="H213" s="218" t="s">
        <v>1113</v>
      </c>
      <c r="I213" s="217" t="s">
        <v>66</v>
      </c>
      <c r="J213" s="217"/>
      <c r="K213" s="218" t="s">
        <v>951</v>
      </c>
      <c r="L213" s="212" t="s">
        <v>87</v>
      </c>
      <c r="M213" s="250"/>
      <c r="N213" s="239">
        <v>41757</v>
      </c>
      <c r="O213" s="210" t="s">
        <v>186</v>
      </c>
      <c r="P213" s="210" t="s">
        <v>1090</v>
      </c>
      <c r="Q213" s="210" t="s">
        <v>1091</v>
      </c>
      <c r="R213" s="210" t="s">
        <v>1084</v>
      </c>
      <c r="S213" s="210" t="s">
        <v>1078</v>
      </c>
      <c r="T213" s="210" t="s">
        <v>349</v>
      </c>
      <c r="U213" s="210" t="s">
        <v>1114</v>
      </c>
      <c r="V213" s="210" t="s">
        <v>19</v>
      </c>
      <c r="W213" s="211" t="s">
        <v>1017</v>
      </c>
      <c r="X213" s="211">
        <v>500</v>
      </c>
      <c r="Y213" s="211">
        <v>500</v>
      </c>
      <c r="Z213" s="212">
        <v>500</v>
      </c>
      <c r="AA213" s="240">
        <v>5</v>
      </c>
      <c r="AB213" s="213">
        <v>0.01</v>
      </c>
      <c r="AC213" s="213">
        <v>0</v>
      </c>
      <c r="AD213" s="213" t="s">
        <v>1100</v>
      </c>
      <c r="AE213" s="213">
        <v>3.0000000000000001E-3</v>
      </c>
      <c r="AF213" s="241">
        <v>697056530.78999996</v>
      </c>
      <c r="AG213" s="241">
        <v>697056530.78999996</v>
      </c>
      <c r="AH213" s="213">
        <v>6.9400000000000003E-2</v>
      </c>
      <c r="AI213" s="352">
        <v>1.0691999999999999</v>
      </c>
      <c r="AJ213" s="213">
        <v>0.1065</v>
      </c>
      <c r="AK213" s="352">
        <v>1.1324000000000001</v>
      </c>
      <c r="AL213" s="213">
        <v>0.17330000000000001</v>
      </c>
      <c r="AM213" s="352">
        <v>1.4348000000000001</v>
      </c>
      <c r="AN213" s="213">
        <v>0.16350000000000001</v>
      </c>
      <c r="AO213" s="352">
        <v>0.97009999999999996</v>
      </c>
      <c r="AP213" s="213">
        <v>3.5999999999999999E-3</v>
      </c>
      <c r="AQ213" s="219">
        <v>3.1118380101824599</v>
      </c>
      <c r="AR213" s="213" t="s">
        <v>1824</v>
      </c>
      <c r="AU213" s="343"/>
      <c r="AV213" s="343"/>
      <c r="AW213" s="328"/>
      <c r="AX213" s="329"/>
      <c r="AY213" s="328"/>
      <c r="AZ213" s="328"/>
      <c r="BA213" s="330"/>
      <c r="BB213" s="328"/>
      <c r="BC213" s="328"/>
      <c r="BD213" s="328"/>
      <c r="BE213" s="330"/>
      <c r="BF213" s="330"/>
      <c r="BG213" s="344"/>
      <c r="BH213" s="330"/>
      <c r="BI213" s="330"/>
      <c r="BJ213" s="330"/>
      <c r="BK213" s="330"/>
      <c r="BL213" s="330"/>
      <c r="BM213" s="330"/>
      <c r="BN213" s="330"/>
      <c r="BO213" s="330"/>
      <c r="BP213" s="331"/>
      <c r="BQ213" s="332"/>
      <c r="BR213" s="333"/>
    </row>
    <row r="214" spans="2:70" ht="15.75" customHeight="1">
      <c r="B214" s="216" t="s">
        <v>1901</v>
      </c>
      <c r="C214" s="212">
        <v>553031</v>
      </c>
      <c r="D214" s="223">
        <v>16599968000116</v>
      </c>
      <c r="E214" s="217" t="s">
        <v>19</v>
      </c>
      <c r="F214" s="217" t="s">
        <v>963</v>
      </c>
      <c r="G214" s="217" t="s">
        <v>1011</v>
      </c>
      <c r="H214" s="218" t="s">
        <v>1113</v>
      </c>
      <c r="I214" s="217" t="s">
        <v>66</v>
      </c>
      <c r="J214" s="217"/>
      <c r="K214" s="218" t="s">
        <v>951</v>
      </c>
      <c r="L214" s="212" t="s">
        <v>87</v>
      </c>
      <c r="M214" s="250"/>
      <c r="N214" s="239">
        <v>41172</v>
      </c>
      <c r="O214" s="210" t="s">
        <v>186</v>
      </c>
      <c r="P214" s="210" t="s">
        <v>1088</v>
      </c>
      <c r="Q214" s="210" t="s">
        <v>1089</v>
      </c>
      <c r="R214" s="210" t="s">
        <v>1084</v>
      </c>
      <c r="S214" s="210" t="s">
        <v>1078</v>
      </c>
      <c r="T214" s="210" t="s">
        <v>349</v>
      </c>
      <c r="U214" s="210" t="s">
        <v>1114</v>
      </c>
      <c r="V214" s="210" t="s">
        <v>19</v>
      </c>
      <c r="W214" s="211" t="s">
        <v>1017</v>
      </c>
      <c r="X214" s="211">
        <v>1000</v>
      </c>
      <c r="Y214" s="211">
        <v>1000</v>
      </c>
      <c r="Z214" s="212">
        <v>1000</v>
      </c>
      <c r="AA214" s="240">
        <v>1</v>
      </c>
      <c r="AB214" s="213">
        <v>0.01</v>
      </c>
      <c r="AC214" s="213">
        <v>0.2</v>
      </c>
      <c r="AD214" s="213" t="s">
        <v>109</v>
      </c>
      <c r="AE214" s="213">
        <v>2.5000000000000001E-3</v>
      </c>
      <c r="AF214" s="241">
        <v>29741452.809999999</v>
      </c>
      <c r="AG214" s="241">
        <v>29741452.809999999</v>
      </c>
      <c r="AH214" s="213">
        <v>4.3700000000000003E-2</v>
      </c>
      <c r="AI214" s="352">
        <v>0.67279999999999995</v>
      </c>
      <c r="AJ214" s="213">
        <v>5.04E-2</v>
      </c>
      <c r="AK214" s="352">
        <v>0.53549999999999998</v>
      </c>
      <c r="AL214" s="213">
        <v>5.5300000000000002E-2</v>
      </c>
      <c r="AM214" s="352">
        <v>0.45760000000000001</v>
      </c>
      <c r="AN214" s="213">
        <v>0.11070000000000001</v>
      </c>
      <c r="AO214" s="352">
        <v>0.65680000000000005</v>
      </c>
      <c r="AP214" s="213">
        <v>1.6899999999999998E-2</v>
      </c>
      <c r="AQ214" s="219">
        <v>-2.4000132028283314</v>
      </c>
      <c r="AR214" s="213" t="s">
        <v>1824</v>
      </c>
      <c r="AU214" s="343"/>
      <c r="AV214" s="343"/>
      <c r="AW214" s="328"/>
      <c r="AX214" s="329"/>
      <c r="AY214" s="328"/>
      <c r="AZ214" s="328"/>
      <c r="BA214" s="330"/>
      <c r="BB214" s="328"/>
      <c r="BC214" s="328"/>
      <c r="BD214" s="328"/>
      <c r="BE214" s="330"/>
      <c r="BF214" s="330"/>
      <c r="BG214" s="344"/>
      <c r="BH214" s="330"/>
      <c r="BI214" s="330"/>
      <c r="BJ214" s="330"/>
      <c r="BK214" s="330"/>
      <c r="BL214" s="330"/>
      <c r="BM214" s="330"/>
      <c r="BN214" s="330"/>
      <c r="BO214" s="330"/>
      <c r="BP214" s="331"/>
      <c r="BQ214" s="332"/>
      <c r="BR214" s="333"/>
    </row>
    <row r="215" spans="2:70" ht="15.75" customHeight="1">
      <c r="B215" s="216" t="s">
        <v>197</v>
      </c>
      <c r="C215" s="212">
        <v>551981</v>
      </c>
      <c r="D215" s="223">
        <v>39281106000146</v>
      </c>
      <c r="E215" s="217" t="s">
        <v>25</v>
      </c>
      <c r="F215" s="217" t="s">
        <v>958</v>
      </c>
      <c r="G215" s="217" t="s">
        <v>962</v>
      </c>
      <c r="H215" s="218" t="s">
        <v>66</v>
      </c>
      <c r="I215" s="217" t="s">
        <v>1842</v>
      </c>
      <c r="J215" s="217" t="s">
        <v>66</v>
      </c>
      <c r="K215" s="218"/>
      <c r="L215" s="212" t="s">
        <v>87</v>
      </c>
      <c r="M215" s="250"/>
      <c r="N215" s="239">
        <v>44182</v>
      </c>
      <c r="O215" s="210" t="s">
        <v>1179</v>
      </c>
      <c r="P215" s="210" t="s">
        <v>1117</v>
      </c>
      <c r="Q215" s="210" t="s">
        <v>1117</v>
      </c>
      <c r="R215" s="210" t="s">
        <v>1084</v>
      </c>
      <c r="S215" s="210" t="s">
        <v>1078</v>
      </c>
      <c r="T215" s="210" t="s">
        <v>1082</v>
      </c>
      <c r="U215" s="210" t="s">
        <v>958</v>
      </c>
      <c r="V215" s="210" t="s">
        <v>25</v>
      </c>
      <c r="W215" s="211" t="s">
        <v>1016</v>
      </c>
      <c r="X215" s="211">
        <v>5000</v>
      </c>
      <c r="Y215" s="211">
        <v>1000</v>
      </c>
      <c r="Z215" s="212">
        <v>5000</v>
      </c>
      <c r="AA215" s="240">
        <v>32</v>
      </c>
      <c r="AB215" s="213">
        <v>7.7999999999999996E-3</v>
      </c>
      <c r="AC215" s="213">
        <v>0</v>
      </c>
      <c r="AD215" s="213" t="s">
        <v>113</v>
      </c>
      <c r="AE215" s="213" t="s">
        <v>66</v>
      </c>
      <c r="AF215" s="241">
        <v>37587977.609999999</v>
      </c>
      <c r="AG215" s="241">
        <v>37587977.609999999</v>
      </c>
      <c r="AH215" s="213">
        <v>9.8400000000000001E-2</v>
      </c>
      <c r="AI215" s="352">
        <v>1.5148999999999999</v>
      </c>
      <c r="AJ215" s="213">
        <v>9.2499999999999999E-2</v>
      </c>
      <c r="AK215" s="352">
        <v>0.98280000000000001</v>
      </c>
      <c r="AL215" s="213" t="s">
        <v>66</v>
      </c>
      <c r="AM215" s="352" t="s">
        <v>66</v>
      </c>
      <c r="AN215" s="213" t="s">
        <v>66</v>
      </c>
      <c r="AO215" s="352" t="s">
        <v>66</v>
      </c>
      <c r="AP215" s="213">
        <v>8.1100000000000005E-2</v>
      </c>
      <c r="AQ215" s="219">
        <v>2.2079462366731077E-2</v>
      </c>
      <c r="AR215" s="213" t="s">
        <v>1827</v>
      </c>
      <c r="AU215" s="343"/>
      <c r="AV215" s="343"/>
      <c r="AW215" s="328"/>
      <c r="AX215" s="329"/>
      <c r="AY215" s="328"/>
      <c r="AZ215" s="328"/>
      <c r="BA215" s="330"/>
      <c r="BB215" s="328"/>
      <c r="BC215" s="328"/>
      <c r="BD215" s="328"/>
      <c r="BE215" s="330"/>
      <c r="BF215" s="330"/>
      <c r="BG215" s="344"/>
      <c r="BH215" s="330"/>
      <c r="BI215" s="330"/>
      <c r="BJ215" s="330"/>
      <c r="BK215" s="330"/>
      <c r="BL215" s="330"/>
      <c r="BM215" s="330"/>
      <c r="BN215" s="330"/>
      <c r="BO215" s="330"/>
      <c r="BP215" s="331"/>
      <c r="BQ215" s="332"/>
      <c r="BR215" s="333"/>
    </row>
    <row r="216" spans="2:70" ht="15.75" customHeight="1">
      <c r="B216" s="216" t="s">
        <v>199</v>
      </c>
      <c r="C216" s="212">
        <v>1250864</v>
      </c>
      <c r="D216" s="223">
        <v>9528698000197</v>
      </c>
      <c r="E216" s="217" t="s">
        <v>25</v>
      </c>
      <c r="F216" s="217" t="s">
        <v>958</v>
      </c>
      <c r="G216" s="217" t="s">
        <v>962</v>
      </c>
      <c r="H216" s="218"/>
      <c r="I216" s="217" t="s">
        <v>1841</v>
      </c>
      <c r="J216" s="217" t="s">
        <v>66</v>
      </c>
      <c r="K216" s="218" t="s">
        <v>954</v>
      </c>
      <c r="L216" s="212" t="s">
        <v>87</v>
      </c>
      <c r="M216" s="250"/>
      <c r="N216" s="239">
        <v>39598</v>
      </c>
      <c r="O216" s="210" t="s">
        <v>200</v>
      </c>
      <c r="P216" s="210" t="s">
        <v>1088</v>
      </c>
      <c r="Q216" s="210" t="s">
        <v>1089</v>
      </c>
      <c r="R216" s="210" t="s">
        <v>1084</v>
      </c>
      <c r="S216" s="210" t="s">
        <v>1078</v>
      </c>
      <c r="T216" s="210" t="s">
        <v>1082</v>
      </c>
      <c r="U216" s="210" t="s">
        <v>958</v>
      </c>
      <c r="V216" s="210" t="s">
        <v>25</v>
      </c>
      <c r="W216" s="211" t="s">
        <v>1012</v>
      </c>
      <c r="X216" s="211">
        <v>20000</v>
      </c>
      <c r="Y216" s="211">
        <v>10000</v>
      </c>
      <c r="Z216" s="212">
        <v>20000</v>
      </c>
      <c r="AA216" s="240">
        <v>21</v>
      </c>
      <c r="AB216" s="213">
        <v>1.8339999999999999E-2</v>
      </c>
      <c r="AC216" s="213">
        <v>0.2</v>
      </c>
      <c r="AD216" s="213" t="s">
        <v>109</v>
      </c>
      <c r="AE216" s="213">
        <v>3.4845999999999996E-3</v>
      </c>
      <c r="AF216" s="241">
        <v>59081924.939999998</v>
      </c>
      <c r="AG216" s="241">
        <v>59081924.939999998</v>
      </c>
      <c r="AH216" s="213">
        <v>8.5000000000000006E-2</v>
      </c>
      <c r="AI216" s="352">
        <v>1.3097000000000001</v>
      </c>
      <c r="AJ216" s="213">
        <v>8.5099999999999995E-2</v>
      </c>
      <c r="AK216" s="352">
        <v>0.9042</v>
      </c>
      <c r="AL216" s="213">
        <v>0.12790000000000001</v>
      </c>
      <c r="AM216" s="352">
        <v>1.0589</v>
      </c>
      <c r="AN216" s="213">
        <v>0.1313</v>
      </c>
      <c r="AO216" s="352">
        <v>0.77939999999999998</v>
      </c>
      <c r="AP216" s="213">
        <v>2.3599999999999999E-2</v>
      </c>
      <c r="AQ216" s="219">
        <v>-0.33859311534465353</v>
      </c>
      <c r="AR216" s="213" t="s">
        <v>1827</v>
      </c>
      <c r="AU216" s="343"/>
      <c r="AV216" s="343"/>
      <c r="AW216" s="328"/>
      <c r="AX216" s="329"/>
      <c r="AY216" s="328"/>
      <c r="AZ216" s="328"/>
      <c r="BA216" s="330"/>
      <c r="BB216" s="328"/>
      <c r="BC216" s="328"/>
      <c r="BD216" s="328"/>
      <c r="BE216" s="330"/>
      <c r="BF216" s="330"/>
      <c r="BG216" s="344"/>
      <c r="BH216" s="330"/>
      <c r="BI216" s="330"/>
      <c r="BJ216" s="330"/>
      <c r="BK216" s="330"/>
      <c r="BL216" s="330"/>
      <c r="BM216" s="330"/>
      <c r="BN216" s="330"/>
      <c r="BO216" s="330"/>
      <c r="BP216" s="331"/>
      <c r="BQ216" s="332"/>
      <c r="BR216" s="333"/>
    </row>
    <row r="217" spans="2:70" ht="15.75" customHeight="1">
      <c r="B217" s="216" t="s">
        <v>201</v>
      </c>
      <c r="C217" s="212">
        <v>564204</v>
      </c>
      <c r="D217" s="223">
        <v>23732231000195</v>
      </c>
      <c r="E217" s="217" t="s">
        <v>28</v>
      </c>
      <c r="F217" s="217" t="s">
        <v>957</v>
      </c>
      <c r="G217" s="217"/>
      <c r="H217" s="218"/>
      <c r="I217" s="217" t="s">
        <v>1259</v>
      </c>
      <c r="J217" s="217" t="s">
        <v>66</v>
      </c>
      <c r="K217" s="218" t="s">
        <v>951</v>
      </c>
      <c r="L217" s="212" t="s">
        <v>87</v>
      </c>
      <c r="M217" s="250"/>
      <c r="N217" s="239">
        <v>42368</v>
      </c>
      <c r="O217" s="210" t="s">
        <v>200</v>
      </c>
      <c r="P217" s="210" t="s">
        <v>1088</v>
      </c>
      <c r="Q217" s="210" t="s">
        <v>1089</v>
      </c>
      <c r="R217" s="210" t="s">
        <v>1084</v>
      </c>
      <c r="S217" s="210" t="s">
        <v>1085</v>
      </c>
      <c r="T217" s="210" t="s">
        <v>1079</v>
      </c>
      <c r="U217" s="210" t="s">
        <v>957</v>
      </c>
      <c r="V217" s="210" t="s">
        <v>25</v>
      </c>
      <c r="W217" s="211" t="s">
        <v>1016</v>
      </c>
      <c r="X217" s="211">
        <v>20000</v>
      </c>
      <c r="Y217" s="211">
        <v>10000</v>
      </c>
      <c r="Z217" s="212">
        <v>20000</v>
      </c>
      <c r="AA217" s="240">
        <v>32</v>
      </c>
      <c r="AB217" s="213">
        <v>1.9E-2</v>
      </c>
      <c r="AC217" s="213">
        <v>0.2</v>
      </c>
      <c r="AD217" s="213" t="s">
        <v>109</v>
      </c>
      <c r="AE217" s="213">
        <v>4.7499999999999999E-3</v>
      </c>
      <c r="AF217" s="241">
        <v>228493893.90000001</v>
      </c>
      <c r="AG217" s="241">
        <v>228493893.90000001</v>
      </c>
      <c r="AH217" s="213">
        <v>-3.78E-2</v>
      </c>
      <c r="AI217" s="352">
        <v>-0.58250000000000002</v>
      </c>
      <c r="AJ217" s="213">
        <v>-0.28749999999999998</v>
      </c>
      <c r="AK217" s="352">
        <v>-3.0556000000000001</v>
      </c>
      <c r="AL217" s="213">
        <v>-0.12529999999999999</v>
      </c>
      <c r="AM217" s="352">
        <v>-1.0375000000000001</v>
      </c>
      <c r="AN217" s="213">
        <v>-0.1201</v>
      </c>
      <c r="AO217" s="352">
        <v>-0.7127</v>
      </c>
      <c r="AP217" s="213">
        <v>0.16650000000000001</v>
      </c>
      <c r="AQ217" s="219">
        <v>-2.4917500966138659</v>
      </c>
      <c r="AR217" s="213" t="s">
        <v>1827</v>
      </c>
      <c r="AU217" s="343"/>
      <c r="AV217" s="343"/>
      <c r="AW217" s="328"/>
      <c r="AX217" s="329"/>
      <c r="AY217" s="328"/>
      <c r="AZ217" s="328"/>
      <c r="BA217" s="330"/>
      <c r="BB217" s="328"/>
      <c r="BC217" s="328"/>
      <c r="BD217" s="328"/>
      <c r="BE217" s="330"/>
      <c r="BF217" s="330"/>
      <c r="BG217" s="344"/>
      <c r="BH217" s="383"/>
      <c r="BI217" s="330"/>
      <c r="BJ217" s="330"/>
      <c r="BK217" s="330"/>
      <c r="BL217" s="330"/>
      <c r="BM217" s="330"/>
      <c r="BN217" s="330"/>
      <c r="BO217" s="330"/>
      <c r="BP217" s="331"/>
      <c r="BQ217" s="332"/>
      <c r="BR217" s="333"/>
    </row>
    <row r="218" spans="2:70" ht="15.75" customHeight="1">
      <c r="B218" s="216" t="s">
        <v>202</v>
      </c>
      <c r="C218" s="212">
        <v>541341</v>
      </c>
      <c r="D218" s="223">
        <v>35609273000112</v>
      </c>
      <c r="E218" s="217" t="s">
        <v>28</v>
      </c>
      <c r="F218" s="217" t="s">
        <v>957</v>
      </c>
      <c r="G218" s="217"/>
      <c r="H218" s="218"/>
      <c r="I218" s="217" t="s">
        <v>1259</v>
      </c>
      <c r="J218" s="217" t="s">
        <v>66</v>
      </c>
      <c r="K218" s="218" t="s">
        <v>951</v>
      </c>
      <c r="L218" s="212" t="s">
        <v>87</v>
      </c>
      <c r="M218" s="250"/>
      <c r="N218" s="239">
        <v>43829</v>
      </c>
      <c r="O218" s="210" t="s">
        <v>200</v>
      </c>
      <c r="P218" s="210" t="s">
        <v>1088</v>
      </c>
      <c r="Q218" s="210" t="s">
        <v>1089</v>
      </c>
      <c r="R218" s="210" t="s">
        <v>1077</v>
      </c>
      <c r="S218" s="210" t="s">
        <v>1078</v>
      </c>
      <c r="T218" s="210" t="s">
        <v>1079</v>
      </c>
      <c r="U218" s="210" t="s">
        <v>957</v>
      </c>
      <c r="V218" s="210" t="s">
        <v>25</v>
      </c>
      <c r="W218" s="211" t="s">
        <v>1016</v>
      </c>
      <c r="X218" s="211">
        <v>20000</v>
      </c>
      <c r="Y218" s="211">
        <v>10000</v>
      </c>
      <c r="Z218" s="212">
        <v>20000</v>
      </c>
      <c r="AA218" s="240">
        <v>32</v>
      </c>
      <c r="AB218" s="213">
        <v>1.9E-2</v>
      </c>
      <c r="AC218" s="213">
        <v>0.2</v>
      </c>
      <c r="AD218" s="213" t="s">
        <v>1157</v>
      </c>
      <c r="AE218" s="213">
        <v>3.1666666666666666E-3</v>
      </c>
      <c r="AF218" s="241">
        <v>4497236.34</v>
      </c>
      <c r="AG218" s="241">
        <v>4497236.34</v>
      </c>
      <c r="AH218" s="213">
        <v>-3.9300000000000002E-2</v>
      </c>
      <c r="AI218" s="352">
        <v>-0.60519999999999996</v>
      </c>
      <c r="AJ218" s="213">
        <v>-0.28970000000000001</v>
      </c>
      <c r="AK218" s="352">
        <v>-3.0794999999999999</v>
      </c>
      <c r="AL218" s="213">
        <v>-0.13730000000000001</v>
      </c>
      <c r="AM218" s="352">
        <v>-1.1365000000000001</v>
      </c>
      <c r="AN218" s="213" t="s">
        <v>66</v>
      </c>
      <c r="AO218" s="352" t="s">
        <v>66</v>
      </c>
      <c r="AP218" s="213">
        <v>0.16639999999999999</v>
      </c>
      <c r="AQ218" s="219">
        <v>-2.5113989730550581</v>
      </c>
      <c r="AR218" s="213" t="s">
        <v>1827</v>
      </c>
      <c r="AU218" s="343"/>
      <c r="AV218" s="343"/>
      <c r="AW218" s="328"/>
      <c r="AX218" s="329"/>
      <c r="AY218" s="328"/>
      <c r="AZ218" s="328"/>
      <c r="BA218" s="330"/>
      <c r="BB218" s="328"/>
      <c r="BC218" s="328"/>
      <c r="BD218" s="328"/>
      <c r="BE218" s="330"/>
      <c r="BF218" s="330"/>
      <c r="BG218" s="344"/>
      <c r="BH218" s="330"/>
      <c r="BI218" s="330"/>
      <c r="BJ218" s="330"/>
      <c r="BK218" s="330"/>
      <c r="BL218" s="330"/>
      <c r="BM218" s="330"/>
      <c r="BN218" s="330"/>
      <c r="BO218" s="330"/>
      <c r="BP218" s="331"/>
      <c r="BQ218" s="332"/>
      <c r="BR218" s="333"/>
    </row>
    <row r="219" spans="2:70" ht="15.75" customHeight="1">
      <c r="B219" s="216" t="s">
        <v>1180</v>
      </c>
      <c r="C219" s="212">
        <v>944385</v>
      </c>
      <c r="D219" s="223">
        <v>28235629000130</v>
      </c>
      <c r="E219" s="217" t="s">
        <v>25</v>
      </c>
      <c r="F219" s="217" t="s">
        <v>958</v>
      </c>
      <c r="G219" s="217" t="s">
        <v>962</v>
      </c>
      <c r="H219" s="218" t="s">
        <v>66</v>
      </c>
      <c r="I219" s="217" t="s">
        <v>1841</v>
      </c>
      <c r="J219" s="217" t="s">
        <v>66</v>
      </c>
      <c r="K219" s="218"/>
      <c r="L219" s="212" t="s">
        <v>87</v>
      </c>
      <c r="M219" s="250"/>
      <c r="N219" s="239">
        <v>43087</v>
      </c>
      <c r="O219" s="210" t="s">
        <v>114</v>
      </c>
      <c r="P219" s="210" t="s">
        <v>1075</v>
      </c>
      <c r="Q219" s="210" t="s">
        <v>1076</v>
      </c>
      <c r="R219" s="210" t="s">
        <v>1084</v>
      </c>
      <c r="S219" s="210" t="s">
        <v>1078</v>
      </c>
      <c r="T219" s="210" t="s">
        <v>1082</v>
      </c>
      <c r="U219" s="210" t="s">
        <v>958</v>
      </c>
      <c r="V219" s="210" t="s">
        <v>25</v>
      </c>
      <c r="W219" s="211" t="s">
        <v>1012</v>
      </c>
      <c r="X219" s="211">
        <v>10000</v>
      </c>
      <c r="Y219" s="211">
        <v>10000</v>
      </c>
      <c r="Z219" s="212">
        <v>10000</v>
      </c>
      <c r="AA219" s="240">
        <v>31</v>
      </c>
      <c r="AB219" s="213">
        <v>1.9E-2</v>
      </c>
      <c r="AC219" s="213">
        <v>0.2</v>
      </c>
      <c r="AD219" s="213" t="s">
        <v>113</v>
      </c>
      <c r="AE219" s="213">
        <v>3.6099999999999999E-3</v>
      </c>
      <c r="AF219" s="241">
        <v>6961689.7400000002</v>
      </c>
      <c r="AG219" s="241">
        <v>6961689.7400000002</v>
      </c>
      <c r="AH219" s="213">
        <v>0.113</v>
      </c>
      <c r="AI219" s="352">
        <v>1.7410000000000001</v>
      </c>
      <c r="AJ219" s="213">
        <v>0.12759999999999999</v>
      </c>
      <c r="AK219" s="352">
        <v>1.3561000000000001</v>
      </c>
      <c r="AL219" s="213">
        <v>0.183</v>
      </c>
      <c r="AM219" s="352">
        <v>1.5149999999999999</v>
      </c>
      <c r="AN219" s="213">
        <v>0.17449999999999999</v>
      </c>
      <c r="AO219" s="352">
        <v>1.0355000000000001</v>
      </c>
      <c r="AP219" s="213">
        <v>3.3399999999999999E-2</v>
      </c>
      <c r="AQ219" s="219">
        <v>0.92035428437417399</v>
      </c>
      <c r="AR219" s="213" t="s">
        <v>1827</v>
      </c>
      <c r="AU219" s="343"/>
      <c r="AV219" s="343"/>
      <c r="AW219" s="328"/>
      <c r="AX219" s="329"/>
      <c r="AY219" s="328"/>
      <c r="AZ219" s="328"/>
      <c r="BA219" s="330"/>
      <c r="BB219" s="328"/>
      <c r="BC219" s="328"/>
      <c r="BD219" s="328"/>
      <c r="BE219" s="330"/>
      <c r="BF219" s="330"/>
      <c r="BG219" s="344"/>
      <c r="BH219" s="330"/>
      <c r="BI219" s="330"/>
      <c r="BJ219" s="330"/>
      <c r="BK219" s="330"/>
      <c r="BL219" s="330"/>
      <c r="BM219" s="330"/>
      <c r="BN219" s="330"/>
      <c r="BO219" s="330"/>
      <c r="BP219" s="331"/>
      <c r="BQ219" s="332"/>
      <c r="BR219" s="333"/>
    </row>
    <row r="220" spans="2:70" ht="15.75" customHeight="1">
      <c r="B220" s="216" t="s">
        <v>1181</v>
      </c>
      <c r="C220" s="212">
        <v>1187747</v>
      </c>
      <c r="D220" s="223">
        <v>17087932000116</v>
      </c>
      <c r="E220" s="217" t="s">
        <v>25</v>
      </c>
      <c r="F220" s="217" t="s">
        <v>958</v>
      </c>
      <c r="G220" s="217" t="s">
        <v>962</v>
      </c>
      <c r="H220" s="218" t="s">
        <v>66</v>
      </c>
      <c r="I220" s="217" t="s">
        <v>1841</v>
      </c>
      <c r="J220" s="217" t="s">
        <v>66</v>
      </c>
      <c r="K220" s="218"/>
      <c r="L220" s="212" t="s">
        <v>87</v>
      </c>
      <c r="M220" s="250"/>
      <c r="N220" s="239">
        <v>41271</v>
      </c>
      <c r="O220" s="210" t="s">
        <v>200</v>
      </c>
      <c r="P220" s="210" t="s">
        <v>1088</v>
      </c>
      <c r="Q220" s="210" t="s">
        <v>1089</v>
      </c>
      <c r="R220" s="210" t="s">
        <v>1084</v>
      </c>
      <c r="S220" s="210" t="s">
        <v>1078</v>
      </c>
      <c r="T220" s="210" t="s">
        <v>1082</v>
      </c>
      <c r="U220" s="210" t="s">
        <v>958</v>
      </c>
      <c r="V220" s="210" t="s">
        <v>25</v>
      </c>
      <c r="W220" s="211" t="s">
        <v>1012</v>
      </c>
      <c r="X220" s="211">
        <v>20000</v>
      </c>
      <c r="Y220" s="211">
        <v>10000</v>
      </c>
      <c r="Z220" s="212">
        <v>20000</v>
      </c>
      <c r="AA220" s="240">
        <v>31</v>
      </c>
      <c r="AB220" s="213">
        <v>1.9E-2</v>
      </c>
      <c r="AC220" s="213">
        <v>0.2</v>
      </c>
      <c r="AD220" s="213" t="s">
        <v>109</v>
      </c>
      <c r="AE220" s="213">
        <v>3.6099999999999999E-3</v>
      </c>
      <c r="AF220" s="241">
        <v>721148390.82000005</v>
      </c>
      <c r="AG220" s="241">
        <v>721148390.82000005</v>
      </c>
      <c r="AH220" s="213">
        <v>0.1137</v>
      </c>
      <c r="AI220" s="352">
        <v>1.7516</v>
      </c>
      <c r="AJ220" s="213">
        <v>0.1288</v>
      </c>
      <c r="AK220" s="352">
        <v>1.3686</v>
      </c>
      <c r="AL220" s="213">
        <v>0.18559999999999999</v>
      </c>
      <c r="AM220" s="352">
        <v>1.5359</v>
      </c>
      <c r="AN220" s="213">
        <v>0.17699999999999999</v>
      </c>
      <c r="AO220" s="352">
        <v>1.0506</v>
      </c>
      <c r="AP220" s="213">
        <v>3.3700000000000001E-2</v>
      </c>
      <c r="AQ220" s="219">
        <v>0.94280363596193462</v>
      </c>
      <c r="AR220" s="213" t="s">
        <v>1827</v>
      </c>
      <c r="AU220" s="343"/>
      <c r="AV220" s="343"/>
      <c r="AW220" s="328"/>
      <c r="AX220" s="329"/>
      <c r="AY220" s="328"/>
      <c r="AZ220" s="328"/>
      <c r="BA220" s="330"/>
      <c r="BB220" s="328"/>
      <c r="BC220" s="328"/>
      <c r="BD220" s="328"/>
      <c r="BE220" s="330"/>
      <c r="BF220" s="330"/>
      <c r="BG220" s="344"/>
      <c r="BH220" s="330"/>
      <c r="BI220" s="330"/>
      <c r="BJ220" s="330"/>
      <c r="BK220" s="330"/>
      <c r="BL220" s="330"/>
      <c r="BM220" s="330"/>
      <c r="BN220" s="330"/>
      <c r="BO220" s="330"/>
      <c r="BP220" s="331"/>
      <c r="BQ220" s="332"/>
      <c r="BR220" s="333"/>
    </row>
    <row r="221" spans="2:70" ht="15.75" customHeight="1">
      <c r="B221" s="216" t="s">
        <v>204</v>
      </c>
      <c r="C221" s="212">
        <v>534913</v>
      </c>
      <c r="D221" s="223">
        <v>8892340000186</v>
      </c>
      <c r="E221" s="217" t="s">
        <v>28</v>
      </c>
      <c r="F221" s="217" t="s">
        <v>950</v>
      </c>
      <c r="G221" s="217"/>
      <c r="H221" s="218"/>
      <c r="I221" s="217" t="s">
        <v>66</v>
      </c>
      <c r="J221" s="217" t="s">
        <v>66</v>
      </c>
      <c r="K221" s="218" t="s">
        <v>951</v>
      </c>
      <c r="L221" s="212" t="s">
        <v>87</v>
      </c>
      <c r="M221" s="250"/>
      <c r="N221" s="239">
        <v>39598</v>
      </c>
      <c r="O221" s="210" t="s">
        <v>200</v>
      </c>
      <c r="P221" s="210" t="s">
        <v>1088</v>
      </c>
      <c r="Q221" s="210" t="s">
        <v>1089</v>
      </c>
      <c r="R221" s="210" t="s">
        <v>1084</v>
      </c>
      <c r="S221" s="210" t="s">
        <v>1085</v>
      </c>
      <c r="T221" s="210" t="s">
        <v>1079</v>
      </c>
      <c r="U221" s="210" t="s">
        <v>950</v>
      </c>
      <c r="V221" s="210" t="s">
        <v>1080</v>
      </c>
      <c r="W221" s="211" t="s">
        <v>1007</v>
      </c>
      <c r="X221" s="211">
        <v>20000</v>
      </c>
      <c r="Y221" s="211">
        <v>10000</v>
      </c>
      <c r="Z221" s="212">
        <v>20000</v>
      </c>
      <c r="AA221" s="240">
        <v>62</v>
      </c>
      <c r="AB221" s="213">
        <v>1.9E-2</v>
      </c>
      <c r="AC221" s="213">
        <v>0.2</v>
      </c>
      <c r="AD221" s="213" t="s">
        <v>1157</v>
      </c>
      <c r="AE221" s="213">
        <v>3.8E-3</v>
      </c>
      <c r="AF221" s="241">
        <v>112196990.08</v>
      </c>
      <c r="AG221" s="241">
        <v>112196990.08</v>
      </c>
      <c r="AH221" s="213">
        <v>-9.5500000000000002E-2</v>
      </c>
      <c r="AI221" s="352">
        <v>-1.4710000000000001</v>
      </c>
      <c r="AJ221" s="213">
        <v>-0.3579</v>
      </c>
      <c r="AK221" s="352">
        <v>-3.8039999999999998</v>
      </c>
      <c r="AL221" s="213">
        <v>-0.21629999999999999</v>
      </c>
      <c r="AM221" s="352">
        <v>-1.7903</v>
      </c>
      <c r="AN221" s="213">
        <v>-0.1525</v>
      </c>
      <c r="AO221" s="352">
        <v>-0.90510000000000002</v>
      </c>
      <c r="AP221" s="213">
        <v>0.26029999999999998</v>
      </c>
      <c r="AQ221" s="219">
        <v>-1.9159122885373965</v>
      </c>
      <c r="AR221" s="213" t="s">
        <v>1824</v>
      </c>
      <c r="AU221" s="343"/>
      <c r="AV221" s="343"/>
      <c r="AW221" s="328"/>
      <c r="AX221" s="329"/>
      <c r="AY221" s="328"/>
      <c r="AZ221" s="328"/>
      <c r="BA221" s="330"/>
      <c r="BB221" s="328"/>
      <c r="BC221" s="328"/>
      <c r="BD221" s="328"/>
      <c r="BE221" s="330"/>
      <c r="BF221" s="330"/>
      <c r="BG221" s="344"/>
      <c r="BH221" s="330"/>
      <c r="BI221" s="330"/>
      <c r="BJ221" s="330"/>
      <c r="BK221" s="330"/>
      <c r="BL221" s="330"/>
      <c r="BM221" s="330"/>
      <c r="BN221" s="330"/>
      <c r="BO221" s="330"/>
      <c r="BP221" s="331"/>
      <c r="BQ221" s="332"/>
      <c r="BR221" s="333"/>
    </row>
    <row r="222" spans="2:70" ht="15.75" customHeight="1">
      <c r="B222" s="216" t="s">
        <v>205</v>
      </c>
      <c r="C222" s="212">
        <v>541342</v>
      </c>
      <c r="D222" s="223">
        <v>9635172000106</v>
      </c>
      <c r="E222" s="217" t="s">
        <v>28</v>
      </c>
      <c r="F222" s="217" t="s">
        <v>950</v>
      </c>
      <c r="G222" s="217"/>
      <c r="H222" s="218"/>
      <c r="I222" s="217" t="s">
        <v>66</v>
      </c>
      <c r="J222" s="217" t="s">
        <v>66</v>
      </c>
      <c r="K222" s="218" t="s">
        <v>951</v>
      </c>
      <c r="L222" s="212" t="s">
        <v>87</v>
      </c>
      <c r="M222" s="250"/>
      <c r="N222" s="239">
        <v>40385</v>
      </c>
      <c r="O222" s="210" t="s">
        <v>200</v>
      </c>
      <c r="P222" s="210" t="s">
        <v>1088</v>
      </c>
      <c r="Q222" s="210" t="s">
        <v>1089</v>
      </c>
      <c r="R222" s="210" t="s">
        <v>1084</v>
      </c>
      <c r="S222" s="210" t="s">
        <v>1078</v>
      </c>
      <c r="T222" s="210" t="s">
        <v>1079</v>
      </c>
      <c r="U222" s="210" t="s">
        <v>950</v>
      </c>
      <c r="V222" s="210" t="s">
        <v>1080</v>
      </c>
      <c r="W222" s="211" t="s">
        <v>1007</v>
      </c>
      <c r="X222" s="211">
        <v>20000</v>
      </c>
      <c r="Y222" s="211">
        <v>10000</v>
      </c>
      <c r="Z222" s="212">
        <v>20000</v>
      </c>
      <c r="AA222" s="240">
        <v>32</v>
      </c>
      <c r="AB222" s="213">
        <v>1.9E-2</v>
      </c>
      <c r="AC222" s="213">
        <v>0.2</v>
      </c>
      <c r="AD222" s="213" t="s">
        <v>1014</v>
      </c>
      <c r="AE222" s="213">
        <v>3.6099999999999999E-3</v>
      </c>
      <c r="AF222" s="241">
        <v>237649414.72999999</v>
      </c>
      <c r="AG222" s="241">
        <v>237649414.72999999</v>
      </c>
      <c r="AH222" s="213">
        <v>-5.7299999999999997E-2</v>
      </c>
      <c r="AI222" s="352">
        <v>-0.88200000000000001</v>
      </c>
      <c r="AJ222" s="213">
        <v>-0.29980000000000001</v>
      </c>
      <c r="AK222" s="352">
        <v>-3.1861999999999999</v>
      </c>
      <c r="AL222" s="213">
        <v>-0.13519999999999999</v>
      </c>
      <c r="AM222" s="352">
        <v>-1.1191</v>
      </c>
      <c r="AN222" s="213">
        <v>-9.5500000000000002E-2</v>
      </c>
      <c r="AO222" s="352">
        <v>-0.56640000000000001</v>
      </c>
      <c r="AP222" s="213">
        <v>0.22370000000000001</v>
      </c>
      <c r="AQ222" s="219">
        <v>-1.8824496216197519</v>
      </c>
      <c r="AR222" s="213" t="s">
        <v>1824</v>
      </c>
      <c r="AU222" s="343"/>
      <c r="AV222" s="343"/>
      <c r="AW222" s="328"/>
      <c r="AX222" s="329"/>
      <c r="AY222" s="328"/>
      <c r="AZ222" s="328"/>
      <c r="BA222" s="330"/>
      <c r="BB222" s="328"/>
      <c r="BC222" s="328"/>
      <c r="BD222" s="328"/>
      <c r="BE222" s="330"/>
      <c r="BF222" s="330"/>
      <c r="BG222" s="344"/>
      <c r="BH222" s="330"/>
      <c r="BI222" s="330"/>
      <c r="BJ222" s="330"/>
      <c r="BK222" s="330"/>
      <c r="BL222" s="330"/>
      <c r="BM222" s="330"/>
      <c r="BN222" s="330"/>
      <c r="BO222" s="330"/>
      <c r="BP222" s="331"/>
      <c r="BQ222" s="332"/>
      <c r="BR222" s="333"/>
    </row>
    <row r="223" spans="2:70" ht="15.75" customHeight="1">
      <c r="B223" s="216" t="s">
        <v>1182</v>
      </c>
      <c r="C223" s="212">
        <v>541344</v>
      </c>
      <c r="D223" s="223">
        <v>24038672000154</v>
      </c>
      <c r="E223" s="217" t="s">
        <v>25</v>
      </c>
      <c r="F223" s="217" t="s">
        <v>958</v>
      </c>
      <c r="G223" s="217" t="s">
        <v>962</v>
      </c>
      <c r="H223" s="218" t="s">
        <v>66</v>
      </c>
      <c r="I223" s="217" t="s">
        <v>1841</v>
      </c>
      <c r="J223" s="217" t="s">
        <v>66</v>
      </c>
      <c r="K223" s="218"/>
      <c r="L223" s="212" t="s">
        <v>87</v>
      </c>
      <c r="M223" s="250"/>
      <c r="N223" s="239">
        <v>42550</v>
      </c>
      <c r="O223" s="210" t="s">
        <v>464</v>
      </c>
      <c r="P223" s="210" t="s">
        <v>1075</v>
      </c>
      <c r="Q223" s="210" t="s">
        <v>1076</v>
      </c>
      <c r="R223" s="210" t="s">
        <v>1084</v>
      </c>
      <c r="S223" s="210" t="s">
        <v>1078</v>
      </c>
      <c r="T223" s="210" t="s">
        <v>1082</v>
      </c>
      <c r="U223" s="210" t="s">
        <v>958</v>
      </c>
      <c r="V223" s="210" t="s">
        <v>25</v>
      </c>
      <c r="W223" s="211" t="s">
        <v>1016</v>
      </c>
      <c r="X223" s="211">
        <v>1000</v>
      </c>
      <c r="Y223" s="211">
        <v>0</v>
      </c>
      <c r="Z223" s="212">
        <v>0</v>
      </c>
      <c r="AA223" s="240">
        <v>32</v>
      </c>
      <c r="AB223" s="213">
        <v>8.0000000000000002E-3</v>
      </c>
      <c r="AC223" s="213">
        <v>0</v>
      </c>
      <c r="AD223" s="213" t="s">
        <v>113</v>
      </c>
      <c r="AE223" s="213">
        <v>2.1333333333333334E-3</v>
      </c>
      <c r="AF223" s="241">
        <v>23276929.18</v>
      </c>
      <c r="AG223" s="241">
        <v>23276929.18</v>
      </c>
      <c r="AH223" s="213">
        <v>5.7500000000000002E-2</v>
      </c>
      <c r="AI223" s="352">
        <v>0.88560000000000005</v>
      </c>
      <c r="AJ223" s="213">
        <v>4.53E-2</v>
      </c>
      <c r="AK223" s="352">
        <v>0.48110000000000003</v>
      </c>
      <c r="AL223" s="213">
        <v>9.9000000000000005E-2</v>
      </c>
      <c r="AM223" s="352">
        <v>0.81950000000000001</v>
      </c>
      <c r="AN223" s="213">
        <v>0.20180000000000001</v>
      </c>
      <c r="AO223" s="352">
        <v>1.1978</v>
      </c>
      <c r="AP223" s="213">
        <v>4.2099999999999999E-2</v>
      </c>
      <c r="AQ223" s="219">
        <v>-1.0626743003262011</v>
      </c>
      <c r="AR223" s="213" t="s">
        <v>1827</v>
      </c>
      <c r="AU223" s="343"/>
      <c r="AV223" s="343"/>
      <c r="AW223" s="328"/>
      <c r="AX223" s="329"/>
      <c r="AY223" s="328"/>
      <c r="AZ223" s="328"/>
      <c r="BA223" s="330"/>
      <c r="BB223" s="328"/>
      <c r="BC223" s="328"/>
      <c r="BD223" s="328"/>
      <c r="BE223" s="330"/>
      <c r="BF223" s="330"/>
      <c r="BG223" s="344"/>
      <c r="BH223" s="330"/>
      <c r="BI223" s="330"/>
      <c r="BJ223" s="330"/>
      <c r="BK223" s="330"/>
      <c r="BL223" s="330"/>
      <c r="BM223" s="330"/>
      <c r="BN223" s="330"/>
      <c r="BO223" s="330"/>
      <c r="BP223" s="331"/>
      <c r="BQ223" s="332"/>
      <c r="BR223" s="333"/>
    </row>
    <row r="224" spans="2:70" ht="15.75" customHeight="1">
      <c r="B224" s="216" t="s">
        <v>206</v>
      </c>
      <c r="C224" s="212">
        <v>1138707</v>
      </c>
      <c r="D224" s="223">
        <v>36499625000197</v>
      </c>
      <c r="E224" s="217" t="s">
        <v>28</v>
      </c>
      <c r="F224" s="217" t="s">
        <v>957</v>
      </c>
      <c r="G224" s="217"/>
      <c r="H224" s="218"/>
      <c r="I224" s="217" t="s">
        <v>1259</v>
      </c>
      <c r="J224" s="217" t="s">
        <v>66</v>
      </c>
      <c r="K224" s="218" t="s">
        <v>951</v>
      </c>
      <c r="L224" s="212" t="s">
        <v>87</v>
      </c>
      <c r="M224" s="250"/>
      <c r="N224" s="239">
        <v>43980</v>
      </c>
      <c r="O224" s="210" t="s">
        <v>207</v>
      </c>
      <c r="P224" s="210" t="s">
        <v>1075</v>
      </c>
      <c r="Q224" s="210" t="s">
        <v>1076</v>
      </c>
      <c r="R224" s="210" t="s">
        <v>1084</v>
      </c>
      <c r="S224" s="210" t="s">
        <v>1078</v>
      </c>
      <c r="T224" s="210" t="s">
        <v>1079</v>
      </c>
      <c r="U224" s="210" t="s">
        <v>957</v>
      </c>
      <c r="V224" s="210" t="s">
        <v>25</v>
      </c>
      <c r="W224" s="211" t="s">
        <v>1016</v>
      </c>
      <c r="X224" s="211">
        <v>500</v>
      </c>
      <c r="Y224" s="211">
        <v>100</v>
      </c>
      <c r="Z224" s="212">
        <v>500</v>
      </c>
      <c r="AA224" s="240">
        <v>16</v>
      </c>
      <c r="AB224" s="213">
        <v>0.02</v>
      </c>
      <c r="AC224" s="213">
        <v>0.2</v>
      </c>
      <c r="AD224" s="213" t="s">
        <v>113</v>
      </c>
      <c r="AE224" s="213">
        <v>4.0000000000000001E-3</v>
      </c>
      <c r="AF224" s="241">
        <v>48582193.689999998</v>
      </c>
      <c r="AG224" s="241">
        <v>48582193.689999998</v>
      </c>
      <c r="AH224" s="213">
        <v>3.7000000000000002E-3</v>
      </c>
      <c r="AI224" s="352">
        <v>5.74E-2</v>
      </c>
      <c r="AJ224" s="213">
        <v>-1.6500000000000001E-2</v>
      </c>
      <c r="AK224" s="352">
        <v>-0.1754</v>
      </c>
      <c r="AL224" s="213">
        <v>0.29099999999999998</v>
      </c>
      <c r="AM224" s="352">
        <v>2.4089999999999998</v>
      </c>
      <c r="AN224" s="213" t="s">
        <v>66</v>
      </c>
      <c r="AO224" s="352" t="s">
        <v>66</v>
      </c>
      <c r="AP224" s="213">
        <v>0.1157</v>
      </c>
      <c r="AQ224" s="219">
        <v>-0.86353790351796467</v>
      </c>
      <c r="AR224" s="213" t="s">
        <v>1827</v>
      </c>
      <c r="AU224" s="343"/>
      <c r="AV224" s="343"/>
      <c r="AW224" s="328"/>
      <c r="AX224" s="329"/>
      <c r="AY224" s="328"/>
      <c r="AZ224" s="328"/>
      <c r="BA224" s="330"/>
      <c r="BB224" s="328"/>
      <c r="BC224" s="328"/>
      <c r="BD224" s="328"/>
      <c r="BE224" s="330"/>
      <c r="BF224" s="330"/>
      <c r="BG224" s="344"/>
      <c r="BH224" s="330"/>
      <c r="BI224" s="330"/>
      <c r="BJ224" s="330"/>
      <c r="BK224" s="330"/>
      <c r="BL224" s="330"/>
      <c r="BM224" s="330"/>
      <c r="BN224" s="330"/>
      <c r="BO224" s="330"/>
      <c r="BP224" s="331"/>
      <c r="BQ224" s="332"/>
      <c r="BR224" s="333"/>
    </row>
    <row r="225" spans="2:70" ht="15.75" customHeight="1">
      <c r="B225" s="216" t="s">
        <v>1183</v>
      </c>
      <c r="C225" s="212">
        <v>1535425</v>
      </c>
      <c r="D225" s="223">
        <v>37569846000157</v>
      </c>
      <c r="E225" s="217" t="s">
        <v>28</v>
      </c>
      <c r="F225" s="217" t="s">
        <v>950</v>
      </c>
      <c r="G225" s="217"/>
      <c r="H225" s="218"/>
      <c r="I225" s="217" t="s">
        <v>66</v>
      </c>
      <c r="J225" s="217" t="s">
        <v>66</v>
      </c>
      <c r="K225" s="218" t="s">
        <v>951</v>
      </c>
      <c r="L225" s="212" t="s">
        <v>87</v>
      </c>
      <c r="M225" s="250"/>
      <c r="N225" s="239">
        <v>44041</v>
      </c>
      <c r="O225" s="210" t="s">
        <v>207</v>
      </c>
      <c r="P225" s="210" t="s">
        <v>1088</v>
      </c>
      <c r="Q225" s="210" t="s">
        <v>1089</v>
      </c>
      <c r="R225" s="210" t="s">
        <v>1084</v>
      </c>
      <c r="S225" s="210" t="s">
        <v>1078</v>
      </c>
      <c r="T225" s="210" t="s">
        <v>1079</v>
      </c>
      <c r="U225" s="210" t="s">
        <v>950</v>
      </c>
      <c r="V225" s="210" t="s">
        <v>1080</v>
      </c>
      <c r="W225" s="211" t="s">
        <v>1007</v>
      </c>
      <c r="X225" s="211">
        <v>500</v>
      </c>
      <c r="Y225" s="211">
        <v>100</v>
      </c>
      <c r="Z225" s="212">
        <v>500</v>
      </c>
      <c r="AA225" s="240">
        <v>16</v>
      </c>
      <c r="AB225" s="213">
        <v>0.02</v>
      </c>
      <c r="AC225" s="213">
        <v>0.2</v>
      </c>
      <c r="AD225" s="213" t="s">
        <v>1014</v>
      </c>
      <c r="AE225" s="213">
        <v>4.0000000000000001E-3</v>
      </c>
      <c r="AF225" s="241">
        <v>26832917.57</v>
      </c>
      <c r="AG225" s="241">
        <v>26832917.57</v>
      </c>
      <c r="AH225" s="213">
        <v>-6.3799999999999996E-2</v>
      </c>
      <c r="AI225" s="352">
        <v>-0.98280000000000001</v>
      </c>
      <c r="AJ225" s="213">
        <v>-0.15429999999999999</v>
      </c>
      <c r="AK225" s="352">
        <v>-1.6395999999999999</v>
      </c>
      <c r="AL225" s="213" t="s">
        <v>66</v>
      </c>
      <c r="AM225" s="352" t="s">
        <v>66</v>
      </c>
      <c r="AN225" s="213" t="s">
        <v>66</v>
      </c>
      <c r="AO225" s="352" t="s">
        <v>66</v>
      </c>
      <c r="AP225" s="213">
        <v>0.19500000000000001</v>
      </c>
      <c r="AQ225" s="219">
        <v>-1.2227384280051763</v>
      </c>
      <c r="AR225" s="213" t="s">
        <v>1824</v>
      </c>
      <c r="AU225" s="343"/>
      <c r="AV225" s="343"/>
      <c r="AW225" s="328"/>
      <c r="AX225" s="329"/>
      <c r="AY225" s="328"/>
      <c r="AZ225" s="328"/>
      <c r="BA225" s="330"/>
      <c r="BB225" s="328"/>
      <c r="BC225" s="328"/>
      <c r="BD225" s="328"/>
      <c r="BE225" s="330"/>
      <c r="BF225" s="330"/>
      <c r="BG225" s="344"/>
      <c r="BH225" s="330"/>
      <c r="BI225" s="330"/>
      <c r="BJ225" s="330"/>
      <c r="BK225" s="330"/>
      <c r="BL225" s="330"/>
      <c r="BM225" s="330"/>
      <c r="BN225" s="330"/>
      <c r="BO225" s="330"/>
      <c r="BP225" s="331"/>
      <c r="BQ225" s="332"/>
      <c r="BR225" s="333"/>
    </row>
    <row r="226" spans="2:70" ht="15.75" customHeight="1">
      <c r="B226" s="216" t="s">
        <v>1184</v>
      </c>
      <c r="C226" s="212">
        <v>1535427</v>
      </c>
      <c r="D226" s="223">
        <v>38110723000116</v>
      </c>
      <c r="E226" s="217" t="s">
        <v>28</v>
      </c>
      <c r="F226" s="217" t="s">
        <v>950</v>
      </c>
      <c r="G226" s="217" t="s">
        <v>1254</v>
      </c>
      <c r="H226" s="218" t="s">
        <v>1260</v>
      </c>
      <c r="I226" s="217" t="s">
        <v>66</v>
      </c>
      <c r="J226" s="217" t="s">
        <v>66</v>
      </c>
      <c r="K226" s="218" t="s">
        <v>1040</v>
      </c>
      <c r="L226" s="212"/>
      <c r="M226" s="250"/>
      <c r="N226" s="239">
        <v>44105</v>
      </c>
      <c r="O226" s="210" t="s">
        <v>208</v>
      </c>
      <c r="P226" s="210" t="s">
        <v>208</v>
      </c>
      <c r="Q226" s="210" t="s">
        <v>1185</v>
      </c>
      <c r="R226" s="210" t="s">
        <v>1084</v>
      </c>
      <c r="S226" s="210" t="s">
        <v>1078</v>
      </c>
      <c r="T226" s="210" t="s">
        <v>1079</v>
      </c>
      <c r="U226" s="210" t="s">
        <v>65</v>
      </c>
      <c r="V226" s="210" t="s">
        <v>1080</v>
      </c>
      <c r="W226" s="211" t="s">
        <v>1044</v>
      </c>
      <c r="X226" s="211">
        <v>200</v>
      </c>
      <c r="Y226" s="211">
        <v>200</v>
      </c>
      <c r="Z226" s="212">
        <v>200</v>
      </c>
      <c r="AA226" s="240">
        <v>3</v>
      </c>
      <c r="AB226" s="213">
        <v>0.01</v>
      </c>
      <c r="AC226" s="213">
        <v>0.2</v>
      </c>
      <c r="AD226" s="213" t="s">
        <v>1157</v>
      </c>
      <c r="AE226" s="213">
        <v>3.333E-3</v>
      </c>
      <c r="AF226" s="241">
        <v>1611128.8</v>
      </c>
      <c r="AG226" s="241">
        <v>1611128.8</v>
      </c>
      <c r="AH226" s="213">
        <v>-0.1172</v>
      </c>
      <c r="AI226" s="352">
        <v>-1.8048</v>
      </c>
      <c r="AJ226" s="213">
        <v>-0.1426</v>
      </c>
      <c r="AK226" s="352">
        <v>-1.5158</v>
      </c>
      <c r="AL226" s="213" t="s">
        <v>66</v>
      </c>
      <c r="AM226" s="352" t="s">
        <v>66</v>
      </c>
      <c r="AN226" s="213" t="s">
        <v>66</v>
      </c>
      <c r="AO226" s="352" t="s">
        <v>66</v>
      </c>
      <c r="AP226" s="213">
        <v>0.21410000000000001</v>
      </c>
      <c r="AQ226" s="219">
        <v>-1.0319020506628218</v>
      </c>
      <c r="AR226" s="213" t="s">
        <v>1824</v>
      </c>
      <c r="AU226" s="343"/>
      <c r="AV226" s="343"/>
      <c r="AW226" s="328"/>
      <c r="AX226" s="329"/>
      <c r="AY226" s="328"/>
      <c r="AZ226" s="328"/>
      <c r="BA226" s="330"/>
      <c r="BB226" s="328"/>
      <c r="BC226" s="328"/>
      <c r="BD226" s="328"/>
      <c r="BE226" s="330"/>
      <c r="BF226" s="330"/>
      <c r="BG226" s="344"/>
      <c r="BH226" s="330"/>
      <c r="BI226" s="330"/>
      <c r="BJ226" s="330"/>
      <c r="BK226" s="330"/>
      <c r="BL226" s="330"/>
      <c r="BM226" s="330"/>
      <c r="BN226" s="330"/>
      <c r="BO226" s="330"/>
      <c r="BP226" s="331"/>
      <c r="BQ226" s="332"/>
      <c r="BR226" s="333"/>
    </row>
    <row r="227" spans="2:70" ht="15.75" customHeight="1">
      <c r="B227" s="216" t="s">
        <v>1186</v>
      </c>
      <c r="C227" s="212">
        <v>1191911</v>
      </c>
      <c r="D227" s="223">
        <v>33824951000134</v>
      </c>
      <c r="E227" s="217" t="s">
        <v>28</v>
      </c>
      <c r="F227" s="217" t="s">
        <v>950</v>
      </c>
      <c r="G227" s="217"/>
      <c r="H227" s="218"/>
      <c r="I227" s="217" t="s">
        <v>66</v>
      </c>
      <c r="J227" s="217" t="s">
        <v>66</v>
      </c>
      <c r="K227" s="218" t="s">
        <v>951</v>
      </c>
      <c r="L227" s="212" t="s">
        <v>87</v>
      </c>
      <c r="M227" s="250"/>
      <c r="N227" s="239">
        <v>43699</v>
      </c>
      <c r="O227" s="210" t="s">
        <v>208</v>
      </c>
      <c r="P227" s="210" t="s">
        <v>208</v>
      </c>
      <c r="Q227" s="210" t="s">
        <v>1185</v>
      </c>
      <c r="R227" s="210" t="s">
        <v>1084</v>
      </c>
      <c r="S227" s="210" t="s">
        <v>1078</v>
      </c>
      <c r="T227" s="210" t="s">
        <v>1079</v>
      </c>
      <c r="U227" s="210" t="s">
        <v>950</v>
      </c>
      <c r="V227" s="210" t="s">
        <v>1080</v>
      </c>
      <c r="W227" s="211" t="s">
        <v>1007</v>
      </c>
      <c r="X227" s="211">
        <v>200</v>
      </c>
      <c r="Y227" s="211">
        <v>200</v>
      </c>
      <c r="Z227" s="212">
        <v>200</v>
      </c>
      <c r="AA227" s="240">
        <v>3</v>
      </c>
      <c r="AB227" s="213">
        <v>1.4999999999999999E-2</v>
      </c>
      <c r="AC227" s="213">
        <v>0.2</v>
      </c>
      <c r="AD227" s="213" t="s">
        <v>1014</v>
      </c>
      <c r="AE227" s="213">
        <v>4.9994999999999996E-3</v>
      </c>
      <c r="AF227" s="241">
        <v>2007644.87</v>
      </c>
      <c r="AG227" s="241">
        <v>2007644.87</v>
      </c>
      <c r="AH227" s="213">
        <v>-6.2E-2</v>
      </c>
      <c r="AI227" s="352">
        <v>-0.95430000000000004</v>
      </c>
      <c r="AJ227" s="213">
        <v>-0.25719999999999998</v>
      </c>
      <c r="AK227" s="352">
        <v>-2.7341000000000002</v>
      </c>
      <c r="AL227" s="213">
        <v>-0.1124</v>
      </c>
      <c r="AM227" s="352">
        <v>-0.93030000000000002</v>
      </c>
      <c r="AN227" s="213" t="s">
        <v>66</v>
      </c>
      <c r="AO227" s="352" t="s">
        <v>66</v>
      </c>
      <c r="AP227" s="213">
        <v>0.18759999999999999</v>
      </c>
      <c r="AQ227" s="219">
        <v>-1.9695442592626573</v>
      </c>
      <c r="AR227" s="213" t="s">
        <v>1827</v>
      </c>
      <c r="AU227" s="343"/>
      <c r="AV227" s="343"/>
      <c r="AW227" s="328"/>
      <c r="AX227" s="329"/>
      <c r="AY227" s="328"/>
      <c r="AZ227" s="328"/>
      <c r="BA227" s="330"/>
      <c r="BB227" s="328"/>
      <c r="BC227" s="328"/>
      <c r="BD227" s="328"/>
      <c r="BE227" s="330"/>
      <c r="BF227" s="330"/>
      <c r="BG227" s="344"/>
      <c r="BH227" s="330"/>
      <c r="BI227" s="330"/>
      <c r="BJ227" s="330"/>
      <c r="BK227" s="330"/>
      <c r="BL227" s="330"/>
      <c r="BM227" s="330"/>
      <c r="BN227" s="330"/>
      <c r="BO227" s="330"/>
      <c r="BP227" s="331"/>
      <c r="BQ227" s="332"/>
      <c r="BR227" s="333"/>
    </row>
    <row r="228" spans="2:70" ht="15.75" customHeight="1">
      <c r="B228" s="216" t="s">
        <v>1187</v>
      </c>
      <c r="C228" s="212">
        <v>1167576</v>
      </c>
      <c r="D228" s="223">
        <v>39293641000117</v>
      </c>
      <c r="E228" s="217" t="s">
        <v>28</v>
      </c>
      <c r="F228" s="217" t="s">
        <v>950</v>
      </c>
      <c r="G228" s="217" t="s">
        <v>1254</v>
      </c>
      <c r="H228" s="218"/>
      <c r="I228" s="217" t="s">
        <v>66</v>
      </c>
      <c r="J228" s="217" t="s">
        <v>66</v>
      </c>
      <c r="K228" s="218" t="s">
        <v>954</v>
      </c>
      <c r="L228" s="212"/>
      <c r="M228" s="250"/>
      <c r="N228" s="239">
        <v>44193</v>
      </c>
      <c r="O228" s="210" t="s">
        <v>208</v>
      </c>
      <c r="P228" s="210" t="s">
        <v>208</v>
      </c>
      <c r="Q228" s="210" t="s">
        <v>1185</v>
      </c>
      <c r="R228" s="210" t="s">
        <v>1077</v>
      </c>
      <c r="S228" s="210" t="s">
        <v>1078</v>
      </c>
      <c r="T228" s="210" t="s">
        <v>1079</v>
      </c>
      <c r="U228" s="210" t="s">
        <v>65</v>
      </c>
      <c r="V228" s="210" t="s">
        <v>1080</v>
      </c>
      <c r="W228" s="211" t="s">
        <v>1036</v>
      </c>
      <c r="X228" s="211">
        <v>1000</v>
      </c>
      <c r="Y228" s="211">
        <v>1000</v>
      </c>
      <c r="Z228" s="212">
        <v>1000</v>
      </c>
      <c r="AA228" s="240">
        <v>5</v>
      </c>
      <c r="AB228" s="213">
        <v>5.0000000000000001E-3</v>
      </c>
      <c r="AC228" s="213">
        <v>0</v>
      </c>
      <c r="AD228" s="213" t="s">
        <v>1157</v>
      </c>
      <c r="AE228" s="213">
        <v>1.6665E-3</v>
      </c>
      <c r="AF228" s="241">
        <v>6796516.5899999999</v>
      </c>
      <c r="AG228" s="241">
        <v>6796516.5899999999</v>
      </c>
      <c r="AH228" s="213">
        <v>-0.2044</v>
      </c>
      <c r="AI228" s="352">
        <v>-3.1482999999999999</v>
      </c>
      <c r="AJ228" s="213">
        <v>-6.5799999999999997E-2</v>
      </c>
      <c r="AK228" s="352">
        <v>-0.69989999999999997</v>
      </c>
      <c r="AL228" s="213" t="s">
        <v>66</v>
      </c>
      <c r="AM228" s="352" t="s">
        <v>66</v>
      </c>
      <c r="AN228" s="213" t="s">
        <v>66</v>
      </c>
      <c r="AO228" s="352" t="s">
        <v>66</v>
      </c>
      <c r="AP228" s="213">
        <v>0.1943</v>
      </c>
      <c r="AQ228" s="219">
        <v>-0.71666991734312302</v>
      </c>
      <c r="AR228" s="213" t="s">
        <v>1827</v>
      </c>
      <c r="AU228" s="343"/>
      <c r="AV228" s="343"/>
      <c r="AW228" s="328"/>
      <c r="AX228" s="329"/>
      <c r="AY228" s="328"/>
      <c r="AZ228" s="328"/>
      <c r="BA228" s="330"/>
      <c r="BB228" s="328"/>
      <c r="BC228" s="328"/>
      <c r="BD228" s="328"/>
      <c r="BE228" s="330"/>
      <c r="BF228" s="330"/>
      <c r="BG228" s="344"/>
      <c r="BH228" s="330"/>
      <c r="BI228" s="330"/>
      <c r="BJ228" s="330"/>
      <c r="BK228" s="330"/>
      <c r="BL228" s="330"/>
      <c r="BM228" s="330"/>
      <c r="BN228" s="330"/>
      <c r="BO228" s="330"/>
      <c r="BP228" s="331"/>
      <c r="BQ228" s="332"/>
      <c r="BR228" s="333"/>
    </row>
    <row r="229" spans="2:70" ht="15.75" customHeight="1">
      <c r="B229" s="216" t="s">
        <v>1188</v>
      </c>
      <c r="C229" s="212">
        <v>1299127</v>
      </c>
      <c r="D229" s="223">
        <v>41755418000196</v>
      </c>
      <c r="E229" s="217" t="s">
        <v>28</v>
      </c>
      <c r="F229" s="217" t="s">
        <v>950</v>
      </c>
      <c r="G229" s="217"/>
      <c r="H229" s="218"/>
      <c r="I229" s="217" t="s">
        <v>66</v>
      </c>
      <c r="J229" s="217" t="s">
        <v>66</v>
      </c>
      <c r="K229" s="218" t="s">
        <v>954</v>
      </c>
      <c r="L229" s="212"/>
      <c r="M229" s="250"/>
      <c r="N229" s="239">
        <v>44453</v>
      </c>
      <c r="O229" s="210" t="s">
        <v>208</v>
      </c>
      <c r="P229" s="210" t="s">
        <v>208</v>
      </c>
      <c r="Q229" s="210" t="s">
        <v>1185</v>
      </c>
      <c r="R229" s="210" t="s">
        <v>1077</v>
      </c>
      <c r="S229" s="210" t="s">
        <v>1078</v>
      </c>
      <c r="T229" s="210" t="s">
        <v>1079</v>
      </c>
      <c r="U229" s="210" t="s">
        <v>65</v>
      </c>
      <c r="V229" s="210" t="s">
        <v>1080</v>
      </c>
      <c r="W229" s="211" t="s">
        <v>1036</v>
      </c>
      <c r="X229" s="211">
        <v>1000</v>
      </c>
      <c r="Y229" s="211">
        <v>1000</v>
      </c>
      <c r="Z229" s="212">
        <v>1000</v>
      </c>
      <c r="AA229" s="240">
        <v>5</v>
      </c>
      <c r="AB229" s="213">
        <v>5.0000000000000001E-3</v>
      </c>
      <c r="AC229" s="213">
        <v>0</v>
      </c>
      <c r="AD229" s="213" t="s">
        <v>1157</v>
      </c>
      <c r="AE229" s="213">
        <v>1.6666666666666666E-3</v>
      </c>
      <c r="AF229" s="241">
        <v>2516628.4900000002</v>
      </c>
      <c r="AG229" s="241">
        <v>2516628.4900000002</v>
      </c>
      <c r="AH229" s="213">
        <v>-0.32069999999999999</v>
      </c>
      <c r="AI229" s="352">
        <v>-4.9397000000000002</v>
      </c>
      <c r="AJ229" s="213" t="s">
        <v>66</v>
      </c>
      <c r="AK229" s="352" t="s">
        <v>66</v>
      </c>
      <c r="AL229" s="213" t="s">
        <v>66</v>
      </c>
      <c r="AM229" s="352" t="s">
        <v>66</v>
      </c>
      <c r="AN229" s="213" t="s">
        <v>66</v>
      </c>
      <c r="AO229" s="352" t="s">
        <v>66</v>
      </c>
      <c r="AP229" s="213" t="s">
        <v>66</v>
      </c>
      <c r="AQ229" s="219" t="s">
        <v>66</v>
      </c>
      <c r="AR229" s="213" t="s">
        <v>1827</v>
      </c>
      <c r="AU229" s="343"/>
      <c r="AV229" s="343"/>
      <c r="AW229" s="328"/>
      <c r="AX229" s="329"/>
      <c r="AY229" s="328"/>
      <c r="AZ229" s="328"/>
      <c r="BA229" s="330"/>
      <c r="BB229" s="328"/>
      <c r="BC229" s="328"/>
      <c r="BD229" s="328"/>
      <c r="BE229" s="330"/>
      <c r="BF229" s="330"/>
      <c r="BG229" s="344"/>
      <c r="BH229" s="383"/>
      <c r="BI229" s="330"/>
      <c r="BJ229" s="330"/>
      <c r="BK229" s="330"/>
      <c r="BL229" s="330"/>
      <c r="BM229" s="330"/>
      <c r="BN229" s="330"/>
      <c r="BO229" s="330"/>
      <c r="BP229" s="331"/>
      <c r="BQ229" s="332"/>
      <c r="BR229" s="333"/>
    </row>
    <row r="230" spans="2:70" ht="15.75" customHeight="1">
      <c r="B230" s="216" t="s">
        <v>1189</v>
      </c>
      <c r="C230" s="212">
        <v>2931957</v>
      </c>
      <c r="D230" s="223">
        <v>43617048000156</v>
      </c>
      <c r="E230" s="217" t="s">
        <v>28</v>
      </c>
      <c r="F230" s="217" t="s">
        <v>950</v>
      </c>
      <c r="G230" s="217"/>
      <c r="H230" s="218"/>
      <c r="I230" s="217" t="s">
        <v>66</v>
      </c>
      <c r="J230" s="217" t="s">
        <v>66</v>
      </c>
      <c r="K230" s="218" t="s">
        <v>951</v>
      </c>
      <c r="L230" s="212" t="s">
        <v>87</v>
      </c>
      <c r="M230" s="250"/>
      <c r="N230" s="239">
        <v>44498</v>
      </c>
      <c r="O230" s="210" t="s">
        <v>208</v>
      </c>
      <c r="P230" s="210" t="s">
        <v>208</v>
      </c>
      <c r="Q230" s="210" t="s">
        <v>1185</v>
      </c>
      <c r="R230" s="210" t="s">
        <v>1084</v>
      </c>
      <c r="S230" s="210" t="s">
        <v>1078</v>
      </c>
      <c r="T230" s="210" t="s">
        <v>1079</v>
      </c>
      <c r="U230" s="210" t="s">
        <v>950</v>
      </c>
      <c r="V230" s="210" t="s">
        <v>1080</v>
      </c>
      <c r="W230" s="211" t="s">
        <v>1007</v>
      </c>
      <c r="X230" s="211">
        <v>200</v>
      </c>
      <c r="Y230" s="211">
        <v>200</v>
      </c>
      <c r="Z230" s="212">
        <v>200</v>
      </c>
      <c r="AA230" s="240">
        <v>3</v>
      </c>
      <c r="AB230" s="213">
        <v>0.01</v>
      </c>
      <c r="AC230" s="213">
        <v>0</v>
      </c>
      <c r="AD230" s="213" t="s">
        <v>1157</v>
      </c>
      <c r="AE230" s="213">
        <v>3.3333333333333331E-3</v>
      </c>
      <c r="AF230" s="241">
        <v>4694391.66</v>
      </c>
      <c r="AG230" s="241">
        <v>4694391.66</v>
      </c>
      <c r="AH230" s="213">
        <v>-4.0800000000000003E-2</v>
      </c>
      <c r="AI230" s="352">
        <v>-0.629</v>
      </c>
      <c r="AJ230" s="213" t="s">
        <v>66</v>
      </c>
      <c r="AK230" s="352" t="s">
        <v>66</v>
      </c>
      <c r="AL230" s="213" t="s">
        <v>66</v>
      </c>
      <c r="AM230" s="352" t="s">
        <v>66</v>
      </c>
      <c r="AN230" s="213" t="s">
        <v>66</v>
      </c>
      <c r="AO230" s="352" t="s">
        <v>66</v>
      </c>
      <c r="AP230" s="213" t="s">
        <v>66</v>
      </c>
      <c r="AQ230" s="219" t="s">
        <v>66</v>
      </c>
      <c r="AR230" s="213" t="s">
        <v>1824</v>
      </c>
      <c r="AU230" s="343"/>
      <c r="AV230" s="343"/>
      <c r="AW230" s="328"/>
      <c r="AX230" s="329"/>
      <c r="AY230" s="328"/>
      <c r="AZ230" s="328"/>
      <c r="BA230" s="330"/>
      <c r="BB230" s="328"/>
      <c r="BC230" s="328"/>
      <c r="BD230" s="328"/>
      <c r="BE230" s="330"/>
      <c r="BF230" s="330"/>
      <c r="BG230" s="344"/>
      <c r="BH230" s="330"/>
      <c r="BI230" s="330"/>
      <c r="BJ230" s="330"/>
      <c r="BK230" s="330"/>
      <c r="BL230" s="330"/>
      <c r="BM230" s="330"/>
      <c r="BN230" s="330"/>
      <c r="BO230" s="330"/>
      <c r="BP230" s="331"/>
      <c r="BQ230" s="332"/>
      <c r="BR230" s="333"/>
    </row>
    <row r="231" spans="2:70" ht="15.75" customHeight="1">
      <c r="B231" s="216" t="s">
        <v>1742</v>
      </c>
      <c r="C231" s="212">
        <v>4300012</v>
      </c>
      <c r="D231" s="223">
        <v>44315932000107</v>
      </c>
      <c r="E231" s="217" t="s">
        <v>19</v>
      </c>
      <c r="F231" s="217" t="s">
        <v>963</v>
      </c>
      <c r="G231" s="217" t="s">
        <v>962</v>
      </c>
      <c r="H231" s="218" t="s">
        <v>1113</v>
      </c>
      <c r="I231" s="217" t="s">
        <v>66</v>
      </c>
      <c r="J231" s="217"/>
      <c r="K231" s="218" t="s">
        <v>951</v>
      </c>
      <c r="L231" s="212" t="s">
        <v>87</v>
      </c>
      <c r="M231" s="250"/>
      <c r="N231" s="239">
        <v>44651</v>
      </c>
      <c r="O231" s="210" t="s">
        <v>1743</v>
      </c>
      <c r="P231" s="210" t="s">
        <v>1743</v>
      </c>
      <c r="Q231" s="210" t="s">
        <v>1744</v>
      </c>
      <c r="R231" s="210" t="s">
        <v>1745</v>
      </c>
      <c r="S231" s="210" t="s">
        <v>1078</v>
      </c>
      <c r="T231" s="210" t="s">
        <v>349</v>
      </c>
      <c r="U231" s="210" t="s">
        <v>1078</v>
      </c>
      <c r="V231" s="210" t="s">
        <v>1746</v>
      </c>
      <c r="W231" s="211" t="s">
        <v>1747</v>
      </c>
      <c r="X231" s="211">
        <v>200</v>
      </c>
      <c r="Y231" s="211">
        <v>200</v>
      </c>
      <c r="Z231" s="212">
        <v>200</v>
      </c>
      <c r="AA231" s="240">
        <v>10</v>
      </c>
      <c r="AB231" s="213">
        <v>8.9999999999999993E-3</v>
      </c>
      <c r="AC231" s="213">
        <v>0.2</v>
      </c>
      <c r="AD231" s="213" t="s">
        <v>109</v>
      </c>
      <c r="AE231" s="213">
        <v>2.9999999999999996E-3</v>
      </c>
      <c r="AF231" s="241">
        <v>5223912.8099999996</v>
      </c>
      <c r="AG231" s="241">
        <v>5223912.8099999996</v>
      </c>
      <c r="AH231" s="213" t="s">
        <v>66</v>
      </c>
      <c r="AI231" s="352" t="s">
        <v>66</v>
      </c>
      <c r="AJ231" s="213" t="s">
        <v>66</v>
      </c>
      <c r="AK231" s="352" t="s">
        <v>66</v>
      </c>
      <c r="AL231" s="213" t="s">
        <v>66</v>
      </c>
      <c r="AM231" s="352" t="s">
        <v>66</v>
      </c>
      <c r="AN231" s="213" t="s">
        <v>66</v>
      </c>
      <c r="AO231" s="352" t="s">
        <v>66</v>
      </c>
      <c r="AP231" s="213" t="s">
        <v>66</v>
      </c>
      <c r="AQ231" s="219" t="s">
        <v>66</v>
      </c>
      <c r="AR231" s="213" t="s">
        <v>1824</v>
      </c>
      <c r="AU231" s="343"/>
      <c r="AV231" s="343"/>
      <c r="AW231" s="328"/>
      <c r="AX231" s="329"/>
      <c r="AY231" s="328"/>
      <c r="AZ231" s="328"/>
      <c r="BA231" s="330"/>
      <c r="BB231" s="328"/>
      <c r="BC231" s="328"/>
      <c r="BD231" s="328"/>
      <c r="BE231" s="330"/>
      <c r="BF231" s="330"/>
      <c r="BG231" s="344"/>
      <c r="BH231" s="330"/>
      <c r="BI231" s="330"/>
      <c r="BJ231" s="330"/>
      <c r="BK231" s="330"/>
      <c r="BL231" s="330"/>
      <c r="BM231" s="330"/>
      <c r="BN231" s="330"/>
      <c r="BO231" s="330"/>
      <c r="BP231" s="331"/>
      <c r="BQ231" s="332"/>
      <c r="BR231" s="333"/>
    </row>
    <row r="232" spans="2:70" ht="15.75" customHeight="1">
      <c r="B232" s="216" t="s">
        <v>1748</v>
      </c>
      <c r="C232" s="212">
        <v>4300004</v>
      </c>
      <c r="D232" s="223">
        <v>45081757000195</v>
      </c>
      <c r="E232" s="217" t="s">
        <v>19</v>
      </c>
      <c r="F232" s="217" t="s">
        <v>963</v>
      </c>
      <c r="G232" s="217" t="s">
        <v>962</v>
      </c>
      <c r="H232" s="218" t="s">
        <v>1113</v>
      </c>
      <c r="I232" s="217" t="s">
        <v>66</v>
      </c>
      <c r="J232" s="217"/>
      <c r="K232" s="218" t="s">
        <v>951</v>
      </c>
      <c r="L232" s="212" t="s">
        <v>87</v>
      </c>
      <c r="M232" s="250"/>
      <c r="N232" s="239">
        <v>44694</v>
      </c>
      <c r="O232" s="210" t="s">
        <v>1743</v>
      </c>
      <c r="P232" s="210" t="s">
        <v>1743</v>
      </c>
      <c r="Q232" s="210" t="s">
        <v>1744</v>
      </c>
      <c r="R232" s="210" t="s">
        <v>1745</v>
      </c>
      <c r="S232" s="210" t="s">
        <v>1078</v>
      </c>
      <c r="T232" s="210" t="s">
        <v>349</v>
      </c>
      <c r="U232" s="210" t="s">
        <v>1749</v>
      </c>
      <c r="V232" s="210" t="s">
        <v>1746</v>
      </c>
      <c r="W232" s="211" t="s">
        <v>1897</v>
      </c>
      <c r="X232" s="211">
        <v>200</v>
      </c>
      <c r="Y232" s="211">
        <v>200</v>
      </c>
      <c r="Z232" s="212">
        <v>200</v>
      </c>
      <c r="AA232" s="240">
        <v>10</v>
      </c>
      <c r="AB232" s="213">
        <v>5.0000000000000001E-3</v>
      </c>
      <c r="AC232" s="213">
        <v>0.2</v>
      </c>
      <c r="AD232" s="213" t="s">
        <v>109</v>
      </c>
      <c r="AE232" s="213">
        <v>1.6666666666666666E-3</v>
      </c>
      <c r="AF232" s="241">
        <v>5161610.3</v>
      </c>
      <c r="AG232" s="241">
        <v>5161610.3</v>
      </c>
      <c r="AH232" s="213" t="s">
        <v>66</v>
      </c>
      <c r="AI232" s="352" t="s">
        <v>66</v>
      </c>
      <c r="AJ232" s="213" t="s">
        <v>66</v>
      </c>
      <c r="AK232" s="352" t="s">
        <v>66</v>
      </c>
      <c r="AL232" s="213" t="s">
        <v>66</v>
      </c>
      <c r="AM232" s="352" t="s">
        <v>66</v>
      </c>
      <c r="AN232" s="213" t="s">
        <v>66</v>
      </c>
      <c r="AO232" s="352" t="s">
        <v>66</v>
      </c>
      <c r="AP232" s="213" t="s">
        <v>66</v>
      </c>
      <c r="AQ232" s="219" t="s">
        <v>66</v>
      </c>
      <c r="AR232" s="213" t="s">
        <v>1827</v>
      </c>
      <c r="AU232" s="343"/>
      <c r="AV232" s="343"/>
      <c r="AW232" s="328"/>
      <c r="AX232" s="329"/>
      <c r="AY232" s="328"/>
      <c r="AZ232" s="328"/>
      <c r="BA232" s="330"/>
      <c r="BB232" s="328"/>
      <c r="BC232" s="328"/>
      <c r="BD232" s="328"/>
      <c r="BE232" s="330"/>
      <c r="BF232" s="330"/>
      <c r="BG232" s="344"/>
      <c r="BH232" s="330"/>
      <c r="BI232" s="330"/>
      <c r="BJ232" s="330"/>
      <c r="BK232" s="330"/>
      <c r="BL232" s="330"/>
      <c r="BM232" s="330"/>
      <c r="BN232" s="330"/>
      <c r="BO232" s="330"/>
      <c r="BP232" s="331"/>
      <c r="BQ232" s="332"/>
      <c r="BR232" s="333"/>
    </row>
    <row r="233" spans="2:70" ht="15.75" customHeight="1">
      <c r="B233" s="216" t="s">
        <v>1911</v>
      </c>
      <c r="C233" s="212">
        <v>2970861</v>
      </c>
      <c r="D233" s="223">
        <v>33824969000136</v>
      </c>
      <c r="E233" s="217" t="s">
        <v>25</v>
      </c>
      <c r="F233" s="217" t="s">
        <v>958</v>
      </c>
      <c r="G233" s="217" t="s">
        <v>962</v>
      </c>
      <c r="H233" s="218" t="s">
        <v>66</v>
      </c>
      <c r="I233" s="217" t="s">
        <v>1841</v>
      </c>
      <c r="J233" s="217" t="s">
        <v>66</v>
      </c>
      <c r="K233" s="218"/>
      <c r="L233" s="212" t="s">
        <v>87</v>
      </c>
      <c r="M233" s="250"/>
      <c r="N233" s="239">
        <v>43699</v>
      </c>
      <c r="O233" s="210" t="s">
        <v>208</v>
      </c>
      <c r="P233" s="210" t="s">
        <v>208</v>
      </c>
      <c r="Q233" s="210" t="s">
        <v>1185</v>
      </c>
      <c r="R233" s="210" t="s">
        <v>1084</v>
      </c>
      <c r="S233" s="210" t="s">
        <v>1078</v>
      </c>
      <c r="T233" s="210" t="s">
        <v>1082</v>
      </c>
      <c r="U233" s="210" t="s">
        <v>958</v>
      </c>
      <c r="V233" s="210" t="s">
        <v>25</v>
      </c>
      <c r="W233" s="211" t="s">
        <v>1016</v>
      </c>
      <c r="X233" s="211">
        <v>200</v>
      </c>
      <c r="Y233" s="211">
        <v>100</v>
      </c>
      <c r="Z233" s="212">
        <v>200</v>
      </c>
      <c r="AA233" s="240">
        <v>4</v>
      </c>
      <c r="AB233" s="213">
        <v>0.01</v>
      </c>
      <c r="AC233" s="213">
        <v>0</v>
      </c>
      <c r="AD233" s="213" t="s">
        <v>109</v>
      </c>
      <c r="AE233" s="213">
        <v>3.3333333333333331E-3</v>
      </c>
      <c r="AF233" s="241">
        <v>1653631.14</v>
      </c>
      <c r="AG233" s="241">
        <v>1653631.14</v>
      </c>
      <c r="AH233" s="213">
        <v>5.3600000000000002E-2</v>
      </c>
      <c r="AI233" s="352">
        <v>0.82599999999999996</v>
      </c>
      <c r="AJ233" s="213">
        <v>4.3400000000000001E-2</v>
      </c>
      <c r="AK233" s="352">
        <v>0.46079999999999999</v>
      </c>
      <c r="AL233" s="213">
        <v>8.2199999999999995E-2</v>
      </c>
      <c r="AM233" s="352">
        <v>0.68010000000000004</v>
      </c>
      <c r="AN233" s="213" t="s">
        <v>66</v>
      </c>
      <c r="AO233" s="352" t="s">
        <v>66</v>
      </c>
      <c r="AP233" s="213">
        <v>3.61E-2</v>
      </c>
      <c r="AQ233" s="219">
        <v>-1.2979122699760162</v>
      </c>
      <c r="AR233" s="213" t="s">
        <v>1827</v>
      </c>
      <c r="AU233" s="343"/>
      <c r="AV233" s="343"/>
      <c r="AW233" s="328"/>
      <c r="AX233" s="329"/>
      <c r="AY233" s="328"/>
      <c r="AZ233" s="328"/>
      <c r="BA233" s="330"/>
      <c r="BB233" s="328"/>
      <c r="BC233" s="328"/>
      <c r="BD233" s="328"/>
      <c r="BE233" s="330"/>
      <c r="BF233" s="330"/>
      <c r="BG233" s="344"/>
      <c r="BH233" s="330"/>
      <c r="BI233" s="330"/>
      <c r="BJ233" s="330"/>
      <c r="BK233" s="330"/>
      <c r="BL233" s="330"/>
      <c r="BM233" s="330"/>
      <c r="BN233" s="330"/>
      <c r="BO233" s="330"/>
      <c r="BP233" s="331"/>
      <c r="BQ233" s="332"/>
      <c r="BR233" s="333"/>
    </row>
    <row r="234" spans="2:70" ht="15.75" customHeight="1">
      <c r="B234" s="216" t="s">
        <v>1190</v>
      </c>
      <c r="C234" s="212">
        <v>4300012</v>
      </c>
      <c r="D234" s="223">
        <v>39293607000142</v>
      </c>
      <c r="E234" s="217" t="s">
        <v>25</v>
      </c>
      <c r="F234" s="217" t="s">
        <v>959</v>
      </c>
      <c r="G234" s="217" t="s">
        <v>960</v>
      </c>
      <c r="H234" s="218" t="s">
        <v>66</v>
      </c>
      <c r="I234" s="217" t="s">
        <v>1842</v>
      </c>
      <c r="J234" s="217" t="s">
        <v>66</v>
      </c>
      <c r="K234" s="218" t="s">
        <v>951</v>
      </c>
      <c r="L234" s="212" t="s">
        <v>87</v>
      </c>
      <c r="M234" s="250"/>
      <c r="N234" s="239">
        <v>44193</v>
      </c>
      <c r="O234" s="210" t="s">
        <v>208</v>
      </c>
      <c r="P234" s="210" t="s">
        <v>208</v>
      </c>
      <c r="Q234" s="210" t="s">
        <v>1185</v>
      </c>
      <c r="R234" s="210" t="s">
        <v>1077</v>
      </c>
      <c r="S234" s="210" t="s">
        <v>1078</v>
      </c>
      <c r="T234" s="210" t="s">
        <v>1082</v>
      </c>
      <c r="U234" s="210" t="s">
        <v>65</v>
      </c>
      <c r="V234" s="210" t="s">
        <v>25</v>
      </c>
      <c r="W234" s="211" t="s">
        <v>1028</v>
      </c>
      <c r="X234" s="211">
        <v>1000</v>
      </c>
      <c r="Y234" s="211">
        <v>1000</v>
      </c>
      <c r="Z234" s="212">
        <v>1000</v>
      </c>
      <c r="AA234" s="240">
        <v>5</v>
      </c>
      <c r="AB234" s="213">
        <v>6.0000000000000001E-3</v>
      </c>
      <c r="AC234" s="213">
        <v>0</v>
      </c>
      <c r="AD234" s="213" t="s">
        <v>109</v>
      </c>
      <c r="AE234" s="213">
        <v>1.9997999999999999E-3</v>
      </c>
      <c r="AF234" s="241">
        <v>9072210.0500000007</v>
      </c>
      <c r="AG234" s="241">
        <v>9072210.0500000007</v>
      </c>
      <c r="AH234" s="213">
        <v>1.3599999999999999E-2</v>
      </c>
      <c r="AI234" s="352">
        <v>0.20899999999999999</v>
      </c>
      <c r="AJ234" s="213">
        <v>6.7900000000000002E-2</v>
      </c>
      <c r="AK234" s="352">
        <v>0.72140000000000004</v>
      </c>
      <c r="AL234" s="213" t="s">
        <v>66</v>
      </c>
      <c r="AM234" s="352" t="s">
        <v>66</v>
      </c>
      <c r="AN234" s="213" t="s">
        <v>66</v>
      </c>
      <c r="AO234" s="352" t="s">
        <v>66</v>
      </c>
      <c r="AP234" s="213">
        <v>9.64E-2</v>
      </c>
      <c r="AQ234" s="219">
        <v>-0.20374057201434986</v>
      </c>
      <c r="AR234" s="213" t="s">
        <v>1827</v>
      </c>
      <c r="AU234" s="343"/>
      <c r="AV234" s="343"/>
      <c r="AW234" s="328"/>
      <c r="AX234" s="329"/>
      <c r="AY234" s="328"/>
      <c r="AZ234" s="328"/>
      <c r="BA234" s="330"/>
      <c r="BB234" s="328"/>
      <c r="BC234" s="328"/>
      <c r="BD234" s="328"/>
      <c r="BE234" s="330"/>
      <c r="BF234" s="330"/>
      <c r="BG234" s="344"/>
      <c r="BH234" s="383"/>
      <c r="BI234" s="330"/>
      <c r="BJ234" s="330"/>
      <c r="BK234" s="330"/>
      <c r="BL234" s="330"/>
      <c r="BM234" s="330"/>
      <c r="BN234" s="330"/>
      <c r="BO234" s="330"/>
      <c r="BP234" s="331"/>
      <c r="BQ234" s="332"/>
      <c r="BR234" s="333"/>
    </row>
    <row r="235" spans="2:70" ht="15.75" customHeight="1">
      <c r="B235" s="216" t="s">
        <v>1191</v>
      </c>
      <c r="C235" s="212">
        <v>4300004</v>
      </c>
      <c r="D235" s="223">
        <v>33824820000157</v>
      </c>
      <c r="E235" s="217" t="s">
        <v>19</v>
      </c>
      <c r="F235" s="217" t="s">
        <v>1009</v>
      </c>
      <c r="G235" s="217" t="s">
        <v>1011</v>
      </c>
      <c r="H235" s="218"/>
      <c r="I235" s="217" t="s">
        <v>66</v>
      </c>
      <c r="J235" s="217"/>
      <c r="K235" s="218" t="s">
        <v>954</v>
      </c>
      <c r="L235" s="212" t="s">
        <v>87</v>
      </c>
      <c r="M235" s="250"/>
      <c r="N235" s="239">
        <v>43699</v>
      </c>
      <c r="O235" s="210" t="s">
        <v>208</v>
      </c>
      <c r="P235" s="210" t="s">
        <v>208</v>
      </c>
      <c r="Q235" s="210" t="s">
        <v>1185</v>
      </c>
      <c r="R235" s="210" t="s">
        <v>1077</v>
      </c>
      <c r="S235" s="210" t="s">
        <v>1078</v>
      </c>
      <c r="T235" s="210" t="s">
        <v>349</v>
      </c>
      <c r="U235" s="210" t="s">
        <v>65</v>
      </c>
      <c r="V235" s="210" t="s">
        <v>19</v>
      </c>
      <c r="W235" s="211" t="s">
        <v>1111</v>
      </c>
      <c r="X235" s="211">
        <v>1000</v>
      </c>
      <c r="Y235" s="211">
        <v>1000</v>
      </c>
      <c r="Z235" s="212">
        <v>1000</v>
      </c>
      <c r="AA235" s="240">
        <v>6</v>
      </c>
      <c r="AB235" s="213">
        <v>5.0000000000000001E-3</v>
      </c>
      <c r="AC235" s="213">
        <v>0.2</v>
      </c>
      <c r="AD235" s="213" t="s">
        <v>109</v>
      </c>
      <c r="AE235" s="213">
        <v>1.6665E-3</v>
      </c>
      <c r="AF235" s="241">
        <v>3437006.79</v>
      </c>
      <c r="AG235" s="241">
        <v>3437006.79</v>
      </c>
      <c r="AH235" s="213">
        <v>2.3E-2</v>
      </c>
      <c r="AI235" s="352">
        <v>0.35360000000000003</v>
      </c>
      <c r="AJ235" s="213">
        <v>4.6199999999999998E-2</v>
      </c>
      <c r="AK235" s="352">
        <v>0.49099999999999999</v>
      </c>
      <c r="AL235" s="213">
        <v>9.6600000000000005E-2</v>
      </c>
      <c r="AM235" s="352">
        <v>0.79959999999999998</v>
      </c>
      <c r="AN235" s="213" t="s">
        <v>66</v>
      </c>
      <c r="AO235" s="352" t="s">
        <v>66</v>
      </c>
      <c r="AP235" s="213">
        <v>2.23E-2</v>
      </c>
      <c r="AQ235" s="219">
        <v>-1.9934250871948112</v>
      </c>
      <c r="AR235" s="213" t="s">
        <v>1827</v>
      </c>
      <c r="AU235" s="343"/>
      <c r="AV235" s="343"/>
      <c r="AW235" s="328"/>
      <c r="AX235" s="329"/>
      <c r="AY235" s="328"/>
      <c r="AZ235" s="328"/>
      <c r="BA235" s="330"/>
      <c r="BB235" s="328"/>
      <c r="BC235" s="328"/>
      <c r="BD235" s="328"/>
      <c r="BE235" s="330"/>
      <c r="BF235" s="330"/>
      <c r="BG235" s="344"/>
      <c r="BH235" s="330"/>
      <c r="BI235" s="330"/>
      <c r="BJ235" s="330"/>
      <c r="BK235" s="330"/>
      <c r="BL235" s="330"/>
      <c r="BM235" s="330"/>
      <c r="BN235" s="330"/>
      <c r="BO235" s="330"/>
      <c r="BP235" s="331"/>
      <c r="BQ235" s="332"/>
      <c r="BR235" s="333"/>
    </row>
    <row r="236" spans="2:70" ht="15.75" customHeight="1">
      <c r="B236" s="216" t="s">
        <v>209</v>
      </c>
      <c r="C236" s="212">
        <v>2948319</v>
      </c>
      <c r="D236" s="223">
        <v>39800501000198</v>
      </c>
      <c r="E236" s="217" t="s">
        <v>25</v>
      </c>
      <c r="F236" s="217" t="s">
        <v>958</v>
      </c>
      <c r="G236" s="217" t="s">
        <v>962</v>
      </c>
      <c r="H236" s="218" t="s">
        <v>66</v>
      </c>
      <c r="I236" s="217" t="s">
        <v>1842</v>
      </c>
      <c r="J236" s="217" t="s">
        <v>66</v>
      </c>
      <c r="K236" s="218"/>
      <c r="L236" s="212" t="s">
        <v>87</v>
      </c>
      <c r="M236" s="250"/>
      <c r="N236" s="239">
        <v>44180</v>
      </c>
      <c r="O236" s="210" t="s">
        <v>210</v>
      </c>
      <c r="P236" s="210" t="s">
        <v>1075</v>
      </c>
      <c r="Q236" s="210" t="s">
        <v>1076</v>
      </c>
      <c r="R236" s="210" t="s">
        <v>1084</v>
      </c>
      <c r="S236" s="210" t="s">
        <v>1078</v>
      </c>
      <c r="T236" s="210" t="s">
        <v>1082</v>
      </c>
      <c r="U236" s="210" t="s">
        <v>958</v>
      </c>
      <c r="V236" s="210" t="s">
        <v>25</v>
      </c>
      <c r="W236" s="211" t="s">
        <v>1016</v>
      </c>
      <c r="X236" s="211">
        <v>100</v>
      </c>
      <c r="Y236" s="211">
        <v>100</v>
      </c>
      <c r="Z236" s="212">
        <v>100</v>
      </c>
      <c r="AA236" s="240">
        <v>6</v>
      </c>
      <c r="AB236" s="213">
        <v>2E-3</v>
      </c>
      <c r="AC236" s="213">
        <v>0.4</v>
      </c>
      <c r="AD236" s="213" t="s">
        <v>113</v>
      </c>
      <c r="AE236" s="213">
        <v>2.6660000000000003E-4</v>
      </c>
      <c r="AF236" s="241">
        <v>1380151.52</v>
      </c>
      <c r="AG236" s="241">
        <v>1380151.52</v>
      </c>
      <c r="AH236" s="213">
        <v>0.54659999999999997</v>
      </c>
      <c r="AI236" s="352">
        <v>8.4194999999999993</v>
      </c>
      <c r="AJ236" s="213">
        <v>-0.2349</v>
      </c>
      <c r="AK236" s="352">
        <v>-2.4965000000000002</v>
      </c>
      <c r="AL236" s="213" t="s">
        <v>66</v>
      </c>
      <c r="AM236" s="352" t="s">
        <v>66</v>
      </c>
      <c r="AN236" s="213" t="s">
        <v>66</v>
      </c>
      <c r="AO236" s="352" t="s">
        <v>66</v>
      </c>
      <c r="AP236" s="213">
        <v>0.4481</v>
      </c>
      <c r="AQ236" s="219">
        <v>-0.5686534984426137</v>
      </c>
      <c r="AR236" s="213" t="s">
        <v>1827</v>
      </c>
      <c r="AU236" s="343"/>
      <c r="AV236" s="343"/>
      <c r="AW236" s="328"/>
      <c r="AX236" s="329"/>
      <c r="AY236" s="328"/>
      <c r="AZ236" s="328"/>
      <c r="BA236" s="330"/>
      <c r="BB236" s="328"/>
      <c r="BC236" s="328"/>
      <c r="BD236" s="328"/>
      <c r="BE236" s="330"/>
      <c r="BF236" s="330"/>
      <c r="BG236" s="344"/>
      <c r="BH236" s="330"/>
      <c r="BI236" s="330"/>
      <c r="BJ236" s="330"/>
      <c r="BK236" s="330"/>
      <c r="BL236" s="330"/>
      <c r="BM236" s="330"/>
      <c r="BN236" s="330"/>
      <c r="BO236" s="330"/>
      <c r="BP236" s="331"/>
      <c r="BQ236" s="332"/>
      <c r="BR236" s="333"/>
    </row>
    <row r="237" spans="2:70" ht="15.75" customHeight="1">
      <c r="B237" s="216" t="s">
        <v>212</v>
      </c>
      <c r="C237" s="212">
        <v>1299124</v>
      </c>
      <c r="D237" s="223">
        <v>39974143000130</v>
      </c>
      <c r="E237" s="217" t="s">
        <v>28</v>
      </c>
      <c r="F237" s="217" t="s">
        <v>950</v>
      </c>
      <c r="G237" s="217"/>
      <c r="H237" s="218"/>
      <c r="I237" s="217" t="s">
        <v>66</v>
      </c>
      <c r="J237" s="217" t="s">
        <v>66</v>
      </c>
      <c r="K237" s="218" t="s">
        <v>951</v>
      </c>
      <c r="L237" s="212" t="s">
        <v>87</v>
      </c>
      <c r="M237" s="250"/>
      <c r="N237" s="239">
        <v>44245</v>
      </c>
      <c r="O237" s="210" t="s">
        <v>142</v>
      </c>
      <c r="P237" s="210" t="s">
        <v>1090</v>
      </c>
      <c r="Q237" s="210" t="s">
        <v>1091</v>
      </c>
      <c r="R237" s="210" t="s">
        <v>1099</v>
      </c>
      <c r="S237" s="210" t="s">
        <v>1078</v>
      </c>
      <c r="T237" s="210" t="s">
        <v>1079</v>
      </c>
      <c r="U237" s="210" t="s">
        <v>950</v>
      </c>
      <c r="V237" s="210" t="s">
        <v>1080</v>
      </c>
      <c r="W237" s="211" t="s">
        <v>1007</v>
      </c>
      <c r="X237" s="211">
        <v>5000</v>
      </c>
      <c r="Y237" s="211">
        <v>5000</v>
      </c>
      <c r="Z237" s="212">
        <v>1000</v>
      </c>
      <c r="AA237" s="240">
        <v>182</v>
      </c>
      <c r="AB237" s="213">
        <v>5.0000000000000001E-3</v>
      </c>
      <c r="AC237" s="213">
        <v>0.25</v>
      </c>
      <c r="AD237" s="213" t="s">
        <v>113</v>
      </c>
      <c r="AE237" s="213" t="s">
        <v>66</v>
      </c>
      <c r="AF237" s="241">
        <v>17036078.73</v>
      </c>
      <c r="AG237" s="241">
        <v>17036078.73</v>
      </c>
      <c r="AH237" s="213">
        <v>-0.29039999999999999</v>
      </c>
      <c r="AI237" s="352">
        <v>-4.4722999999999997</v>
      </c>
      <c r="AJ237" s="213">
        <v>-0.45250000000000001</v>
      </c>
      <c r="AK237" s="352">
        <v>-4.8098000000000001</v>
      </c>
      <c r="AL237" s="213" t="s">
        <v>66</v>
      </c>
      <c r="AM237" s="352" t="s">
        <v>66</v>
      </c>
      <c r="AN237" s="213" t="s">
        <v>66</v>
      </c>
      <c r="AO237" s="352" t="s">
        <v>66</v>
      </c>
      <c r="AP237" s="213">
        <v>0.49709999999999999</v>
      </c>
      <c r="AQ237" s="219">
        <v>-1.1428010095557024</v>
      </c>
      <c r="AR237" s="213" t="s">
        <v>1827</v>
      </c>
      <c r="AU237" s="343"/>
      <c r="AV237" s="343"/>
      <c r="AW237" s="328"/>
      <c r="AX237" s="329"/>
      <c r="AY237" s="328"/>
      <c r="AZ237" s="328"/>
      <c r="BA237" s="330"/>
      <c r="BB237" s="328"/>
      <c r="BC237" s="328"/>
      <c r="BD237" s="328"/>
      <c r="BE237" s="330"/>
      <c r="BF237" s="330"/>
      <c r="BG237" s="344"/>
      <c r="BH237" s="330"/>
      <c r="BI237" s="330"/>
      <c r="BJ237" s="330"/>
      <c r="BK237" s="330"/>
      <c r="BL237" s="330"/>
      <c r="BM237" s="330"/>
      <c r="BN237" s="330"/>
      <c r="BO237" s="330"/>
      <c r="BP237" s="331"/>
      <c r="BQ237" s="332"/>
      <c r="BR237" s="333"/>
    </row>
    <row r="238" spans="2:70" ht="15.75" customHeight="1">
      <c r="B238" s="216" t="s">
        <v>797</v>
      </c>
      <c r="C238" s="212">
        <v>806670</v>
      </c>
      <c r="D238" s="223">
        <v>33361831000148</v>
      </c>
      <c r="E238" s="217" t="s">
        <v>25</v>
      </c>
      <c r="F238" s="217" t="s">
        <v>958</v>
      </c>
      <c r="G238" s="217" t="s">
        <v>962</v>
      </c>
      <c r="H238" s="218" t="s">
        <v>66</v>
      </c>
      <c r="I238" s="217" t="s">
        <v>1842</v>
      </c>
      <c r="J238" s="217" t="s">
        <v>66</v>
      </c>
      <c r="K238" s="218"/>
      <c r="L238" s="212" t="s">
        <v>87</v>
      </c>
      <c r="M238" s="250"/>
      <c r="N238" s="239">
        <v>43642</v>
      </c>
      <c r="O238" s="210" t="s">
        <v>798</v>
      </c>
      <c r="P238" s="210" t="s">
        <v>1102</v>
      </c>
      <c r="Q238" s="210" t="s">
        <v>1102</v>
      </c>
      <c r="R238" s="210" t="s">
        <v>1077</v>
      </c>
      <c r="S238" s="210" t="s">
        <v>1078</v>
      </c>
      <c r="T238" s="210" t="s">
        <v>1082</v>
      </c>
      <c r="U238" s="210" t="s">
        <v>65</v>
      </c>
      <c r="V238" s="210" t="s">
        <v>25</v>
      </c>
      <c r="W238" s="211" t="s">
        <v>1028</v>
      </c>
      <c r="X238" s="211">
        <v>1000</v>
      </c>
      <c r="Y238" s="211">
        <v>1000</v>
      </c>
      <c r="Z238" s="212">
        <v>1000</v>
      </c>
      <c r="AA238" s="240">
        <v>5</v>
      </c>
      <c r="AB238" s="213">
        <v>8.9999999999999993E-3</v>
      </c>
      <c r="AC238" s="213">
        <v>0</v>
      </c>
      <c r="AD238" s="213" t="s">
        <v>113</v>
      </c>
      <c r="AE238" s="213">
        <v>5.3333999999999994E-3</v>
      </c>
      <c r="AF238" s="241">
        <v>53517314.170000002</v>
      </c>
      <c r="AG238" s="241">
        <v>53517314.170000002</v>
      </c>
      <c r="AH238" s="213">
        <v>-9.9400000000000002E-2</v>
      </c>
      <c r="AI238" s="352">
        <v>-1.5317000000000001</v>
      </c>
      <c r="AJ238" s="213">
        <v>-6.3299999999999995E-2</v>
      </c>
      <c r="AK238" s="352">
        <v>-0.67249999999999999</v>
      </c>
      <c r="AL238" s="213">
        <v>0.11700000000000001</v>
      </c>
      <c r="AM238" s="352">
        <v>0.96860000000000002</v>
      </c>
      <c r="AN238" s="213">
        <v>9.64E-2</v>
      </c>
      <c r="AO238" s="352">
        <v>0.57189999999999996</v>
      </c>
      <c r="AP238" s="213">
        <v>0.11070000000000001</v>
      </c>
      <c r="AQ238" s="219">
        <v>-1.3468655606959479</v>
      </c>
      <c r="AR238" s="213" t="s">
        <v>1827</v>
      </c>
      <c r="AU238" s="343"/>
      <c r="AV238" s="343"/>
      <c r="AW238" s="328"/>
      <c r="AX238" s="329"/>
      <c r="AY238" s="328"/>
      <c r="AZ238" s="328"/>
      <c r="BA238" s="330"/>
      <c r="BB238" s="328"/>
      <c r="BC238" s="328"/>
      <c r="BD238" s="328"/>
      <c r="BE238" s="330"/>
      <c r="BF238" s="330"/>
      <c r="BG238" s="344"/>
      <c r="BH238" s="330"/>
      <c r="BI238" s="330"/>
      <c r="BJ238" s="330"/>
      <c r="BK238" s="330"/>
      <c r="BL238" s="330"/>
      <c r="BM238" s="330"/>
      <c r="BN238" s="330"/>
      <c r="BO238" s="330"/>
      <c r="BP238" s="331"/>
      <c r="BQ238" s="332"/>
      <c r="BR238" s="333"/>
    </row>
    <row r="239" spans="2:70" ht="15.75" customHeight="1">
      <c r="B239" s="216" t="s">
        <v>1192</v>
      </c>
      <c r="C239" s="212">
        <v>1250815</v>
      </c>
      <c r="D239" s="223">
        <v>33361798000156</v>
      </c>
      <c r="E239" s="217" t="s">
        <v>19</v>
      </c>
      <c r="F239" s="217" t="s">
        <v>1009</v>
      </c>
      <c r="G239" s="217" t="s">
        <v>1011</v>
      </c>
      <c r="H239" s="218"/>
      <c r="I239" s="217" t="s">
        <v>66</v>
      </c>
      <c r="J239" s="217"/>
      <c r="K239" s="218" t="s">
        <v>954</v>
      </c>
      <c r="L239" s="212" t="s">
        <v>87</v>
      </c>
      <c r="M239" s="250"/>
      <c r="N239" s="239">
        <v>43643</v>
      </c>
      <c r="O239" s="210" t="s">
        <v>798</v>
      </c>
      <c r="P239" s="210" t="s">
        <v>1102</v>
      </c>
      <c r="Q239" s="210" t="s">
        <v>1102</v>
      </c>
      <c r="R239" s="210" t="s">
        <v>1077</v>
      </c>
      <c r="S239" s="210" t="s">
        <v>1078</v>
      </c>
      <c r="T239" s="210" t="s">
        <v>349</v>
      </c>
      <c r="U239" s="210" t="s">
        <v>65</v>
      </c>
      <c r="V239" s="210" t="s">
        <v>25</v>
      </c>
      <c r="W239" s="211" t="s">
        <v>1028</v>
      </c>
      <c r="X239" s="211">
        <v>1000</v>
      </c>
      <c r="Y239" s="211">
        <v>100</v>
      </c>
      <c r="Z239" s="212">
        <v>500</v>
      </c>
      <c r="AA239" s="240">
        <v>5</v>
      </c>
      <c r="AB239" s="213">
        <v>8.0000000000000002E-3</v>
      </c>
      <c r="AC239" s="213">
        <v>0</v>
      </c>
      <c r="AD239" s="213" t="s">
        <v>113</v>
      </c>
      <c r="AE239" s="213">
        <v>4.6666666666666662E-3</v>
      </c>
      <c r="AF239" s="241">
        <v>29197028.879999999</v>
      </c>
      <c r="AG239" s="241">
        <v>29197028.879999999</v>
      </c>
      <c r="AH239" s="213">
        <v>-1.7500000000000002E-2</v>
      </c>
      <c r="AI239" s="352">
        <v>-0.26900000000000002</v>
      </c>
      <c r="AJ239" s="213">
        <v>-9.9000000000000008E-3</v>
      </c>
      <c r="AK239" s="352">
        <v>-0.105</v>
      </c>
      <c r="AL239" s="213">
        <v>5.0299999999999997E-2</v>
      </c>
      <c r="AM239" s="352">
        <v>0.41639999999999999</v>
      </c>
      <c r="AN239" s="213">
        <v>6.8099999999999994E-2</v>
      </c>
      <c r="AO239" s="352">
        <v>0.40389999999999998</v>
      </c>
      <c r="AP239" s="213">
        <v>2.6800000000000001E-2</v>
      </c>
      <c r="AQ239" s="219">
        <v>-3.7074123748469843</v>
      </c>
      <c r="AR239" s="213" t="s">
        <v>1827</v>
      </c>
      <c r="AU239" s="343"/>
      <c r="AV239" s="343"/>
      <c r="AW239" s="328"/>
      <c r="AX239" s="329"/>
      <c r="AY239" s="328"/>
      <c r="AZ239" s="328"/>
      <c r="BA239" s="330"/>
      <c r="BB239" s="328"/>
      <c r="BC239" s="328"/>
      <c r="BD239" s="328"/>
      <c r="BE239" s="330"/>
      <c r="BF239" s="330"/>
      <c r="BG239" s="344"/>
      <c r="BH239" s="383"/>
      <c r="BI239" s="330"/>
      <c r="BJ239" s="330"/>
      <c r="BK239" s="330"/>
      <c r="BL239" s="330"/>
      <c r="BM239" s="330"/>
      <c r="BN239" s="330"/>
      <c r="BO239" s="330"/>
      <c r="BP239" s="331"/>
      <c r="BQ239" s="332"/>
      <c r="BR239" s="333"/>
    </row>
    <row r="240" spans="2:70" ht="15.75" customHeight="1">
      <c r="B240" s="216" t="s">
        <v>1194</v>
      </c>
      <c r="C240" s="212">
        <v>2348531</v>
      </c>
      <c r="D240" s="223">
        <v>41673246000101</v>
      </c>
      <c r="E240" s="217" t="s">
        <v>28</v>
      </c>
      <c r="F240" s="217" t="s">
        <v>950</v>
      </c>
      <c r="G240" s="217"/>
      <c r="H240" s="218" t="s">
        <v>1260</v>
      </c>
      <c r="I240" s="217" t="s">
        <v>66</v>
      </c>
      <c r="J240" s="217" t="s">
        <v>66</v>
      </c>
      <c r="K240" s="218" t="s">
        <v>954</v>
      </c>
      <c r="L240" s="212" t="s">
        <v>87</v>
      </c>
      <c r="M240" s="250"/>
      <c r="N240" s="239">
        <v>44383</v>
      </c>
      <c r="O240" s="210" t="s">
        <v>114</v>
      </c>
      <c r="P240" s="210" t="s">
        <v>1075</v>
      </c>
      <c r="Q240" s="210" t="s">
        <v>1076</v>
      </c>
      <c r="R240" s="210" t="s">
        <v>1077</v>
      </c>
      <c r="S240" s="210" t="s">
        <v>1078</v>
      </c>
      <c r="T240" s="210" t="s">
        <v>1079</v>
      </c>
      <c r="U240" s="210" t="s">
        <v>65</v>
      </c>
      <c r="V240" s="210" t="s">
        <v>1080</v>
      </c>
      <c r="W240" s="211" t="s">
        <v>1036</v>
      </c>
      <c r="X240" s="211">
        <v>100</v>
      </c>
      <c r="Y240" s="211">
        <v>100</v>
      </c>
      <c r="Z240" s="212">
        <v>100</v>
      </c>
      <c r="AA240" s="240">
        <v>5</v>
      </c>
      <c r="AB240" s="213">
        <v>4.0000000000000002E-4</v>
      </c>
      <c r="AC240" s="213">
        <v>0</v>
      </c>
      <c r="AD240" s="213" t="s">
        <v>113</v>
      </c>
      <c r="AE240" s="213" t="s">
        <v>66</v>
      </c>
      <c r="AF240" s="241">
        <v>1191408.79</v>
      </c>
      <c r="AG240" s="241">
        <v>1191408.79</v>
      </c>
      <c r="AH240" s="213">
        <v>-0.2681</v>
      </c>
      <c r="AI240" s="352">
        <v>-4.1302000000000003</v>
      </c>
      <c r="AJ240" s="213">
        <v>-0.24129999999999999</v>
      </c>
      <c r="AK240" s="352">
        <v>-2.5651999999999999</v>
      </c>
      <c r="AL240" s="213" t="s">
        <v>66</v>
      </c>
      <c r="AM240" s="352" t="s">
        <v>66</v>
      </c>
      <c r="AN240" s="213" t="s">
        <v>66</v>
      </c>
      <c r="AO240" s="352" t="s">
        <v>66</v>
      </c>
      <c r="AP240" s="213">
        <v>0.33660000000000001</v>
      </c>
      <c r="AQ240" s="219">
        <v>-0.91914479327405441</v>
      </c>
      <c r="AR240" s="213" t="s">
        <v>1827</v>
      </c>
      <c r="AU240" s="343"/>
      <c r="AV240" s="343"/>
      <c r="AW240" s="328"/>
      <c r="AX240" s="329"/>
      <c r="AY240" s="328"/>
      <c r="AZ240" s="328"/>
      <c r="BA240" s="330"/>
      <c r="BB240" s="328"/>
      <c r="BC240" s="328"/>
      <c r="BD240" s="328"/>
      <c r="BE240" s="330"/>
      <c r="BF240" s="330"/>
      <c r="BG240" s="344"/>
      <c r="BH240" s="330"/>
      <c r="BI240" s="330"/>
      <c r="BJ240" s="330"/>
      <c r="BK240" s="330"/>
      <c r="BL240" s="330"/>
      <c r="BM240" s="330"/>
      <c r="BN240" s="330"/>
      <c r="BO240" s="330"/>
      <c r="BP240" s="331"/>
      <c r="BQ240" s="332"/>
      <c r="BR240" s="333"/>
    </row>
    <row r="241" spans="2:70" ht="15.75" customHeight="1">
      <c r="B241" s="216" t="s">
        <v>213</v>
      </c>
      <c r="C241" s="212">
        <v>949414</v>
      </c>
      <c r="D241" s="223">
        <v>37830181000193</v>
      </c>
      <c r="E241" s="217" t="s">
        <v>28</v>
      </c>
      <c r="F241" s="217" t="s">
        <v>950</v>
      </c>
      <c r="G241" s="217"/>
      <c r="H241" s="218"/>
      <c r="I241" s="217" t="s">
        <v>66</v>
      </c>
      <c r="J241" s="217" t="s">
        <v>66</v>
      </c>
      <c r="K241" s="218" t="s">
        <v>951</v>
      </c>
      <c r="L241" s="212" t="s">
        <v>87</v>
      </c>
      <c r="M241" s="250"/>
      <c r="N241" s="239">
        <v>44061</v>
      </c>
      <c r="O241" s="210" t="s">
        <v>214</v>
      </c>
      <c r="P241" s="210" t="s">
        <v>1088</v>
      </c>
      <c r="Q241" s="210" t="s">
        <v>1089</v>
      </c>
      <c r="R241" s="210" t="s">
        <v>1084</v>
      </c>
      <c r="S241" s="210" t="s">
        <v>1078</v>
      </c>
      <c r="T241" s="210" t="s">
        <v>1079</v>
      </c>
      <c r="U241" s="210" t="s">
        <v>950</v>
      </c>
      <c r="V241" s="210" t="s">
        <v>1080</v>
      </c>
      <c r="W241" s="211" t="s">
        <v>1007</v>
      </c>
      <c r="X241" s="211">
        <v>5000</v>
      </c>
      <c r="Y241" s="211">
        <v>5000</v>
      </c>
      <c r="Z241" s="212">
        <v>5000</v>
      </c>
      <c r="AA241" s="240">
        <v>15</v>
      </c>
      <c r="AB241" s="213">
        <v>0.02</v>
      </c>
      <c r="AC241" s="213">
        <v>0.2</v>
      </c>
      <c r="AD241" s="213" t="s">
        <v>1014</v>
      </c>
      <c r="AE241" s="213">
        <v>4.0000000000000001E-3</v>
      </c>
      <c r="AF241" s="241">
        <v>7253792.4500000002</v>
      </c>
      <c r="AG241" s="241">
        <v>7253792.4500000002</v>
      </c>
      <c r="AH241" s="213">
        <v>1.3299999999999999E-2</v>
      </c>
      <c r="AI241" s="352">
        <v>0.20549999999999999</v>
      </c>
      <c r="AJ241" s="213">
        <v>-0.1633</v>
      </c>
      <c r="AK241" s="352">
        <v>-1.7361</v>
      </c>
      <c r="AL241" s="213" t="s">
        <v>66</v>
      </c>
      <c r="AM241" s="352" t="s">
        <v>66</v>
      </c>
      <c r="AN241" s="213" t="s">
        <v>66</v>
      </c>
      <c r="AO241" s="352" t="s">
        <v>66</v>
      </c>
      <c r="AP241" s="213">
        <v>0.22189999999999999</v>
      </c>
      <c r="AQ241" s="219">
        <v>-1.0979368233130455</v>
      </c>
      <c r="AR241" s="213" t="s">
        <v>1827</v>
      </c>
      <c r="AU241" s="343"/>
      <c r="AV241" s="343"/>
      <c r="AW241" s="328"/>
      <c r="AX241" s="329"/>
      <c r="AY241" s="328"/>
      <c r="AZ241" s="328"/>
      <c r="BA241" s="330"/>
      <c r="BB241" s="328"/>
      <c r="BC241" s="328"/>
      <c r="BD241" s="328"/>
      <c r="BE241" s="330"/>
      <c r="BF241" s="330"/>
      <c r="BG241" s="344"/>
      <c r="BH241" s="330"/>
      <c r="BI241" s="330"/>
      <c r="BJ241" s="330"/>
      <c r="BK241" s="330"/>
      <c r="BL241" s="330"/>
      <c r="BM241" s="330"/>
      <c r="BN241" s="330"/>
      <c r="BO241" s="330"/>
      <c r="BP241" s="331"/>
      <c r="BQ241" s="332"/>
      <c r="BR241" s="333"/>
    </row>
    <row r="242" spans="2:70" ht="15.75" customHeight="1">
      <c r="B242" s="216" t="s">
        <v>1195</v>
      </c>
      <c r="C242" s="212">
        <v>949419</v>
      </c>
      <c r="D242" s="223">
        <v>35844973000191</v>
      </c>
      <c r="E242" s="217" t="s">
        <v>25</v>
      </c>
      <c r="F242" s="217" t="s">
        <v>959</v>
      </c>
      <c r="G242" s="217" t="s">
        <v>960</v>
      </c>
      <c r="H242" s="218"/>
      <c r="I242" s="217" t="s">
        <v>1841</v>
      </c>
      <c r="J242" s="217" t="s">
        <v>66</v>
      </c>
      <c r="K242" s="218" t="s">
        <v>951</v>
      </c>
      <c r="L242" s="212" t="s">
        <v>87</v>
      </c>
      <c r="M242" s="250"/>
      <c r="N242" s="239">
        <v>43895</v>
      </c>
      <c r="O242" s="210" t="s">
        <v>214</v>
      </c>
      <c r="P242" s="210" t="s">
        <v>1088</v>
      </c>
      <c r="Q242" s="210" t="s">
        <v>1089</v>
      </c>
      <c r="R242" s="210" t="s">
        <v>1084</v>
      </c>
      <c r="S242" s="210" t="s">
        <v>1078</v>
      </c>
      <c r="T242" s="210" t="s">
        <v>1082</v>
      </c>
      <c r="U242" s="210" t="s">
        <v>1086</v>
      </c>
      <c r="V242" s="210" t="s">
        <v>25</v>
      </c>
      <c r="W242" s="211" t="s">
        <v>1016</v>
      </c>
      <c r="X242" s="211">
        <v>1000</v>
      </c>
      <c r="Y242" s="211">
        <v>1000</v>
      </c>
      <c r="Z242" s="212">
        <v>1000</v>
      </c>
      <c r="AA242" s="240">
        <v>15</v>
      </c>
      <c r="AB242" s="213">
        <v>1.4370000000000001E-2</v>
      </c>
      <c r="AC242" s="213">
        <v>0.2</v>
      </c>
      <c r="AD242" s="213" t="s">
        <v>109</v>
      </c>
      <c r="AE242" s="213">
        <v>2.8740000000000003E-3</v>
      </c>
      <c r="AF242" s="241">
        <v>76519767.719999999</v>
      </c>
      <c r="AG242" s="241">
        <v>76519767.719999999</v>
      </c>
      <c r="AH242" s="213">
        <v>6.7599999999999993E-2</v>
      </c>
      <c r="AI242" s="352">
        <v>1.0412999999999999</v>
      </c>
      <c r="AJ242" s="213">
        <v>8.2600000000000007E-2</v>
      </c>
      <c r="AK242" s="352">
        <v>0.87809999999999999</v>
      </c>
      <c r="AL242" s="213">
        <v>0.19689999999999999</v>
      </c>
      <c r="AM242" s="352">
        <v>1.6302000000000001</v>
      </c>
      <c r="AN242" s="213" t="s">
        <v>66</v>
      </c>
      <c r="AO242" s="352" t="s">
        <v>66</v>
      </c>
      <c r="AP242" s="213">
        <v>3.0099999999999998E-2</v>
      </c>
      <c r="AQ242" s="219">
        <v>-0.33507408226476171</v>
      </c>
      <c r="AR242" s="213" t="s">
        <v>1827</v>
      </c>
      <c r="AU242" s="343"/>
      <c r="AV242" s="343"/>
      <c r="AW242" s="328"/>
      <c r="AX242" s="329"/>
      <c r="AY242" s="328"/>
      <c r="AZ242" s="328"/>
      <c r="BA242" s="330"/>
      <c r="BB242" s="328"/>
      <c r="BC242" s="328"/>
      <c r="BD242" s="328"/>
      <c r="BE242" s="330"/>
      <c r="BF242" s="330"/>
      <c r="BG242" s="344"/>
      <c r="BH242" s="330"/>
      <c r="BI242" s="330"/>
      <c r="BJ242" s="330"/>
      <c r="BK242" s="330"/>
      <c r="BL242" s="330"/>
      <c r="BM242" s="330"/>
      <c r="BN242" s="330"/>
      <c r="BO242" s="330"/>
      <c r="BP242" s="331"/>
      <c r="BQ242" s="332"/>
      <c r="BR242" s="333"/>
    </row>
    <row r="243" spans="2:70" ht="15.75" customHeight="1">
      <c r="B243" s="216" t="s">
        <v>215</v>
      </c>
      <c r="C243" s="212">
        <v>2853163</v>
      </c>
      <c r="D243" s="223">
        <v>40830356000177</v>
      </c>
      <c r="E243" s="217" t="s">
        <v>25</v>
      </c>
      <c r="F243" s="217" t="s">
        <v>959</v>
      </c>
      <c r="G243" s="217" t="s">
        <v>960</v>
      </c>
      <c r="H243" s="218" t="s">
        <v>66</v>
      </c>
      <c r="I243" s="217" t="s">
        <v>1259</v>
      </c>
      <c r="J243" s="217" t="s">
        <v>66</v>
      </c>
      <c r="K243" s="218" t="s">
        <v>951</v>
      </c>
      <c r="L243" s="212" t="s">
        <v>87</v>
      </c>
      <c r="M243" s="250"/>
      <c r="N243" s="239">
        <v>44286</v>
      </c>
      <c r="O243" s="210" t="s">
        <v>214</v>
      </c>
      <c r="P243" s="210" t="s">
        <v>1088</v>
      </c>
      <c r="Q243" s="210" t="s">
        <v>1089</v>
      </c>
      <c r="R243" s="210" t="s">
        <v>1077</v>
      </c>
      <c r="S243" s="210" t="s">
        <v>1078</v>
      </c>
      <c r="T243" s="210" t="s">
        <v>1082</v>
      </c>
      <c r="U243" s="210" t="s">
        <v>1086</v>
      </c>
      <c r="V243" s="210" t="s">
        <v>25</v>
      </c>
      <c r="W243" s="211" t="s">
        <v>1016</v>
      </c>
      <c r="X243" s="211">
        <v>5000</v>
      </c>
      <c r="Y243" s="211">
        <v>5000</v>
      </c>
      <c r="Z243" s="212">
        <v>5000</v>
      </c>
      <c r="AA243" s="240">
        <v>32</v>
      </c>
      <c r="AB243" s="213">
        <v>0.02</v>
      </c>
      <c r="AC243" s="213">
        <v>0.2</v>
      </c>
      <c r="AD243" s="213" t="s">
        <v>109</v>
      </c>
      <c r="AE243" s="213">
        <v>4.0000000000000001E-3</v>
      </c>
      <c r="AF243" s="241">
        <v>27433410.170000002</v>
      </c>
      <c r="AG243" s="241">
        <v>27433410.170000002</v>
      </c>
      <c r="AH243" s="213">
        <v>7.1599999999999997E-2</v>
      </c>
      <c r="AI243" s="352">
        <v>1.1035999999999999</v>
      </c>
      <c r="AJ243" s="213">
        <v>8.2400000000000001E-2</v>
      </c>
      <c r="AK243" s="352">
        <v>0.87629999999999997</v>
      </c>
      <c r="AL243" s="213" t="s">
        <v>66</v>
      </c>
      <c r="AM243" s="352" t="s">
        <v>66</v>
      </c>
      <c r="AN243" s="213" t="s">
        <v>66</v>
      </c>
      <c r="AO243" s="352" t="s">
        <v>66</v>
      </c>
      <c r="AP243" s="213">
        <v>5.8500000000000003E-2</v>
      </c>
      <c r="AQ243" s="219">
        <v>-0.15367156255824094</v>
      </c>
      <c r="AR243" s="213" t="s">
        <v>1827</v>
      </c>
      <c r="AU243" s="343"/>
      <c r="AV243" s="343"/>
      <c r="AW243" s="328"/>
      <c r="AX243" s="329"/>
      <c r="AY243" s="328"/>
      <c r="AZ243" s="328"/>
      <c r="BA243" s="330"/>
      <c r="BB243" s="328"/>
      <c r="BC243" s="328"/>
      <c r="BD243" s="328"/>
      <c r="BE243" s="330"/>
      <c r="BF243" s="330"/>
      <c r="BG243" s="344"/>
      <c r="BH243" s="330"/>
      <c r="BI243" s="330"/>
      <c r="BJ243" s="330"/>
      <c r="BK243" s="330"/>
      <c r="BL243" s="330"/>
      <c r="BM243" s="330"/>
      <c r="BN243" s="330"/>
      <c r="BO243" s="330"/>
      <c r="BP243" s="331"/>
      <c r="BQ243" s="332"/>
      <c r="BR243" s="333"/>
    </row>
    <row r="244" spans="2:70" ht="15.75" customHeight="1">
      <c r="B244" s="216" t="s">
        <v>765</v>
      </c>
      <c r="C244" s="212">
        <v>1254323</v>
      </c>
      <c r="D244" s="223">
        <v>41902590000125</v>
      </c>
      <c r="E244" s="217" t="s">
        <v>25</v>
      </c>
      <c r="F244" s="217" t="s">
        <v>959</v>
      </c>
      <c r="G244" s="217" t="s">
        <v>960</v>
      </c>
      <c r="H244" s="218" t="s">
        <v>66</v>
      </c>
      <c r="I244" s="217" t="s">
        <v>1259</v>
      </c>
      <c r="J244" s="217" t="s">
        <v>66</v>
      </c>
      <c r="K244" s="218" t="s">
        <v>951</v>
      </c>
      <c r="L244" s="212" t="s">
        <v>87</v>
      </c>
      <c r="M244" s="250"/>
      <c r="N244" s="239">
        <v>44398</v>
      </c>
      <c r="O244" s="210" t="s">
        <v>214</v>
      </c>
      <c r="P244" s="210" t="s">
        <v>1088</v>
      </c>
      <c r="Q244" s="210" t="s">
        <v>1089</v>
      </c>
      <c r="R244" s="210" t="s">
        <v>1077</v>
      </c>
      <c r="S244" s="210" t="s">
        <v>1078</v>
      </c>
      <c r="T244" s="210" t="s">
        <v>1082</v>
      </c>
      <c r="U244" s="210" t="s">
        <v>1086</v>
      </c>
      <c r="V244" s="210" t="s">
        <v>1080</v>
      </c>
      <c r="W244" s="211" t="s">
        <v>1007</v>
      </c>
      <c r="X244" s="211">
        <v>5000</v>
      </c>
      <c r="Y244" s="211">
        <v>5000</v>
      </c>
      <c r="Z244" s="212">
        <v>5000</v>
      </c>
      <c r="AA244" s="240">
        <v>32</v>
      </c>
      <c r="AB244" s="213">
        <v>0.02</v>
      </c>
      <c r="AC244" s="213">
        <v>0.2</v>
      </c>
      <c r="AD244" s="213" t="s">
        <v>109</v>
      </c>
      <c r="AE244" s="213">
        <v>4.0000000000000001E-3</v>
      </c>
      <c r="AF244" s="241">
        <v>54398854.579999998</v>
      </c>
      <c r="AG244" s="241">
        <v>54398854.579999998</v>
      </c>
      <c r="AH244" s="213">
        <v>7.4700000000000003E-2</v>
      </c>
      <c r="AI244" s="352">
        <v>1.1513</v>
      </c>
      <c r="AJ244" s="213">
        <v>8.3099999999999993E-2</v>
      </c>
      <c r="AK244" s="352">
        <v>0.88300000000000001</v>
      </c>
      <c r="AL244" s="213" t="s">
        <v>66</v>
      </c>
      <c r="AM244" s="352" t="s">
        <v>66</v>
      </c>
      <c r="AN244" s="213" t="s">
        <v>66</v>
      </c>
      <c r="AO244" s="352" t="s">
        <v>66</v>
      </c>
      <c r="AP244" s="213">
        <v>0.06</v>
      </c>
      <c r="AQ244" s="219">
        <v>-0.13884906845249065</v>
      </c>
      <c r="AR244" s="213" t="s">
        <v>1827</v>
      </c>
      <c r="AU244" s="343"/>
      <c r="AV244" s="343"/>
      <c r="AW244" s="328"/>
      <c r="AX244" s="329"/>
      <c r="AY244" s="328"/>
      <c r="AZ244" s="328"/>
      <c r="BA244" s="330"/>
      <c r="BB244" s="328"/>
      <c r="BC244" s="328"/>
      <c r="BD244" s="328"/>
      <c r="BE244" s="330"/>
      <c r="BF244" s="330"/>
      <c r="BG244" s="344"/>
      <c r="BH244" s="330"/>
      <c r="BI244" s="330"/>
      <c r="BJ244" s="330"/>
      <c r="BK244" s="330"/>
      <c r="BL244" s="330"/>
      <c r="BM244" s="330"/>
      <c r="BN244" s="330"/>
      <c r="BO244" s="330"/>
      <c r="BP244" s="331"/>
      <c r="BQ244" s="332"/>
      <c r="BR244" s="333"/>
    </row>
    <row r="245" spans="2:70" ht="15.75" customHeight="1">
      <c r="B245" s="216" t="s">
        <v>1196</v>
      </c>
      <c r="C245" s="212">
        <v>1254321</v>
      </c>
      <c r="D245" s="223">
        <v>33346541000125</v>
      </c>
      <c r="E245" s="217" t="s">
        <v>25</v>
      </c>
      <c r="F245" s="217" t="s">
        <v>958</v>
      </c>
      <c r="G245" s="217" t="s">
        <v>962</v>
      </c>
      <c r="H245" s="218" t="s">
        <v>66</v>
      </c>
      <c r="I245" s="217" t="s">
        <v>1259</v>
      </c>
      <c r="J245" s="217" t="s">
        <v>66</v>
      </c>
      <c r="K245" s="218"/>
      <c r="L245" s="212" t="s">
        <v>87</v>
      </c>
      <c r="M245" s="250"/>
      <c r="N245" s="239">
        <v>43616</v>
      </c>
      <c r="O245" s="210" t="s">
        <v>216</v>
      </c>
      <c r="P245" s="210" t="s">
        <v>1110</v>
      </c>
      <c r="Q245" s="210" t="s">
        <v>1110</v>
      </c>
      <c r="R245" s="210" t="s">
        <v>1084</v>
      </c>
      <c r="S245" s="210" t="s">
        <v>1078</v>
      </c>
      <c r="T245" s="210" t="s">
        <v>1082</v>
      </c>
      <c r="U245" s="210" t="s">
        <v>958</v>
      </c>
      <c r="V245" s="210" t="s">
        <v>25</v>
      </c>
      <c r="W245" s="211" t="s">
        <v>1012</v>
      </c>
      <c r="X245" s="211">
        <v>500</v>
      </c>
      <c r="Y245" s="211">
        <v>100</v>
      </c>
      <c r="Z245" s="212">
        <v>100</v>
      </c>
      <c r="AA245" s="240">
        <v>31</v>
      </c>
      <c r="AB245" s="213">
        <v>1.9E-2</v>
      </c>
      <c r="AC245" s="213">
        <v>0.2</v>
      </c>
      <c r="AD245" s="213" t="s">
        <v>109</v>
      </c>
      <c r="AE245" s="213">
        <v>5.0666666666666664E-3</v>
      </c>
      <c r="AF245" s="241">
        <v>220916131.08000001</v>
      </c>
      <c r="AG245" s="241">
        <v>220916131.08000001</v>
      </c>
      <c r="AH245" s="213">
        <v>6.7199999999999996E-2</v>
      </c>
      <c r="AI245" s="352">
        <v>1.0345</v>
      </c>
      <c r="AJ245" s="213">
        <v>8.8300000000000003E-2</v>
      </c>
      <c r="AK245" s="352">
        <v>0.93830000000000002</v>
      </c>
      <c r="AL245" s="213">
        <v>0.14599999999999999</v>
      </c>
      <c r="AM245" s="352">
        <v>1.2087000000000001</v>
      </c>
      <c r="AN245" s="213">
        <v>0.19570000000000001</v>
      </c>
      <c r="AO245" s="352">
        <v>1.1612</v>
      </c>
      <c r="AP245" s="213">
        <v>5.3199999999999997E-2</v>
      </c>
      <c r="AQ245" s="219">
        <v>-7.3670722852619996E-2</v>
      </c>
      <c r="AR245" s="213" t="s">
        <v>1827</v>
      </c>
      <c r="AU245" s="343"/>
      <c r="AV245" s="343"/>
      <c r="AW245" s="328"/>
      <c r="AX245" s="329"/>
      <c r="AY245" s="328"/>
      <c r="AZ245" s="328"/>
      <c r="BA245" s="330"/>
      <c r="BB245" s="328"/>
      <c r="BC245" s="328"/>
      <c r="BD245" s="328"/>
      <c r="BE245" s="330"/>
      <c r="BF245" s="330"/>
      <c r="BG245" s="344"/>
      <c r="BH245" s="330"/>
      <c r="BI245" s="330"/>
      <c r="BJ245" s="330"/>
      <c r="BK245" s="330"/>
      <c r="BL245" s="330"/>
      <c r="BM245" s="330"/>
      <c r="BN245" s="330"/>
      <c r="BO245" s="330"/>
      <c r="BP245" s="331"/>
      <c r="BQ245" s="332"/>
      <c r="BR245" s="333"/>
    </row>
    <row r="246" spans="2:70" ht="15.75" customHeight="1">
      <c r="B246" s="216" t="s">
        <v>1197</v>
      </c>
      <c r="C246" s="212">
        <v>1612713</v>
      </c>
      <c r="D246" s="223">
        <v>38068882000108</v>
      </c>
      <c r="E246" s="217" t="s">
        <v>28</v>
      </c>
      <c r="F246" s="217" t="s">
        <v>950</v>
      </c>
      <c r="G246" s="217"/>
      <c r="H246" s="218"/>
      <c r="I246" s="217" t="s">
        <v>66</v>
      </c>
      <c r="J246" s="217" t="s">
        <v>66</v>
      </c>
      <c r="K246" s="218" t="s">
        <v>954</v>
      </c>
      <c r="L246" s="212"/>
      <c r="M246" s="250"/>
      <c r="N246" s="239">
        <v>44138</v>
      </c>
      <c r="O246" s="210" t="s">
        <v>217</v>
      </c>
      <c r="P246" s="210" t="s">
        <v>1083</v>
      </c>
      <c r="Q246" s="210" t="s">
        <v>102</v>
      </c>
      <c r="R246" s="210" t="s">
        <v>1077</v>
      </c>
      <c r="S246" s="210" t="s">
        <v>1078</v>
      </c>
      <c r="T246" s="210" t="s">
        <v>1079</v>
      </c>
      <c r="U246" s="210" t="s">
        <v>65</v>
      </c>
      <c r="V246" s="210" t="s">
        <v>1080</v>
      </c>
      <c r="W246" s="211" t="s">
        <v>1036</v>
      </c>
      <c r="X246" s="211">
        <v>5000</v>
      </c>
      <c r="Y246" s="211">
        <v>1000</v>
      </c>
      <c r="Z246" s="212">
        <v>5000</v>
      </c>
      <c r="AA246" s="240">
        <v>34</v>
      </c>
      <c r="AB246" s="213">
        <v>1.7999999999999999E-2</v>
      </c>
      <c r="AC246" s="213">
        <v>0.18</v>
      </c>
      <c r="AD246" s="213" t="s">
        <v>1014</v>
      </c>
      <c r="AE246" s="213">
        <v>4.7999999999999996E-3</v>
      </c>
      <c r="AF246" s="241">
        <v>9985604.4199999999</v>
      </c>
      <c r="AG246" s="241">
        <v>9985604.4199999999</v>
      </c>
      <c r="AH246" s="213">
        <v>-0.23630000000000001</v>
      </c>
      <c r="AI246" s="352">
        <v>-3.6389999999999998</v>
      </c>
      <c r="AJ246" s="213">
        <v>-0.1744</v>
      </c>
      <c r="AK246" s="352">
        <v>-1.8537999999999999</v>
      </c>
      <c r="AL246" s="213" t="s">
        <v>66</v>
      </c>
      <c r="AM246" s="352" t="s">
        <v>66</v>
      </c>
      <c r="AN246" s="213" t="s">
        <v>66</v>
      </c>
      <c r="AO246" s="352" t="s">
        <v>66</v>
      </c>
      <c r="AP246" s="213">
        <v>0.2039</v>
      </c>
      <c r="AQ246" s="219">
        <v>-1.2795309408130899</v>
      </c>
      <c r="AR246" s="213" t="s">
        <v>1827</v>
      </c>
      <c r="AU246" s="343"/>
      <c r="AV246" s="343"/>
      <c r="AW246" s="328"/>
      <c r="AX246" s="329"/>
      <c r="AY246" s="328"/>
      <c r="AZ246" s="328"/>
      <c r="BA246" s="330"/>
      <c r="BB246" s="328"/>
      <c r="BC246" s="328"/>
      <c r="BD246" s="328"/>
      <c r="BE246" s="330"/>
      <c r="BF246" s="330"/>
      <c r="BG246" s="344"/>
      <c r="BH246" s="330"/>
      <c r="BI246" s="330"/>
      <c r="BJ246" s="330"/>
      <c r="BK246" s="330"/>
      <c r="BL246" s="330"/>
      <c r="BM246" s="330"/>
      <c r="BN246" s="330"/>
      <c r="BO246" s="330"/>
      <c r="BP246" s="331"/>
      <c r="BQ246" s="332"/>
      <c r="BR246" s="333"/>
    </row>
    <row r="247" spans="2:70" ht="15.75" customHeight="1">
      <c r="B247" s="216" t="s">
        <v>1198</v>
      </c>
      <c r="C247" s="212">
        <v>2614368</v>
      </c>
      <c r="D247" s="223">
        <v>12047839000164</v>
      </c>
      <c r="E247" s="217" t="s">
        <v>28</v>
      </c>
      <c r="F247" s="217" t="s">
        <v>950</v>
      </c>
      <c r="G247" s="217"/>
      <c r="H247" s="218"/>
      <c r="I247" s="217" t="s">
        <v>66</v>
      </c>
      <c r="J247" s="217" t="s">
        <v>66</v>
      </c>
      <c r="K247" s="218" t="s">
        <v>954</v>
      </c>
      <c r="L247" s="212"/>
      <c r="M247" s="250"/>
      <c r="N247" s="239">
        <v>40386</v>
      </c>
      <c r="O247" s="210" t="s">
        <v>123</v>
      </c>
      <c r="P247" s="210" t="s">
        <v>1102</v>
      </c>
      <c r="Q247" s="210" t="s">
        <v>1102</v>
      </c>
      <c r="R247" s="210" t="s">
        <v>1077</v>
      </c>
      <c r="S247" s="210" t="s">
        <v>1078</v>
      </c>
      <c r="T247" s="210" t="s">
        <v>1079</v>
      </c>
      <c r="U247" s="210" t="s">
        <v>65</v>
      </c>
      <c r="V247" s="210" t="s">
        <v>1080</v>
      </c>
      <c r="W247" s="211" t="s">
        <v>1036</v>
      </c>
      <c r="X247" s="211">
        <v>25000</v>
      </c>
      <c r="Y247" s="211">
        <v>5000</v>
      </c>
      <c r="Z247" s="212">
        <v>1000</v>
      </c>
      <c r="AA247" s="240">
        <v>5</v>
      </c>
      <c r="AB247" s="213">
        <v>1.2999999999999999E-2</v>
      </c>
      <c r="AC247" s="213">
        <v>0</v>
      </c>
      <c r="AD247" s="213" t="s">
        <v>113</v>
      </c>
      <c r="AE247" s="213">
        <v>4.5499999999999994E-3</v>
      </c>
      <c r="AF247" s="241">
        <v>4065528.42</v>
      </c>
      <c r="AG247" s="241">
        <v>4065528.42</v>
      </c>
      <c r="AH247" s="213">
        <v>-0.24060000000000001</v>
      </c>
      <c r="AI247" s="352">
        <v>-3.7061000000000002</v>
      </c>
      <c r="AJ247" s="213">
        <v>-0.15229999999999999</v>
      </c>
      <c r="AK247" s="352">
        <v>-1.6192</v>
      </c>
      <c r="AL247" s="213">
        <v>-9.5999999999999992E-3</v>
      </c>
      <c r="AM247" s="352">
        <v>-7.9500000000000001E-2</v>
      </c>
      <c r="AN247" s="213">
        <v>0.36909999999999998</v>
      </c>
      <c r="AO247" s="352">
        <v>2.1903999999999999</v>
      </c>
      <c r="AP247" s="213">
        <v>0.22009999999999999</v>
      </c>
      <c r="AQ247" s="219">
        <v>-1.0499140609096445</v>
      </c>
      <c r="AR247" s="213" t="s">
        <v>1824</v>
      </c>
      <c r="AU247" s="343"/>
      <c r="AV247" s="343"/>
      <c r="AW247" s="328"/>
      <c r="AX247" s="329"/>
      <c r="AY247" s="328"/>
      <c r="AZ247" s="328"/>
      <c r="BA247" s="330"/>
      <c r="BB247" s="328"/>
      <c r="BC247" s="328"/>
      <c r="BD247" s="328"/>
      <c r="BE247" s="330"/>
      <c r="BF247" s="330"/>
      <c r="BG247" s="344"/>
      <c r="BH247" s="330"/>
      <c r="BI247" s="330"/>
      <c r="BJ247" s="330"/>
      <c r="BK247" s="330"/>
      <c r="BL247" s="330"/>
      <c r="BM247" s="330"/>
      <c r="BN247" s="330"/>
      <c r="BO247" s="330"/>
      <c r="BP247" s="331"/>
      <c r="BQ247" s="332"/>
      <c r="BR247" s="333"/>
    </row>
    <row r="248" spans="2:70" ht="15.75" customHeight="1">
      <c r="B248" s="216" t="s">
        <v>218</v>
      </c>
      <c r="C248" s="212">
        <v>781817</v>
      </c>
      <c r="D248" s="223">
        <v>12239939000192</v>
      </c>
      <c r="E248" s="217" t="s">
        <v>28</v>
      </c>
      <c r="F248" s="217" t="s">
        <v>950</v>
      </c>
      <c r="G248" s="217"/>
      <c r="H248" s="218"/>
      <c r="I248" s="217" t="s">
        <v>66</v>
      </c>
      <c r="J248" s="217" t="s">
        <v>66</v>
      </c>
      <c r="K248" s="218" t="s">
        <v>951</v>
      </c>
      <c r="L248" s="212" t="s">
        <v>87</v>
      </c>
      <c r="M248" s="250"/>
      <c r="N248" s="239">
        <v>40808</v>
      </c>
      <c r="O248" s="210" t="s">
        <v>123</v>
      </c>
      <c r="P248" s="210" t="s">
        <v>1102</v>
      </c>
      <c r="Q248" s="210" t="s">
        <v>1102</v>
      </c>
      <c r="R248" s="210" t="s">
        <v>1084</v>
      </c>
      <c r="S248" s="210" t="s">
        <v>1078</v>
      </c>
      <c r="T248" s="210" t="s">
        <v>1079</v>
      </c>
      <c r="U248" s="210" t="s">
        <v>950</v>
      </c>
      <c r="V248" s="210" t="s">
        <v>1080</v>
      </c>
      <c r="W248" s="211" t="s">
        <v>1007</v>
      </c>
      <c r="X248" s="211">
        <v>5000</v>
      </c>
      <c r="Y248" s="211">
        <v>5000</v>
      </c>
      <c r="Z248" s="212">
        <v>0</v>
      </c>
      <c r="AA248" s="240">
        <v>29</v>
      </c>
      <c r="AB248" s="213">
        <v>0.02</v>
      </c>
      <c r="AC248" s="213">
        <v>0.2</v>
      </c>
      <c r="AD248" s="213" t="s">
        <v>1014</v>
      </c>
      <c r="AE248" s="213">
        <v>6.6000000000000008E-3</v>
      </c>
      <c r="AF248" s="241">
        <v>193373485.96000001</v>
      </c>
      <c r="AG248" s="241">
        <v>193373485.96000001</v>
      </c>
      <c r="AH248" s="213">
        <v>2.01E-2</v>
      </c>
      <c r="AI248" s="352">
        <v>0.30890000000000001</v>
      </c>
      <c r="AJ248" s="213">
        <v>-0.17269999999999999</v>
      </c>
      <c r="AK248" s="352">
        <v>-1.8360000000000001</v>
      </c>
      <c r="AL248" s="213">
        <v>-4.3900000000000002E-2</v>
      </c>
      <c r="AM248" s="352">
        <v>-0.36370000000000002</v>
      </c>
      <c r="AN248" s="213">
        <v>-3.5999999999999999E-3</v>
      </c>
      <c r="AO248" s="352">
        <v>-2.1499999999999998E-2</v>
      </c>
      <c r="AP248" s="213">
        <v>0.19750000000000001</v>
      </c>
      <c r="AQ248" s="219">
        <v>-1.3168422901466634</v>
      </c>
      <c r="AR248" s="213" t="s">
        <v>1824</v>
      </c>
      <c r="AU248" s="343"/>
      <c r="AV248" s="343"/>
      <c r="AW248" s="328"/>
      <c r="AX248" s="329"/>
      <c r="AY248" s="328"/>
      <c r="AZ248" s="328"/>
      <c r="BA248" s="330"/>
      <c r="BB248" s="328"/>
      <c r="BC248" s="328"/>
      <c r="BD248" s="328"/>
      <c r="BE248" s="330"/>
      <c r="BF248" s="330"/>
      <c r="BG248" s="344"/>
      <c r="BH248" s="330"/>
      <c r="BI248" s="330"/>
      <c r="BJ248" s="330"/>
      <c r="BK248" s="330"/>
      <c r="BL248" s="330"/>
      <c r="BM248" s="330"/>
      <c r="BN248" s="330"/>
      <c r="BO248" s="330"/>
      <c r="BP248" s="331"/>
      <c r="BQ248" s="332"/>
      <c r="BR248" s="333"/>
    </row>
    <row r="249" spans="2:70" ht="15.75" customHeight="1">
      <c r="B249" s="216" t="s">
        <v>1199</v>
      </c>
      <c r="C249" s="212">
        <v>1239542</v>
      </c>
      <c r="D249" s="223">
        <v>26845868000186</v>
      </c>
      <c r="E249" s="217" t="s">
        <v>25</v>
      </c>
      <c r="F249" s="217" t="s">
        <v>958</v>
      </c>
      <c r="G249" s="217" t="s">
        <v>962</v>
      </c>
      <c r="H249" s="218" t="s">
        <v>66</v>
      </c>
      <c r="I249" s="217" t="s">
        <v>1842</v>
      </c>
      <c r="J249" s="217" t="s">
        <v>66</v>
      </c>
      <c r="K249" s="218"/>
      <c r="L249" s="212" t="s">
        <v>87</v>
      </c>
      <c r="M249" s="250"/>
      <c r="N249" s="239">
        <v>43153</v>
      </c>
      <c r="O249" s="210" t="s">
        <v>123</v>
      </c>
      <c r="P249" s="210" t="s">
        <v>1102</v>
      </c>
      <c r="Q249" s="210" t="s">
        <v>1102</v>
      </c>
      <c r="R249" s="210" t="s">
        <v>1077</v>
      </c>
      <c r="S249" s="210" t="s">
        <v>1078</v>
      </c>
      <c r="T249" s="210" t="s">
        <v>1082</v>
      </c>
      <c r="U249" s="210" t="s">
        <v>65</v>
      </c>
      <c r="V249" s="210" t="s">
        <v>25</v>
      </c>
      <c r="W249" s="211" t="s">
        <v>1028</v>
      </c>
      <c r="X249" s="211">
        <v>5000</v>
      </c>
      <c r="Y249" s="211">
        <v>5000</v>
      </c>
      <c r="Z249" s="212">
        <v>5000</v>
      </c>
      <c r="AA249" s="240">
        <v>5</v>
      </c>
      <c r="AB249" s="213">
        <v>1.515E-2</v>
      </c>
      <c r="AC249" s="213">
        <v>0</v>
      </c>
      <c r="AD249" s="213" t="s">
        <v>113</v>
      </c>
      <c r="AE249" s="213">
        <v>4.0400000000000002E-3</v>
      </c>
      <c r="AF249" s="241">
        <v>39125567.649999999</v>
      </c>
      <c r="AG249" s="241">
        <v>39125567.649999999</v>
      </c>
      <c r="AH249" s="213">
        <v>-7.9600000000000004E-2</v>
      </c>
      <c r="AI249" s="352">
        <v>-1.2258</v>
      </c>
      <c r="AJ249" s="213">
        <v>-3.5700000000000003E-2</v>
      </c>
      <c r="AK249" s="352">
        <v>-0.3795</v>
      </c>
      <c r="AL249" s="213">
        <v>6.5699999999999995E-2</v>
      </c>
      <c r="AM249" s="352">
        <v>0.54369999999999996</v>
      </c>
      <c r="AN249" s="213">
        <v>7.0499999999999993E-2</v>
      </c>
      <c r="AO249" s="352">
        <v>0.41810000000000003</v>
      </c>
      <c r="AP249" s="213">
        <v>7.9699999999999993E-2</v>
      </c>
      <c r="AQ249" s="219">
        <v>-1.5439015081019321</v>
      </c>
      <c r="AR249" s="213" t="s">
        <v>1824</v>
      </c>
      <c r="AU249" s="343"/>
      <c r="AV249" s="343"/>
      <c r="AW249" s="328"/>
      <c r="AX249" s="329"/>
      <c r="AY249" s="328"/>
      <c r="AZ249" s="328"/>
      <c r="BA249" s="330"/>
      <c r="BB249" s="328"/>
      <c r="BC249" s="328"/>
      <c r="BD249" s="328"/>
      <c r="BE249" s="330"/>
      <c r="BF249" s="330"/>
      <c r="BG249" s="344"/>
      <c r="BH249" s="330"/>
      <c r="BI249" s="330"/>
      <c r="BJ249" s="330"/>
      <c r="BK249" s="330"/>
      <c r="BL249" s="330"/>
      <c r="BM249" s="330"/>
      <c r="BN249" s="330"/>
      <c r="BO249" s="330"/>
      <c r="BP249" s="331"/>
      <c r="BQ249" s="332"/>
      <c r="BR249" s="333"/>
    </row>
    <row r="250" spans="2:70" ht="15.75" customHeight="1">
      <c r="B250" s="216" t="s">
        <v>1200</v>
      </c>
      <c r="C250" s="212">
        <v>1107692</v>
      </c>
      <c r="D250" s="223">
        <v>38443033000189</v>
      </c>
      <c r="E250" s="217" t="s">
        <v>19</v>
      </c>
      <c r="F250" s="217" t="s">
        <v>964</v>
      </c>
      <c r="G250" s="217" t="s">
        <v>1042</v>
      </c>
      <c r="H250" s="218" t="s">
        <v>1113</v>
      </c>
      <c r="I250" s="217" t="s">
        <v>66</v>
      </c>
      <c r="J250" s="217"/>
      <c r="K250" s="218" t="s">
        <v>951</v>
      </c>
      <c r="L250" s="212" t="s">
        <v>87</v>
      </c>
      <c r="M250" s="250"/>
      <c r="N250" s="239">
        <v>44244</v>
      </c>
      <c r="O250" s="210" t="s">
        <v>123</v>
      </c>
      <c r="P250" s="210" t="s">
        <v>1102</v>
      </c>
      <c r="Q250" s="210" t="s">
        <v>1102</v>
      </c>
      <c r="R250" s="210" t="s">
        <v>1084</v>
      </c>
      <c r="S250" s="210" t="s">
        <v>1078</v>
      </c>
      <c r="T250" s="210" t="s">
        <v>349</v>
      </c>
      <c r="U250" s="210" t="s">
        <v>964</v>
      </c>
      <c r="V250" s="210" t="s">
        <v>19</v>
      </c>
      <c r="W250" s="211" t="s">
        <v>1024</v>
      </c>
      <c r="X250" s="211">
        <v>1000</v>
      </c>
      <c r="Y250" s="211">
        <v>1000</v>
      </c>
      <c r="Z250" s="212">
        <v>1000</v>
      </c>
      <c r="AA250" s="240">
        <v>30</v>
      </c>
      <c r="AB250" s="213">
        <v>9.7999999999999997E-3</v>
      </c>
      <c r="AC250" s="213">
        <v>0</v>
      </c>
      <c r="AD250" s="213" t="s">
        <v>113</v>
      </c>
      <c r="AE250" s="213">
        <v>2.5999999999999999E-3</v>
      </c>
      <c r="AF250" s="241">
        <v>361158977.43000001</v>
      </c>
      <c r="AG250" s="241">
        <v>361158977.43000001</v>
      </c>
      <c r="AH250" s="213">
        <v>5.1499999999999997E-2</v>
      </c>
      <c r="AI250" s="352">
        <v>0.79310000000000003</v>
      </c>
      <c r="AJ250" s="213">
        <v>7.7399999999999997E-2</v>
      </c>
      <c r="AK250" s="352">
        <v>0.82250000000000001</v>
      </c>
      <c r="AL250" s="213" t="s">
        <v>66</v>
      </c>
      <c r="AM250" s="352" t="s">
        <v>66</v>
      </c>
      <c r="AN250" s="213" t="s">
        <v>66</v>
      </c>
      <c r="AO250" s="352" t="s">
        <v>66</v>
      </c>
      <c r="AP250" s="213">
        <v>3.5499999999999997E-2</v>
      </c>
      <c r="AQ250" s="219">
        <v>-0.41582956469750137</v>
      </c>
      <c r="AR250" s="213" t="s">
        <v>1827</v>
      </c>
      <c r="AU250" s="343"/>
      <c r="AV250" s="343"/>
      <c r="AW250" s="328"/>
      <c r="AX250" s="329"/>
      <c r="AY250" s="328"/>
      <c r="AZ250" s="328"/>
      <c r="BA250" s="330"/>
      <c r="BB250" s="328"/>
      <c r="BC250" s="328"/>
      <c r="BD250" s="328"/>
      <c r="BE250" s="330"/>
      <c r="BF250" s="330"/>
      <c r="BG250" s="344"/>
      <c r="BH250" s="330"/>
      <c r="BI250" s="330"/>
      <c r="BJ250" s="330"/>
      <c r="BK250" s="330"/>
      <c r="BL250" s="330"/>
      <c r="BM250" s="330"/>
      <c r="BN250" s="330"/>
      <c r="BO250" s="330"/>
      <c r="BP250" s="331"/>
      <c r="BQ250" s="332"/>
      <c r="BR250" s="333"/>
    </row>
    <row r="251" spans="2:70" ht="15.75" customHeight="1">
      <c r="B251" s="216" t="s">
        <v>1201</v>
      </c>
      <c r="C251" s="212">
        <v>551975</v>
      </c>
      <c r="D251" s="223">
        <v>5104498000156</v>
      </c>
      <c r="E251" s="217" t="s">
        <v>19</v>
      </c>
      <c r="F251" s="217" t="s">
        <v>964</v>
      </c>
      <c r="G251" s="217" t="s">
        <v>1021</v>
      </c>
      <c r="H251" s="218" t="s">
        <v>1259</v>
      </c>
      <c r="I251" s="217" t="s">
        <v>66</v>
      </c>
      <c r="J251" s="217"/>
      <c r="K251" s="218" t="s">
        <v>951</v>
      </c>
      <c r="L251" s="212" t="s">
        <v>87</v>
      </c>
      <c r="M251" s="250"/>
      <c r="N251" s="239">
        <v>37536</v>
      </c>
      <c r="O251" s="210" t="s">
        <v>123</v>
      </c>
      <c r="P251" s="210" t="s">
        <v>1102</v>
      </c>
      <c r="Q251" s="210" t="s">
        <v>1102</v>
      </c>
      <c r="R251" s="210" t="s">
        <v>1084</v>
      </c>
      <c r="S251" s="210" t="s">
        <v>1078</v>
      </c>
      <c r="T251" s="210" t="s">
        <v>349</v>
      </c>
      <c r="U251" s="210" t="s">
        <v>964</v>
      </c>
      <c r="V251" s="210" t="s">
        <v>19</v>
      </c>
      <c r="W251" s="211" t="s">
        <v>1022</v>
      </c>
      <c r="X251" s="211">
        <v>1000</v>
      </c>
      <c r="Y251" s="211">
        <v>1000</v>
      </c>
      <c r="Z251" s="212">
        <v>1000</v>
      </c>
      <c r="AA251" s="240">
        <v>3</v>
      </c>
      <c r="AB251" s="213">
        <v>5.0000000000000001E-3</v>
      </c>
      <c r="AC251" s="213">
        <v>0</v>
      </c>
      <c r="AD251" s="213" t="s">
        <v>113</v>
      </c>
      <c r="AE251" s="213">
        <v>1.6000000000000001E-3</v>
      </c>
      <c r="AF251" s="241">
        <v>89638887.230000004</v>
      </c>
      <c r="AG251" s="241">
        <v>89638887.230000004</v>
      </c>
      <c r="AH251" s="213">
        <v>2.8899999999999999E-2</v>
      </c>
      <c r="AI251" s="352">
        <v>0.44579999999999997</v>
      </c>
      <c r="AJ251" s="213">
        <v>1.14E-2</v>
      </c>
      <c r="AK251" s="352">
        <v>0.12089999999999999</v>
      </c>
      <c r="AL251" s="213">
        <v>4.1300000000000003E-2</v>
      </c>
      <c r="AM251" s="352">
        <v>0.34150000000000003</v>
      </c>
      <c r="AN251" s="213">
        <v>0.1111</v>
      </c>
      <c r="AO251" s="352">
        <v>0.65900000000000003</v>
      </c>
      <c r="AP251" s="213">
        <v>5.7299999999999997E-2</v>
      </c>
      <c r="AQ251" s="219">
        <v>-1.343014242042915</v>
      </c>
      <c r="AR251" s="213" t="s">
        <v>1824</v>
      </c>
      <c r="AU251" s="343"/>
      <c r="AV251" s="343"/>
      <c r="AW251" s="328"/>
      <c r="AX251" s="329"/>
      <c r="AY251" s="328"/>
      <c r="AZ251" s="328"/>
      <c r="BA251" s="330"/>
      <c r="BB251" s="328"/>
      <c r="BC251" s="328"/>
      <c r="BD251" s="328"/>
      <c r="BE251" s="330"/>
      <c r="BF251" s="330"/>
      <c r="BG251" s="344"/>
      <c r="BH251" s="330"/>
      <c r="BI251" s="330"/>
      <c r="BJ251" s="330"/>
      <c r="BK251" s="330"/>
      <c r="BL251" s="330"/>
      <c r="BM251" s="330"/>
      <c r="BN251" s="330"/>
      <c r="BO251" s="330"/>
      <c r="BP251" s="331"/>
      <c r="BQ251" s="332"/>
      <c r="BR251" s="333"/>
    </row>
    <row r="252" spans="2:70" ht="15.75" customHeight="1">
      <c r="B252" s="216" t="s">
        <v>1202</v>
      </c>
      <c r="C252" s="212">
        <v>823385</v>
      </c>
      <c r="D252" s="223">
        <v>9636393000107</v>
      </c>
      <c r="E252" s="217" t="s">
        <v>19</v>
      </c>
      <c r="F252" s="217" t="s">
        <v>963</v>
      </c>
      <c r="G252" s="217" t="s">
        <v>1021</v>
      </c>
      <c r="H252" s="218" t="s">
        <v>1113</v>
      </c>
      <c r="I252" s="217" t="s">
        <v>66</v>
      </c>
      <c r="J252" s="217"/>
      <c r="K252" s="218" t="s">
        <v>951</v>
      </c>
      <c r="L252" s="212" t="s">
        <v>87</v>
      </c>
      <c r="M252" s="250"/>
      <c r="N252" s="239">
        <v>39706</v>
      </c>
      <c r="O252" s="210" t="s">
        <v>123</v>
      </c>
      <c r="P252" s="210" t="s">
        <v>1102</v>
      </c>
      <c r="Q252" s="210" t="s">
        <v>1102</v>
      </c>
      <c r="R252" s="210" t="s">
        <v>1084</v>
      </c>
      <c r="S252" s="210" t="s">
        <v>1078</v>
      </c>
      <c r="T252" s="210" t="s">
        <v>349</v>
      </c>
      <c r="U252" s="210" t="s">
        <v>1114</v>
      </c>
      <c r="V252" s="210" t="s">
        <v>19</v>
      </c>
      <c r="W252" s="211" t="s">
        <v>1010</v>
      </c>
      <c r="X252" s="211">
        <v>100</v>
      </c>
      <c r="Y252" s="211">
        <v>100</v>
      </c>
      <c r="Z252" s="212">
        <v>100</v>
      </c>
      <c r="AA252" s="240">
        <v>0</v>
      </c>
      <c r="AB252" s="213">
        <v>3.5000000000000001E-3</v>
      </c>
      <c r="AC252" s="213">
        <v>0</v>
      </c>
      <c r="AD252" s="213" t="s">
        <v>109</v>
      </c>
      <c r="AE252" s="213">
        <v>1.1666666666666665E-3</v>
      </c>
      <c r="AF252" s="241">
        <v>2121705750.3199999</v>
      </c>
      <c r="AG252" s="241">
        <v>2121705750.3199999</v>
      </c>
      <c r="AH252" s="213">
        <v>7.0099999999999996E-2</v>
      </c>
      <c r="AI252" s="352">
        <v>1.0790999999999999</v>
      </c>
      <c r="AJ252" s="213">
        <v>0.1103</v>
      </c>
      <c r="AK252" s="352">
        <v>1.1728000000000001</v>
      </c>
      <c r="AL252" s="213">
        <v>0.13400000000000001</v>
      </c>
      <c r="AM252" s="352">
        <v>1.1093999999999999</v>
      </c>
      <c r="AN252" s="213">
        <v>0.16850000000000001</v>
      </c>
      <c r="AO252" s="352">
        <v>0.99970000000000003</v>
      </c>
      <c r="AP252" s="213">
        <v>2E-3</v>
      </c>
      <c r="AQ252" s="219">
        <v>7.4883537980394861</v>
      </c>
      <c r="AR252" s="213" t="s">
        <v>1824</v>
      </c>
      <c r="AU252" s="343"/>
      <c r="AV252" s="343"/>
      <c r="AW252" s="328"/>
      <c r="AX252" s="329"/>
      <c r="AY252" s="328"/>
      <c r="AZ252" s="328"/>
      <c r="BA252" s="330"/>
      <c r="BB252" s="328"/>
      <c r="BC252" s="328"/>
      <c r="BD252" s="328"/>
      <c r="BE252" s="330"/>
      <c r="BF252" s="330"/>
      <c r="BG252" s="344"/>
      <c r="BH252" s="330"/>
      <c r="BI252" s="330"/>
      <c r="BJ252" s="330"/>
      <c r="BK252" s="330"/>
      <c r="BL252" s="330"/>
      <c r="BM252" s="330"/>
      <c r="BN252" s="330"/>
      <c r="BO252" s="330"/>
      <c r="BP252" s="331"/>
      <c r="BQ252" s="332"/>
      <c r="BR252" s="333"/>
    </row>
    <row r="253" spans="2:70" ht="15.75" customHeight="1">
      <c r="B253" s="216" t="s">
        <v>219</v>
      </c>
      <c r="C253" s="212">
        <v>1391241</v>
      </c>
      <c r="D253" s="223">
        <v>30282227000138</v>
      </c>
      <c r="E253" s="217" t="s">
        <v>28</v>
      </c>
      <c r="F253" s="217" t="s">
        <v>950</v>
      </c>
      <c r="G253" s="217"/>
      <c r="H253" s="218"/>
      <c r="I253" s="217" t="s">
        <v>66</v>
      </c>
      <c r="J253" s="217" t="s">
        <v>66</v>
      </c>
      <c r="K253" s="218" t="s">
        <v>951</v>
      </c>
      <c r="L253" s="212" t="s">
        <v>87</v>
      </c>
      <c r="M253" s="250"/>
      <c r="N253" s="239">
        <v>43404</v>
      </c>
      <c r="O253" s="210" t="s">
        <v>123</v>
      </c>
      <c r="P253" s="210" t="s">
        <v>1102</v>
      </c>
      <c r="Q253" s="210" t="s">
        <v>1102</v>
      </c>
      <c r="R253" s="210" t="s">
        <v>1084</v>
      </c>
      <c r="S253" s="210" t="s">
        <v>1078</v>
      </c>
      <c r="T253" s="210" t="s">
        <v>1079</v>
      </c>
      <c r="U253" s="210" t="s">
        <v>950</v>
      </c>
      <c r="V253" s="210" t="s">
        <v>1080</v>
      </c>
      <c r="W253" s="211" t="s">
        <v>1007</v>
      </c>
      <c r="X253" s="211">
        <v>1000</v>
      </c>
      <c r="Y253" s="211">
        <v>1000</v>
      </c>
      <c r="Z253" s="212">
        <v>1000</v>
      </c>
      <c r="AA253" s="240">
        <v>32</v>
      </c>
      <c r="AB253" s="213">
        <v>1.2500000000000001E-2</v>
      </c>
      <c r="AC253" s="213">
        <v>0.1</v>
      </c>
      <c r="AD253" s="213" t="s">
        <v>1014</v>
      </c>
      <c r="AE253" s="213">
        <v>3.3333333333333335E-3</v>
      </c>
      <c r="AF253" s="241">
        <v>132356887.69</v>
      </c>
      <c r="AG253" s="241">
        <v>132356887.69</v>
      </c>
      <c r="AH253" s="213">
        <v>-2.2800000000000001E-2</v>
      </c>
      <c r="AI253" s="352">
        <v>-0.35120000000000001</v>
      </c>
      <c r="AJ253" s="213">
        <v>-0.23769999999999999</v>
      </c>
      <c r="AK253" s="352">
        <v>-2.5268999999999999</v>
      </c>
      <c r="AL253" s="213">
        <v>-0.128</v>
      </c>
      <c r="AM253" s="352">
        <v>-1.0599000000000001</v>
      </c>
      <c r="AN253" s="213">
        <v>-8.0500000000000002E-2</v>
      </c>
      <c r="AO253" s="352">
        <v>-0.47760000000000002</v>
      </c>
      <c r="AP253" s="213">
        <v>0.20230000000000001</v>
      </c>
      <c r="AQ253" s="219">
        <v>-1.6850280175736665</v>
      </c>
      <c r="AR253" s="213" t="s">
        <v>1824</v>
      </c>
      <c r="AU253" s="343"/>
      <c r="AV253" s="343"/>
      <c r="AW253" s="328"/>
      <c r="AX253" s="329"/>
      <c r="AY253" s="328"/>
      <c r="AZ253" s="328"/>
      <c r="BA253" s="330"/>
      <c r="BB253" s="328"/>
      <c r="BC253" s="328"/>
      <c r="BD253" s="328"/>
      <c r="BE253" s="330"/>
      <c r="BF253" s="330"/>
      <c r="BG253" s="344"/>
      <c r="BH253" s="330"/>
      <c r="BI253" s="330"/>
      <c r="BJ253" s="330"/>
      <c r="BK253" s="330"/>
      <c r="BL253" s="330"/>
      <c r="BM253" s="330"/>
      <c r="BN253" s="330"/>
      <c r="BO253" s="330"/>
      <c r="BP253" s="331"/>
      <c r="BQ253" s="332"/>
      <c r="BR253" s="333"/>
    </row>
    <row r="254" spans="2:70" ht="15.75" customHeight="1">
      <c r="B254" s="216" t="s">
        <v>220</v>
      </c>
      <c r="C254" s="212">
        <v>551978</v>
      </c>
      <c r="D254" s="223">
        <v>7965741000156</v>
      </c>
      <c r="E254" s="217" t="s">
        <v>25</v>
      </c>
      <c r="F254" s="217" t="s">
        <v>958</v>
      </c>
      <c r="G254" s="217" t="s">
        <v>962</v>
      </c>
      <c r="H254" s="218" t="s">
        <v>66</v>
      </c>
      <c r="I254" s="217" t="s">
        <v>1841</v>
      </c>
      <c r="J254" s="217" t="s">
        <v>66</v>
      </c>
      <c r="K254" s="218"/>
      <c r="L254" s="212" t="s">
        <v>87</v>
      </c>
      <c r="M254" s="250"/>
      <c r="N254" s="239">
        <v>38939</v>
      </c>
      <c r="O254" s="210" t="s">
        <v>123</v>
      </c>
      <c r="P254" s="210" t="s">
        <v>1102</v>
      </c>
      <c r="Q254" s="210" t="s">
        <v>1102</v>
      </c>
      <c r="R254" s="210" t="s">
        <v>1077</v>
      </c>
      <c r="S254" s="210" t="s">
        <v>1078</v>
      </c>
      <c r="T254" s="210" t="s">
        <v>1082</v>
      </c>
      <c r="U254" s="210" t="s">
        <v>958</v>
      </c>
      <c r="V254" s="210" t="s">
        <v>25</v>
      </c>
      <c r="W254" s="211" t="s">
        <v>1016</v>
      </c>
      <c r="X254" s="211">
        <v>5000</v>
      </c>
      <c r="Y254" s="211">
        <v>5000</v>
      </c>
      <c r="Z254" s="212">
        <v>0</v>
      </c>
      <c r="AA254" s="240">
        <v>31</v>
      </c>
      <c r="AB254" s="213">
        <v>7.0000000000000001E-3</v>
      </c>
      <c r="AC254" s="213">
        <v>0.2</v>
      </c>
      <c r="AD254" s="213" t="s">
        <v>109</v>
      </c>
      <c r="AE254" s="213">
        <v>1.8666666666666666E-3</v>
      </c>
      <c r="AF254" s="241">
        <v>155418348.84</v>
      </c>
      <c r="AG254" s="241">
        <v>155418348.84</v>
      </c>
      <c r="AH254" s="213">
        <v>7.9600000000000004E-2</v>
      </c>
      <c r="AI254" s="352">
        <v>1.2259</v>
      </c>
      <c r="AJ254" s="213">
        <v>9.4200000000000006E-2</v>
      </c>
      <c r="AK254" s="352">
        <v>1.0008999999999999</v>
      </c>
      <c r="AL254" s="213">
        <v>0.1537</v>
      </c>
      <c r="AM254" s="352">
        <v>1.2724</v>
      </c>
      <c r="AN254" s="213">
        <v>0.22789999999999999</v>
      </c>
      <c r="AO254" s="352">
        <v>1.3526</v>
      </c>
      <c r="AP254" s="213">
        <v>3.2599999999999997E-2</v>
      </c>
      <c r="AQ254" s="219">
        <v>1.8689722537973623E-2</v>
      </c>
      <c r="AR254" s="213" t="s">
        <v>1827</v>
      </c>
      <c r="AU254" s="343"/>
      <c r="AV254" s="343"/>
      <c r="AW254" s="328"/>
      <c r="AX254" s="329"/>
      <c r="AY254" s="328"/>
      <c r="AZ254" s="328"/>
      <c r="BA254" s="330"/>
      <c r="BB254" s="328"/>
      <c r="BC254" s="328"/>
      <c r="BD254" s="328"/>
      <c r="BE254" s="330"/>
      <c r="BF254" s="330"/>
      <c r="BG254" s="344"/>
      <c r="BH254" s="330"/>
      <c r="BI254" s="330"/>
      <c r="BJ254" s="330"/>
      <c r="BK254" s="330"/>
      <c r="BL254" s="330"/>
      <c r="BM254" s="330"/>
      <c r="BN254" s="330"/>
      <c r="BO254" s="330"/>
      <c r="BP254" s="331"/>
      <c r="BQ254" s="332"/>
      <c r="BR254" s="333"/>
    </row>
    <row r="255" spans="2:70" ht="15.75" customHeight="1">
      <c r="B255" s="216" t="s">
        <v>1203</v>
      </c>
      <c r="C255" s="212">
        <v>535154</v>
      </c>
      <c r="D255" s="223">
        <v>2539921000152</v>
      </c>
      <c r="E255" s="217" t="s">
        <v>19</v>
      </c>
      <c r="F255" s="217" t="s">
        <v>963</v>
      </c>
      <c r="G255" s="217" t="s">
        <v>1011</v>
      </c>
      <c r="H255" s="218" t="s">
        <v>1113</v>
      </c>
      <c r="I255" s="217" t="s">
        <v>66</v>
      </c>
      <c r="J255" s="217" t="s">
        <v>1794</v>
      </c>
      <c r="K255" s="218" t="s">
        <v>951</v>
      </c>
      <c r="L255" s="212" t="s">
        <v>87</v>
      </c>
      <c r="M255" s="250"/>
      <c r="N255" s="239">
        <v>35971</v>
      </c>
      <c r="O255" s="210" t="s">
        <v>123</v>
      </c>
      <c r="P255" s="210" t="s">
        <v>1102</v>
      </c>
      <c r="Q255" s="210" t="s">
        <v>1102</v>
      </c>
      <c r="R255" s="210" t="s">
        <v>1084</v>
      </c>
      <c r="S255" s="210" t="s">
        <v>1078</v>
      </c>
      <c r="T255" s="210" t="s">
        <v>349</v>
      </c>
      <c r="U255" s="210" t="s">
        <v>1114</v>
      </c>
      <c r="V255" s="210" t="s">
        <v>19</v>
      </c>
      <c r="W255" s="211" t="s">
        <v>1010</v>
      </c>
      <c r="X255" s="211">
        <v>300</v>
      </c>
      <c r="Y255" s="211">
        <v>100</v>
      </c>
      <c r="Z255" s="212">
        <v>100</v>
      </c>
      <c r="AA255" s="240">
        <v>1</v>
      </c>
      <c r="AB255" s="213">
        <v>5.1999999999999998E-3</v>
      </c>
      <c r="AC255" s="213">
        <v>0</v>
      </c>
      <c r="AD255" s="213" t="s">
        <v>113</v>
      </c>
      <c r="AE255" s="213">
        <v>1.6639999999999999E-3</v>
      </c>
      <c r="AF255" s="241">
        <v>181606724.94999999</v>
      </c>
      <c r="AG255" s="241">
        <v>181606724.94999999</v>
      </c>
      <c r="AH255" s="213">
        <v>6.6600000000000006E-2</v>
      </c>
      <c r="AI255" s="352">
        <v>1.0250999999999999</v>
      </c>
      <c r="AJ255" s="213">
        <v>9.1700000000000004E-2</v>
      </c>
      <c r="AK255" s="352">
        <v>0.97499999999999998</v>
      </c>
      <c r="AL255" s="213">
        <v>0.1225</v>
      </c>
      <c r="AM255" s="352">
        <v>1.0138</v>
      </c>
      <c r="AN255" s="213">
        <v>0.17150000000000001</v>
      </c>
      <c r="AO255" s="352">
        <v>1.0177</v>
      </c>
      <c r="AP255" s="213">
        <v>7.9000000000000008E-3</v>
      </c>
      <c r="AQ255" s="219">
        <v>-0.26771885502910381</v>
      </c>
      <c r="AR255" s="213" t="s">
        <v>1824</v>
      </c>
      <c r="AU255" s="343"/>
      <c r="AV255" s="343"/>
      <c r="AW255" s="328"/>
      <c r="AX255" s="329"/>
      <c r="AY255" s="328"/>
      <c r="AZ255" s="328"/>
      <c r="BA255" s="330"/>
      <c r="BB255" s="328"/>
      <c r="BC255" s="328"/>
      <c r="BD255" s="328"/>
      <c r="BE255" s="330"/>
      <c r="BF255" s="330"/>
      <c r="BG255" s="344"/>
      <c r="BH255" s="330"/>
      <c r="BI255" s="330"/>
      <c r="BJ255" s="330"/>
      <c r="BK255" s="330"/>
      <c r="BL255" s="330"/>
      <c r="BM255" s="330"/>
      <c r="BN255" s="330"/>
      <c r="BO255" s="330"/>
      <c r="BP255" s="331"/>
      <c r="BQ255" s="332"/>
      <c r="BR255" s="333"/>
    </row>
    <row r="256" spans="2:70" ht="15.75" customHeight="1">
      <c r="B256" s="216" t="s">
        <v>1204</v>
      </c>
      <c r="C256" s="212">
        <v>915881</v>
      </c>
      <c r="D256" s="223">
        <v>21185984000100</v>
      </c>
      <c r="E256" s="217" t="s">
        <v>19</v>
      </c>
      <c r="F256" s="217" t="s">
        <v>963</v>
      </c>
      <c r="G256" s="217" t="s">
        <v>1011</v>
      </c>
      <c r="H256" s="218" t="s">
        <v>1113</v>
      </c>
      <c r="I256" s="217" t="s">
        <v>66</v>
      </c>
      <c r="J256" s="217"/>
      <c r="K256" s="218" t="s">
        <v>951</v>
      </c>
      <c r="L256" s="212" t="s">
        <v>87</v>
      </c>
      <c r="M256" s="250"/>
      <c r="N256" s="239">
        <v>42003</v>
      </c>
      <c r="O256" s="210" t="s">
        <v>123</v>
      </c>
      <c r="P256" s="210" t="s">
        <v>1102</v>
      </c>
      <c r="Q256" s="210" t="s">
        <v>1102</v>
      </c>
      <c r="R256" s="210" t="s">
        <v>1084</v>
      </c>
      <c r="S256" s="210" t="s">
        <v>1078</v>
      </c>
      <c r="T256" s="210" t="s">
        <v>349</v>
      </c>
      <c r="U256" s="210" t="s">
        <v>1114</v>
      </c>
      <c r="V256" s="210" t="s">
        <v>19</v>
      </c>
      <c r="W256" s="211" t="s">
        <v>1026</v>
      </c>
      <c r="X256" s="211">
        <v>5000</v>
      </c>
      <c r="Y256" s="211">
        <v>5000</v>
      </c>
      <c r="Z256" s="212">
        <v>5000</v>
      </c>
      <c r="AA256" s="240">
        <v>10</v>
      </c>
      <c r="AB256" s="213">
        <v>4.0000000000000001E-3</v>
      </c>
      <c r="AC256" s="213">
        <v>0</v>
      </c>
      <c r="AD256" s="213" t="s">
        <v>113</v>
      </c>
      <c r="AE256" s="213">
        <v>1.2800000000000001E-3</v>
      </c>
      <c r="AF256" s="241">
        <v>610607843.13999999</v>
      </c>
      <c r="AG256" s="241">
        <v>610607843.13999999</v>
      </c>
      <c r="AH256" s="213">
        <v>7.2999999999999995E-2</v>
      </c>
      <c r="AI256" s="352">
        <v>1.1238999999999999</v>
      </c>
      <c r="AJ256" s="213">
        <v>0.1125</v>
      </c>
      <c r="AK256" s="352">
        <v>1.1954</v>
      </c>
      <c r="AL256" s="213">
        <v>0.16250000000000001</v>
      </c>
      <c r="AM256" s="352">
        <v>1.345</v>
      </c>
      <c r="AN256" s="213">
        <v>0.1757</v>
      </c>
      <c r="AO256" s="352">
        <v>1.0426</v>
      </c>
      <c r="AP256" s="213">
        <v>3.3E-3</v>
      </c>
      <c r="AQ256" s="219">
        <v>5.0826523455391523</v>
      </c>
      <c r="AR256" s="213" t="s">
        <v>1827</v>
      </c>
      <c r="AU256" s="343"/>
      <c r="AV256" s="343"/>
      <c r="AW256" s="328"/>
      <c r="AX256" s="329"/>
      <c r="AY256" s="328"/>
      <c r="AZ256" s="328"/>
      <c r="BA256" s="330"/>
      <c r="BB256" s="328"/>
      <c r="BC256" s="328"/>
      <c r="BD256" s="328"/>
      <c r="BE256" s="330"/>
      <c r="BF256" s="330"/>
      <c r="BG256" s="344"/>
      <c r="BH256" s="330"/>
      <c r="BI256" s="330"/>
      <c r="BJ256" s="330"/>
      <c r="BK256" s="330"/>
      <c r="BL256" s="330"/>
      <c r="BM256" s="330"/>
      <c r="BN256" s="330"/>
      <c r="BO256" s="330"/>
      <c r="BP256" s="331"/>
      <c r="BQ256" s="332"/>
      <c r="BR256" s="333"/>
    </row>
    <row r="257" spans="2:70" ht="15.75" customHeight="1">
      <c r="B257" s="216" t="s">
        <v>221</v>
      </c>
      <c r="C257" s="212">
        <v>597964</v>
      </c>
      <c r="D257" s="223">
        <v>11108013000103</v>
      </c>
      <c r="E257" s="217" t="s">
        <v>28</v>
      </c>
      <c r="F257" s="217" t="s">
        <v>950</v>
      </c>
      <c r="G257" s="217"/>
      <c r="H257" s="218"/>
      <c r="I257" s="217" t="s">
        <v>66</v>
      </c>
      <c r="J257" s="217" t="s">
        <v>66</v>
      </c>
      <c r="K257" s="218" t="s">
        <v>951</v>
      </c>
      <c r="L257" s="212" t="s">
        <v>87</v>
      </c>
      <c r="M257" s="250"/>
      <c r="N257" s="239">
        <v>40115</v>
      </c>
      <c r="O257" s="210" t="s">
        <v>123</v>
      </c>
      <c r="P257" s="210" t="s">
        <v>1102</v>
      </c>
      <c r="Q257" s="210" t="s">
        <v>1102</v>
      </c>
      <c r="R257" s="210" t="s">
        <v>1084</v>
      </c>
      <c r="S257" s="210" t="s">
        <v>1078</v>
      </c>
      <c r="T257" s="210" t="s">
        <v>1079</v>
      </c>
      <c r="U257" s="210" t="s">
        <v>950</v>
      </c>
      <c r="V257" s="210" t="s">
        <v>1080</v>
      </c>
      <c r="W257" s="211" t="s">
        <v>1030</v>
      </c>
      <c r="X257" s="211">
        <v>5000</v>
      </c>
      <c r="Y257" s="211">
        <v>1000</v>
      </c>
      <c r="Z257" s="212">
        <v>1000</v>
      </c>
      <c r="AA257" s="240">
        <v>7</v>
      </c>
      <c r="AB257" s="213">
        <v>0.02</v>
      </c>
      <c r="AC257" s="213">
        <v>0.2</v>
      </c>
      <c r="AD257" s="213" t="s">
        <v>1157</v>
      </c>
      <c r="AE257" s="213">
        <v>6.6000000000000008E-3</v>
      </c>
      <c r="AF257" s="241">
        <v>313909231.31</v>
      </c>
      <c r="AG257" s="241">
        <v>313909231.31</v>
      </c>
      <c r="AH257" s="213">
        <v>-0.1087</v>
      </c>
      <c r="AI257" s="352">
        <v>-1.6737</v>
      </c>
      <c r="AJ257" s="213">
        <v>-0.30080000000000001</v>
      </c>
      <c r="AK257" s="352">
        <v>-3.1972</v>
      </c>
      <c r="AL257" s="213">
        <v>-0.13089999999999999</v>
      </c>
      <c r="AM257" s="352">
        <v>-1.0837000000000001</v>
      </c>
      <c r="AN257" s="213">
        <v>-7.3400000000000007E-2</v>
      </c>
      <c r="AO257" s="352">
        <v>-0.4355</v>
      </c>
      <c r="AP257" s="213">
        <v>0.26629999999999998</v>
      </c>
      <c r="AQ257" s="219">
        <v>-1.5473476140790972</v>
      </c>
      <c r="AR257" s="213" t="s">
        <v>1824</v>
      </c>
      <c r="AU257" s="343"/>
      <c r="AV257" s="343"/>
      <c r="AW257" s="328"/>
      <c r="AX257" s="329"/>
      <c r="AY257" s="328"/>
      <c r="AZ257" s="328"/>
      <c r="BA257" s="330"/>
      <c r="BB257" s="328"/>
      <c r="BC257" s="328"/>
      <c r="BD257" s="328"/>
      <c r="BE257" s="330"/>
      <c r="BF257" s="330"/>
      <c r="BG257" s="344"/>
      <c r="BH257" s="330"/>
      <c r="BI257" s="330"/>
      <c r="BJ257" s="330"/>
      <c r="BK257" s="330"/>
      <c r="BL257" s="330"/>
      <c r="BM257" s="330"/>
      <c r="BN257" s="330"/>
      <c r="BO257" s="330"/>
      <c r="BP257" s="331"/>
      <c r="BQ257" s="332"/>
      <c r="BR257" s="333"/>
    </row>
    <row r="258" spans="2:70" ht="15.75" customHeight="1">
      <c r="B258" s="216" t="s">
        <v>772</v>
      </c>
      <c r="C258" s="212">
        <v>565683</v>
      </c>
      <c r="D258" s="223">
        <v>9636619000161</v>
      </c>
      <c r="E258" s="217" t="s">
        <v>19</v>
      </c>
      <c r="F258" s="217" t="s">
        <v>963</v>
      </c>
      <c r="G258" s="217" t="s">
        <v>1011</v>
      </c>
      <c r="H258" s="218" t="s">
        <v>1113</v>
      </c>
      <c r="I258" s="217" t="s">
        <v>66</v>
      </c>
      <c r="J258" s="217" t="s">
        <v>1794</v>
      </c>
      <c r="K258" s="218" t="s">
        <v>951</v>
      </c>
      <c r="L258" s="212" t="s">
        <v>87</v>
      </c>
      <c r="M258" s="250"/>
      <c r="N258" s="239">
        <v>39731</v>
      </c>
      <c r="O258" s="210" t="s">
        <v>123</v>
      </c>
      <c r="P258" s="210" t="s">
        <v>1102</v>
      </c>
      <c r="Q258" s="210" t="s">
        <v>1102</v>
      </c>
      <c r="R258" s="210" t="s">
        <v>1084</v>
      </c>
      <c r="S258" s="210" t="s">
        <v>1078</v>
      </c>
      <c r="T258" s="210" t="s">
        <v>349</v>
      </c>
      <c r="U258" s="210" t="s">
        <v>1114</v>
      </c>
      <c r="V258" s="210" t="s">
        <v>19</v>
      </c>
      <c r="W258" s="211" t="s">
        <v>1033</v>
      </c>
      <c r="X258" s="211">
        <v>1000</v>
      </c>
      <c r="Y258" s="211">
        <v>200</v>
      </c>
      <c r="Z258" s="212">
        <v>0</v>
      </c>
      <c r="AA258" s="240">
        <v>0</v>
      </c>
      <c r="AB258" s="213">
        <v>2.2000000000000001E-3</v>
      </c>
      <c r="AC258" s="213">
        <v>0</v>
      </c>
      <c r="AD258" s="213" t="s">
        <v>109</v>
      </c>
      <c r="AE258" s="213">
        <v>5.8666666666666665E-4</v>
      </c>
      <c r="AF258" s="241">
        <v>626435172.21000004</v>
      </c>
      <c r="AG258" s="241">
        <v>626435172.21000004</v>
      </c>
      <c r="AH258" s="213">
        <v>6.4299999999999996E-2</v>
      </c>
      <c r="AI258" s="352">
        <v>0.99050000000000005</v>
      </c>
      <c r="AJ258" s="213">
        <v>9.35E-2</v>
      </c>
      <c r="AK258" s="352">
        <v>0.99370000000000003</v>
      </c>
      <c r="AL258" s="213">
        <v>0.1157</v>
      </c>
      <c r="AM258" s="352">
        <v>0.95779999999999998</v>
      </c>
      <c r="AN258" s="213">
        <v>0.159</v>
      </c>
      <c r="AO258" s="352">
        <v>0.94359999999999999</v>
      </c>
      <c r="AP258" s="213">
        <v>1.6000000000000001E-3</v>
      </c>
      <c r="AQ258" s="219">
        <v>-0.33349521737984827</v>
      </c>
      <c r="AR258" s="213" t="s">
        <v>1827</v>
      </c>
      <c r="AU258" s="343"/>
      <c r="AV258" s="343"/>
      <c r="AW258" s="328"/>
      <c r="AX258" s="329"/>
      <c r="AY258" s="328"/>
      <c r="AZ258" s="328"/>
      <c r="BA258" s="330"/>
      <c r="BB258" s="328"/>
      <c r="BC258" s="328"/>
      <c r="BD258" s="328"/>
      <c r="BE258" s="330"/>
      <c r="BF258" s="330"/>
      <c r="BG258" s="344"/>
      <c r="BH258" s="330"/>
      <c r="BI258" s="330"/>
      <c r="BJ258" s="330"/>
      <c r="BK258" s="330"/>
      <c r="BL258" s="330"/>
      <c r="BM258" s="330"/>
      <c r="BN258" s="330"/>
      <c r="BO258" s="330"/>
      <c r="BP258" s="331"/>
      <c r="BQ258" s="332"/>
      <c r="BR258" s="333"/>
    </row>
    <row r="259" spans="2:70" ht="15.75" customHeight="1">
      <c r="B259" s="216" t="s">
        <v>1205</v>
      </c>
      <c r="C259" s="212">
        <v>547141</v>
      </c>
      <c r="D259" s="223">
        <v>5862906000139</v>
      </c>
      <c r="E259" s="217" t="s">
        <v>19</v>
      </c>
      <c r="F259" s="217" t="s">
        <v>963</v>
      </c>
      <c r="G259" s="217" t="s">
        <v>1011</v>
      </c>
      <c r="H259" s="218" t="s">
        <v>1113</v>
      </c>
      <c r="I259" s="217" t="s">
        <v>66</v>
      </c>
      <c r="J259" s="217"/>
      <c r="K259" s="218" t="s">
        <v>951</v>
      </c>
      <c r="L259" s="212" t="s">
        <v>87</v>
      </c>
      <c r="M259" s="250"/>
      <c r="N259" s="239">
        <v>38502</v>
      </c>
      <c r="O259" s="210" t="s">
        <v>123</v>
      </c>
      <c r="P259" s="210" t="s">
        <v>1102</v>
      </c>
      <c r="Q259" s="210" t="s">
        <v>1102</v>
      </c>
      <c r="R259" s="210" t="s">
        <v>1084</v>
      </c>
      <c r="S259" s="210" t="s">
        <v>1078</v>
      </c>
      <c r="T259" s="210" t="s">
        <v>349</v>
      </c>
      <c r="U259" s="210" t="s">
        <v>1114</v>
      </c>
      <c r="V259" s="210" t="s">
        <v>19</v>
      </c>
      <c r="W259" s="211" t="s">
        <v>1010</v>
      </c>
      <c r="X259" s="211">
        <v>5000</v>
      </c>
      <c r="Y259" s="211">
        <v>200</v>
      </c>
      <c r="Z259" s="212">
        <v>0</v>
      </c>
      <c r="AA259" s="240">
        <v>1</v>
      </c>
      <c r="AB259" s="213">
        <v>3.3999999999999998E-3</v>
      </c>
      <c r="AC259" s="213">
        <v>0</v>
      </c>
      <c r="AD259" s="213" t="s">
        <v>113</v>
      </c>
      <c r="AE259" s="213">
        <v>1.088E-3</v>
      </c>
      <c r="AF259" s="241">
        <v>446011281.17000002</v>
      </c>
      <c r="AG259" s="241">
        <v>446011281.17000002</v>
      </c>
      <c r="AH259" s="213">
        <v>7.0499999999999993E-2</v>
      </c>
      <c r="AI259" s="352">
        <v>1.0851999999999999</v>
      </c>
      <c r="AJ259" s="213">
        <v>0.10589999999999999</v>
      </c>
      <c r="AK259" s="352">
        <v>1.1261000000000001</v>
      </c>
      <c r="AL259" s="213">
        <v>0.14380000000000001</v>
      </c>
      <c r="AM259" s="352">
        <v>1.19</v>
      </c>
      <c r="AN259" s="213">
        <v>0.17399999999999999</v>
      </c>
      <c r="AO259" s="352">
        <v>1.0325</v>
      </c>
      <c r="AP259" s="213">
        <v>1.6999999999999999E-3</v>
      </c>
      <c r="AQ259" s="219">
        <v>6.1845846657163985</v>
      </c>
      <c r="AR259" s="213" t="s">
        <v>1827</v>
      </c>
      <c r="AU259" s="343"/>
      <c r="AV259" s="343"/>
      <c r="AW259" s="328"/>
      <c r="AX259" s="329"/>
      <c r="AY259" s="328"/>
      <c r="AZ259" s="328"/>
      <c r="BA259" s="330"/>
      <c r="BB259" s="328"/>
      <c r="BC259" s="328"/>
      <c r="BD259" s="328"/>
      <c r="BE259" s="330"/>
      <c r="BF259" s="330"/>
      <c r="BG259" s="344"/>
      <c r="BH259" s="330"/>
      <c r="BI259" s="330"/>
      <c r="BJ259" s="330"/>
      <c r="BK259" s="330"/>
      <c r="BL259" s="330"/>
      <c r="BM259" s="330"/>
      <c r="BN259" s="330"/>
      <c r="BO259" s="330"/>
      <c r="BP259" s="331"/>
      <c r="BQ259" s="332"/>
      <c r="BR259" s="333"/>
    </row>
    <row r="260" spans="2:70" ht="15.75" customHeight="1">
      <c r="B260" s="216" t="s">
        <v>223</v>
      </c>
      <c r="C260" s="212">
        <v>537267</v>
      </c>
      <c r="D260" s="223">
        <v>15390811000113</v>
      </c>
      <c r="E260" s="217" t="s">
        <v>28</v>
      </c>
      <c r="F260" s="217" t="s">
        <v>950</v>
      </c>
      <c r="G260" s="217"/>
      <c r="H260" s="218"/>
      <c r="I260" s="217" t="s">
        <v>66</v>
      </c>
      <c r="J260" s="217" t="s">
        <v>66</v>
      </c>
      <c r="K260" s="218" t="s">
        <v>951</v>
      </c>
      <c r="L260" s="212" t="s">
        <v>87</v>
      </c>
      <c r="M260" s="250"/>
      <c r="N260" s="239">
        <v>41059</v>
      </c>
      <c r="O260" s="210" t="s">
        <v>222</v>
      </c>
      <c r="P260" s="210" t="s">
        <v>1090</v>
      </c>
      <c r="Q260" s="210" t="s">
        <v>1091</v>
      </c>
      <c r="R260" s="210" t="s">
        <v>1084</v>
      </c>
      <c r="S260" s="210" t="s">
        <v>1085</v>
      </c>
      <c r="T260" s="210" t="s">
        <v>1079</v>
      </c>
      <c r="U260" s="210" t="s">
        <v>950</v>
      </c>
      <c r="V260" s="210" t="s">
        <v>1080</v>
      </c>
      <c r="W260" s="211" t="s">
        <v>1013</v>
      </c>
      <c r="X260" s="211">
        <v>1000</v>
      </c>
      <c r="Y260" s="211">
        <v>1000</v>
      </c>
      <c r="Z260" s="212">
        <v>1000</v>
      </c>
      <c r="AA260" s="240">
        <v>32</v>
      </c>
      <c r="AB260" s="213">
        <v>2.5999999999999999E-2</v>
      </c>
      <c r="AC260" s="213">
        <v>0.2</v>
      </c>
      <c r="AD260" s="213" t="s">
        <v>1014</v>
      </c>
      <c r="AE260" s="213">
        <v>4.0000000000000001E-3</v>
      </c>
      <c r="AF260" s="241">
        <v>84142042.040000007</v>
      </c>
      <c r="AG260" s="241">
        <v>84142042.040000007</v>
      </c>
      <c r="AH260" s="213">
        <v>-0.1946</v>
      </c>
      <c r="AI260" s="352">
        <v>-2.9967999999999999</v>
      </c>
      <c r="AJ260" s="213">
        <v>-0.44819999999999999</v>
      </c>
      <c r="AK260" s="352">
        <v>-4.7636000000000003</v>
      </c>
      <c r="AL260" s="213">
        <v>-0.26340000000000002</v>
      </c>
      <c r="AM260" s="352">
        <v>-2.1806999999999999</v>
      </c>
      <c r="AN260" s="213">
        <v>-0.11609999999999999</v>
      </c>
      <c r="AO260" s="352">
        <v>-0.68879999999999997</v>
      </c>
      <c r="AP260" s="213">
        <v>0.27979999999999999</v>
      </c>
      <c r="AQ260" s="219">
        <v>-2.3041020064910578</v>
      </c>
      <c r="AR260" s="213" t="s">
        <v>1827</v>
      </c>
      <c r="AU260" s="343"/>
      <c r="AV260" s="343"/>
      <c r="AW260" s="328"/>
      <c r="AX260" s="329"/>
      <c r="AY260" s="328"/>
      <c r="AZ260" s="328"/>
      <c r="BA260" s="330"/>
      <c r="BB260" s="328"/>
      <c r="BC260" s="328"/>
      <c r="BD260" s="328"/>
      <c r="BE260" s="330"/>
      <c r="BF260" s="330"/>
      <c r="BG260" s="344"/>
      <c r="BH260" s="330"/>
      <c r="BI260" s="330"/>
      <c r="BJ260" s="330"/>
      <c r="BK260" s="330"/>
      <c r="BL260" s="330"/>
      <c r="BM260" s="330"/>
      <c r="BN260" s="330"/>
      <c r="BO260" s="330"/>
      <c r="BP260" s="331"/>
      <c r="BQ260" s="332"/>
      <c r="BR260" s="333"/>
    </row>
    <row r="261" spans="2:70" ht="15.75" customHeight="1">
      <c r="B261" s="216" t="s">
        <v>224</v>
      </c>
      <c r="C261" s="212">
        <v>2153646</v>
      </c>
      <c r="D261" s="223">
        <v>8323402000139</v>
      </c>
      <c r="E261" s="217" t="s">
        <v>28</v>
      </c>
      <c r="F261" s="217" t="s">
        <v>950</v>
      </c>
      <c r="G261" s="217"/>
      <c r="H261" s="218"/>
      <c r="I261" s="217" t="s">
        <v>66</v>
      </c>
      <c r="J261" s="217" t="s">
        <v>66</v>
      </c>
      <c r="K261" s="218" t="s">
        <v>951</v>
      </c>
      <c r="L261" s="212" t="s">
        <v>87</v>
      </c>
      <c r="M261" s="250"/>
      <c r="N261" s="239">
        <v>39637</v>
      </c>
      <c r="O261" s="210" t="s">
        <v>222</v>
      </c>
      <c r="P261" s="210" t="s">
        <v>1090</v>
      </c>
      <c r="Q261" s="210" t="s">
        <v>1089</v>
      </c>
      <c r="R261" s="210" t="s">
        <v>1084</v>
      </c>
      <c r="S261" s="210" t="s">
        <v>1085</v>
      </c>
      <c r="T261" s="210" t="s">
        <v>1079</v>
      </c>
      <c r="U261" s="210" t="s">
        <v>950</v>
      </c>
      <c r="V261" s="210" t="s">
        <v>1080</v>
      </c>
      <c r="W261" s="211" t="s">
        <v>1013</v>
      </c>
      <c r="X261" s="211">
        <v>150000</v>
      </c>
      <c r="Y261" s="211">
        <v>150000</v>
      </c>
      <c r="Z261" s="212">
        <v>150000</v>
      </c>
      <c r="AA261" s="240">
        <v>32</v>
      </c>
      <c r="AB261" s="213">
        <v>0.02</v>
      </c>
      <c r="AC261" s="213">
        <v>0.2</v>
      </c>
      <c r="AD261" s="213" t="s">
        <v>1014</v>
      </c>
      <c r="AE261" s="213" t="s">
        <v>66</v>
      </c>
      <c r="AF261" s="241">
        <v>734902453.57000005</v>
      </c>
      <c r="AG261" s="241">
        <v>734902453.57000005</v>
      </c>
      <c r="AH261" s="213">
        <v>-0.1918</v>
      </c>
      <c r="AI261" s="352">
        <v>-2.9535999999999998</v>
      </c>
      <c r="AJ261" s="213">
        <v>-0.44469999999999998</v>
      </c>
      <c r="AK261" s="352">
        <v>-4.7271000000000001</v>
      </c>
      <c r="AL261" s="213">
        <v>-0.24709999999999999</v>
      </c>
      <c r="AM261" s="352">
        <v>-2.0451999999999999</v>
      </c>
      <c r="AN261" s="213">
        <v>-9.3799999999999994E-2</v>
      </c>
      <c r="AO261" s="352">
        <v>-0.55649999999999999</v>
      </c>
      <c r="AP261" s="213">
        <v>0.27960000000000002</v>
      </c>
      <c r="AQ261" s="219">
        <v>-2.2838632717989356</v>
      </c>
      <c r="AR261" s="213" t="s">
        <v>1827</v>
      </c>
      <c r="AU261" s="343"/>
      <c r="AV261" s="343"/>
      <c r="AW261" s="328"/>
      <c r="AX261" s="329"/>
      <c r="AY261" s="328"/>
      <c r="AZ261" s="328"/>
      <c r="BA261" s="330"/>
      <c r="BB261" s="328"/>
      <c r="BC261" s="328"/>
      <c r="BD261" s="328"/>
      <c r="BE261" s="330"/>
      <c r="BF261" s="330"/>
      <c r="BG261" s="344"/>
      <c r="BH261" s="330"/>
      <c r="BI261" s="330"/>
      <c r="BJ261" s="330"/>
      <c r="BK261" s="330"/>
      <c r="BL261" s="330"/>
      <c r="BM261" s="330"/>
      <c r="BN261" s="330"/>
      <c r="BO261" s="330"/>
      <c r="BP261" s="331"/>
      <c r="BQ261" s="332"/>
      <c r="BR261" s="333"/>
    </row>
    <row r="262" spans="2:70" ht="15.75" customHeight="1">
      <c r="B262" s="216" t="s">
        <v>225</v>
      </c>
      <c r="C262" s="212">
        <v>551969</v>
      </c>
      <c r="D262" s="223">
        <v>29286347000124</v>
      </c>
      <c r="E262" s="217" t="s">
        <v>28</v>
      </c>
      <c r="F262" s="217" t="s">
        <v>950</v>
      </c>
      <c r="G262" s="217"/>
      <c r="H262" s="218"/>
      <c r="I262" s="217" t="s">
        <v>66</v>
      </c>
      <c r="J262" s="217" t="s">
        <v>66</v>
      </c>
      <c r="K262" s="218" t="s">
        <v>951</v>
      </c>
      <c r="L262" s="212" t="s">
        <v>87</v>
      </c>
      <c r="M262" s="250"/>
      <c r="N262" s="239">
        <v>43168</v>
      </c>
      <c r="O262" s="210" t="s">
        <v>222</v>
      </c>
      <c r="P262" s="210" t="s">
        <v>1090</v>
      </c>
      <c r="Q262" s="210" t="s">
        <v>1091</v>
      </c>
      <c r="R262" s="210" t="s">
        <v>1077</v>
      </c>
      <c r="S262" s="210" t="s">
        <v>1085</v>
      </c>
      <c r="T262" s="210" t="s">
        <v>1079</v>
      </c>
      <c r="U262" s="210" t="s">
        <v>950</v>
      </c>
      <c r="V262" s="210" t="s">
        <v>1080</v>
      </c>
      <c r="W262" s="211" t="s">
        <v>1013</v>
      </c>
      <c r="X262" s="211">
        <v>300000</v>
      </c>
      <c r="Y262" s="211">
        <v>300000</v>
      </c>
      <c r="Z262" s="212">
        <v>300000</v>
      </c>
      <c r="AA262" s="240">
        <v>32</v>
      </c>
      <c r="AB262" s="213">
        <v>1.2999999999999999E-2</v>
      </c>
      <c r="AC262" s="213">
        <v>0.2</v>
      </c>
      <c r="AD262" s="213" t="s">
        <v>1014</v>
      </c>
      <c r="AE262" s="213" t="s">
        <v>66</v>
      </c>
      <c r="AF262" s="241">
        <v>431128774.24000001</v>
      </c>
      <c r="AG262" s="241">
        <v>431128774.24000001</v>
      </c>
      <c r="AH262" s="213">
        <v>-0.2021</v>
      </c>
      <c r="AI262" s="352">
        <v>-3.1128</v>
      </c>
      <c r="AJ262" s="213">
        <v>-0.44159999999999999</v>
      </c>
      <c r="AK262" s="352">
        <v>-4.694</v>
      </c>
      <c r="AL262" s="213">
        <v>-0.24560000000000001</v>
      </c>
      <c r="AM262" s="352">
        <v>-2.0333999999999999</v>
      </c>
      <c r="AN262" s="213">
        <v>-8.6499999999999994E-2</v>
      </c>
      <c r="AO262" s="352">
        <v>-0.51339999999999997</v>
      </c>
      <c r="AP262" s="213">
        <v>0.2722</v>
      </c>
      <c r="AQ262" s="219">
        <v>-2.3328034569994829</v>
      </c>
      <c r="AR262" s="213" t="s">
        <v>1827</v>
      </c>
      <c r="AU262" s="343"/>
      <c r="AV262" s="343"/>
      <c r="AW262" s="328"/>
      <c r="AX262" s="329"/>
      <c r="AY262" s="328"/>
      <c r="AZ262" s="328"/>
      <c r="BA262" s="330"/>
      <c r="BB262" s="328"/>
      <c r="BC262" s="328"/>
      <c r="BD262" s="328"/>
      <c r="BE262" s="330"/>
      <c r="BF262" s="330"/>
      <c r="BG262" s="344"/>
      <c r="BH262" s="330"/>
      <c r="BI262" s="330"/>
      <c r="BJ262" s="330"/>
      <c r="BK262" s="330"/>
      <c r="BL262" s="330"/>
      <c r="BM262" s="330"/>
      <c r="BN262" s="330"/>
      <c r="BO262" s="330"/>
      <c r="BP262" s="331"/>
      <c r="BQ262" s="332"/>
      <c r="BR262" s="333"/>
    </row>
    <row r="263" spans="2:70" ht="15.75" customHeight="1">
      <c r="B263" s="216" t="s">
        <v>226</v>
      </c>
      <c r="C263" s="212">
        <v>637981</v>
      </c>
      <c r="D263" s="223">
        <v>34425904000180</v>
      </c>
      <c r="E263" s="217" t="s">
        <v>25</v>
      </c>
      <c r="F263" s="217" t="s">
        <v>958</v>
      </c>
      <c r="G263" s="217" t="s">
        <v>962</v>
      </c>
      <c r="H263" s="218" t="s">
        <v>66</v>
      </c>
      <c r="I263" s="217" t="s">
        <v>1841</v>
      </c>
      <c r="J263" s="217" t="s">
        <v>66</v>
      </c>
      <c r="K263" s="218"/>
      <c r="L263" s="212" t="s">
        <v>87</v>
      </c>
      <c r="M263" s="250"/>
      <c r="N263" s="239">
        <v>43696</v>
      </c>
      <c r="O263" s="210" t="s">
        <v>227</v>
      </c>
      <c r="P263" s="210" t="s">
        <v>1075</v>
      </c>
      <c r="Q263" s="210" t="s">
        <v>1076</v>
      </c>
      <c r="R263" s="210" t="s">
        <v>1084</v>
      </c>
      <c r="S263" s="210" t="s">
        <v>1078</v>
      </c>
      <c r="T263" s="210" t="s">
        <v>1082</v>
      </c>
      <c r="U263" s="210" t="s">
        <v>958</v>
      </c>
      <c r="V263" s="210" t="s">
        <v>25</v>
      </c>
      <c r="W263" s="211" t="s">
        <v>1016</v>
      </c>
      <c r="X263" s="211">
        <v>1000</v>
      </c>
      <c r="Y263" s="211">
        <v>1000</v>
      </c>
      <c r="Z263" s="212">
        <v>1000</v>
      </c>
      <c r="AA263" s="240">
        <v>31</v>
      </c>
      <c r="AB263" s="213">
        <v>0.02</v>
      </c>
      <c r="AC263" s="213">
        <v>0.25</v>
      </c>
      <c r="AD263" s="213" t="s">
        <v>113</v>
      </c>
      <c r="AE263" s="213">
        <v>4.6666666666666662E-3</v>
      </c>
      <c r="AF263" s="241">
        <v>60717837.640000001</v>
      </c>
      <c r="AG263" s="241">
        <v>60717837.640000001</v>
      </c>
      <c r="AH263" s="213">
        <v>7.6E-3</v>
      </c>
      <c r="AI263" s="352">
        <v>0.1173</v>
      </c>
      <c r="AJ263" s="213">
        <v>-2.6100000000000002E-2</v>
      </c>
      <c r="AK263" s="352">
        <v>-0.27750000000000002</v>
      </c>
      <c r="AL263" s="213">
        <v>0.27850000000000003</v>
      </c>
      <c r="AM263" s="352">
        <v>2.3050000000000002</v>
      </c>
      <c r="AN263" s="213" t="s">
        <v>66</v>
      </c>
      <c r="AO263" s="352" t="s">
        <v>66</v>
      </c>
      <c r="AP263" s="213">
        <v>4.5499999999999999E-2</v>
      </c>
      <c r="AQ263" s="219">
        <v>-2.533748326087816</v>
      </c>
      <c r="AR263" s="213" t="s">
        <v>1827</v>
      </c>
      <c r="AU263" s="343"/>
      <c r="AV263" s="343"/>
      <c r="AW263" s="328"/>
      <c r="AX263" s="329"/>
      <c r="AY263" s="328"/>
      <c r="AZ263" s="328"/>
      <c r="BA263" s="330"/>
      <c r="BB263" s="328"/>
      <c r="BC263" s="328"/>
      <c r="BD263" s="328"/>
      <c r="BE263" s="330"/>
      <c r="BF263" s="330"/>
      <c r="BG263" s="344"/>
      <c r="BH263" s="330"/>
      <c r="BI263" s="330"/>
      <c r="BJ263" s="330"/>
      <c r="BK263" s="330"/>
      <c r="BL263" s="330"/>
      <c r="BM263" s="330"/>
      <c r="BN263" s="330"/>
      <c r="BO263" s="330"/>
      <c r="BP263" s="331"/>
      <c r="BQ263" s="332"/>
      <c r="BR263" s="333"/>
    </row>
    <row r="264" spans="2:70" ht="15.75" customHeight="1">
      <c r="B264" s="216" t="s">
        <v>1206</v>
      </c>
      <c r="C264" s="212">
        <v>519970</v>
      </c>
      <c r="D264" s="223">
        <v>34109809000178</v>
      </c>
      <c r="E264" s="217" t="s">
        <v>19</v>
      </c>
      <c r="F264" s="217" t="s">
        <v>963</v>
      </c>
      <c r="G264" s="217" t="s">
        <v>1011</v>
      </c>
      <c r="H264" s="218" t="s">
        <v>1113</v>
      </c>
      <c r="I264" s="217" t="s">
        <v>66</v>
      </c>
      <c r="J264" s="217"/>
      <c r="K264" s="218" t="s">
        <v>951</v>
      </c>
      <c r="L264" s="212" t="s">
        <v>87</v>
      </c>
      <c r="M264" s="250"/>
      <c r="N264" s="239">
        <v>43769</v>
      </c>
      <c r="O264" s="210" t="s">
        <v>228</v>
      </c>
      <c r="P264" s="210" t="s">
        <v>1088</v>
      </c>
      <c r="Q264" s="210" t="s">
        <v>1089</v>
      </c>
      <c r="R264" s="210" t="s">
        <v>1084</v>
      </c>
      <c r="S264" s="210" t="s">
        <v>1078</v>
      </c>
      <c r="T264" s="210" t="s">
        <v>349</v>
      </c>
      <c r="U264" s="210" t="s">
        <v>1114</v>
      </c>
      <c r="V264" s="210" t="s">
        <v>19</v>
      </c>
      <c r="W264" s="211" t="s">
        <v>1024</v>
      </c>
      <c r="X264" s="211">
        <v>1000</v>
      </c>
      <c r="Y264" s="211">
        <v>500</v>
      </c>
      <c r="Z264" s="212">
        <v>500</v>
      </c>
      <c r="AA264" s="240">
        <v>7</v>
      </c>
      <c r="AB264" s="213">
        <v>2.5000000000000001E-3</v>
      </c>
      <c r="AC264" s="213">
        <v>0.2</v>
      </c>
      <c r="AD264" s="213" t="s">
        <v>109</v>
      </c>
      <c r="AE264" s="213">
        <v>6.6666666666666664E-4</v>
      </c>
      <c r="AF264" s="241">
        <v>43346926.729999997</v>
      </c>
      <c r="AG264" s="241">
        <v>43346926.729999997</v>
      </c>
      <c r="AH264" s="213">
        <v>7.2599999999999998E-2</v>
      </c>
      <c r="AI264" s="352">
        <v>1.1182000000000001</v>
      </c>
      <c r="AJ264" s="213">
        <v>0.1094</v>
      </c>
      <c r="AK264" s="352">
        <v>1.1624000000000001</v>
      </c>
      <c r="AL264" s="213">
        <v>0.15340000000000001</v>
      </c>
      <c r="AM264" s="352">
        <v>1.2698</v>
      </c>
      <c r="AN264" s="213" t="s">
        <v>66</v>
      </c>
      <c r="AO264" s="352" t="s">
        <v>66</v>
      </c>
      <c r="AP264" s="213">
        <v>2.8E-3</v>
      </c>
      <c r="AQ264" s="219">
        <v>4.9334645366131182</v>
      </c>
      <c r="AR264" s="213" t="s">
        <v>1827</v>
      </c>
      <c r="AU264" s="343"/>
      <c r="AV264" s="343"/>
      <c r="AW264" s="328"/>
      <c r="AX264" s="329"/>
      <c r="AY264" s="328"/>
      <c r="AZ264" s="328"/>
      <c r="BA264" s="330"/>
      <c r="BB264" s="328"/>
      <c r="BC264" s="328"/>
      <c r="BD264" s="328"/>
      <c r="BE264" s="330"/>
      <c r="BF264" s="330"/>
      <c r="BG264" s="344"/>
      <c r="BH264" s="330"/>
      <c r="BI264" s="330"/>
      <c r="BJ264" s="330"/>
      <c r="BK264" s="330"/>
      <c r="BL264" s="330"/>
      <c r="BM264" s="330"/>
      <c r="BN264" s="330"/>
      <c r="BO264" s="330"/>
      <c r="BP264" s="331"/>
      <c r="BQ264" s="332"/>
      <c r="BR264" s="333"/>
    </row>
    <row r="265" spans="2:70" ht="15.75" customHeight="1">
      <c r="B265" s="216" t="s">
        <v>1207</v>
      </c>
      <c r="C265" s="212">
        <v>557767</v>
      </c>
      <c r="D265" s="223">
        <v>32158410000151</v>
      </c>
      <c r="E265" s="217" t="s">
        <v>19</v>
      </c>
      <c r="F265" s="217" t="s">
        <v>963</v>
      </c>
      <c r="G265" s="217" t="s">
        <v>1021</v>
      </c>
      <c r="H265" s="218" t="s">
        <v>1113</v>
      </c>
      <c r="I265" s="217" t="s">
        <v>66</v>
      </c>
      <c r="J265" s="217" t="s">
        <v>1794</v>
      </c>
      <c r="K265" s="218" t="s">
        <v>951</v>
      </c>
      <c r="L265" s="212" t="s">
        <v>87</v>
      </c>
      <c r="M265" s="250"/>
      <c r="N265" s="239">
        <v>43462</v>
      </c>
      <c r="O265" s="210" t="s">
        <v>228</v>
      </c>
      <c r="P265" s="210" t="s">
        <v>1088</v>
      </c>
      <c r="Q265" s="210" t="s">
        <v>1089</v>
      </c>
      <c r="R265" s="210" t="s">
        <v>1084</v>
      </c>
      <c r="S265" s="210" t="s">
        <v>1078</v>
      </c>
      <c r="T265" s="210" t="s">
        <v>349</v>
      </c>
      <c r="U265" s="210" t="s">
        <v>1114</v>
      </c>
      <c r="V265" s="210" t="s">
        <v>19</v>
      </c>
      <c r="W265" s="211" t="s">
        <v>1017</v>
      </c>
      <c r="X265" s="211">
        <v>30</v>
      </c>
      <c r="Y265" s="211">
        <v>30</v>
      </c>
      <c r="Z265" s="212">
        <v>30</v>
      </c>
      <c r="AA265" s="240">
        <v>0</v>
      </c>
      <c r="AB265" s="213">
        <v>2.5000000000000001E-3</v>
      </c>
      <c r="AC265" s="213">
        <v>0</v>
      </c>
      <c r="AD265" s="213" t="s">
        <v>109</v>
      </c>
      <c r="AE265" s="213">
        <v>6.6666666666666664E-4</v>
      </c>
      <c r="AF265" s="241">
        <v>33425866.5</v>
      </c>
      <c r="AG265" s="241">
        <v>33425866.5</v>
      </c>
      <c r="AH265" s="213">
        <v>6.4600000000000005E-2</v>
      </c>
      <c r="AI265" s="352">
        <v>0.99490000000000001</v>
      </c>
      <c r="AJ265" s="213">
        <v>9.4100000000000003E-2</v>
      </c>
      <c r="AK265" s="352">
        <v>1.0002</v>
      </c>
      <c r="AL265" s="213">
        <v>0.1195</v>
      </c>
      <c r="AM265" s="352">
        <v>0.98919999999999997</v>
      </c>
      <c r="AN265" s="213">
        <v>0.15939999999999999</v>
      </c>
      <c r="AO265" s="352">
        <v>0.94599999999999995</v>
      </c>
      <c r="AP265" s="213">
        <v>2E-3</v>
      </c>
      <c r="AQ265" s="219">
        <v>9.1621669698598272E-3</v>
      </c>
      <c r="AR265" s="213" t="s">
        <v>1827</v>
      </c>
      <c r="AU265" s="343"/>
      <c r="AV265" s="343"/>
      <c r="AW265" s="328"/>
      <c r="AX265" s="329"/>
      <c r="AY265" s="328"/>
      <c r="AZ265" s="328"/>
      <c r="BA265" s="330"/>
      <c r="BB265" s="328"/>
      <c r="BC265" s="328"/>
      <c r="BD265" s="328"/>
      <c r="BE265" s="330"/>
      <c r="BF265" s="330"/>
      <c r="BG265" s="344"/>
      <c r="BH265" s="330"/>
      <c r="BI265" s="330"/>
      <c r="BJ265" s="330"/>
      <c r="BK265" s="330"/>
      <c r="BL265" s="330"/>
      <c r="BM265" s="330"/>
      <c r="BN265" s="330"/>
      <c r="BO265" s="330"/>
      <c r="BP265" s="331"/>
      <c r="BQ265" s="332"/>
      <c r="BR265" s="333"/>
    </row>
    <row r="266" spans="2:70" ht="15.75" customHeight="1">
      <c r="B266" s="216" t="s">
        <v>1208</v>
      </c>
      <c r="C266" s="212">
        <v>1858002</v>
      </c>
      <c r="D266" s="223">
        <v>34054884000189</v>
      </c>
      <c r="E266" s="217" t="s">
        <v>28</v>
      </c>
      <c r="F266" s="217" t="s">
        <v>950</v>
      </c>
      <c r="G266" s="217"/>
      <c r="H266" s="218"/>
      <c r="I266" s="217" t="s">
        <v>66</v>
      </c>
      <c r="J266" s="217" t="s">
        <v>66</v>
      </c>
      <c r="K266" s="218" t="s">
        <v>951</v>
      </c>
      <c r="L266" s="212" t="s">
        <v>87</v>
      </c>
      <c r="M266" s="250"/>
      <c r="N266" s="239">
        <v>43738</v>
      </c>
      <c r="O266" s="210" t="s">
        <v>228</v>
      </c>
      <c r="P266" s="210" t="s">
        <v>1088</v>
      </c>
      <c r="Q266" s="210" t="s">
        <v>1089</v>
      </c>
      <c r="R266" s="210" t="s">
        <v>1084</v>
      </c>
      <c r="S266" s="210" t="s">
        <v>1078</v>
      </c>
      <c r="T266" s="210" t="s">
        <v>1079</v>
      </c>
      <c r="U266" s="210" t="s">
        <v>950</v>
      </c>
      <c r="V266" s="210" t="s">
        <v>1080</v>
      </c>
      <c r="W266" s="211" t="s">
        <v>1018</v>
      </c>
      <c r="X266" s="211">
        <v>1000</v>
      </c>
      <c r="Y266" s="211">
        <v>500</v>
      </c>
      <c r="Z266" s="212">
        <v>500</v>
      </c>
      <c r="AA266" s="240">
        <v>16</v>
      </c>
      <c r="AB266" s="213">
        <v>1.4999999999999999E-2</v>
      </c>
      <c r="AC266" s="213">
        <v>0.2</v>
      </c>
      <c r="AD266" s="213" t="s">
        <v>1014</v>
      </c>
      <c r="AE266" s="213">
        <v>4.0000000000000001E-3</v>
      </c>
      <c r="AF266" s="241">
        <v>10139992.32</v>
      </c>
      <c r="AG266" s="241">
        <v>10139992.32</v>
      </c>
      <c r="AH266" s="213">
        <v>-8.7300000000000003E-2</v>
      </c>
      <c r="AI266" s="352">
        <v>-1.3444</v>
      </c>
      <c r="AJ266" s="213">
        <v>-0.25690000000000002</v>
      </c>
      <c r="AK266" s="352">
        <v>-2.7301000000000002</v>
      </c>
      <c r="AL266" s="213">
        <v>-0.10489999999999999</v>
      </c>
      <c r="AM266" s="352">
        <v>-0.86839999999999995</v>
      </c>
      <c r="AN266" s="213" t="s">
        <v>66</v>
      </c>
      <c r="AO266" s="352" t="s">
        <v>66</v>
      </c>
      <c r="AP266" s="213">
        <v>0.24349999999999999</v>
      </c>
      <c r="AQ266" s="219">
        <v>-1.4664755601291424</v>
      </c>
      <c r="AR266" s="213" t="s">
        <v>1827</v>
      </c>
      <c r="AU266" s="343"/>
      <c r="AV266" s="343"/>
      <c r="AW266" s="328"/>
      <c r="AX266" s="329"/>
      <c r="AY266" s="328"/>
      <c r="AZ266" s="328"/>
      <c r="BA266" s="330"/>
      <c r="BB266" s="328"/>
      <c r="BC266" s="328"/>
      <c r="BD266" s="328"/>
      <c r="BE266" s="330"/>
      <c r="BF266" s="330"/>
      <c r="BG266" s="344"/>
      <c r="BH266" s="330"/>
      <c r="BI266" s="330"/>
      <c r="BJ266" s="330"/>
      <c r="BK266" s="330"/>
      <c r="BL266" s="330"/>
      <c r="BM266" s="330"/>
      <c r="BN266" s="330"/>
      <c r="BO266" s="330"/>
      <c r="BP266" s="331"/>
      <c r="BQ266" s="332"/>
      <c r="BR266" s="333"/>
    </row>
    <row r="267" spans="2:70" ht="15.75" customHeight="1">
      <c r="B267" s="216" t="s">
        <v>1209</v>
      </c>
      <c r="C267" s="212">
        <v>856782</v>
      </c>
      <c r="D267" s="223">
        <v>32158441000102</v>
      </c>
      <c r="E267" s="217" t="s">
        <v>28</v>
      </c>
      <c r="F267" s="217" t="s">
        <v>950</v>
      </c>
      <c r="G267" s="217"/>
      <c r="H267" s="218"/>
      <c r="I267" s="217" t="s">
        <v>66</v>
      </c>
      <c r="J267" s="217" t="s">
        <v>66</v>
      </c>
      <c r="K267" s="218" t="s">
        <v>951</v>
      </c>
      <c r="L267" s="212" t="s">
        <v>87</v>
      </c>
      <c r="M267" s="250"/>
      <c r="N267" s="239">
        <v>43462</v>
      </c>
      <c r="O267" s="210" t="s">
        <v>228</v>
      </c>
      <c r="P267" s="210" t="s">
        <v>1088</v>
      </c>
      <c r="Q267" s="210" t="s">
        <v>1089</v>
      </c>
      <c r="R267" s="210" t="s">
        <v>1084</v>
      </c>
      <c r="S267" s="210" t="s">
        <v>1078</v>
      </c>
      <c r="T267" s="210" t="s">
        <v>1079</v>
      </c>
      <c r="U267" s="210" t="s">
        <v>950</v>
      </c>
      <c r="V267" s="210" t="s">
        <v>1080</v>
      </c>
      <c r="W267" s="211" t="s">
        <v>1018</v>
      </c>
      <c r="X267" s="211">
        <v>100</v>
      </c>
      <c r="Y267" s="211">
        <v>100</v>
      </c>
      <c r="Z267" s="212">
        <v>100</v>
      </c>
      <c r="AA267" s="240">
        <v>3</v>
      </c>
      <c r="AB267" s="213">
        <v>1.4999999999999999E-2</v>
      </c>
      <c r="AC267" s="213">
        <v>0.2</v>
      </c>
      <c r="AD267" s="213" t="s">
        <v>1014</v>
      </c>
      <c r="AE267" s="213">
        <v>4.0000000000000001E-3</v>
      </c>
      <c r="AF267" s="241">
        <v>10601862.82</v>
      </c>
      <c r="AG267" s="241">
        <v>10601862.82</v>
      </c>
      <c r="AH267" s="213">
        <v>4.4999999999999997E-3</v>
      </c>
      <c r="AI267" s="352">
        <v>6.9400000000000003E-2</v>
      </c>
      <c r="AJ267" s="213">
        <v>-0.19620000000000001</v>
      </c>
      <c r="AK267" s="352">
        <v>-2.0851000000000002</v>
      </c>
      <c r="AL267" s="213">
        <v>-0.1003</v>
      </c>
      <c r="AM267" s="352">
        <v>-0.83009999999999995</v>
      </c>
      <c r="AN267" s="213">
        <v>-0.1028</v>
      </c>
      <c r="AO267" s="352">
        <v>-0.61009999999999998</v>
      </c>
      <c r="AP267" s="213">
        <v>0.2064</v>
      </c>
      <c r="AQ267" s="219">
        <v>-1.3899980018598923</v>
      </c>
      <c r="AR267" s="213" t="s">
        <v>1827</v>
      </c>
      <c r="AU267" s="343"/>
      <c r="AV267" s="343"/>
      <c r="AW267" s="328"/>
      <c r="AX267" s="329"/>
      <c r="AY267" s="328"/>
      <c r="AZ267" s="328"/>
      <c r="BA267" s="330"/>
      <c r="BB267" s="328"/>
      <c r="BC267" s="328"/>
      <c r="BD267" s="328"/>
      <c r="BE267" s="330"/>
      <c r="BF267" s="330"/>
      <c r="BG267" s="344"/>
      <c r="BH267" s="330"/>
      <c r="BI267" s="330"/>
      <c r="BJ267" s="330"/>
      <c r="BK267" s="330"/>
      <c r="BL267" s="330"/>
      <c r="BM267" s="330"/>
      <c r="BN267" s="330"/>
      <c r="BO267" s="330"/>
      <c r="BP267" s="331"/>
      <c r="BQ267" s="332"/>
      <c r="BR267" s="333"/>
    </row>
    <row r="268" spans="2:70" ht="15.75" customHeight="1">
      <c r="B268" s="216" t="s">
        <v>1210</v>
      </c>
      <c r="C268" s="212">
        <v>676873</v>
      </c>
      <c r="D268" s="223">
        <v>34054867000141</v>
      </c>
      <c r="E268" s="217" t="s">
        <v>28</v>
      </c>
      <c r="F268" s="217" t="s">
        <v>950</v>
      </c>
      <c r="G268" s="217"/>
      <c r="H268" s="218"/>
      <c r="I268" s="217" t="s">
        <v>66</v>
      </c>
      <c r="J268" s="217" t="s">
        <v>66</v>
      </c>
      <c r="K268" s="218" t="s">
        <v>951</v>
      </c>
      <c r="L268" s="212" t="s">
        <v>87</v>
      </c>
      <c r="M268" s="250"/>
      <c r="N268" s="239">
        <v>43738</v>
      </c>
      <c r="O268" s="210" t="s">
        <v>228</v>
      </c>
      <c r="P268" s="210" t="s">
        <v>1088</v>
      </c>
      <c r="Q268" s="210" t="s">
        <v>1089</v>
      </c>
      <c r="R268" s="210" t="s">
        <v>1084</v>
      </c>
      <c r="S268" s="210" t="s">
        <v>1078</v>
      </c>
      <c r="T268" s="210" t="s">
        <v>1079</v>
      </c>
      <c r="U268" s="210" t="s">
        <v>950</v>
      </c>
      <c r="V268" s="210" t="s">
        <v>1080</v>
      </c>
      <c r="W268" s="211" t="s">
        <v>1030</v>
      </c>
      <c r="X268" s="211">
        <v>100</v>
      </c>
      <c r="Y268" s="211">
        <v>100</v>
      </c>
      <c r="Z268" s="212">
        <v>100</v>
      </c>
      <c r="AA268" s="240">
        <v>16</v>
      </c>
      <c r="AB268" s="213">
        <v>1.4999999999999999E-2</v>
      </c>
      <c r="AC268" s="213">
        <v>0.2</v>
      </c>
      <c r="AD268" s="213" t="s">
        <v>1157</v>
      </c>
      <c r="AE268" s="213">
        <v>4.0000000000000001E-3</v>
      </c>
      <c r="AF268" s="241">
        <v>10102996.970000001</v>
      </c>
      <c r="AG268" s="241">
        <v>10102996.970000001</v>
      </c>
      <c r="AH268" s="213">
        <v>-0.1212</v>
      </c>
      <c r="AI268" s="352">
        <v>-1.8669</v>
      </c>
      <c r="AJ268" s="213">
        <v>-0.26090000000000002</v>
      </c>
      <c r="AK268" s="352">
        <v>-2.7730999999999999</v>
      </c>
      <c r="AL268" s="213">
        <v>-7.1099999999999997E-2</v>
      </c>
      <c r="AM268" s="352">
        <v>-0.58879999999999999</v>
      </c>
      <c r="AN268" s="213" t="s">
        <v>66</v>
      </c>
      <c r="AO268" s="352" t="s">
        <v>66</v>
      </c>
      <c r="AP268" s="213">
        <v>0.25290000000000001</v>
      </c>
      <c r="AQ268" s="219">
        <v>-1.4240875866137499</v>
      </c>
      <c r="AR268" s="213" t="s">
        <v>1827</v>
      </c>
      <c r="AU268" s="343"/>
      <c r="AV268" s="343"/>
      <c r="AW268" s="328"/>
      <c r="AX268" s="329"/>
      <c r="AY268" s="328"/>
      <c r="AZ268" s="328"/>
      <c r="BA268" s="330"/>
      <c r="BB268" s="328"/>
      <c r="BC268" s="328"/>
      <c r="BD268" s="328"/>
      <c r="BE268" s="330"/>
      <c r="BF268" s="330"/>
      <c r="BG268" s="344"/>
      <c r="BH268" s="330"/>
      <c r="BI268" s="330"/>
      <c r="BJ268" s="330"/>
      <c r="BK268" s="330"/>
      <c r="BL268" s="330"/>
      <c r="BM268" s="330"/>
      <c r="BN268" s="330"/>
      <c r="BO268" s="330"/>
      <c r="BP268" s="331"/>
      <c r="BQ268" s="332"/>
      <c r="BR268" s="333"/>
    </row>
    <row r="269" spans="2:70" ht="15.75" customHeight="1">
      <c r="B269" s="216" t="s">
        <v>1211</v>
      </c>
      <c r="C269" s="212">
        <v>856779</v>
      </c>
      <c r="D269" s="223">
        <v>32158424000175</v>
      </c>
      <c r="E269" s="217" t="s">
        <v>25</v>
      </c>
      <c r="F269" s="217" t="s">
        <v>958</v>
      </c>
      <c r="G269" s="217" t="s">
        <v>962</v>
      </c>
      <c r="H269" s="218" t="s">
        <v>66</v>
      </c>
      <c r="I269" s="217" t="s">
        <v>1841</v>
      </c>
      <c r="J269" s="217" t="s">
        <v>66</v>
      </c>
      <c r="K269" s="218"/>
      <c r="L269" s="212" t="s">
        <v>87</v>
      </c>
      <c r="M269" s="250"/>
      <c r="N269" s="239">
        <v>43462</v>
      </c>
      <c r="O269" s="210" t="s">
        <v>228</v>
      </c>
      <c r="P269" s="210" t="s">
        <v>1088</v>
      </c>
      <c r="Q269" s="210" t="s">
        <v>1089</v>
      </c>
      <c r="R269" s="210" t="s">
        <v>1084</v>
      </c>
      <c r="S269" s="210" t="s">
        <v>1078</v>
      </c>
      <c r="T269" s="210" t="s">
        <v>1082</v>
      </c>
      <c r="U269" s="210" t="s">
        <v>65</v>
      </c>
      <c r="V269" s="210" t="s">
        <v>25</v>
      </c>
      <c r="W269" s="211" t="s">
        <v>1016</v>
      </c>
      <c r="X269" s="211">
        <v>100</v>
      </c>
      <c r="Y269" s="211">
        <v>100</v>
      </c>
      <c r="Z269" s="212">
        <v>100</v>
      </c>
      <c r="AA269" s="240">
        <v>2</v>
      </c>
      <c r="AB269" s="213">
        <v>0.01</v>
      </c>
      <c r="AC269" s="213">
        <v>0.2</v>
      </c>
      <c r="AD269" s="213" t="s">
        <v>109</v>
      </c>
      <c r="AE269" s="213">
        <v>2.6666666666666666E-3</v>
      </c>
      <c r="AF269" s="241">
        <v>12082209.779999999</v>
      </c>
      <c r="AG269" s="241">
        <v>12082209.779999999</v>
      </c>
      <c r="AH269" s="213">
        <v>4.8500000000000001E-2</v>
      </c>
      <c r="AI269" s="352">
        <v>0.74739999999999995</v>
      </c>
      <c r="AJ269" s="213">
        <v>6.2100000000000002E-2</v>
      </c>
      <c r="AK269" s="352">
        <v>0.66020000000000001</v>
      </c>
      <c r="AL269" s="213">
        <v>6.5799999999999997E-2</v>
      </c>
      <c r="AM269" s="352">
        <v>0.54490000000000005</v>
      </c>
      <c r="AN269" s="213">
        <v>0.1321</v>
      </c>
      <c r="AO269" s="352">
        <v>0.78420000000000001</v>
      </c>
      <c r="AP269" s="213">
        <v>1.18E-2</v>
      </c>
      <c r="AQ269" s="219">
        <v>-2.4980607458558759</v>
      </c>
      <c r="AR269" s="213" t="s">
        <v>1827</v>
      </c>
      <c r="AU269" s="343"/>
      <c r="AV269" s="343"/>
      <c r="AW269" s="328"/>
      <c r="AX269" s="329"/>
      <c r="AY269" s="328"/>
      <c r="AZ269" s="328"/>
      <c r="BA269" s="330"/>
      <c r="BB269" s="328"/>
      <c r="BC269" s="328"/>
      <c r="BD269" s="328"/>
      <c r="BE269" s="330"/>
      <c r="BF269" s="330"/>
      <c r="BG269" s="344"/>
      <c r="BH269" s="330"/>
      <c r="BI269" s="330"/>
      <c r="BJ269" s="330"/>
      <c r="BK269" s="330"/>
      <c r="BL269" s="330"/>
      <c r="BM269" s="330"/>
      <c r="BN269" s="330"/>
      <c r="BO269" s="330"/>
      <c r="BP269" s="331"/>
      <c r="BQ269" s="332"/>
      <c r="BR269" s="333"/>
    </row>
    <row r="270" spans="2:70" ht="15.75" customHeight="1">
      <c r="B270" s="216" t="s">
        <v>1212</v>
      </c>
      <c r="C270" s="212">
        <v>676463</v>
      </c>
      <c r="D270" s="223">
        <v>32158430000122</v>
      </c>
      <c r="E270" s="217" t="s">
        <v>28</v>
      </c>
      <c r="F270" s="217" t="s">
        <v>950</v>
      </c>
      <c r="G270" s="217"/>
      <c r="H270" s="218"/>
      <c r="I270" s="217" t="s">
        <v>66</v>
      </c>
      <c r="J270" s="217" t="s">
        <v>66</v>
      </c>
      <c r="K270" s="218" t="s">
        <v>951</v>
      </c>
      <c r="L270" s="212" t="s">
        <v>87</v>
      </c>
      <c r="M270" s="250"/>
      <c r="N270" s="239">
        <v>43462</v>
      </c>
      <c r="O270" s="210" t="s">
        <v>228</v>
      </c>
      <c r="P270" s="210" t="s">
        <v>1088</v>
      </c>
      <c r="Q270" s="210" t="s">
        <v>1089</v>
      </c>
      <c r="R270" s="210" t="s">
        <v>1084</v>
      </c>
      <c r="S270" s="210" t="s">
        <v>1078</v>
      </c>
      <c r="T270" s="210" t="s">
        <v>1079</v>
      </c>
      <c r="U270" s="210" t="s">
        <v>950</v>
      </c>
      <c r="V270" s="210" t="s">
        <v>1080</v>
      </c>
      <c r="W270" s="211" t="s">
        <v>1015</v>
      </c>
      <c r="X270" s="211">
        <v>100</v>
      </c>
      <c r="Y270" s="211">
        <v>100</v>
      </c>
      <c r="Z270" s="212">
        <v>100</v>
      </c>
      <c r="AA270" s="240">
        <v>16</v>
      </c>
      <c r="AB270" s="213">
        <v>1.4999999999999999E-2</v>
      </c>
      <c r="AC270" s="213">
        <v>0.2</v>
      </c>
      <c r="AD270" s="213" t="s">
        <v>1157</v>
      </c>
      <c r="AE270" s="213">
        <v>4.0000000000000001E-3</v>
      </c>
      <c r="AF270" s="241">
        <v>12312902.720000001</v>
      </c>
      <c r="AG270" s="241">
        <v>12312902.720000001</v>
      </c>
      <c r="AH270" s="213">
        <v>4.7500000000000001E-2</v>
      </c>
      <c r="AI270" s="352">
        <v>0.73140000000000005</v>
      </c>
      <c r="AJ270" s="213">
        <v>-8.1000000000000003E-2</v>
      </c>
      <c r="AK270" s="352">
        <v>-0.86109999999999998</v>
      </c>
      <c r="AL270" s="213">
        <v>6.2300000000000001E-2</v>
      </c>
      <c r="AM270" s="352">
        <v>0.51529999999999998</v>
      </c>
      <c r="AN270" s="213">
        <v>1.77E-2</v>
      </c>
      <c r="AO270" s="352">
        <v>0.1052</v>
      </c>
      <c r="AP270" s="213">
        <v>0.18229999999999999</v>
      </c>
      <c r="AQ270" s="219">
        <v>-0.86543794216235626</v>
      </c>
      <c r="AR270" s="213" t="s">
        <v>1827</v>
      </c>
      <c r="AU270" s="343"/>
      <c r="AV270" s="343"/>
      <c r="AW270" s="328"/>
      <c r="AX270" s="329"/>
      <c r="AY270" s="328"/>
      <c r="AZ270" s="328"/>
      <c r="BA270" s="330"/>
      <c r="BB270" s="328"/>
      <c r="BC270" s="328"/>
      <c r="BD270" s="328"/>
      <c r="BE270" s="330"/>
      <c r="BF270" s="330"/>
      <c r="BG270" s="344"/>
      <c r="BH270" s="330"/>
      <c r="BI270" s="330"/>
      <c r="BJ270" s="330"/>
      <c r="BK270" s="330"/>
      <c r="BL270" s="330"/>
      <c r="BM270" s="330"/>
      <c r="BN270" s="330"/>
      <c r="BO270" s="330"/>
      <c r="BP270" s="331"/>
      <c r="BQ270" s="332"/>
      <c r="BR270" s="333"/>
    </row>
    <row r="271" spans="2:70" ht="15.75" customHeight="1">
      <c r="B271" s="216" t="s">
        <v>1213</v>
      </c>
      <c r="C271" s="212">
        <v>856469</v>
      </c>
      <c r="D271" s="223">
        <v>36521791000142</v>
      </c>
      <c r="E271" s="217" t="s">
        <v>28</v>
      </c>
      <c r="F271" s="217" t="s">
        <v>957</v>
      </c>
      <c r="G271" s="217"/>
      <c r="H271" s="218"/>
      <c r="I271" s="217" t="s">
        <v>1259</v>
      </c>
      <c r="J271" s="217" t="s">
        <v>66</v>
      </c>
      <c r="K271" s="218" t="s">
        <v>951</v>
      </c>
      <c r="L271" s="212" t="s">
        <v>87</v>
      </c>
      <c r="M271" s="250"/>
      <c r="N271" s="239">
        <v>43951</v>
      </c>
      <c r="O271" s="210" t="s">
        <v>228</v>
      </c>
      <c r="P271" s="210" t="s">
        <v>1088</v>
      </c>
      <c r="Q271" s="210" t="s">
        <v>1089</v>
      </c>
      <c r="R271" s="210" t="s">
        <v>1077</v>
      </c>
      <c r="S271" s="210" t="s">
        <v>1078</v>
      </c>
      <c r="T271" s="210" t="s">
        <v>1079</v>
      </c>
      <c r="U271" s="210" t="s">
        <v>957</v>
      </c>
      <c r="V271" s="210" t="s">
        <v>25</v>
      </c>
      <c r="W271" s="211" t="s">
        <v>1016</v>
      </c>
      <c r="X271" s="211">
        <v>100</v>
      </c>
      <c r="Y271" s="211">
        <v>100</v>
      </c>
      <c r="Z271" s="212">
        <v>100</v>
      </c>
      <c r="AA271" s="240">
        <v>16</v>
      </c>
      <c r="AB271" s="213">
        <v>1.4999999999999999E-2</v>
      </c>
      <c r="AC271" s="213">
        <v>0.2</v>
      </c>
      <c r="AD271" s="213" t="s">
        <v>203</v>
      </c>
      <c r="AE271" s="213">
        <v>4.0000000000000001E-3</v>
      </c>
      <c r="AF271" s="241">
        <v>11949657.300000001</v>
      </c>
      <c r="AG271" s="241">
        <v>11949657.300000001</v>
      </c>
      <c r="AH271" s="213">
        <v>1.41E-2</v>
      </c>
      <c r="AI271" s="352">
        <v>0.21740000000000001</v>
      </c>
      <c r="AJ271" s="213">
        <v>-0.12690000000000001</v>
      </c>
      <c r="AK271" s="352">
        <v>-1.3483000000000001</v>
      </c>
      <c r="AL271" s="213">
        <v>4.1000000000000003E-3</v>
      </c>
      <c r="AM271" s="352">
        <v>3.39E-2</v>
      </c>
      <c r="AN271" s="213" t="s">
        <v>66</v>
      </c>
      <c r="AO271" s="352" t="s">
        <v>66</v>
      </c>
      <c r="AP271" s="213">
        <v>0.16170000000000001</v>
      </c>
      <c r="AQ271" s="219">
        <v>-1.3140921673481765</v>
      </c>
      <c r="AR271" s="213" t="s">
        <v>1827</v>
      </c>
      <c r="AU271" s="343"/>
      <c r="AV271" s="343"/>
      <c r="AW271" s="328"/>
      <c r="AX271" s="329"/>
      <c r="AY271" s="328"/>
      <c r="AZ271" s="328"/>
      <c r="BA271" s="330"/>
      <c r="BB271" s="328"/>
      <c r="BC271" s="328"/>
      <c r="BD271" s="328"/>
      <c r="BE271" s="330"/>
      <c r="BF271" s="330"/>
      <c r="BG271" s="344"/>
      <c r="BH271" s="330"/>
      <c r="BI271" s="330"/>
      <c r="BJ271" s="330"/>
      <c r="BK271" s="330"/>
      <c r="BL271" s="330"/>
      <c r="BM271" s="330"/>
      <c r="BN271" s="330"/>
      <c r="BO271" s="330"/>
      <c r="BP271" s="331"/>
      <c r="BQ271" s="332"/>
      <c r="BR271" s="333"/>
    </row>
    <row r="272" spans="2:70" ht="15.75" customHeight="1">
      <c r="B272" s="216" t="s">
        <v>900</v>
      </c>
      <c r="C272" s="212">
        <v>771526</v>
      </c>
      <c r="D272" s="223">
        <v>39151551000191</v>
      </c>
      <c r="E272" s="217" t="s">
        <v>28</v>
      </c>
      <c r="F272" s="217" t="s">
        <v>950</v>
      </c>
      <c r="G272" s="217"/>
      <c r="H272" s="218"/>
      <c r="I272" s="217" t="s">
        <v>66</v>
      </c>
      <c r="J272" s="217" t="s">
        <v>66</v>
      </c>
      <c r="K272" s="218" t="s">
        <v>955</v>
      </c>
      <c r="L272" s="212" t="s">
        <v>87</v>
      </c>
      <c r="M272" s="250"/>
      <c r="N272" s="239">
        <v>44193</v>
      </c>
      <c r="O272" s="210" t="s">
        <v>228</v>
      </c>
      <c r="P272" s="210" t="s">
        <v>1089</v>
      </c>
      <c r="Q272" s="210" t="s">
        <v>1089</v>
      </c>
      <c r="R272" s="210" t="s">
        <v>1077</v>
      </c>
      <c r="S272" s="210" t="s">
        <v>1078</v>
      </c>
      <c r="T272" s="210" t="s">
        <v>1079</v>
      </c>
      <c r="U272" s="210" t="s">
        <v>65</v>
      </c>
      <c r="V272" s="210" t="s">
        <v>1080</v>
      </c>
      <c r="W272" s="211" t="s">
        <v>1036</v>
      </c>
      <c r="X272" s="211">
        <v>1000</v>
      </c>
      <c r="Y272" s="211">
        <v>500</v>
      </c>
      <c r="Z272" s="212">
        <v>500</v>
      </c>
      <c r="AA272" s="240">
        <v>9</v>
      </c>
      <c r="AB272" s="213">
        <v>5.0000000000000001E-3</v>
      </c>
      <c r="AC272" s="213">
        <v>0</v>
      </c>
      <c r="AD272" s="213" t="s">
        <v>1157</v>
      </c>
      <c r="AE272" s="213">
        <v>1.3333333333333333E-3</v>
      </c>
      <c r="AF272" s="241">
        <v>79790890.420000002</v>
      </c>
      <c r="AG272" s="241">
        <v>79790890.420000002</v>
      </c>
      <c r="AH272" s="213">
        <v>-0.28949999999999998</v>
      </c>
      <c r="AI272" s="352">
        <v>-4.4587000000000003</v>
      </c>
      <c r="AJ272" s="213">
        <v>-0.18090000000000001</v>
      </c>
      <c r="AK272" s="352">
        <v>-1.9225000000000001</v>
      </c>
      <c r="AL272" s="213" t="s">
        <v>66</v>
      </c>
      <c r="AM272" s="352" t="s">
        <v>66</v>
      </c>
      <c r="AN272" s="213" t="s">
        <v>66</v>
      </c>
      <c r="AO272" s="352" t="s">
        <v>66</v>
      </c>
      <c r="AP272" s="213">
        <v>0.25159999999999999</v>
      </c>
      <c r="AQ272" s="219">
        <v>-1.0244967175367703</v>
      </c>
      <c r="AR272" s="213" t="s">
        <v>1824</v>
      </c>
      <c r="AU272" s="343"/>
      <c r="AV272" s="343"/>
      <c r="AW272" s="328"/>
      <c r="AX272" s="329"/>
      <c r="AY272" s="328"/>
      <c r="AZ272" s="328"/>
      <c r="BA272" s="330"/>
      <c r="BB272" s="328"/>
      <c r="BC272" s="328"/>
      <c r="BD272" s="328"/>
      <c r="BE272" s="330"/>
      <c r="BF272" s="330"/>
      <c r="BG272" s="344"/>
      <c r="BH272" s="330"/>
      <c r="BI272" s="330"/>
      <c r="BJ272" s="330"/>
      <c r="BK272" s="330"/>
      <c r="BL272" s="330"/>
      <c r="BM272" s="330"/>
      <c r="BN272" s="330"/>
      <c r="BO272" s="330"/>
      <c r="BP272" s="331"/>
      <c r="BQ272" s="332"/>
      <c r="BR272" s="333"/>
    </row>
    <row r="273" spans="2:70" ht="15.75" customHeight="1">
      <c r="B273" s="216" t="s">
        <v>1750</v>
      </c>
      <c r="C273" s="212">
        <v>4358281</v>
      </c>
      <c r="D273" s="223">
        <v>32388012000121</v>
      </c>
      <c r="E273" s="217" t="s">
        <v>19</v>
      </c>
      <c r="F273" s="217" t="s">
        <v>963</v>
      </c>
      <c r="G273" s="217" t="s">
        <v>1042</v>
      </c>
      <c r="H273" s="218" t="s">
        <v>1113</v>
      </c>
      <c r="I273" s="217" t="s">
        <v>66</v>
      </c>
      <c r="J273" s="217"/>
      <c r="K273" s="218" t="s">
        <v>951</v>
      </c>
      <c r="L273" s="212" t="s">
        <v>87</v>
      </c>
      <c r="M273" s="250"/>
      <c r="N273" s="239">
        <v>43677</v>
      </c>
      <c r="O273" s="210" t="s">
        <v>1751</v>
      </c>
      <c r="P273" s="210" t="s">
        <v>1752</v>
      </c>
      <c r="Q273" s="210" t="s">
        <v>1752</v>
      </c>
      <c r="R273" s="210" t="s">
        <v>1745</v>
      </c>
      <c r="S273" s="210" t="s">
        <v>1078</v>
      </c>
      <c r="T273" s="210" t="s">
        <v>349</v>
      </c>
      <c r="U273" s="210" t="s">
        <v>1749</v>
      </c>
      <c r="V273" s="210" t="s">
        <v>1746</v>
      </c>
      <c r="W273" s="211" t="s">
        <v>1753</v>
      </c>
      <c r="X273" s="211">
        <v>1000</v>
      </c>
      <c r="Y273" s="211">
        <v>1000</v>
      </c>
      <c r="Z273" s="212">
        <v>0</v>
      </c>
      <c r="AA273" s="240">
        <v>31</v>
      </c>
      <c r="AB273" s="213">
        <v>5.0000000000000001E-3</v>
      </c>
      <c r="AC273" s="213" t="s">
        <v>1741</v>
      </c>
      <c r="AD273" s="213" t="s">
        <v>109</v>
      </c>
      <c r="AE273" s="213" t="s">
        <v>66</v>
      </c>
      <c r="AF273" s="241">
        <v>2143680903.55</v>
      </c>
      <c r="AG273" s="241">
        <v>2143680903.55</v>
      </c>
      <c r="AH273" s="213">
        <v>7.6999999999999999E-2</v>
      </c>
      <c r="AI273" s="352">
        <v>1.1853</v>
      </c>
      <c r="AJ273" s="213">
        <v>0.11749999999999999</v>
      </c>
      <c r="AK273" s="352">
        <v>1.2488999999999999</v>
      </c>
      <c r="AL273" s="213">
        <v>0.19009999999999999</v>
      </c>
      <c r="AM273" s="352">
        <v>1.5736000000000001</v>
      </c>
      <c r="AN273" s="213" t="s">
        <v>66</v>
      </c>
      <c r="AO273" s="352" t="s">
        <v>66</v>
      </c>
      <c r="AP273" s="213">
        <v>2.4899999999999999E-2</v>
      </c>
      <c r="AQ273" s="219">
        <v>0.86431615402880346</v>
      </c>
      <c r="AR273" s="213" t="s">
        <v>1827</v>
      </c>
      <c r="AU273" s="343"/>
      <c r="AV273" s="343"/>
      <c r="AW273" s="328"/>
      <c r="AX273" s="329"/>
      <c r="AY273" s="328"/>
      <c r="AZ273" s="328"/>
      <c r="BA273" s="330"/>
      <c r="BB273" s="328"/>
      <c r="BC273" s="328"/>
      <c r="BD273" s="328"/>
      <c r="BE273" s="330"/>
      <c r="BF273" s="330"/>
      <c r="BG273" s="344"/>
      <c r="BH273" s="330"/>
      <c r="BI273" s="330"/>
      <c r="BJ273" s="330"/>
      <c r="BK273" s="330"/>
      <c r="BL273" s="330"/>
      <c r="BM273" s="330"/>
      <c r="BN273" s="330"/>
      <c r="BO273" s="330"/>
      <c r="BP273" s="331"/>
      <c r="BQ273" s="332"/>
      <c r="BR273" s="333"/>
    </row>
    <row r="274" spans="2:70" ht="15.75" customHeight="1">
      <c r="B274" s="216" t="s">
        <v>1754</v>
      </c>
      <c r="C274" s="212">
        <v>4358288</v>
      </c>
      <c r="D274" s="223">
        <v>44315861000134</v>
      </c>
      <c r="E274" s="217" t="s">
        <v>19</v>
      </c>
      <c r="F274" s="217" t="s">
        <v>964</v>
      </c>
      <c r="G274" s="217" t="s">
        <v>1042</v>
      </c>
      <c r="H274" s="218" t="s">
        <v>1259</v>
      </c>
      <c r="I274" s="217" t="s">
        <v>66</v>
      </c>
      <c r="J274" s="217"/>
      <c r="K274" s="218" t="s">
        <v>951</v>
      </c>
      <c r="L274" s="212" t="s">
        <v>87</v>
      </c>
      <c r="M274" s="250"/>
      <c r="N274" s="239">
        <v>44560</v>
      </c>
      <c r="O274" s="210" t="s">
        <v>1751</v>
      </c>
      <c r="P274" s="210" t="s">
        <v>1752</v>
      </c>
      <c r="Q274" s="210" t="s">
        <v>1752</v>
      </c>
      <c r="R274" s="210" t="s">
        <v>1745</v>
      </c>
      <c r="S274" s="210" t="s">
        <v>1078</v>
      </c>
      <c r="T274" s="210" t="s">
        <v>349</v>
      </c>
      <c r="U274" s="210" t="s">
        <v>964</v>
      </c>
      <c r="V274" s="210" t="s">
        <v>25</v>
      </c>
      <c r="W274" s="211" t="s">
        <v>1755</v>
      </c>
      <c r="X274" s="211">
        <v>100</v>
      </c>
      <c r="Y274" s="211">
        <v>100</v>
      </c>
      <c r="Z274" s="212">
        <v>100</v>
      </c>
      <c r="AA274" s="240">
        <v>31</v>
      </c>
      <c r="AB274" s="213">
        <v>5.0000000000000001E-3</v>
      </c>
      <c r="AC274" s="213">
        <v>0.15</v>
      </c>
      <c r="AD274" s="213" t="s">
        <v>981</v>
      </c>
      <c r="AE274" s="213" t="s">
        <v>66</v>
      </c>
      <c r="AF274" s="241">
        <v>60691176.090000004</v>
      </c>
      <c r="AG274" s="241">
        <v>60691176.090000004</v>
      </c>
      <c r="AH274" s="213">
        <v>8.0299999999999996E-2</v>
      </c>
      <c r="AI274" s="352">
        <v>1.2367999999999999</v>
      </c>
      <c r="AJ274" s="213" t="s">
        <v>66</v>
      </c>
      <c r="AK274" s="352" t="s">
        <v>66</v>
      </c>
      <c r="AL274" s="213" t="s">
        <v>66</v>
      </c>
      <c r="AM274" s="352" t="s">
        <v>66</v>
      </c>
      <c r="AN274" s="213" t="s">
        <v>66</v>
      </c>
      <c r="AO274" s="352" t="s">
        <v>66</v>
      </c>
      <c r="AP274" s="213" t="s">
        <v>66</v>
      </c>
      <c r="AQ274" s="219" t="s">
        <v>66</v>
      </c>
      <c r="AR274" s="213" t="s">
        <v>1827</v>
      </c>
      <c r="AU274" s="343"/>
      <c r="AV274" s="343"/>
      <c r="AW274" s="328"/>
      <c r="AX274" s="329"/>
      <c r="AY274" s="328"/>
      <c r="AZ274" s="328"/>
      <c r="BA274" s="330"/>
      <c r="BB274" s="328"/>
      <c r="BC274" s="328"/>
      <c r="BD274" s="328"/>
      <c r="BE274" s="330"/>
      <c r="BF274" s="330"/>
      <c r="BG274" s="344"/>
      <c r="BH274" s="330"/>
      <c r="BI274" s="330"/>
      <c r="BJ274" s="330"/>
      <c r="BK274" s="330"/>
      <c r="BL274" s="330"/>
      <c r="BM274" s="330"/>
      <c r="BN274" s="330"/>
      <c r="BO274" s="330"/>
      <c r="BP274" s="331"/>
      <c r="BQ274" s="332"/>
      <c r="BR274" s="333"/>
    </row>
    <row r="275" spans="2:70" ht="15.75" customHeight="1">
      <c r="B275" s="216" t="s">
        <v>844</v>
      </c>
      <c r="C275" s="212">
        <v>676343</v>
      </c>
      <c r="D275" s="223">
        <v>28428129000114</v>
      </c>
      <c r="E275" s="217" t="s">
        <v>25</v>
      </c>
      <c r="F275" s="217" t="s">
        <v>958</v>
      </c>
      <c r="G275" s="217" t="s">
        <v>962</v>
      </c>
      <c r="H275" s="218" t="s">
        <v>66</v>
      </c>
      <c r="I275" s="217" t="s">
        <v>1259</v>
      </c>
      <c r="J275" s="217" t="s">
        <v>66</v>
      </c>
      <c r="K275" s="218"/>
      <c r="L275" s="212" t="s">
        <v>87</v>
      </c>
      <c r="M275" s="250"/>
      <c r="N275" s="239">
        <v>43039</v>
      </c>
      <c r="O275" s="210" t="s">
        <v>228</v>
      </c>
      <c r="P275" s="210" t="s">
        <v>1089</v>
      </c>
      <c r="Q275" s="210" t="s">
        <v>1089</v>
      </c>
      <c r="R275" s="210" t="s">
        <v>1084</v>
      </c>
      <c r="S275" s="210" t="s">
        <v>1085</v>
      </c>
      <c r="T275" s="210" t="s">
        <v>1082</v>
      </c>
      <c r="U275" s="210" t="s">
        <v>958</v>
      </c>
      <c r="V275" s="210" t="s">
        <v>25</v>
      </c>
      <c r="W275" s="211" t="s">
        <v>1016</v>
      </c>
      <c r="X275" s="211">
        <v>500</v>
      </c>
      <c r="Y275" s="211">
        <v>500</v>
      </c>
      <c r="Z275" s="212">
        <v>500</v>
      </c>
      <c r="AA275" s="240">
        <v>31</v>
      </c>
      <c r="AB275" s="213">
        <v>0.01</v>
      </c>
      <c r="AC275" s="213">
        <v>0</v>
      </c>
      <c r="AD275" s="213" t="s">
        <v>109</v>
      </c>
      <c r="AE275" s="213">
        <v>2.6666666666666666E-3</v>
      </c>
      <c r="AF275" s="241">
        <v>207983300.27000001</v>
      </c>
      <c r="AG275" s="241">
        <v>207983300.27000001</v>
      </c>
      <c r="AH275" s="213">
        <v>7.9200000000000007E-2</v>
      </c>
      <c r="AI275" s="352">
        <v>1.2199</v>
      </c>
      <c r="AJ275" s="213">
        <v>6.3399999999999998E-2</v>
      </c>
      <c r="AK275" s="352">
        <v>0.6734</v>
      </c>
      <c r="AL275" s="213">
        <v>0.1318</v>
      </c>
      <c r="AM275" s="352">
        <v>1.0908</v>
      </c>
      <c r="AN275" s="213">
        <v>0.17219999999999999</v>
      </c>
      <c r="AO275" s="352">
        <v>1.0221</v>
      </c>
      <c r="AP275" s="213">
        <v>6.9599999999999995E-2</v>
      </c>
      <c r="AQ275" s="219">
        <v>-0.37491428254473369</v>
      </c>
      <c r="AR275" s="213" t="s">
        <v>1827</v>
      </c>
      <c r="AU275" s="343"/>
      <c r="AV275" s="343"/>
      <c r="AW275" s="328"/>
      <c r="AX275" s="329"/>
      <c r="AY275" s="328"/>
      <c r="AZ275" s="328"/>
      <c r="BA275" s="330"/>
      <c r="BB275" s="328"/>
      <c r="BC275" s="328"/>
      <c r="BD275" s="328"/>
      <c r="BE275" s="330"/>
      <c r="BF275" s="330"/>
      <c r="BG275" s="344"/>
      <c r="BH275" s="383"/>
      <c r="BI275" s="330"/>
      <c r="BJ275" s="330"/>
      <c r="BK275" s="330"/>
      <c r="BL275" s="330"/>
      <c r="BM275" s="330"/>
      <c r="BN275" s="330"/>
      <c r="BO275" s="330"/>
      <c r="BP275" s="331"/>
      <c r="BQ275" s="332"/>
      <c r="BR275" s="333"/>
    </row>
    <row r="276" spans="2:70" ht="15.75" customHeight="1">
      <c r="B276" s="216" t="s">
        <v>229</v>
      </c>
      <c r="C276" s="212">
        <v>1032114</v>
      </c>
      <c r="D276" s="223">
        <v>39345047000122</v>
      </c>
      <c r="E276" s="217" t="s">
        <v>28</v>
      </c>
      <c r="F276" s="217" t="s">
        <v>950</v>
      </c>
      <c r="G276" s="217"/>
      <c r="H276" s="218"/>
      <c r="I276" s="217" t="s">
        <v>66</v>
      </c>
      <c r="J276" s="217" t="s">
        <v>66</v>
      </c>
      <c r="K276" s="218" t="s">
        <v>954</v>
      </c>
      <c r="L276" s="212"/>
      <c r="M276" s="250"/>
      <c r="N276" s="239">
        <v>44162</v>
      </c>
      <c r="O276" s="210" t="s">
        <v>228</v>
      </c>
      <c r="P276" s="210" t="s">
        <v>1088</v>
      </c>
      <c r="Q276" s="210" t="s">
        <v>1089</v>
      </c>
      <c r="R276" s="210" t="s">
        <v>1084</v>
      </c>
      <c r="S276" s="210" t="s">
        <v>1078</v>
      </c>
      <c r="T276" s="210" t="s">
        <v>1079</v>
      </c>
      <c r="U276" s="210" t="s">
        <v>65</v>
      </c>
      <c r="V276" s="210" t="s">
        <v>1080</v>
      </c>
      <c r="W276" s="211" t="s">
        <v>1007</v>
      </c>
      <c r="X276" s="211">
        <v>100</v>
      </c>
      <c r="Y276" s="211">
        <v>100</v>
      </c>
      <c r="Z276" s="212">
        <v>100</v>
      </c>
      <c r="AA276" s="240">
        <v>3</v>
      </c>
      <c r="AB276" s="213">
        <v>0.01</v>
      </c>
      <c r="AC276" s="213">
        <v>0</v>
      </c>
      <c r="AD276" s="213" t="s">
        <v>1157</v>
      </c>
      <c r="AE276" s="213" t="s">
        <v>66</v>
      </c>
      <c r="AF276" s="241">
        <v>12494037.890000001</v>
      </c>
      <c r="AG276" s="241">
        <v>12494037.890000001</v>
      </c>
      <c r="AH276" s="213">
        <v>-8.48E-2</v>
      </c>
      <c r="AI276" s="352">
        <v>-1.3058000000000001</v>
      </c>
      <c r="AJ276" s="213">
        <v>-0.15040000000000001</v>
      </c>
      <c r="AK276" s="352">
        <v>-1.5987</v>
      </c>
      <c r="AL276" s="213" t="s">
        <v>66</v>
      </c>
      <c r="AM276" s="352" t="s">
        <v>66</v>
      </c>
      <c r="AN276" s="213" t="s">
        <v>66</v>
      </c>
      <c r="AO276" s="352" t="s">
        <v>66</v>
      </c>
      <c r="AP276" s="213">
        <v>0.1804</v>
      </c>
      <c r="AQ276" s="219">
        <v>-1.3120724101982326</v>
      </c>
      <c r="AR276" s="213" t="s">
        <v>1827</v>
      </c>
      <c r="AU276" s="343"/>
      <c r="AV276" s="343"/>
      <c r="AW276" s="328"/>
      <c r="AX276" s="329"/>
      <c r="AY276" s="328"/>
      <c r="AZ276" s="328"/>
      <c r="BA276" s="330"/>
      <c r="BB276" s="328"/>
      <c r="BC276" s="328"/>
      <c r="BD276" s="328"/>
      <c r="BE276" s="330"/>
      <c r="BF276" s="330"/>
      <c r="BG276" s="344"/>
      <c r="BH276" s="330"/>
      <c r="BI276" s="330"/>
      <c r="BJ276" s="330"/>
      <c r="BK276" s="330"/>
      <c r="BL276" s="330"/>
      <c r="BM276" s="330"/>
      <c r="BN276" s="330"/>
      <c r="BO276" s="330"/>
      <c r="BP276" s="331"/>
      <c r="BQ276" s="332"/>
      <c r="BR276" s="333"/>
    </row>
    <row r="277" spans="2:70" ht="15.75" customHeight="1">
      <c r="B277" s="216" t="s">
        <v>766</v>
      </c>
      <c r="C277" s="212">
        <v>2200733</v>
      </c>
      <c r="D277" s="223">
        <v>41219215000185</v>
      </c>
      <c r="E277" s="217" t="s">
        <v>28</v>
      </c>
      <c r="F277" s="217" t="s">
        <v>950</v>
      </c>
      <c r="G277" s="217"/>
      <c r="H277" s="218"/>
      <c r="I277" s="217" t="s">
        <v>66</v>
      </c>
      <c r="J277" s="217" t="s">
        <v>66</v>
      </c>
      <c r="K277" s="218" t="s">
        <v>951</v>
      </c>
      <c r="L277" s="212" t="s">
        <v>87</v>
      </c>
      <c r="M277" s="250"/>
      <c r="N277" s="239">
        <v>44347</v>
      </c>
      <c r="O277" s="210" t="s">
        <v>228</v>
      </c>
      <c r="P277" s="210" t="s">
        <v>1089</v>
      </c>
      <c r="Q277" s="210" t="s">
        <v>1089</v>
      </c>
      <c r="R277" s="210" t="s">
        <v>1084</v>
      </c>
      <c r="S277" s="210" t="s">
        <v>1085</v>
      </c>
      <c r="T277" s="210" t="s">
        <v>1079</v>
      </c>
      <c r="U277" s="210" t="s">
        <v>950</v>
      </c>
      <c r="V277" s="210" t="s">
        <v>1080</v>
      </c>
      <c r="W277" s="211" t="s">
        <v>1007</v>
      </c>
      <c r="X277" s="211">
        <v>100</v>
      </c>
      <c r="Y277" s="211">
        <v>100</v>
      </c>
      <c r="Z277" s="212">
        <v>100</v>
      </c>
      <c r="AA277" s="240">
        <v>32</v>
      </c>
      <c r="AB277" s="213">
        <v>7.4999999999999997E-3</v>
      </c>
      <c r="AC277" s="213">
        <v>0.1</v>
      </c>
      <c r="AD277" s="213" t="s">
        <v>1157</v>
      </c>
      <c r="AE277" s="213">
        <v>2E-3</v>
      </c>
      <c r="AF277" s="241">
        <v>7918778.5999999996</v>
      </c>
      <c r="AG277" s="241">
        <v>7918778.5999999996</v>
      </c>
      <c r="AH277" s="213">
        <v>-0.10009999999999999</v>
      </c>
      <c r="AI277" s="352">
        <v>-1.5426</v>
      </c>
      <c r="AJ277" s="213">
        <v>-0.30249999999999999</v>
      </c>
      <c r="AK277" s="352">
        <v>-3.2151000000000001</v>
      </c>
      <c r="AL277" s="213" t="s">
        <v>66</v>
      </c>
      <c r="AM277" s="352" t="s">
        <v>66</v>
      </c>
      <c r="AN277" s="213" t="s">
        <v>66</v>
      </c>
      <c r="AO277" s="352" t="s">
        <v>66</v>
      </c>
      <c r="AP277" s="213">
        <v>0.2233</v>
      </c>
      <c r="AQ277" s="219">
        <v>-1.9036141536162954</v>
      </c>
      <c r="AR277" s="213" t="s">
        <v>1827</v>
      </c>
      <c r="AU277" s="343"/>
      <c r="AV277" s="343"/>
      <c r="AW277" s="328"/>
      <c r="AX277" s="329"/>
      <c r="AY277" s="328"/>
      <c r="AZ277" s="328"/>
      <c r="BA277" s="330"/>
      <c r="BB277" s="328"/>
      <c r="BC277" s="328"/>
      <c r="BD277" s="328"/>
      <c r="BE277" s="330"/>
      <c r="BF277" s="330"/>
      <c r="BG277" s="344"/>
      <c r="BH277" s="330"/>
      <c r="BI277" s="330"/>
      <c r="BJ277" s="330"/>
      <c r="BK277" s="330"/>
      <c r="BL277" s="330"/>
      <c r="BM277" s="330"/>
      <c r="BN277" s="330"/>
      <c r="BO277" s="330"/>
      <c r="BP277" s="331"/>
      <c r="BQ277" s="332"/>
      <c r="BR277" s="333"/>
    </row>
    <row r="278" spans="2:70" ht="15.75" customHeight="1">
      <c r="B278" s="216" t="s">
        <v>1214</v>
      </c>
      <c r="C278" s="212">
        <v>4358281</v>
      </c>
      <c r="D278" s="223">
        <v>37310314000109</v>
      </c>
      <c r="E278" s="217" t="s">
        <v>25</v>
      </c>
      <c r="F278" s="217" t="s">
        <v>958</v>
      </c>
      <c r="G278" s="217" t="s">
        <v>962</v>
      </c>
      <c r="H278" s="218" t="s">
        <v>66</v>
      </c>
      <c r="I278" s="217" t="s">
        <v>1841</v>
      </c>
      <c r="J278" s="217" t="s">
        <v>66</v>
      </c>
      <c r="K278" s="218"/>
      <c r="L278" s="212" t="s">
        <v>87</v>
      </c>
      <c r="M278" s="250"/>
      <c r="N278" s="239">
        <v>44012</v>
      </c>
      <c r="O278" s="210" t="s">
        <v>228</v>
      </c>
      <c r="P278" s="210" t="s">
        <v>1089</v>
      </c>
      <c r="Q278" s="210" t="s">
        <v>1089</v>
      </c>
      <c r="R278" s="210" t="s">
        <v>1084</v>
      </c>
      <c r="S278" s="210" t="s">
        <v>1078</v>
      </c>
      <c r="T278" s="210" t="s">
        <v>1082</v>
      </c>
      <c r="U278" s="210" t="s">
        <v>958</v>
      </c>
      <c r="V278" s="210" t="s">
        <v>25</v>
      </c>
      <c r="W278" s="211" t="s">
        <v>1016</v>
      </c>
      <c r="X278" s="211">
        <v>100</v>
      </c>
      <c r="Y278" s="211">
        <v>100</v>
      </c>
      <c r="Z278" s="212">
        <v>100</v>
      </c>
      <c r="AA278" s="240">
        <v>6</v>
      </c>
      <c r="AB278" s="213">
        <v>0.01</v>
      </c>
      <c r="AC278" s="213">
        <v>0.3</v>
      </c>
      <c r="AD278" s="213" t="s">
        <v>109</v>
      </c>
      <c r="AE278" s="213" t="s">
        <v>66</v>
      </c>
      <c r="AF278" s="241">
        <v>76375079.549999997</v>
      </c>
      <c r="AG278" s="241">
        <v>76375079.549999997</v>
      </c>
      <c r="AH278" s="213">
        <v>1.9199999999999998E-2</v>
      </c>
      <c r="AI278" s="352">
        <v>0.29609999999999997</v>
      </c>
      <c r="AJ278" s="213">
        <v>2.3400000000000001E-2</v>
      </c>
      <c r="AK278" s="352">
        <v>0.2485</v>
      </c>
      <c r="AL278" s="213">
        <v>2.1399999999999999E-2</v>
      </c>
      <c r="AM278" s="352">
        <v>0.17730000000000001</v>
      </c>
      <c r="AN278" s="213" t="s">
        <v>66</v>
      </c>
      <c r="AO278" s="352" t="s">
        <v>66</v>
      </c>
      <c r="AP278" s="213">
        <v>2.8799999999999999E-2</v>
      </c>
      <c r="AQ278" s="219">
        <v>-2.3054754778281472</v>
      </c>
      <c r="AR278" s="213" t="s">
        <v>1827</v>
      </c>
      <c r="AU278" s="343"/>
      <c r="AV278" s="343"/>
      <c r="AW278" s="328"/>
      <c r="AX278" s="329"/>
      <c r="AY278" s="328"/>
      <c r="AZ278" s="328"/>
      <c r="BA278" s="330"/>
      <c r="BB278" s="328"/>
      <c r="BC278" s="328"/>
      <c r="BD278" s="328"/>
      <c r="BE278" s="330"/>
      <c r="BF278" s="330"/>
      <c r="BG278" s="344"/>
      <c r="BH278" s="330"/>
      <c r="BI278" s="330"/>
      <c r="BJ278" s="330"/>
      <c r="BK278" s="330"/>
      <c r="BL278" s="330"/>
      <c r="BM278" s="330"/>
      <c r="BN278" s="330"/>
      <c r="BO278" s="330"/>
      <c r="BP278" s="331"/>
      <c r="BQ278" s="332"/>
      <c r="BR278" s="333"/>
    </row>
    <row r="279" spans="2:70" ht="15.75" customHeight="1">
      <c r="B279" s="216" t="s">
        <v>1215</v>
      </c>
      <c r="C279" s="212">
        <v>4358288</v>
      </c>
      <c r="D279" s="223">
        <v>38376759000146</v>
      </c>
      <c r="E279" s="217" t="s">
        <v>25</v>
      </c>
      <c r="F279" s="217" t="s">
        <v>959</v>
      </c>
      <c r="G279" s="217" t="s">
        <v>960</v>
      </c>
      <c r="H279" s="218" t="s">
        <v>66</v>
      </c>
      <c r="I279" s="217" t="s">
        <v>1841</v>
      </c>
      <c r="J279" s="217" t="s">
        <v>66</v>
      </c>
      <c r="K279" s="218" t="s">
        <v>951</v>
      </c>
      <c r="L279" s="212" t="s">
        <v>87</v>
      </c>
      <c r="M279" s="250"/>
      <c r="N279" s="239">
        <v>44105</v>
      </c>
      <c r="O279" s="210" t="s">
        <v>228</v>
      </c>
      <c r="P279" s="210" t="s">
        <v>1089</v>
      </c>
      <c r="Q279" s="210" t="s">
        <v>1089</v>
      </c>
      <c r="R279" s="210" t="s">
        <v>1084</v>
      </c>
      <c r="S279" s="210" t="s">
        <v>1078</v>
      </c>
      <c r="T279" s="210" t="s">
        <v>1082</v>
      </c>
      <c r="U279" s="210" t="s">
        <v>1086</v>
      </c>
      <c r="V279" s="210" t="s">
        <v>25</v>
      </c>
      <c r="W279" s="211" t="s">
        <v>1016</v>
      </c>
      <c r="X279" s="211">
        <v>100</v>
      </c>
      <c r="Y279" s="211">
        <v>100</v>
      </c>
      <c r="Z279" s="212">
        <v>100</v>
      </c>
      <c r="AA279" s="240">
        <v>16</v>
      </c>
      <c r="AB279" s="213">
        <v>0.01</v>
      </c>
      <c r="AC279" s="213">
        <v>0.3</v>
      </c>
      <c r="AD279" s="213" t="s">
        <v>109</v>
      </c>
      <c r="AE279" s="213">
        <v>2.6666666666666666E-3</v>
      </c>
      <c r="AF279" s="241">
        <v>47476398.600000001</v>
      </c>
      <c r="AG279" s="241">
        <v>47476398.600000001</v>
      </c>
      <c r="AH279" s="213">
        <v>9.6000000000000002E-2</v>
      </c>
      <c r="AI279" s="352">
        <v>1.4794</v>
      </c>
      <c r="AJ279" s="213">
        <v>8.0500000000000002E-2</v>
      </c>
      <c r="AK279" s="352">
        <v>0.85529999999999995</v>
      </c>
      <c r="AL279" s="213" t="s">
        <v>66</v>
      </c>
      <c r="AM279" s="352" t="s">
        <v>66</v>
      </c>
      <c r="AN279" s="213" t="s">
        <v>66</v>
      </c>
      <c r="AO279" s="352" t="s">
        <v>66</v>
      </c>
      <c r="AP279" s="213">
        <v>4.24E-2</v>
      </c>
      <c r="AQ279" s="219">
        <v>-0.27459647649608399</v>
      </c>
      <c r="AR279" s="213" t="s">
        <v>1827</v>
      </c>
      <c r="AU279" s="343"/>
      <c r="AV279" s="343"/>
      <c r="AW279" s="328"/>
      <c r="AX279" s="329"/>
      <c r="AY279" s="328"/>
      <c r="AZ279" s="328"/>
      <c r="BA279" s="330"/>
      <c r="BB279" s="328"/>
      <c r="BC279" s="328"/>
      <c r="BD279" s="328"/>
      <c r="BE279" s="330"/>
      <c r="BF279" s="330"/>
      <c r="BG279" s="344"/>
      <c r="BH279" s="330"/>
      <c r="BI279" s="330"/>
      <c r="BJ279" s="330"/>
      <c r="BK279" s="330"/>
      <c r="BL279" s="330"/>
      <c r="BM279" s="330"/>
      <c r="BN279" s="330"/>
      <c r="BO279" s="330"/>
      <c r="BP279" s="331"/>
      <c r="BQ279" s="332"/>
      <c r="BR279" s="333"/>
    </row>
    <row r="280" spans="2:70" ht="15.75" customHeight="1">
      <c r="B280" s="216" t="s">
        <v>818</v>
      </c>
      <c r="C280" s="212">
        <v>2200715</v>
      </c>
      <c r="D280" s="223">
        <v>38860877000125</v>
      </c>
      <c r="E280" s="217" t="s">
        <v>25</v>
      </c>
      <c r="F280" s="217" t="s">
        <v>959</v>
      </c>
      <c r="G280" s="217" t="s">
        <v>962</v>
      </c>
      <c r="H280" s="218"/>
      <c r="I280" s="217" t="s">
        <v>1259</v>
      </c>
      <c r="J280" s="217" t="s">
        <v>66</v>
      </c>
      <c r="K280" s="218" t="s">
        <v>954</v>
      </c>
      <c r="L280" s="212"/>
      <c r="M280" s="250"/>
      <c r="N280" s="239">
        <v>44162</v>
      </c>
      <c r="O280" s="210" t="s">
        <v>228</v>
      </c>
      <c r="P280" s="210" t="s">
        <v>1089</v>
      </c>
      <c r="Q280" s="210" t="s">
        <v>1089</v>
      </c>
      <c r="R280" s="210" t="s">
        <v>1084</v>
      </c>
      <c r="S280" s="210" t="s">
        <v>1078</v>
      </c>
      <c r="T280" s="210" t="s">
        <v>1079</v>
      </c>
      <c r="U280" s="210" t="s">
        <v>65</v>
      </c>
      <c r="V280" s="210" t="s">
        <v>25</v>
      </c>
      <c r="W280" s="211" t="s">
        <v>1016</v>
      </c>
      <c r="X280" s="211">
        <v>100</v>
      </c>
      <c r="Y280" s="211">
        <v>100</v>
      </c>
      <c r="Z280" s="212">
        <v>100</v>
      </c>
      <c r="AA280" s="240">
        <v>3</v>
      </c>
      <c r="AB280" s="213">
        <v>2.5000000000000001E-3</v>
      </c>
      <c r="AC280" s="213">
        <v>0</v>
      </c>
      <c r="AD280" s="213" t="s">
        <v>1157</v>
      </c>
      <c r="AE280" s="213" t="s">
        <v>66</v>
      </c>
      <c r="AF280" s="241">
        <v>16280814.029999999</v>
      </c>
      <c r="AG280" s="241">
        <v>16280814.029999999</v>
      </c>
      <c r="AH280" s="213">
        <v>-8.9999999999999998E-4</v>
      </c>
      <c r="AI280" s="352">
        <v>-1.38E-2</v>
      </c>
      <c r="AJ280" s="213">
        <v>5.5999999999999999E-3</v>
      </c>
      <c r="AK280" s="352">
        <v>5.9299999999999999E-2</v>
      </c>
      <c r="AL280" s="213" t="s">
        <v>66</v>
      </c>
      <c r="AM280" s="352" t="s">
        <v>66</v>
      </c>
      <c r="AN280" s="213" t="s">
        <v>66</v>
      </c>
      <c r="AO280" s="352" t="s">
        <v>66</v>
      </c>
      <c r="AP280" s="213">
        <v>5.7500000000000002E-2</v>
      </c>
      <c r="AQ280" s="219">
        <v>-1.4390090230251857</v>
      </c>
      <c r="AR280" s="213" t="s">
        <v>1827</v>
      </c>
      <c r="AU280" s="343"/>
      <c r="AV280" s="343"/>
      <c r="AW280" s="328"/>
      <c r="AX280" s="329"/>
      <c r="AY280" s="328"/>
      <c r="AZ280" s="328"/>
      <c r="BA280" s="330"/>
      <c r="BB280" s="328"/>
      <c r="BC280" s="328"/>
      <c r="BD280" s="328"/>
      <c r="BE280" s="330"/>
      <c r="BF280" s="330"/>
      <c r="BG280" s="344"/>
      <c r="BH280" s="330"/>
      <c r="BI280" s="330"/>
      <c r="BJ280" s="330"/>
      <c r="BK280" s="330"/>
      <c r="BL280" s="330"/>
      <c r="BM280" s="330"/>
      <c r="BN280" s="330"/>
      <c r="BO280" s="330"/>
      <c r="BP280" s="331"/>
      <c r="BQ280" s="332"/>
      <c r="BR280" s="333"/>
    </row>
    <row r="281" spans="2:70" ht="15.75" customHeight="1">
      <c r="B281" s="216" t="s">
        <v>845</v>
      </c>
      <c r="C281" s="212">
        <v>1593199</v>
      </c>
      <c r="D281" s="223">
        <v>32743384000129</v>
      </c>
      <c r="E281" s="217" t="s">
        <v>25</v>
      </c>
      <c r="F281" s="217" t="s">
        <v>958</v>
      </c>
      <c r="G281" s="217" t="s">
        <v>962</v>
      </c>
      <c r="H281" s="218" t="s">
        <v>66</v>
      </c>
      <c r="I281" s="217" t="s">
        <v>1259</v>
      </c>
      <c r="J281" s="217" t="s">
        <v>66</v>
      </c>
      <c r="K281" s="218"/>
      <c r="L281" s="212" t="s">
        <v>87</v>
      </c>
      <c r="M281" s="250"/>
      <c r="N281" s="239">
        <v>43738</v>
      </c>
      <c r="O281" s="210" t="s">
        <v>228</v>
      </c>
      <c r="P281" s="210" t="s">
        <v>1089</v>
      </c>
      <c r="Q281" s="210" t="s">
        <v>1089</v>
      </c>
      <c r="R281" s="210" t="s">
        <v>1077</v>
      </c>
      <c r="S281" s="210" t="s">
        <v>1085</v>
      </c>
      <c r="T281" s="210" t="s">
        <v>1082</v>
      </c>
      <c r="U281" s="210" t="s">
        <v>958</v>
      </c>
      <c r="V281" s="210" t="s">
        <v>25</v>
      </c>
      <c r="W281" s="211" t="s">
        <v>1016</v>
      </c>
      <c r="X281" s="211">
        <v>500</v>
      </c>
      <c r="Y281" s="211">
        <v>500</v>
      </c>
      <c r="Z281" s="212">
        <v>500</v>
      </c>
      <c r="AA281" s="240">
        <v>46</v>
      </c>
      <c r="AB281" s="213">
        <v>0.01</v>
      </c>
      <c r="AC281" s="213">
        <v>0</v>
      </c>
      <c r="AD281" s="213" t="s">
        <v>1157</v>
      </c>
      <c r="AE281" s="213">
        <v>2.6666666666666666E-3</v>
      </c>
      <c r="AF281" s="241">
        <v>43634093.75</v>
      </c>
      <c r="AG281" s="241">
        <v>43634093.75</v>
      </c>
      <c r="AH281" s="213">
        <v>3.1300000000000001E-2</v>
      </c>
      <c r="AI281" s="352">
        <v>0.48170000000000002</v>
      </c>
      <c r="AJ281" s="213">
        <v>1.5800000000000002E-2</v>
      </c>
      <c r="AK281" s="352">
        <v>0.1678</v>
      </c>
      <c r="AL281" s="213">
        <v>6.4299999999999996E-2</v>
      </c>
      <c r="AM281" s="352">
        <v>0.5323</v>
      </c>
      <c r="AN281" s="213" t="s">
        <v>66</v>
      </c>
      <c r="AO281" s="352" t="s">
        <v>66</v>
      </c>
      <c r="AP281" s="213">
        <v>5.4300000000000001E-2</v>
      </c>
      <c r="AQ281" s="219">
        <v>-1.3408289257876078</v>
      </c>
      <c r="AR281" s="213" t="s">
        <v>1827</v>
      </c>
      <c r="AU281" s="343"/>
      <c r="AV281" s="343"/>
      <c r="AW281" s="328"/>
      <c r="AX281" s="329"/>
      <c r="AY281" s="328"/>
      <c r="AZ281" s="328"/>
      <c r="BA281" s="330"/>
      <c r="BB281" s="328"/>
      <c r="BC281" s="328"/>
      <c r="BD281" s="328"/>
      <c r="BE281" s="330"/>
      <c r="BF281" s="330"/>
      <c r="BG281" s="344"/>
      <c r="BH281" s="330"/>
      <c r="BI281" s="330"/>
      <c r="BJ281" s="330"/>
      <c r="BK281" s="330"/>
      <c r="BL281" s="330"/>
      <c r="BM281" s="330"/>
      <c r="BN281" s="330"/>
      <c r="BO281" s="330"/>
      <c r="BP281" s="331"/>
      <c r="BQ281" s="332"/>
      <c r="BR281" s="333"/>
    </row>
    <row r="282" spans="2:70" ht="15.75" customHeight="1">
      <c r="B282" s="216" t="s">
        <v>1216</v>
      </c>
      <c r="C282" s="212">
        <v>2200738</v>
      </c>
      <c r="D282" s="223">
        <v>35847960000176</v>
      </c>
      <c r="E282" s="217" t="s">
        <v>25</v>
      </c>
      <c r="F282" s="217" t="s">
        <v>958</v>
      </c>
      <c r="G282" s="217" t="s">
        <v>962</v>
      </c>
      <c r="H282" s="218" t="s">
        <v>66</v>
      </c>
      <c r="I282" s="217" t="s">
        <v>1259</v>
      </c>
      <c r="J282" s="217" t="s">
        <v>66</v>
      </c>
      <c r="K282" s="218"/>
      <c r="L282" s="212" t="s">
        <v>87</v>
      </c>
      <c r="M282" s="250"/>
      <c r="N282" s="239">
        <v>43921</v>
      </c>
      <c r="O282" s="210" t="s">
        <v>228</v>
      </c>
      <c r="P282" s="210" t="s">
        <v>1089</v>
      </c>
      <c r="Q282" s="210" t="s">
        <v>1089</v>
      </c>
      <c r="R282" s="210" t="s">
        <v>1084</v>
      </c>
      <c r="S282" s="210" t="s">
        <v>1078</v>
      </c>
      <c r="T282" s="210" t="s">
        <v>1082</v>
      </c>
      <c r="U282" s="210" t="s">
        <v>958</v>
      </c>
      <c r="V282" s="210" t="s">
        <v>25</v>
      </c>
      <c r="W282" s="211" t="s">
        <v>1016</v>
      </c>
      <c r="X282" s="211">
        <v>100</v>
      </c>
      <c r="Y282" s="211">
        <v>100</v>
      </c>
      <c r="Z282" s="212">
        <v>100</v>
      </c>
      <c r="AA282" s="240">
        <v>31</v>
      </c>
      <c r="AB282" s="213">
        <v>0.01</v>
      </c>
      <c r="AC282" s="213">
        <v>0.3</v>
      </c>
      <c r="AD282" s="213" t="s">
        <v>1157</v>
      </c>
      <c r="AE282" s="213">
        <v>2.6666666666666666E-3</v>
      </c>
      <c r="AF282" s="241">
        <v>10122728.02</v>
      </c>
      <c r="AG282" s="241">
        <v>10122728.02</v>
      </c>
      <c r="AH282" s="213">
        <v>4.8899999999999999E-2</v>
      </c>
      <c r="AI282" s="352">
        <v>0.75390000000000001</v>
      </c>
      <c r="AJ282" s="213">
        <v>1.9300000000000001E-2</v>
      </c>
      <c r="AK282" s="352">
        <v>0.20530000000000001</v>
      </c>
      <c r="AL282" s="213">
        <v>3.0700000000000002E-2</v>
      </c>
      <c r="AM282" s="352">
        <v>0.2545</v>
      </c>
      <c r="AN282" s="213" t="s">
        <v>66</v>
      </c>
      <c r="AO282" s="352" t="s">
        <v>66</v>
      </c>
      <c r="AP282" s="213">
        <v>5.7200000000000001E-2</v>
      </c>
      <c r="AQ282" s="219">
        <v>-1.2097176652456076</v>
      </c>
      <c r="AR282" s="213" t="s">
        <v>1827</v>
      </c>
      <c r="AU282" s="343"/>
      <c r="AV282" s="343"/>
      <c r="AW282" s="328"/>
      <c r="AX282" s="329"/>
      <c r="AY282" s="328"/>
      <c r="AZ282" s="328"/>
      <c r="BA282" s="330"/>
      <c r="BB282" s="328"/>
      <c r="BC282" s="328"/>
      <c r="BD282" s="328"/>
      <c r="BE282" s="330"/>
      <c r="BF282" s="330"/>
      <c r="BG282" s="344"/>
      <c r="BH282" s="330"/>
      <c r="BI282" s="330"/>
      <c r="BJ282" s="330"/>
      <c r="BK282" s="330"/>
      <c r="BL282" s="330"/>
      <c r="BM282" s="330"/>
      <c r="BN282" s="330"/>
      <c r="BO282" s="330"/>
      <c r="BP282" s="331"/>
      <c r="BQ282" s="332"/>
      <c r="BR282" s="333"/>
    </row>
    <row r="283" spans="2:70" ht="15.75" customHeight="1">
      <c r="B283" s="216" t="s">
        <v>1217</v>
      </c>
      <c r="C283" s="212">
        <v>1200473</v>
      </c>
      <c r="D283" s="223">
        <v>35847901000106</v>
      </c>
      <c r="E283" s="217" t="s">
        <v>25</v>
      </c>
      <c r="F283" s="217" t="s">
        <v>958</v>
      </c>
      <c r="G283" s="217" t="s">
        <v>962</v>
      </c>
      <c r="H283" s="218" t="s">
        <v>66</v>
      </c>
      <c r="I283" s="217" t="s">
        <v>1841</v>
      </c>
      <c r="J283" s="217" t="s">
        <v>66</v>
      </c>
      <c r="K283" s="218"/>
      <c r="L283" s="212" t="s">
        <v>87</v>
      </c>
      <c r="M283" s="250"/>
      <c r="N283" s="239">
        <v>43921</v>
      </c>
      <c r="O283" s="210" t="s">
        <v>228</v>
      </c>
      <c r="P283" s="210" t="s">
        <v>1089</v>
      </c>
      <c r="Q283" s="210" t="s">
        <v>1089</v>
      </c>
      <c r="R283" s="210" t="s">
        <v>1084</v>
      </c>
      <c r="S283" s="210" t="s">
        <v>1078</v>
      </c>
      <c r="T283" s="210" t="s">
        <v>1082</v>
      </c>
      <c r="U283" s="210" t="s">
        <v>958</v>
      </c>
      <c r="V283" s="210" t="s">
        <v>25</v>
      </c>
      <c r="W283" s="211" t="s">
        <v>1016</v>
      </c>
      <c r="X283" s="211">
        <v>100</v>
      </c>
      <c r="Y283" s="211">
        <v>100</v>
      </c>
      <c r="Z283" s="212">
        <v>100</v>
      </c>
      <c r="AA283" s="240">
        <v>3</v>
      </c>
      <c r="AB283" s="213">
        <v>0.01</v>
      </c>
      <c r="AC283" s="213">
        <v>0.3</v>
      </c>
      <c r="AD283" s="213" t="s">
        <v>1157</v>
      </c>
      <c r="AE283" s="213">
        <v>2.6666666666666666E-3</v>
      </c>
      <c r="AF283" s="241">
        <v>53135448.630000003</v>
      </c>
      <c r="AG283" s="241">
        <v>53135448.630000003</v>
      </c>
      <c r="AH283" s="213">
        <v>5.4199999999999998E-2</v>
      </c>
      <c r="AI283" s="352">
        <v>0.83460000000000001</v>
      </c>
      <c r="AJ283" s="213">
        <v>5.4699999999999999E-2</v>
      </c>
      <c r="AK283" s="352">
        <v>0.58099999999999996</v>
      </c>
      <c r="AL283" s="213">
        <v>6.7500000000000004E-2</v>
      </c>
      <c r="AM283" s="352">
        <v>0.55910000000000004</v>
      </c>
      <c r="AN283" s="213" t="s">
        <v>66</v>
      </c>
      <c r="AO283" s="352" t="s">
        <v>66</v>
      </c>
      <c r="AP283" s="213">
        <v>2.1999999999999999E-2</v>
      </c>
      <c r="AQ283" s="219">
        <v>-1.6580242394316242</v>
      </c>
      <c r="AR283" s="213" t="s">
        <v>1827</v>
      </c>
      <c r="AU283" s="343"/>
      <c r="AV283" s="343"/>
      <c r="AW283" s="328"/>
      <c r="AX283" s="329"/>
      <c r="AY283" s="328"/>
      <c r="AZ283" s="328"/>
      <c r="BA283" s="330"/>
      <c r="BB283" s="328"/>
      <c r="BC283" s="328"/>
      <c r="BD283" s="328"/>
      <c r="BE283" s="330"/>
      <c r="BF283" s="330"/>
      <c r="BG283" s="344"/>
      <c r="BH283" s="330"/>
      <c r="BI283" s="330"/>
      <c r="BJ283" s="330"/>
      <c r="BK283" s="330"/>
      <c r="BL283" s="330"/>
      <c r="BM283" s="330"/>
      <c r="BN283" s="330"/>
      <c r="BO283" s="330"/>
      <c r="BP283" s="331"/>
      <c r="BQ283" s="332"/>
      <c r="BR283" s="333"/>
    </row>
    <row r="284" spans="2:70" ht="15.75" customHeight="1">
      <c r="B284" s="216" t="s">
        <v>1756</v>
      </c>
      <c r="C284" s="212">
        <v>4358274</v>
      </c>
      <c r="D284" s="223">
        <v>44315854000132</v>
      </c>
      <c r="E284" s="217" t="s">
        <v>19</v>
      </c>
      <c r="F284" s="217" t="s">
        <v>964</v>
      </c>
      <c r="G284" s="217" t="s">
        <v>1011</v>
      </c>
      <c r="H284" s="218" t="s">
        <v>1259</v>
      </c>
      <c r="I284" s="217" t="s">
        <v>66</v>
      </c>
      <c r="J284" s="217"/>
      <c r="K284" s="218" t="s">
        <v>951</v>
      </c>
      <c r="L284" s="212" t="s">
        <v>87</v>
      </c>
      <c r="M284" s="250"/>
      <c r="N284" s="239">
        <v>44560</v>
      </c>
      <c r="O284" s="210" t="s">
        <v>1751</v>
      </c>
      <c r="P284" s="210" t="s">
        <v>1752</v>
      </c>
      <c r="Q284" s="210" t="s">
        <v>1752</v>
      </c>
      <c r="R284" s="210" t="s">
        <v>1745</v>
      </c>
      <c r="S284" s="210" t="s">
        <v>1078</v>
      </c>
      <c r="T284" s="210" t="s">
        <v>349</v>
      </c>
      <c r="U284" s="210" t="s">
        <v>964</v>
      </c>
      <c r="V284" s="210" t="s">
        <v>1746</v>
      </c>
      <c r="W284" s="211" t="s">
        <v>1753</v>
      </c>
      <c r="X284" s="211">
        <v>10000</v>
      </c>
      <c r="Y284" s="211">
        <v>1000</v>
      </c>
      <c r="Z284" s="212">
        <v>1000</v>
      </c>
      <c r="AA284" s="240">
        <v>31</v>
      </c>
      <c r="AB284" s="213">
        <v>3.5000000000000001E-3</v>
      </c>
      <c r="AC284" s="213">
        <v>0.2</v>
      </c>
      <c r="AD284" s="213" t="s">
        <v>981</v>
      </c>
      <c r="AE284" s="213" t="s">
        <v>66</v>
      </c>
      <c r="AF284" s="241">
        <v>7029392.0599999996</v>
      </c>
      <c r="AG284" s="241">
        <v>7029392.0599999996</v>
      </c>
      <c r="AH284" s="213">
        <v>7.1999999999999995E-2</v>
      </c>
      <c r="AI284" s="352">
        <v>1.1088</v>
      </c>
      <c r="AJ284" s="213" t="s">
        <v>66</v>
      </c>
      <c r="AK284" s="352" t="s">
        <v>66</v>
      </c>
      <c r="AL284" s="213" t="s">
        <v>66</v>
      </c>
      <c r="AM284" s="352" t="s">
        <v>66</v>
      </c>
      <c r="AN284" s="213" t="s">
        <v>66</v>
      </c>
      <c r="AO284" s="352" t="s">
        <v>66</v>
      </c>
      <c r="AP284" s="213" t="s">
        <v>66</v>
      </c>
      <c r="AQ284" s="219" t="s">
        <v>66</v>
      </c>
      <c r="AR284" s="213" t="s">
        <v>1824</v>
      </c>
      <c r="AU284" s="343"/>
      <c r="AV284" s="343"/>
      <c r="AW284" s="328"/>
      <c r="AX284" s="329"/>
      <c r="AY284" s="328"/>
      <c r="AZ284" s="328"/>
      <c r="BA284" s="330"/>
      <c r="BB284" s="328"/>
      <c r="BC284" s="328"/>
      <c r="BD284" s="328"/>
      <c r="BE284" s="330"/>
      <c r="BF284" s="330"/>
      <c r="BG284" s="344"/>
      <c r="BH284" s="330"/>
      <c r="BI284" s="330"/>
      <c r="BJ284" s="330"/>
      <c r="BK284" s="330"/>
      <c r="BL284" s="330"/>
      <c r="BM284" s="330"/>
      <c r="BN284" s="330"/>
      <c r="BO284" s="330"/>
      <c r="BP284" s="331"/>
      <c r="BQ284" s="332"/>
      <c r="BR284" s="333"/>
    </row>
    <row r="285" spans="2:70" ht="15.75" customHeight="1">
      <c r="B285" s="216" t="s">
        <v>776</v>
      </c>
      <c r="C285" s="212">
        <v>1200494</v>
      </c>
      <c r="D285" s="223">
        <v>74326471000120</v>
      </c>
      <c r="E285" s="217" t="s">
        <v>19</v>
      </c>
      <c r="F285" s="217" t="s">
        <v>1009</v>
      </c>
      <c r="G285" s="217"/>
      <c r="H285" s="218"/>
      <c r="I285" s="217" t="s">
        <v>66</v>
      </c>
      <c r="J285" s="217"/>
      <c r="K285" s="218" t="s">
        <v>954</v>
      </c>
      <c r="L285" s="212" t="s">
        <v>87</v>
      </c>
      <c r="M285" s="250"/>
      <c r="N285" s="239">
        <v>34611</v>
      </c>
      <c r="O285" s="210" t="s">
        <v>228</v>
      </c>
      <c r="P285" s="210" t="s">
        <v>1089</v>
      </c>
      <c r="Q285" s="210" t="s">
        <v>1089</v>
      </c>
      <c r="R285" s="210" t="s">
        <v>1084</v>
      </c>
      <c r="S285" s="210" t="s">
        <v>1078</v>
      </c>
      <c r="T285" s="210" t="s">
        <v>349</v>
      </c>
      <c r="U285" s="210" t="s">
        <v>65</v>
      </c>
      <c r="V285" s="210" t="s">
        <v>19</v>
      </c>
      <c r="W285" s="211" t="s">
        <v>1008</v>
      </c>
      <c r="X285" s="211">
        <v>100</v>
      </c>
      <c r="Y285" s="211">
        <v>100</v>
      </c>
      <c r="Z285" s="212">
        <v>100</v>
      </c>
      <c r="AA285" s="240">
        <v>4</v>
      </c>
      <c r="AB285" s="213">
        <v>5.0000000000000001E-3</v>
      </c>
      <c r="AC285" s="213">
        <v>0</v>
      </c>
      <c r="AD285" s="213" t="s">
        <v>1157</v>
      </c>
      <c r="AE285" s="213">
        <v>1.3333333333333333E-3</v>
      </c>
      <c r="AF285" s="241">
        <v>15322280.73</v>
      </c>
      <c r="AG285" s="241">
        <v>15322280.73</v>
      </c>
      <c r="AH285" s="213">
        <v>-0.1323</v>
      </c>
      <c r="AI285" s="352">
        <v>-2.0373999999999999</v>
      </c>
      <c r="AJ285" s="213">
        <v>-7.0800000000000002E-2</v>
      </c>
      <c r="AK285" s="352">
        <v>-0.75229999999999997</v>
      </c>
      <c r="AL285" s="213">
        <v>-5.3999999999999999E-2</v>
      </c>
      <c r="AM285" s="352">
        <v>-0.4466</v>
      </c>
      <c r="AN285" s="213">
        <v>0.35930000000000001</v>
      </c>
      <c r="AO285" s="352">
        <v>2.1320000000000001</v>
      </c>
      <c r="AP285" s="213">
        <v>0.1406</v>
      </c>
      <c r="AQ285" s="219">
        <v>-1.0920690496135861</v>
      </c>
      <c r="AR285" s="213" t="s">
        <v>1824</v>
      </c>
      <c r="AU285" s="343"/>
      <c r="AV285" s="343"/>
      <c r="AW285" s="328"/>
      <c r="AX285" s="329"/>
      <c r="AY285" s="328"/>
      <c r="AZ285" s="328"/>
      <c r="BA285" s="330"/>
      <c r="BB285" s="328"/>
      <c r="BC285" s="328"/>
      <c r="BD285" s="328"/>
      <c r="BE285" s="330"/>
      <c r="BF285" s="330"/>
      <c r="BG285" s="344"/>
      <c r="BH285" s="330"/>
      <c r="BI285" s="330"/>
      <c r="BJ285" s="330"/>
      <c r="BK285" s="330"/>
      <c r="BL285" s="330"/>
      <c r="BM285" s="330"/>
      <c r="BN285" s="330"/>
      <c r="BO285" s="330"/>
      <c r="BP285" s="331"/>
      <c r="BQ285" s="332"/>
      <c r="BR285" s="333"/>
    </row>
    <row r="286" spans="2:70" ht="15.75" customHeight="1">
      <c r="B286" s="216" t="s">
        <v>901</v>
      </c>
      <c r="C286" s="212">
        <v>1593641</v>
      </c>
      <c r="D286" s="223">
        <v>37703644000156</v>
      </c>
      <c r="E286" s="217" t="s">
        <v>28</v>
      </c>
      <c r="F286" s="217" t="s">
        <v>950</v>
      </c>
      <c r="G286" s="217"/>
      <c r="H286" s="218"/>
      <c r="I286" s="217" t="s">
        <v>66</v>
      </c>
      <c r="J286" s="217" t="s">
        <v>66</v>
      </c>
      <c r="K286" s="218" t="s">
        <v>954</v>
      </c>
      <c r="L286" s="212" t="s">
        <v>88</v>
      </c>
      <c r="M286" s="250"/>
      <c r="N286" s="239">
        <v>44133</v>
      </c>
      <c r="O286" s="210" t="s">
        <v>228</v>
      </c>
      <c r="P286" s="210" t="s">
        <v>1089</v>
      </c>
      <c r="Q286" s="210" t="s">
        <v>1089</v>
      </c>
      <c r="R286" s="210" t="s">
        <v>1077</v>
      </c>
      <c r="S286" s="210" t="s">
        <v>1078</v>
      </c>
      <c r="T286" s="210" t="s">
        <v>1079</v>
      </c>
      <c r="U286" s="210" t="s">
        <v>65</v>
      </c>
      <c r="V286" s="210" t="s">
        <v>1080</v>
      </c>
      <c r="W286" s="211" t="s">
        <v>1036</v>
      </c>
      <c r="X286" s="211">
        <v>1000</v>
      </c>
      <c r="Y286" s="211">
        <v>500</v>
      </c>
      <c r="Z286" s="212">
        <v>500</v>
      </c>
      <c r="AA286" s="240">
        <v>4</v>
      </c>
      <c r="AB286" s="213">
        <v>5.0000000000000001E-3</v>
      </c>
      <c r="AC286" s="213">
        <v>0</v>
      </c>
      <c r="AD286" s="213" t="s">
        <v>1157</v>
      </c>
      <c r="AE286" s="213" t="s">
        <v>66</v>
      </c>
      <c r="AF286" s="241">
        <v>32434565.27</v>
      </c>
      <c r="AG286" s="241">
        <v>32434565.27</v>
      </c>
      <c r="AH286" s="213">
        <v>-0.25609999999999999</v>
      </c>
      <c r="AI286" s="352">
        <v>-3.9443000000000001</v>
      </c>
      <c r="AJ286" s="213">
        <v>-0.14130000000000001</v>
      </c>
      <c r="AK286" s="352">
        <v>-1.5023</v>
      </c>
      <c r="AL286" s="213" t="s">
        <v>66</v>
      </c>
      <c r="AM286" s="352" t="s">
        <v>66</v>
      </c>
      <c r="AN286" s="213" t="s">
        <v>66</v>
      </c>
      <c r="AO286" s="352" t="s">
        <v>66</v>
      </c>
      <c r="AP286" s="213">
        <v>0.18429999999999999</v>
      </c>
      <c r="AQ286" s="219">
        <v>-1.222536794371289</v>
      </c>
      <c r="AR286" s="213" t="s">
        <v>1824</v>
      </c>
      <c r="AU286" s="343"/>
      <c r="AV286" s="343"/>
      <c r="AW286" s="328"/>
      <c r="AX286" s="329"/>
      <c r="AY286" s="328"/>
      <c r="AZ286" s="328"/>
      <c r="BA286" s="330"/>
      <c r="BB286" s="328"/>
      <c r="BC286" s="328"/>
      <c r="BD286" s="328"/>
      <c r="BE286" s="330"/>
      <c r="BF286" s="330"/>
      <c r="BG286" s="344"/>
      <c r="BH286" s="330"/>
      <c r="BI286" s="330"/>
      <c r="BJ286" s="330"/>
      <c r="BK286" s="330"/>
      <c r="BL286" s="330"/>
      <c r="BM286" s="330"/>
      <c r="BN286" s="330"/>
      <c r="BO286" s="330"/>
      <c r="BP286" s="331"/>
      <c r="BQ286" s="332"/>
      <c r="BR286" s="333"/>
    </row>
    <row r="287" spans="2:70" ht="15.75" customHeight="1">
      <c r="B287" s="216" t="s">
        <v>230</v>
      </c>
      <c r="C287" s="212">
        <v>2200725</v>
      </c>
      <c r="D287" s="223">
        <v>38389079000167</v>
      </c>
      <c r="E287" s="217" t="s">
        <v>19</v>
      </c>
      <c r="F287" s="217" t="s">
        <v>1009</v>
      </c>
      <c r="G287" s="217"/>
      <c r="H287" s="218"/>
      <c r="I287" s="217" t="s">
        <v>66</v>
      </c>
      <c r="J287" s="217"/>
      <c r="K287" s="218" t="s">
        <v>954</v>
      </c>
      <c r="L287" s="212" t="s">
        <v>88</v>
      </c>
      <c r="M287" s="250"/>
      <c r="N287" s="239">
        <v>44133</v>
      </c>
      <c r="O287" s="210" t="s">
        <v>228</v>
      </c>
      <c r="P287" s="210" t="s">
        <v>1089</v>
      </c>
      <c r="Q287" s="210" t="s">
        <v>1089</v>
      </c>
      <c r="R287" s="210" t="s">
        <v>1084</v>
      </c>
      <c r="S287" s="210" t="s">
        <v>1078</v>
      </c>
      <c r="T287" s="210" t="s">
        <v>349</v>
      </c>
      <c r="U287" s="210" t="s">
        <v>65</v>
      </c>
      <c r="V287" s="210" t="s">
        <v>25</v>
      </c>
      <c r="W287" s="211" t="s">
        <v>1028</v>
      </c>
      <c r="X287" s="211">
        <v>1000</v>
      </c>
      <c r="Y287" s="211">
        <v>500</v>
      </c>
      <c r="Z287" s="212">
        <v>500</v>
      </c>
      <c r="AA287" s="240">
        <v>4</v>
      </c>
      <c r="AB287" s="213">
        <v>5.0000000000000001E-3</v>
      </c>
      <c r="AC287" s="213">
        <v>0</v>
      </c>
      <c r="AD287" s="213" t="s">
        <v>1157</v>
      </c>
      <c r="AE287" s="213" t="s">
        <v>66</v>
      </c>
      <c r="AF287" s="241">
        <v>10795038.26</v>
      </c>
      <c r="AG287" s="241">
        <v>10795038.26</v>
      </c>
      <c r="AH287" s="213">
        <v>-0.1666</v>
      </c>
      <c r="AI287" s="352">
        <v>-2.5661999999999998</v>
      </c>
      <c r="AJ287" s="213">
        <v>-9.8500000000000004E-2</v>
      </c>
      <c r="AK287" s="352">
        <v>-1.0470999999999999</v>
      </c>
      <c r="AL287" s="213" t="s">
        <v>66</v>
      </c>
      <c r="AM287" s="352" t="s">
        <v>66</v>
      </c>
      <c r="AN287" s="213" t="s">
        <v>66</v>
      </c>
      <c r="AO287" s="352" t="s">
        <v>66</v>
      </c>
      <c r="AP287" s="213">
        <v>0.15490000000000001</v>
      </c>
      <c r="AQ287" s="219">
        <v>-1.1726565673840097</v>
      </c>
      <c r="AR287" s="213" t="s">
        <v>1824</v>
      </c>
      <c r="AU287" s="343"/>
      <c r="AV287" s="343"/>
      <c r="AW287" s="328"/>
      <c r="AX287" s="329"/>
      <c r="AY287" s="328"/>
      <c r="AZ287" s="328"/>
      <c r="BA287" s="330"/>
      <c r="BB287" s="328"/>
      <c r="BC287" s="328"/>
      <c r="BD287" s="328"/>
      <c r="BE287" s="330"/>
      <c r="BF287" s="330"/>
      <c r="BG287" s="344"/>
      <c r="BH287" s="383"/>
      <c r="BI287" s="330"/>
      <c r="BJ287" s="330"/>
      <c r="BK287" s="330"/>
      <c r="BL287" s="330"/>
      <c r="BM287" s="330"/>
      <c r="BN287" s="330"/>
      <c r="BO287" s="330"/>
      <c r="BP287" s="331"/>
      <c r="BQ287" s="332"/>
      <c r="BR287" s="333"/>
    </row>
    <row r="288" spans="2:70" ht="15.75" customHeight="1">
      <c r="B288" s="216" t="s">
        <v>1218</v>
      </c>
      <c r="C288" s="212">
        <v>1200481</v>
      </c>
      <c r="D288" s="223">
        <v>7187751000108</v>
      </c>
      <c r="E288" s="217" t="s">
        <v>28</v>
      </c>
      <c r="F288" s="217" t="s">
        <v>950</v>
      </c>
      <c r="G288" s="217"/>
      <c r="H288" s="218"/>
      <c r="I288" s="217" t="s">
        <v>66</v>
      </c>
      <c r="J288" s="217" t="s">
        <v>66</v>
      </c>
      <c r="K288" s="218" t="s">
        <v>951</v>
      </c>
      <c r="L288" s="212" t="s">
        <v>87</v>
      </c>
      <c r="M288" s="250"/>
      <c r="N288" s="239">
        <v>39416</v>
      </c>
      <c r="O288" s="210" t="s">
        <v>228</v>
      </c>
      <c r="P288" s="210" t="s">
        <v>1088</v>
      </c>
      <c r="Q288" s="210" t="s">
        <v>1089</v>
      </c>
      <c r="R288" s="210" t="s">
        <v>1084</v>
      </c>
      <c r="S288" s="210" t="s">
        <v>1078</v>
      </c>
      <c r="T288" s="210" t="s">
        <v>1079</v>
      </c>
      <c r="U288" s="210" t="s">
        <v>950</v>
      </c>
      <c r="V288" s="210" t="s">
        <v>1080</v>
      </c>
      <c r="W288" s="211" t="s">
        <v>1031</v>
      </c>
      <c r="X288" s="211">
        <v>1000</v>
      </c>
      <c r="Y288" s="211">
        <v>100</v>
      </c>
      <c r="Z288" s="212">
        <v>100</v>
      </c>
      <c r="AA288" s="240">
        <v>3</v>
      </c>
      <c r="AB288" s="213">
        <v>0.01</v>
      </c>
      <c r="AC288" s="213">
        <v>0</v>
      </c>
      <c r="AD288" s="213" t="s">
        <v>1157</v>
      </c>
      <c r="AE288" s="213" t="s">
        <v>66</v>
      </c>
      <c r="AF288" s="241">
        <v>21425084.07</v>
      </c>
      <c r="AG288" s="241">
        <v>21425084.07</v>
      </c>
      <c r="AH288" s="213">
        <v>-7.5200000000000003E-2</v>
      </c>
      <c r="AI288" s="352">
        <v>-1.159</v>
      </c>
      <c r="AJ288" s="213">
        <v>-0.24479999999999999</v>
      </c>
      <c r="AK288" s="352">
        <v>-2.6021999999999998</v>
      </c>
      <c r="AL288" s="213">
        <v>-0.1401</v>
      </c>
      <c r="AM288" s="352">
        <v>-1.1596</v>
      </c>
      <c r="AN288" s="213">
        <v>-9.3299999999999994E-2</v>
      </c>
      <c r="AO288" s="352">
        <v>-0.55359999999999998</v>
      </c>
      <c r="AP288" s="213">
        <v>0.21340000000000001</v>
      </c>
      <c r="AQ288" s="219">
        <v>-1.6296703308442841</v>
      </c>
      <c r="AR288" s="213" t="s">
        <v>1824</v>
      </c>
      <c r="AU288" s="343"/>
      <c r="AV288" s="343"/>
      <c r="AW288" s="328"/>
      <c r="AX288" s="329"/>
      <c r="AY288" s="328"/>
      <c r="AZ288" s="328"/>
      <c r="BA288" s="330"/>
      <c r="BB288" s="328"/>
      <c r="BC288" s="328"/>
      <c r="BD288" s="328"/>
      <c r="BE288" s="330"/>
      <c r="BF288" s="330"/>
      <c r="BG288" s="344"/>
      <c r="BH288" s="330"/>
      <c r="BI288" s="330"/>
      <c r="BJ288" s="330"/>
      <c r="BK288" s="330"/>
      <c r="BL288" s="330"/>
      <c r="BM288" s="330"/>
      <c r="BN288" s="330"/>
      <c r="BO288" s="330"/>
      <c r="BP288" s="331"/>
      <c r="BQ288" s="332"/>
      <c r="BR288" s="333"/>
    </row>
    <row r="289" spans="2:70" ht="15.75" customHeight="1">
      <c r="B289" s="216" t="s">
        <v>58</v>
      </c>
      <c r="C289" s="212">
        <v>1200490</v>
      </c>
      <c r="D289" s="223">
        <v>14866273000128</v>
      </c>
      <c r="E289" s="217" t="s">
        <v>28</v>
      </c>
      <c r="F289" s="217" t="s">
        <v>950</v>
      </c>
      <c r="G289" s="217"/>
      <c r="H289" s="218"/>
      <c r="I289" s="217" t="s">
        <v>66</v>
      </c>
      <c r="J289" s="217" t="s">
        <v>66</v>
      </c>
      <c r="K289" s="218" t="s">
        <v>951</v>
      </c>
      <c r="L289" s="212" t="s">
        <v>87</v>
      </c>
      <c r="M289" s="250"/>
      <c r="N289" s="239">
        <v>41148</v>
      </c>
      <c r="O289" s="210" t="s">
        <v>232</v>
      </c>
      <c r="P289" s="210" t="s">
        <v>1090</v>
      </c>
      <c r="Q289" s="210" t="s">
        <v>1091</v>
      </c>
      <c r="R289" s="210" t="s">
        <v>1084</v>
      </c>
      <c r="S289" s="210" t="s">
        <v>1078</v>
      </c>
      <c r="T289" s="210" t="s">
        <v>1079</v>
      </c>
      <c r="U289" s="210" t="s">
        <v>950</v>
      </c>
      <c r="V289" s="210" t="s">
        <v>1080</v>
      </c>
      <c r="W289" s="211" t="s">
        <v>1007</v>
      </c>
      <c r="X289" s="211">
        <v>500</v>
      </c>
      <c r="Y289" s="211">
        <v>100</v>
      </c>
      <c r="Z289" s="212">
        <v>100</v>
      </c>
      <c r="AA289" s="240">
        <v>32</v>
      </c>
      <c r="AB289" s="213">
        <v>1.38E-2</v>
      </c>
      <c r="AC289" s="213">
        <v>0.2</v>
      </c>
      <c r="AD289" s="213" t="s">
        <v>1014</v>
      </c>
      <c r="AE289" s="213">
        <v>4.1399999999999996E-3</v>
      </c>
      <c r="AF289" s="241">
        <v>411882248.24000001</v>
      </c>
      <c r="AG289" s="241">
        <v>411882248.24000001</v>
      </c>
      <c r="AH289" s="213">
        <v>-9.0200000000000002E-2</v>
      </c>
      <c r="AI289" s="352">
        <v>-1.3898999999999999</v>
      </c>
      <c r="AJ289" s="213">
        <v>-0.30220000000000002</v>
      </c>
      <c r="AK289" s="352">
        <v>-3.2119</v>
      </c>
      <c r="AL289" s="213">
        <v>-0.15859999999999999</v>
      </c>
      <c r="AM289" s="352">
        <v>-1.3130999999999999</v>
      </c>
      <c r="AN289" s="213">
        <v>-0.109</v>
      </c>
      <c r="AO289" s="352">
        <v>-0.64690000000000003</v>
      </c>
      <c r="AP289" s="213">
        <v>0.22919999999999999</v>
      </c>
      <c r="AQ289" s="219">
        <v>-1.8463123032761761</v>
      </c>
      <c r="AR289" s="213" t="s">
        <v>1824</v>
      </c>
      <c r="AU289" s="343"/>
      <c r="AV289" s="343"/>
      <c r="AW289" s="328"/>
      <c r="AX289" s="329"/>
      <c r="AY289" s="328"/>
      <c r="AZ289" s="328"/>
      <c r="BA289" s="330"/>
      <c r="BB289" s="328"/>
      <c r="BC289" s="328"/>
      <c r="BD289" s="328"/>
      <c r="BE289" s="330"/>
      <c r="BF289" s="330"/>
      <c r="BG289" s="344"/>
      <c r="BH289" s="330"/>
      <c r="BI289" s="330"/>
      <c r="BJ289" s="330"/>
      <c r="BK289" s="330"/>
      <c r="BL289" s="330"/>
      <c r="BM289" s="330"/>
      <c r="BN289" s="330"/>
      <c r="BO289" s="330"/>
      <c r="BP289" s="331"/>
      <c r="BQ289" s="332"/>
      <c r="BR289" s="333"/>
    </row>
    <row r="290" spans="2:70" ht="15.75" customHeight="1">
      <c r="B290" s="216" t="s">
        <v>233</v>
      </c>
      <c r="C290" s="212">
        <v>4358274</v>
      </c>
      <c r="D290" s="223">
        <v>35704552000165</v>
      </c>
      <c r="E290" s="217" t="s">
        <v>28</v>
      </c>
      <c r="F290" s="217" t="s">
        <v>950</v>
      </c>
      <c r="G290" s="217"/>
      <c r="H290" s="218"/>
      <c r="I290" s="217" t="s">
        <v>66</v>
      </c>
      <c r="J290" s="217" t="s">
        <v>66</v>
      </c>
      <c r="K290" s="218" t="s">
        <v>951</v>
      </c>
      <c r="L290" s="212" t="s">
        <v>87</v>
      </c>
      <c r="M290" s="250"/>
      <c r="N290" s="239">
        <v>43879</v>
      </c>
      <c r="O290" s="210" t="s">
        <v>232</v>
      </c>
      <c r="P290" s="210" t="s">
        <v>1090</v>
      </c>
      <c r="Q290" s="210" t="s">
        <v>1091</v>
      </c>
      <c r="R290" s="210" t="s">
        <v>231</v>
      </c>
      <c r="S290" s="210" t="s">
        <v>1078</v>
      </c>
      <c r="T290" s="210" t="s">
        <v>1079</v>
      </c>
      <c r="U290" s="210" t="s">
        <v>950</v>
      </c>
      <c r="V290" s="210" t="s">
        <v>1080</v>
      </c>
      <c r="W290" s="211" t="s">
        <v>1007</v>
      </c>
      <c r="X290" s="211">
        <v>500</v>
      </c>
      <c r="Y290" s="211">
        <v>100</v>
      </c>
      <c r="Z290" s="212">
        <v>100</v>
      </c>
      <c r="AA290" s="240">
        <v>32</v>
      </c>
      <c r="AB290" s="213">
        <v>1.38E-2</v>
      </c>
      <c r="AC290" s="213">
        <v>0.2</v>
      </c>
      <c r="AD290" s="213" t="s">
        <v>113</v>
      </c>
      <c r="AE290" s="213">
        <v>4.1399999999999996E-3</v>
      </c>
      <c r="AF290" s="241">
        <v>3064661.67</v>
      </c>
      <c r="AG290" s="241">
        <v>3064661.67</v>
      </c>
      <c r="AH290" s="213">
        <v>-9.1899999999999996E-2</v>
      </c>
      <c r="AI290" s="352">
        <v>-1.415</v>
      </c>
      <c r="AJ290" s="213">
        <v>-0.2999</v>
      </c>
      <c r="AK290" s="352">
        <v>-3.1878000000000002</v>
      </c>
      <c r="AL290" s="213">
        <v>-0.16830000000000001</v>
      </c>
      <c r="AM290" s="352">
        <v>-1.3934</v>
      </c>
      <c r="AN290" s="213" t="s">
        <v>66</v>
      </c>
      <c r="AO290" s="352" t="s">
        <v>66</v>
      </c>
      <c r="AP290" s="213">
        <v>0.22839999999999999</v>
      </c>
      <c r="AQ290" s="219">
        <v>-1.8396980828489438</v>
      </c>
      <c r="AR290" s="213" t="s">
        <v>1827</v>
      </c>
      <c r="AU290" s="343"/>
      <c r="AV290" s="343"/>
      <c r="AW290" s="328"/>
      <c r="AX290" s="329"/>
      <c r="AY290" s="328"/>
      <c r="AZ290" s="328"/>
      <c r="BA290" s="330"/>
      <c r="BB290" s="328"/>
      <c r="BC290" s="328"/>
      <c r="BD290" s="328"/>
      <c r="BE290" s="330"/>
      <c r="BF290" s="330"/>
      <c r="BG290" s="344"/>
      <c r="BH290" s="383"/>
      <c r="BI290" s="330"/>
      <c r="BJ290" s="330"/>
      <c r="BK290" s="330"/>
      <c r="BL290" s="330"/>
      <c r="BM290" s="330"/>
      <c r="BN290" s="330"/>
      <c r="BO290" s="330"/>
      <c r="BP290" s="331"/>
      <c r="BQ290" s="332"/>
      <c r="BR290" s="333"/>
    </row>
    <row r="291" spans="2:70" ht="15.75" customHeight="1">
      <c r="B291" s="216" t="s">
        <v>234</v>
      </c>
      <c r="C291" s="212">
        <v>2614239</v>
      </c>
      <c r="D291" s="223">
        <v>9577036000107</v>
      </c>
      <c r="E291" s="217" t="s">
        <v>28</v>
      </c>
      <c r="F291" s="217" t="s">
        <v>950</v>
      </c>
      <c r="G291" s="217"/>
      <c r="H291" s="218"/>
      <c r="I291" s="217" t="s">
        <v>66</v>
      </c>
      <c r="J291" s="217" t="s">
        <v>66</v>
      </c>
      <c r="K291" s="218" t="s">
        <v>951</v>
      </c>
      <c r="L291" s="212" t="s">
        <v>87</v>
      </c>
      <c r="M291" s="250"/>
      <c r="N291" s="239">
        <v>39734</v>
      </c>
      <c r="O291" s="210" t="s">
        <v>232</v>
      </c>
      <c r="P291" s="210" t="s">
        <v>1090</v>
      </c>
      <c r="Q291" s="210" t="s">
        <v>1091</v>
      </c>
      <c r="R291" s="210" t="s">
        <v>1077</v>
      </c>
      <c r="S291" s="210" t="s">
        <v>1078</v>
      </c>
      <c r="T291" s="210" t="s">
        <v>1079</v>
      </c>
      <c r="U291" s="210" t="s">
        <v>950</v>
      </c>
      <c r="V291" s="210" t="s">
        <v>1080</v>
      </c>
      <c r="W291" s="211" t="s">
        <v>1007</v>
      </c>
      <c r="X291" s="211">
        <v>10000</v>
      </c>
      <c r="Y291" s="211">
        <v>5000</v>
      </c>
      <c r="Z291" s="212">
        <v>10000</v>
      </c>
      <c r="AA291" s="240">
        <v>16</v>
      </c>
      <c r="AB291" s="213">
        <v>1.38E-2</v>
      </c>
      <c r="AC291" s="213">
        <v>0.2</v>
      </c>
      <c r="AD291" s="213" t="s">
        <v>1219</v>
      </c>
      <c r="AE291" s="213">
        <v>4.1399999999999996E-3</v>
      </c>
      <c r="AF291" s="241">
        <v>304317320.73000002</v>
      </c>
      <c r="AG291" s="241">
        <v>304317320.73000002</v>
      </c>
      <c r="AH291" s="213">
        <v>-9.0300000000000005E-2</v>
      </c>
      <c r="AI291" s="352">
        <v>-1.3904000000000001</v>
      </c>
      <c r="AJ291" s="213">
        <v>-0.30230000000000001</v>
      </c>
      <c r="AK291" s="352">
        <v>-3.2132999999999998</v>
      </c>
      <c r="AL291" s="213">
        <v>-0.16009999999999999</v>
      </c>
      <c r="AM291" s="352">
        <v>-1.3251999999999999</v>
      </c>
      <c r="AN291" s="213">
        <v>-8.5800000000000001E-2</v>
      </c>
      <c r="AO291" s="352">
        <v>-0.50900000000000001</v>
      </c>
      <c r="AP291" s="213">
        <v>0.22889999999999999</v>
      </c>
      <c r="AQ291" s="219">
        <v>-1.8501207559623669</v>
      </c>
      <c r="AR291" s="213" t="s">
        <v>1827</v>
      </c>
      <c r="AU291" s="343"/>
      <c r="AV291" s="343"/>
      <c r="AW291" s="328"/>
      <c r="AX291" s="329"/>
      <c r="AY291" s="328"/>
      <c r="AZ291" s="328"/>
      <c r="BA291" s="330"/>
      <c r="BB291" s="328"/>
      <c r="BC291" s="328"/>
      <c r="BD291" s="328"/>
      <c r="BE291" s="330"/>
      <c r="BF291" s="330"/>
      <c r="BG291" s="344"/>
      <c r="BH291" s="383"/>
      <c r="BI291" s="330"/>
      <c r="BJ291" s="330"/>
      <c r="BK291" s="330"/>
      <c r="BL291" s="330"/>
      <c r="BM291" s="330"/>
      <c r="BN291" s="330"/>
      <c r="BO291" s="330"/>
      <c r="BP291" s="331"/>
      <c r="BQ291" s="332"/>
      <c r="BR291" s="333"/>
    </row>
    <row r="292" spans="2:70" ht="15.75" customHeight="1">
      <c r="B292" s="216" t="s">
        <v>1220</v>
      </c>
      <c r="C292" s="212">
        <v>1593634</v>
      </c>
      <c r="D292" s="223">
        <v>24623412000146</v>
      </c>
      <c r="E292" s="217" t="s">
        <v>19</v>
      </c>
      <c r="F292" s="217" t="s">
        <v>963</v>
      </c>
      <c r="G292" s="217" t="s">
        <v>1042</v>
      </c>
      <c r="H292" s="218" t="s">
        <v>1113</v>
      </c>
      <c r="I292" s="217" t="s">
        <v>66</v>
      </c>
      <c r="J292" s="217"/>
      <c r="K292" s="218" t="s">
        <v>951</v>
      </c>
      <c r="L292" s="212" t="s">
        <v>87</v>
      </c>
      <c r="M292" s="250"/>
      <c r="N292" s="239">
        <v>42590</v>
      </c>
      <c r="O292" s="210" t="s">
        <v>133</v>
      </c>
      <c r="P292" s="210" t="s">
        <v>1090</v>
      </c>
      <c r="Q292" s="210" t="s">
        <v>1091</v>
      </c>
      <c r="R292" s="210" t="s">
        <v>1084</v>
      </c>
      <c r="S292" s="210" t="s">
        <v>1078</v>
      </c>
      <c r="T292" s="210" t="s">
        <v>349</v>
      </c>
      <c r="U292" s="210" t="s">
        <v>964</v>
      </c>
      <c r="V292" s="210" t="s">
        <v>25</v>
      </c>
      <c r="W292" s="211" t="s">
        <v>1019</v>
      </c>
      <c r="X292" s="211">
        <v>100</v>
      </c>
      <c r="Y292" s="211">
        <v>100</v>
      </c>
      <c r="Z292" s="212">
        <v>100</v>
      </c>
      <c r="AA292" s="240">
        <v>31</v>
      </c>
      <c r="AB292" s="213">
        <v>0.01</v>
      </c>
      <c r="AC292" s="213">
        <v>0.2</v>
      </c>
      <c r="AD292" s="213" t="s">
        <v>203</v>
      </c>
      <c r="AE292" s="213">
        <v>2E-3</v>
      </c>
      <c r="AF292" s="241">
        <v>106535398.34999999</v>
      </c>
      <c r="AG292" s="241">
        <v>106535398.34999999</v>
      </c>
      <c r="AH292" s="213">
        <v>6.2300000000000001E-2</v>
      </c>
      <c r="AI292" s="352">
        <v>0.96009999999999995</v>
      </c>
      <c r="AJ292" s="213">
        <v>9.6500000000000002E-2</v>
      </c>
      <c r="AK292" s="352">
        <v>1.0261</v>
      </c>
      <c r="AL292" s="213">
        <v>0.1784</v>
      </c>
      <c r="AM292" s="352">
        <v>1.4765999999999999</v>
      </c>
      <c r="AN292" s="213">
        <v>0.18529999999999999</v>
      </c>
      <c r="AO292" s="352">
        <v>1.0994999999999999</v>
      </c>
      <c r="AP292" s="213">
        <v>1.7899999999999999E-2</v>
      </c>
      <c r="AQ292" s="219">
        <v>0.13396566118693454</v>
      </c>
      <c r="AR292" s="213" t="s">
        <v>1827</v>
      </c>
      <c r="AU292" s="343"/>
      <c r="AV292" s="343"/>
      <c r="AW292" s="328"/>
      <c r="AX292" s="329"/>
      <c r="AY292" s="328"/>
      <c r="AZ292" s="328"/>
      <c r="BA292" s="330"/>
      <c r="BB292" s="328"/>
      <c r="BC292" s="328"/>
      <c r="BD292" s="328"/>
      <c r="BE292" s="330"/>
      <c r="BF292" s="330"/>
      <c r="BG292" s="344"/>
      <c r="BH292" s="383"/>
      <c r="BI292" s="330"/>
      <c r="BJ292" s="330"/>
      <c r="BK292" s="330"/>
      <c r="BL292" s="330"/>
      <c r="BM292" s="330"/>
      <c r="BN292" s="330"/>
      <c r="BO292" s="330"/>
      <c r="BP292" s="331"/>
      <c r="BQ292" s="332"/>
      <c r="BR292" s="333"/>
    </row>
    <row r="293" spans="2:70" ht="15.75" customHeight="1">
      <c r="B293" s="216" t="s">
        <v>1221</v>
      </c>
      <c r="C293" s="212">
        <v>1593628</v>
      </c>
      <c r="D293" s="223">
        <v>30178843000143</v>
      </c>
      <c r="E293" s="217" t="s">
        <v>19</v>
      </c>
      <c r="F293" s="217" t="s">
        <v>963</v>
      </c>
      <c r="G293" s="217" t="s">
        <v>1042</v>
      </c>
      <c r="H293" s="218" t="s">
        <v>1113</v>
      </c>
      <c r="I293" s="217" t="s">
        <v>66</v>
      </c>
      <c r="J293" s="217"/>
      <c r="K293" s="218" t="s">
        <v>951</v>
      </c>
      <c r="L293" s="212" t="s">
        <v>87</v>
      </c>
      <c r="M293" s="250"/>
      <c r="N293" s="239">
        <v>43556</v>
      </c>
      <c r="O293" s="210" t="s">
        <v>133</v>
      </c>
      <c r="P293" s="210" t="s">
        <v>1090</v>
      </c>
      <c r="Q293" s="210" t="s">
        <v>1091</v>
      </c>
      <c r="R293" s="210" t="s">
        <v>1084</v>
      </c>
      <c r="S293" s="210" t="s">
        <v>1078</v>
      </c>
      <c r="T293" s="210" t="s">
        <v>349</v>
      </c>
      <c r="U293" s="210" t="s">
        <v>1114</v>
      </c>
      <c r="V293" s="210" t="s">
        <v>25</v>
      </c>
      <c r="W293" s="211" t="s">
        <v>1019</v>
      </c>
      <c r="X293" s="211">
        <v>100</v>
      </c>
      <c r="Y293" s="211">
        <v>100</v>
      </c>
      <c r="Z293" s="212">
        <v>100</v>
      </c>
      <c r="AA293" s="240">
        <v>31</v>
      </c>
      <c r="AB293" s="213">
        <v>0.01</v>
      </c>
      <c r="AC293" s="213">
        <v>0.2</v>
      </c>
      <c r="AD293" s="213" t="s">
        <v>109</v>
      </c>
      <c r="AE293" s="213">
        <v>2E-3</v>
      </c>
      <c r="AF293" s="241">
        <v>49070145.18</v>
      </c>
      <c r="AG293" s="241">
        <v>49070145.18</v>
      </c>
      <c r="AH293" s="213">
        <v>7.3099999999999998E-2</v>
      </c>
      <c r="AI293" s="352">
        <v>1.1258999999999999</v>
      </c>
      <c r="AJ293" s="213">
        <v>0.1101</v>
      </c>
      <c r="AK293" s="352">
        <v>1.1700999999999999</v>
      </c>
      <c r="AL293" s="213">
        <v>0.1782</v>
      </c>
      <c r="AM293" s="352">
        <v>1.4751000000000001</v>
      </c>
      <c r="AN293" s="213">
        <v>0.17710000000000001</v>
      </c>
      <c r="AO293" s="352">
        <v>1.0507</v>
      </c>
      <c r="AP293" s="213">
        <v>1.43E-2</v>
      </c>
      <c r="AQ293" s="219">
        <v>1.0210889232461546</v>
      </c>
      <c r="AR293" s="213" t="s">
        <v>1827</v>
      </c>
      <c r="AU293" s="343"/>
      <c r="AV293" s="343"/>
      <c r="AW293" s="328"/>
      <c r="AX293" s="329"/>
      <c r="AY293" s="328"/>
      <c r="AZ293" s="328"/>
      <c r="BA293" s="330"/>
      <c r="BB293" s="328"/>
      <c r="BC293" s="328"/>
      <c r="BD293" s="328"/>
      <c r="BE293" s="330"/>
      <c r="BF293" s="330"/>
      <c r="BG293" s="344"/>
      <c r="BH293" s="330"/>
      <c r="BI293" s="330"/>
      <c r="BJ293" s="330"/>
      <c r="BK293" s="330"/>
      <c r="BL293" s="330"/>
      <c r="BM293" s="330"/>
      <c r="BN293" s="330"/>
      <c r="BO293" s="330"/>
      <c r="BP293" s="331"/>
      <c r="BQ293" s="332"/>
      <c r="BR293" s="333"/>
    </row>
    <row r="294" spans="2:70" ht="15.75" customHeight="1">
      <c r="B294" s="216" t="s">
        <v>235</v>
      </c>
      <c r="C294" s="212">
        <v>1111464</v>
      </c>
      <c r="D294" s="223">
        <v>8621010000156</v>
      </c>
      <c r="E294" s="217" t="s">
        <v>28</v>
      </c>
      <c r="F294" s="217" t="s">
        <v>950</v>
      </c>
      <c r="G294" s="217"/>
      <c r="H294" s="218"/>
      <c r="I294" s="217" t="s">
        <v>66</v>
      </c>
      <c r="J294" s="217" t="s">
        <v>66</v>
      </c>
      <c r="K294" s="218" t="s">
        <v>951</v>
      </c>
      <c r="L294" s="212" t="s">
        <v>87</v>
      </c>
      <c r="M294" s="250"/>
      <c r="N294" s="239">
        <v>39160</v>
      </c>
      <c r="O294" s="210" t="s">
        <v>236</v>
      </c>
      <c r="P294" s="210" t="s">
        <v>1088</v>
      </c>
      <c r="Q294" s="210" t="s">
        <v>1089</v>
      </c>
      <c r="R294" s="210" t="s">
        <v>1084</v>
      </c>
      <c r="S294" s="210" t="s">
        <v>1078</v>
      </c>
      <c r="T294" s="210" t="s">
        <v>1079</v>
      </c>
      <c r="U294" s="210" t="s">
        <v>950</v>
      </c>
      <c r="V294" s="210" t="s">
        <v>1080</v>
      </c>
      <c r="W294" s="211" t="s">
        <v>1007</v>
      </c>
      <c r="X294" s="211">
        <v>0</v>
      </c>
      <c r="Y294" s="211">
        <v>0</v>
      </c>
      <c r="Z294" s="212">
        <v>0</v>
      </c>
      <c r="AA294" s="240">
        <v>3</v>
      </c>
      <c r="AB294" s="213">
        <v>1.975E-2</v>
      </c>
      <c r="AC294" s="213">
        <v>0.2</v>
      </c>
      <c r="AD294" s="213" t="s">
        <v>1170</v>
      </c>
      <c r="AE294" s="213">
        <v>3.9500000000000004E-3</v>
      </c>
      <c r="AF294" s="241" t="s">
        <v>66</v>
      </c>
      <c r="AG294" s="241" t="s">
        <v>66</v>
      </c>
      <c r="AH294" s="213" t="s">
        <v>66</v>
      </c>
      <c r="AI294" s="352" t="s">
        <v>66</v>
      </c>
      <c r="AJ294" s="213" t="s">
        <v>66</v>
      </c>
      <c r="AK294" s="352" t="s">
        <v>66</v>
      </c>
      <c r="AL294" s="213" t="s">
        <v>66</v>
      </c>
      <c r="AM294" s="352" t="s">
        <v>66</v>
      </c>
      <c r="AN294" s="213" t="s">
        <v>66</v>
      </c>
      <c r="AO294" s="352" t="s">
        <v>66</v>
      </c>
      <c r="AP294" s="213" t="s">
        <v>66</v>
      </c>
      <c r="AQ294" s="219" t="s">
        <v>66</v>
      </c>
      <c r="AR294" s="213" t="s">
        <v>1824</v>
      </c>
      <c r="AU294" s="343"/>
      <c r="AV294" s="343"/>
      <c r="AW294" s="328"/>
      <c r="AX294" s="329"/>
      <c r="AY294" s="328"/>
      <c r="AZ294" s="328"/>
      <c r="BA294" s="330"/>
      <c r="BB294" s="328"/>
      <c r="BC294" s="328"/>
      <c r="BD294" s="328"/>
      <c r="BE294" s="330"/>
      <c r="BF294" s="330"/>
      <c r="BG294" s="344"/>
      <c r="BH294" s="383"/>
      <c r="BI294" s="330"/>
      <c r="BJ294" s="330"/>
      <c r="BK294" s="330"/>
      <c r="BL294" s="330"/>
      <c r="BM294" s="330"/>
      <c r="BN294" s="330"/>
      <c r="BO294" s="330"/>
      <c r="BP294" s="331"/>
      <c r="BQ294" s="332"/>
      <c r="BR294" s="333"/>
    </row>
    <row r="295" spans="2:70" ht="15.75" customHeight="1">
      <c r="B295" s="216" t="s">
        <v>237</v>
      </c>
      <c r="C295" s="212">
        <v>531349</v>
      </c>
      <c r="D295" s="223">
        <v>15350679000116</v>
      </c>
      <c r="E295" s="217" t="s">
        <v>19</v>
      </c>
      <c r="F295" s="217" t="s">
        <v>963</v>
      </c>
      <c r="G295" s="217" t="s">
        <v>1011</v>
      </c>
      <c r="H295" s="218" t="s">
        <v>1113</v>
      </c>
      <c r="I295" s="217" t="s">
        <v>66</v>
      </c>
      <c r="J295" s="217" t="s">
        <v>1794</v>
      </c>
      <c r="K295" s="218" t="s">
        <v>951</v>
      </c>
      <c r="L295" s="212" t="s">
        <v>87</v>
      </c>
      <c r="M295" s="250"/>
      <c r="N295" s="239">
        <v>41058</v>
      </c>
      <c r="O295" s="210" t="s">
        <v>133</v>
      </c>
      <c r="P295" s="210" t="s">
        <v>1090</v>
      </c>
      <c r="Q295" s="210" t="s">
        <v>1091</v>
      </c>
      <c r="R295" s="210" t="s">
        <v>1084</v>
      </c>
      <c r="S295" s="210" t="s">
        <v>1078</v>
      </c>
      <c r="T295" s="210" t="s">
        <v>349</v>
      </c>
      <c r="U295" s="210" t="s">
        <v>1114</v>
      </c>
      <c r="V295" s="210" t="s">
        <v>19</v>
      </c>
      <c r="W295" s="211" t="s">
        <v>1017</v>
      </c>
      <c r="X295" s="211">
        <v>3000</v>
      </c>
      <c r="Y295" s="211">
        <v>100</v>
      </c>
      <c r="Z295" s="212">
        <v>100</v>
      </c>
      <c r="AA295" s="240">
        <v>1</v>
      </c>
      <c r="AB295" s="213">
        <v>2.5000000000000001E-3</v>
      </c>
      <c r="AC295" s="213">
        <v>0</v>
      </c>
      <c r="AD295" s="213" t="s">
        <v>109</v>
      </c>
      <c r="AE295" s="213">
        <v>6.2500000000000001E-4</v>
      </c>
      <c r="AF295" s="241">
        <v>210213399.21000001</v>
      </c>
      <c r="AG295" s="241">
        <v>210213399.21000001</v>
      </c>
      <c r="AH295" s="213">
        <v>6.7900000000000002E-2</v>
      </c>
      <c r="AI295" s="352">
        <v>1.0461</v>
      </c>
      <c r="AJ295" s="213">
        <v>0.10009999999999999</v>
      </c>
      <c r="AK295" s="352">
        <v>1.0638000000000001</v>
      </c>
      <c r="AL295" s="213">
        <v>0.1341</v>
      </c>
      <c r="AM295" s="352">
        <v>1.1101000000000001</v>
      </c>
      <c r="AN295" s="213">
        <v>0.15509999999999999</v>
      </c>
      <c r="AO295" s="352">
        <v>0.92030000000000001</v>
      </c>
      <c r="AP295" s="213">
        <v>1.6000000000000001E-3</v>
      </c>
      <c r="AQ295" s="219">
        <v>3.3614589164758253</v>
      </c>
      <c r="AR295" s="213" t="s">
        <v>1827</v>
      </c>
      <c r="AU295" s="343"/>
      <c r="AV295" s="343"/>
      <c r="AW295" s="328"/>
      <c r="AX295" s="329"/>
      <c r="AY295" s="328"/>
      <c r="AZ295" s="328"/>
      <c r="BA295" s="330"/>
      <c r="BB295" s="328"/>
      <c r="BC295" s="328"/>
      <c r="BD295" s="328"/>
      <c r="BE295" s="330"/>
      <c r="BF295" s="330"/>
      <c r="BG295" s="344"/>
      <c r="BH295" s="330"/>
      <c r="BI295" s="330"/>
      <c r="BJ295" s="330"/>
      <c r="BK295" s="330"/>
      <c r="BL295" s="330"/>
      <c r="BM295" s="330"/>
      <c r="BN295" s="330"/>
      <c r="BO295" s="330"/>
      <c r="BP295" s="331"/>
      <c r="BQ295" s="332"/>
      <c r="BR295" s="333"/>
    </row>
    <row r="296" spans="2:70" ht="15.75" customHeight="1">
      <c r="B296" s="216" t="s">
        <v>1222</v>
      </c>
      <c r="C296" s="212">
        <v>924803</v>
      </c>
      <c r="D296" s="223">
        <v>11616354000181</v>
      </c>
      <c r="E296" s="217" t="s">
        <v>19</v>
      </c>
      <c r="F296" s="217" t="s">
        <v>963</v>
      </c>
      <c r="G296" s="217" t="s">
        <v>1021</v>
      </c>
      <c r="H296" s="218" t="s">
        <v>1113</v>
      </c>
      <c r="I296" s="217" t="s">
        <v>66</v>
      </c>
      <c r="J296" s="217" t="s">
        <v>1794</v>
      </c>
      <c r="K296" s="218" t="s">
        <v>951</v>
      </c>
      <c r="L296" s="212" t="s">
        <v>87</v>
      </c>
      <c r="M296" s="250"/>
      <c r="N296" s="239">
        <v>40259</v>
      </c>
      <c r="O296" s="210" t="s">
        <v>133</v>
      </c>
      <c r="P296" s="210" t="s">
        <v>1090</v>
      </c>
      <c r="Q296" s="210" t="s">
        <v>1091</v>
      </c>
      <c r="R296" s="210" t="s">
        <v>1084</v>
      </c>
      <c r="S296" s="210" t="s">
        <v>1078</v>
      </c>
      <c r="T296" s="210" t="s">
        <v>349</v>
      </c>
      <c r="U296" s="210" t="s">
        <v>1114</v>
      </c>
      <c r="V296" s="210" t="s">
        <v>19</v>
      </c>
      <c r="W296" s="211" t="s">
        <v>1010</v>
      </c>
      <c r="X296" s="211">
        <v>3000</v>
      </c>
      <c r="Y296" s="211">
        <v>0</v>
      </c>
      <c r="Z296" s="212">
        <v>0</v>
      </c>
      <c r="AA296" s="240">
        <v>0</v>
      </c>
      <c r="AB296" s="213">
        <v>1.5E-3</v>
      </c>
      <c r="AC296" s="213">
        <v>0</v>
      </c>
      <c r="AD296" s="213" t="s">
        <v>109</v>
      </c>
      <c r="AE296" s="213">
        <v>3.7500000000000001E-4</v>
      </c>
      <c r="AF296" s="241">
        <v>273086964.72000003</v>
      </c>
      <c r="AG296" s="241">
        <v>273086964.72000003</v>
      </c>
      <c r="AH296" s="213">
        <v>6.4399999999999999E-2</v>
      </c>
      <c r="AI296" s="352">
        <v>0.99139999999999995</v>
      </c>
      <c r="AJ296" s="213">
        <v>9.3899999999999997E-2</v>
      </c>
      <c r="AK296" s="352">
        <v>0.99780000000000002</v>
      </c>
      <c r="AL296" s="213">
        <v>0.1173</v>
      </c>
      <c r="AM296" s="352">
        <v>0.97130000000000005</v>
      </c>
      <c r="AN296" s="213">
        <v>0.15740000000000001</v>
      </c>
      <c r="AO296" s="352">
        <v>0.93379999999999996</v>
      </c>
      <c r="AP296" s="213">
        <v>1.6000000000000001E-3</v>
      </c>
      <c r="AQ296" s="219">
        <v>-0.11775507540560939</v>
      </c>
      <c r="AR296" s="213" t="s">
        <v>1827</v>
      </c>
      <c r="AU296" s="343"/>
      <c r="AV296" s="343"/>
      <c r="AW296" s="328"/>
      <c r="AX296" s="329"/>
      <c r="AY296" s="328"/>
      <c r="AZ296" s="328"/>
      <c r="BA296" s="330"/>
      <c r="BB296" s="328"/>
      <c r="BC296" s="328"/>
      <c r="BD296" s="328"/>
      <c r="BE296" s="330"/>
      <c r="BF296" s="330"/>
      <c r="BG296" s="344"/>
      <c r="BH296" s="330"/>
      <c r="BI296" s="330"/>
      <c r="BJ296" s="330"/>
      <c r="BK296" s="330"/>
      <c r="BL296" s="330"/>
      <c r="BM296" s="330"/>
      <c r="BN296" s="330"/>
      <c r="BO296" s="330"/>
      <c r="BP296" s="331"/>
      <c r="BQ296" s="332"/>
      <c r="BR296" s="333"/>
    </row>
    <row r="297" spans="2:70" ht="15.75" customHeight="1">
      <c r="B297" s="216" t="s">
        <v>238</v>
      </c>
      <c r="C297" s="212">
        <v>992511</v>
      </c>
      <c r="D297" s="223">
        <v>35726300000137</v>
      </c>
      <c r="E297" s="217" t="s">
        <v>19</v>
      </c>
      <c r="F297" s="217" t="s">
        <v>963</v>
      </c>
      <c r="G297" s="217" t="s">
        <v>1034</v>
      </c>
      <c r="H297" s="218" t="s">
        <v>1113</v>
      </c>
      <c r="I297" s="217" t="s">
        <v>66</v>
      </c>
      <c r="J297" s="217" t="s">
        <v>1822</v>
      </c>
      <c r="K297" s="218" t="s">
        <v>951</v>
      </c>
      <c r="L297" s="212" t="s">
        <v>87</v>
      </c>
      <c r="M297" s="250"/>
      <c r="N297" s="239">
        <v>43873</v>
      </c>
      <c r="O297" s="210" t="s">
        <v>239</v>
      </c>
      <c r="P297" s="210" t="s">
        <v>1075</v>
      </c>
      <c r="Q297" s="210" t="s">
        <v>1076</v>
      </c>
      <c r="R297" s="210" t="s">
        <v>1077</v>
      </c>
      <c r="S297" s="210" t="s">
        <v>1078</v>
      </c>
      <c r="T297" s="210" t="s">
        <v>32</v>
      </c>
      <c r="U297" s="210" t="s">
        <v>1150</v>
      </c>
      <c r="V297" s="210" t="s">
        <v>25</v>
      </c>
      <c r="W297" s="211" t="s">
        <v>1035</v>
      </c>
      <c r="X297" s="211">
        <v>1000</v>
      </c>
      <c r="Y297" s="211">
        <v>1000</v>
      </c>
      <c r="Z297" s="212">
        <v>1000</v>
      </c>
      <c r="AA297" s="240">
        <v>91</v>
      </c>
      <c r="AB297" s="213">
        <v>8.9999999999999993E-3</v>
      </c>
      <c r="AC297" s="213">
        <v>0.15</v>
      </c>
      <c r="AD297" s="213" t="s">
        <v>109</v>
      </c>
      <c r="AE297" s="213">
        <v>1.4999999999999998E-3</v>
      </c>
      <c r="AF297" s="241">
        <v>351031186.30000001</v>
      </c>
      <c r="AG297" s="241">
        <v>351031186.30000001</v>
      </c>
      <c r="AH297" s="213">
        <v>8.3599999999999994E-2</v>
      </c>
      <c r="AI297" s="352">
        <v>1.2870999999999999</v>
      </c>
      <c r="AJ297" s="213">
        <v>0.12959999999999999</v>
      </c>
      <c r="AK297" s="352">
        <v>1.3773</v>
      </c>
      <c r="AL297" s="213">
        <v>0.19289999999999999</v>
      </c>
      <c r="AM297" s="352">
        <v>1.5971</v>
      </c>
      <c r="AN297" s="213" t="s">
        <v>66</v>
      </c>
      <c r="AO297" s="352" t="s">
        <v>66</v>
      </c>
      <c r="AP297" s="213">
        <v>1.5E-3</v>
      </c>
      <c r="AQ297" s="219">
        <v>21.109184931076452</v>
      </c>
      <c r="AR297" s="213" t="s">
        <v>1827</v>
      </c>
      <c r="AU297" s="343"/>
      <c r="AV297" s="343"/>
      <c r="AW297" s="328"/>
      <c r="AX297" s="329"/>
      <c r="AY297" s="328"/>
      <c r="AZ297" s="328"/>
      <c r="BA297" s="330"/>
      <c r="BB297" s="328"/>
      <c r="BC297" s="328"/>
      <c r="BD297" s="328"/>
      <c r="BE297" s="330"/>
      <c r="BF297" s="330"/>
      <c r="BG297" s="344"/>
      <c r="BH297" s="330"/>
      <c r="BI297" s="330"/>
      <c r="BJ297" s="330"/>
      <c r="BK297" s="330"/>
      <c r="BL297" s="330"/>
      <c r="BM297" s="330"/>
      <c r="BN297" s="330"/>
      <c r="BO297" s="330"/>
      <c r="BP297" s="331"/>
      <c r="BQ297" s="332"/>
      <c r="BR297" s="333"/>
    </row>
    <row r="298" spans="2:70" ht="15.75" customHeight="1">
      <c r="B298" s="216" t="s">
        <v>1223</v>
      </c>
      <c r="C298" s="212">
        <v>544821</v>
      </c>
      <c r="D298" s="223">
        <v>36015243000140</v>
      </c>
      <c r="E298" s="217" t="s">
        <v>19</v>
      </c>
      <c r="F298" s="217" t="s">
        <v>963</v>
      </c>
      <c r="G298" s="217" t="s">
        <v>1034</v>
      </c>
      <c r="H298" s="218" t="s">
        <v>1113</v>
      </c>
      <c r="I298" s="217" t="s">
        <v>66</v>
      </c>
      <c r="J298" s="217" t="s">
        <v>1822</v>
      </c>
      <c r="K298" s="218" t="s">
        <v>951</v>
      </c>
      <c r="L298" s="212" t="s">
        <v>87</v>
      </c>
      <c r="M298" s="250"/>
      <c r="N298" s="239">
        <v>43892</v>
      </c>
      <c r="O298" s="210" t="s">
        <v>239</v>
      </c>
      <c r="P298" s="210" t="s">
        <v>1075</v>
      </c>
      <c r="Q298" s="210" t="s">
        <v>1076</v>
      </c>
      <c r="R298" s="210" t="s">
        <v>231</v>
      </c>
      <c r="S298" s="210" t="s">
        <v>1078</v>
      </c>
      <c r="T298" s="210" t="s">
        <v>32</v>
      </c>
      <c r="U298" s="210" t="s">
        <v>1150</v>
      </c>
      <c r="V298" s="210" t="s">
        <v>25</v>
      </c>
      <c r="W298" s="211" t="s">
        <v>1028</v>
      </c>
      <c r="X298" s="211">
        <v>1000</v>
      </c>
      <c r="Y298" s="211">
        <v>1000</v>
      </c>
      <c r="Z298" s="212">
        <v>1000</v>
      </c>
      <c r="AA298" s="240">
        <v>181</v>
      </c>
      <c r="AB298" s="213">
        <v>6.0000000000000001E-3</v>
      </c>
      <c r="AC298" s="213">
        <v>0.2</v>
      </c>
      <c r="AD298" s="213" t="s">
        <v>109</v>
      </c>
      <c r="AE298" s="213" t="s">
        <v>66</v>
      </c>
      <c r="AF298" s="241">
        <v>122538486.47</v>
      </c>
      <c r="AG298" s="241">
        <v>122538486.47</v>
      </c>
      <c r="AH298" s="213">
        <v>9.2299999999999993E-2</v>
      </c>
      <c r="AI298" s="352">
        <v>1.4221999999999999</v>
      </c>
      <c r="AJ298" s="213">
        <v>0.14319999999999999</v>
      </c>
      <c r="AK298" s="352">
        <v>1.5216000000000001</v>
      </c>
      <c r="AL298" s="213">
        <v>0.2316</v>
      </c>
      <c r="AM298" s="352">
        <v>1.9169</v>
      </c>
      <c r="AN298" s="213" t="s">
        <v>66</v>
      </c>
      <c r="AO298" s="352" t="s">
        <v>66</v>
      </c>
      <c r="AP298" s="213">
        <v>2.3999999999999998E-3</v>
      </c>
      <c r="AQ298" s="219">
        <v>18.355537702700659</v>
      </c>
      <c r="AR298" s="213" t="s">
        <v>1827</v>
      </c>
      <c r="AU298" s="343"/>
      <c r="AV298" s="343"/>
      <c r="AW298" s="328"/>
      <c r="AX298" s="329"/>
      <c r="AY298" s="328"/>
      <c r="AZ298" s="328"/>
      <c r="BA298" s="330"/>
      <c r="BB298" s="328"/>
      <c r="BC298" s="328"/>
      <c r="BD298" s="328"/>
      <c r="BE298" s="330"/>
      <c r="BF298" s="330"/>
      <c r="BG298" s="344"/>
      <c r="BH298" s="330"/>
      <c r="BI298" s="330"/>
      <c r="BJ298" s="330"/>
      <c r="BK298" s="330"/>
      <c r="BL298" s="330"/>
      <c r="BM298" s="330"/>
      <c r="BN298" s="330"/>
      <c r="BO298" s="330"/>
      <c r="BP298" s="331"/>
      <c r="BQ298" s="332"/>
      <c r="BR298" s="333"/>
    </row>
    <row r="299" spans="2:70" ht="15.75" customHeight="1">
      <c r="B299" s="216" t="s">
        <v>1224</v>
      </c>
      <c r="C299" s="212">
        <v>605506</v>
      </c>
      <c r="D299" s="223">
        <v>36484248000112</v>
      </c>
      <c r="E299" s="217" t="s">
        <v>25</v>
      </c>
      <c r="F299" s="217" t="s">
        <v>959</v>
      </c>
      <c r="G299" s="217" t="s">
        <v>953</v>
      </c>
      <c r="H299" s="218" t="s">
        <v>66</v>
      </c>
      <c r="I299" s="217" t="s">
        <v>1842</v>
      </c>
      <c r="J299" s="217" t="s">
        <v>66</v>
      </c>
      <c r="K299" s="218"/>
      <c r="L299" s="212" t="s">
        <v>87</v>
      </c>
      <c r="M299" s="250"/>
      <c r="N299" s="239">
        <v>43943</v>
      </c>
      <c r="O299" s="210" t="s">
        <v>240</v>
      </c>
      <c r="P299" s="210" t="s">
        <v>1225</v>
      </c>
      <c r="Q299" s="210" t="s">
        <v>1089</v>
      </c>
      <c r="R299" s="210" t="s">
        <v>1084</v>
      </c>
      <c r="S299" s="210" t="s">
        <v>1078</v>
      </c>
      <c r="T299" s="210" t="s">
        <v>1082</v>
      </c>
      <c r="U299" s="210" t="s">
        <v>1086</v>
      </c>
      <c r="V299" s="210" t="s">
        <v>25</v>
      </c>
      <c r="W299" s="211" t="s">
        <v>1012</v>
      </c>
      <c r="X299" s="211">
        <v>1000</v>
      </c>
      <c r="Y299" s="211">
        <v>1000</v>
      </c>
      <c r="Z299" s="212">
        <v>1000</v>
      </c>
      <c r="AA299" s="240">
        <v>11</v>
      </c>
      <c r="AB299" s="213">
        <v>1.8499999999999999E-2</v>
      </c>
      <c r="AC299" s="213">
        <v>0.2</v>
      </c>
      <c r="AD299" s="213" t="s">
        <v>109</v>
      </c>
      <c r="AE299" s="213">
        <v>6.1666666666666658E-3</v>
      </c>
      <c r="AF299" s="241">
        <v>13140360.09</v>
      </c>
      <c r="AG299" s="241">
        <v>13140360.09</v>
      </c>
      <c r="AH299" s="213" t="s">
        <v>66</v>
      </c>
      <c r="AI299" s="352" t="s">
        <v>66</v>
      </c>
      <c r="AJ299" s="213" t="s">
        <v>66</v>
      </c>
      <c r="AK299" s="352" t="s">
        <v>66</v>
      </c>
      <c r="AL299" s="213" t="s">
        <v>66</v>
      </c>
      <c r="AM299" s="352" t="s">
        <v>66</v>
      </c>
      <c r="AN299" s="213" t="s">
        <v>66</v>
      </c>
      <c r="AO299" s="352" t="s">
        <v>66</v>
      </c>
      <c r="AP299" s="213" t="s">
        <v>66</v>
      </c>
      <c r="AQ299" s="219" t="s">
        <v>66</v>
      </c>
      <c r="AR299" s="213" t="s">
        <v>1827</v>
      </c>
      <c r="AU299" s="343"/>
      <c r="AV299" s="343"/>
      <c r="AW299" s="328"/>
      <c r="AX299" s="329"/>
      <c r="AY299" s="328"/>
      <c r="AZ299" s="328"/>
      <c r="BA299" s="330"/>
      <c r="BB299" s="328"/>
      <c r="BC299" s="328"/>
      <c r="BD299" s="328"/>
      <c r="BE299" s="330"/>
      <c r="BF299" s="330"/>
      <c r="BG299" s="344"/>
      <c r="BH299" s="330"/>
      <c r="BI299" s="330"/>
      <c r="BJ299" s="330"/>
      <c r="BK299" s="330"/>
      <c r="BL299" s="330"/>
      <c r="BM299" s="330"/>
      <c r="BN299" s="330"/>
      <c r="BO299" s="330"/>
      <c r="BP299" s="331"/>
      <c r="BQ299" s="332"/>
      <c r="BR299" s="333"/>
    </row>
    <row r="300" spans="2:70" ht="15.75" customHeight="1">
      <c r="B300" s="216" t="s">
        <v>241</v>
      </c>
      <c r="C300" s="212">
        <v>856035</v>
      </c>
      <c r="D300" s="223">
        <v>6070574000112</v>
      </c>
      <c r="E300" s="217" t="s">
        <v>28</v>
      </c>
      <c r="F300" s="217" t="s">
        <v>950</v>
      </c>
      <c r="G300" s="217"/>
      <c r="H300" s="218"/>
      <c r="I300" s="217" t="s">
        <v>66</v>
      </c>
      <c r="J300" s="217" t="s">
        <v>66</v>
      </c>
      <c r="K300" s="218" t="s">
        <v>951</v>
      </c>
      <c r="L300" s="212" t="s">
        <v>87</v>
      </c>
      <c r="M300" s="250"/>
      <c r="N300" s="239">
        <v>38027</v>
      </c>
      <c r="O300" s="210" t="s">
        <v>242</v>
      </c>
      <c r="P300" s="210" t="s">
        <v>1090</v>
      </c>
      <c r="Q300" s="210" t="s">
        <v>1091</v>
      </c>
      <c r="R300" s="210" t="s">
        <v>1077</v>
      </c>
      <c r="S300" s="210" t="s">
        <v>1078</v>
      </c>
      <c r="T300" s="210" t="s">
        <v>1079</v>
      </c>
      <c r="U300" s="210" t="s">
        <v>950</v>
      </c>
      <c r="V300" s="210" t="s">
        <v>1080</v>
      </c>
      <c r="W300" s="211" t="s">
        <v>1007</v>
      </c>
      <c r="X300" s="211">
        <v>1000</v>
      </c>
      <c r="Y300" s="211">
        <v>500</v>
      </c>
      <c r="Z300" s="212">
        <v>500</v>
      </c>
      <c r="AA300" s="240">
        <v>32</v>
      </c>
      <c r="AB300" s="213">
        <v>0.02</v>
      </c>
      <c r="AC300" s="213">
        <v>0.15</v>
      </c>
      <c r="AD300" s="213" t="s">
        <v>203</v>
      </c>
      <c r="AE300" s="213">
        <v>4.6666666666666662E-3</v>
      </c>
      <c r="AF300" s="241">
        <v>248504054.62</v>
      </c>
      <c r="AG300" s="241">
        <v>248504054.62</v>
      </c>
      <c r="AH300" s="213">
        <v>3.6299999999999999E-2</v>
      </c>
      <c r="AI300" s="352">
        <v>0.55959999999999999</v>
      </c>
      <c r="AJ300" s="213">
        <v>-0.13900000000000001</v>
      </c>
      <c r="AK300" s="352">
        <v>-1.4775</v>
      </c>
      <c r="AL300" s="213">
        <v>-0.1087</v>
      </c>
      <c r="AM300" s="352">
        <v>-0.89949999999999997</v>
      </c>
      <c r="AN300" s="213">
        <v>-2.98E-2</v>
      </c>
      <c r="AO300" s="352">
        <v>-0.1769</v>
      </c>
      <c r="AP300" s="213">
        <v>0.1487</v>
      </c>
      <c r="AQ300" s="219">
        <v>-1.536822368463302</v>
      </c>
      <c r="AR300" s="213" t="s">
        <v>1827</v>
      </c>
      <c r="AU300" s="343"/>
      <c r="AV300" s="343"/>
      <c r="AW300" s="328"/>
      <c r="AX300" s="329"/>
      <c r="AY300" s="328"/>
      <c r="AZ300" s="328"/>
      <c r="BA300" s="330"/>
      <c r="BB300" s="328"/>
      <c r="BC300" s="328"/>
      <c r="BD300" s="328"/>
      <c r="BE300" s="330"/>
      <c r="BF300" s="330"/>
      <c r="BG300" s="344"/>
      <c r="BH300" s="330"/>
      <c r="BI300" s="330"/>
      <c r="BJ300" s="330"/>
      <c r="BK300" s="330"/>
      <c r="BL300" s="330"/>
      <c r="BM300" s="330"/>
      <c r="BN300" s="330"/>
      <c r="BO300" s="330"/>
      <c r="BP300" s="331"/>
      <c r="BQ300" s="332"/>
      <c r="BR300" s="333"/>
    </row>
    <row r="301" spans="2:70" ht="15.75" customHeight="1">
      <c r="B301" s="216" t="s">
        <v>1226</v>
      </c>
      <c r="C301" s="212">
        <v>536313</v>
      </c>
      <c r="D301" s="223">
        <v>29283812000173</v>
      </c>
      <c r="E301" s="217" t="s">
        <v>28</v>
      </c>
      <c r="F301" s="217" t="s">
        <v>950</v>
      </c>
      <c r="G301" s="217"/>
      <c r="H301" s="218"/>
      <c r="I301" s="217" t="s">
        <v>66</v>
      </c>
      <c r="J301" s="217" t="s">
        <v>66</v>
      </c>
      <c r="K301" s="218" t="s">
        <v>951</v>
      </c>
      <c r="L301" s="212" t="s">
        <v>87</v>
      </c>
      <c r="M301" s="250"/>
      <c r="N301" s="239">
        <v>43152</v>
      </c>
      <c r="O301" s="210" t="s">
        <v>242</v>
      </c>
      <c r="P301" s="210" t="s">
        <v>1090</v>
      </c>
      <c r="Q301" s="210" t="s">
        <v>1091</v>
      </c>
      <c r="R301" s="210" t="s">
        <v>1084</v>
      </c>
      <c r="S301" s="210" t="s">
        <v>1078</v>
      </c>
      <c r="T301" s="210" t="s">
        <v>1079</v>
      </c>
      <c r="U301" s="210" t="s">
        <v>950</v>
      </c>
      <c r="V301" s="210" t="s">
        <v>1080</v>
      </c>
      <c r="W301" s="211" t="s">
        <v>1007</v>
      </c>
      <c r="X301" s="211">
        <v>1000</v>
      </c>
      <c r="Y301" s="211">
        <v>500</v>
      </c>
      <c r="Z301" s="212">
        <v>500</v>
      </c>
      <c r="AA301" s="240">
        <v>32</v>
      </c>
      <c r="AB301" s="213">
        <v>2.5000000000000001E-2</v>
      </c>
      <c r="AC301" s="213">
        <v>0.2</v>
      </c>
      <c r="AD301" s="213" t="s">
        <v>203</v>
      </c>
      <c r="AE301" s="213">
        <v>5.8333333333333327E-3</v>
      </c>
      <c r="AF301" s="241">
        <v>4180291.78</v>
      </c>
      <c r="AG301" s="241">
        <v>4180291.78</v>
      </c>
      <c r="AH301" s="213">
        <v>3.0700000000000002E-2</v>
      </c>
      <c r="AI301" s="352">
        <v>0.4733</v>
      </c>
      <c r="AJ301" s="213">
        <v>-0.1459</v>
      </c>
      <c r="AK301" s="352">
        <v>-1.5508</v>
      </c>
      <c r="AL301" s="213">
        <v>-0.123</v>
      </c>
      <c r="AM301" s="352">
        <v>-1.0178</v>
      </c>
      <c r="AN301" s="213">
        <v>-4.5699999999999998E-2</v>
      </c>
      <c r="AO301" s="352">
        <v>-0.27089999999999997</v>
      </c>
      <c r="AP301" s="213">
        <v>0.14799999999999999</v>
      </c>
      <c r="AQ301" s="219">
        <v>-1.5997465990760362</v>
      </c>
      <c r="AR301" s="213" t="s">
        <v>1827</v>
      </c>
      <c r="AU301" s="343"/>
      <c r="AV301" s="343"/>
      <c r="AW301" s="328"/>
      <c r="AX301" s="329"/>
      <c r="AY301" s="328"/>
      <c r="AZ301" s="328"/>
      <c r="BA301" s="330"/>
      <c r="BB301" s="328"/>
      <c r="BC301" s="328"/>
      <c r="BD301" s="328"/>
      <c r="BE301" s="330"/>
      <c r="BF301" s="330"/>
      <c r="BG301" s="344"/>
      <c r="BH301" s="330"/>
      <c r="BI301" s="330"/>
      <c r="BJ301" s="330"/>
      <c r="BK301" s="330"/>
      <c r="BL301" s="330"/>
      <c r="BM301" s="330"/>
      <c r="BN301" s="330"/>
      <c r="BO301" s="330"/>
      <c r="BP301" s="331"/>
      <c r="BQ301" s="332"/>
      <c r="BR301" s="333"/>
    </row>
    <row r="302" spans="2:70" ht="15.75" customHeight="1">
      <c r="B302" s="216" t="s">
        <v>243</v>
      </c>
      <c r="C302" s="212">
        <v>752067</v>
      </c>
      <c r="D302" s="223">
        <v>5097427000173</v>
      </c>
      <c r="E302" s="217" t="s">
        <v>25</v>
      </c>
      <c r="F302" s="217" t="s">
        <v>959</v>
      </c>
      <c r="G302" s="217" t="s">
        <v>960</v>
      </c>
      <c r="H302" s="218" t="s">
        <v>66</v>
      </c>
      <c r="I302" s="217" t="s">
        <v>1259</v>
      </c>
      <c r="J302" s="217" t="s">
        <v>66</v>
      </c>
      <c r="K302" s="218" t="s">
        <v>951</v>
      </c>
      <c r="L302" s="212" t="s">
        <v>87</v>
      </c>
      <c r="M302" s="250"/>
      <c r="N302" s="239">
        <v>37431</v>
      </c>
      <c r="O302" s="210" t="s">
        <v>242</v>
      </c>
      <c r="P302" s="210" t="s">
        <v>1090</v>
      </c>
      <c r="Q302" s="210" t="s">
        <v>1091</v>
      </c>
      <c r="R302" s="210" t="s">
        <v>1084</v>
      </c>
      <c r="S302" s="210" t="s">
        <v>1078</v>
      </c>
      <c r="T302" s="210" t="s">
        <v>1082</v>
      </c>
      <c r="U302" s="210" t="s">
        <v>1086</v>
      </c>
      <c r="V302" s="210" t="s">
        <v>25</v>
      </c>
      <c r="W302" s="211" t="s">
        <v>1016</v>
      </c>
      <c r="X302" s="211">
        <v>1000</v>
      </c>
      <c r="Y302" s="211">
        <v>500</v>
      </c>
      <c r="Z302" s="212">
        <v>500</v>
      </c>
      <c r="AA302" s="240">
        <v>7</v>
      </c>
      <c r="AB302" s="213">
        <v>0.02</v>
      </c>
      <c r="AC302" s="213">
        <v>0.2</v>
      </c>
      <c r="AD302" s="213" t="s">
        <v>109</v>
      </c>
      <c r="AE302" s="213">
        <v>4.6666666666666662E-3</v>
      </c>
      <c r="AF302" s="241">
        <v>16928554.140000001</v>
      </c>
      <c r="AG302" s="241">
        <v>16928554.140000001</v>
      </c>
      <c r="AH302" s="213">
        <v>6.8400000000000002E-2</v>
      </c>
      <c r="AI302" s="352">
        <v>1.0529999999999999</v>
      </c>
      <c r="AJ302" s="213">
        <v>6.2E-2</v>
      </c>
      <c r="AK302" s="352">
        <v>0.65910000000000002</v>
      </c>
      <c r="AL302" s="213">
        <v>2.3300000000000001E-2</v>
      </c>
      <c r="AM302" s="352">
        <v>0.1928</v>
      </c>
      <c r="AN302" s="213">
        <v>0.12189999999999999</v>
      </c>
      <c r="AO302" s="352">
        <v>0.72350000000000003</v>
      </c>
      <c r="AP302" s="213">
        <v>5.3900000000000003E-2</v>
      </c>
      <c r="AQ302" s="219">
        <v>-0.52520711580237511</v>
      </c>
      <c r="AR302" s="213" t="s">
        <v>1827</v>
      </c>
      <c r="AU302" s="343"/>
      <c r="AV302" s="343"/>
      <c r="AW302" s="328"/>
      <c r="AX302" s="329"/>
      <c r="AY302" s="328"/>
      <c r="AZ302" s="328"/>
      <c r="BA302" s="330"/>
      <c r="BB302" s="328"/>
      <c r="BC302" s="328"/>
      <c r="BD302" s="328"/>
      <c r="BE302" s="330"/>
      <c r="BF302" s="330"/>
      <c r="BG302" s="344"/>
      <c r="BH302" s="330"/>
      <c r="BI302" s="330"/>
      <c r="BJ302" s="330"/>
      <c r="BK302" s="330"/>
      <c r="BL302" s="330"/>
      <c r="BM302" s="330"/>
      <c r="BN302" s="330"/>
      <c r="BO302" s="330"/>
      <c r="BP302" s="331"/>
      <c r="BQ302" s="332"/>
      <c r="BR302" s="333"/>
    </row>
    <row r="303" spans="2:70" ht="15.75" customHeight="1">
      <c r="B303" s="216" t="s">
        <v>244</v>
      </c>
      <c r="C303" s="212">
        <v>920358</v>
      </c>
      <c r="D303" s="223">
        <v>8739850000118</v>
      </c>
      <c r="E303" s="217" t="s">
        <v>25</v>
      </c>
      <c r="F303" s="217" t="s">
        <v>959</v>
      </c>
      <c r="G303" s="217" t="s">
        <v>960</v>
      </c>
      <c r="H303" s="218" t="s">
        <v>66</v>
      </c>
      <c r="I303" s="217" t="s">
        <v>1842</v>
      </c>
      <c r="J303" s="217" t="s">
        <v>66</v>
      </c>
      <c r="K303" s="218" t="s">
        <v>951</v>
      </c>
      <c r="L303" s="212" t="s">
        <v>87</v>
      </c>
      <c r="M303" s="250"/>
      <c r="N303" s="239">
        <v>39184</v>
      </c>
      <c r="O303" s="210" t="s">
        <v>242</v>
      </c>
      <c r="P303" s="210" t="s">
        <v>1090</v>
      </c>
      <c r="Q303" s="210" t="s">
        <v>1091</v>
      </c>
      <c r="R303" s="210" t="s">
        <v>1084</v>
      </c>
      <c r="S303" s="210" t="s">
        <v>1078</v>
      </c>
      <c r="T303" s="210" t="s">
        <v>1082</v>
      </c>
      <c r="U303" s="210" t="s">
        <v>1086</v>
      </c>
      <c r="V303" s="210" t="s">
        <v>25</v>
      </c>
      <c r="W303" s="211" t="s">
        <v>1012</v>
      </c>
      <c r="X303" s="211">
        <v>1000</v>
      </c>
      <c r="Y303" s="211">
        <v>500</v>
      </c>
      <c r="Z303" s="212">
        <v>500</v>
      </c>
      <c r="AA303" s="240">
        <v>11</v>
      </c>
      <c r="AB303" s="213">
        <v>0.02</v>
      </c>
      <c r="AC303" s="213">
        <v>0.2</v>
      </c>
      <c r="AD303" s="213" t="s">
        <v>109</v>
      </c>
      <c r="AE303" s="213">
        <v>4.6666666666666662E-3</v>
      </c>
      <c r="AF303" s="241">
        <v>26085653.059999999</v>
      </c>
      <c r="AG303" s="241">
        <v>26085653.059999999</v>
      </c>
      <c r="AH303" s="213">
        <v>9.1499999999999998E-2</v>
      </c>
      <c r="AI303" s="352">
        <v>1.4096</v>
      </c>
      <c r="AJ303" s="213">
        <v>6.0299999999999999E-2</v>
      </c>
      <c r="AK303" s="352">
        <v>0.64070000000000005</v>
      </c>
      <c r="AL303" s="213">
        <v>2.3E-3</v>
      </c>
      <c r="AM303" s="352">
        <v>1.8800000000000001E-2</v>
      </c>
      <c r="AN303" s="213">
        <v>0.1487</v>
      </c>
      <c r="AO303" s="352">
        <v>0.88229999999999997</v>
      </c>
      <c r="AP303" s="213">
        <v>0.1009</v>
      </c>
      <c r="AQ303" s="219">
        <v>-0.26078965444014329</v>
      </c>
      <c r="AR303" s="213" t="s">
        <v>1827</v>
      </c>
      <c r="AU303" s="343"/>
      <c r="AV303" s="343"/>
      <c r="AW303" s="328"/>
      <c r="AX303" s="329"/>
      <c r="AY303" s="328"/>
      <c r="AZ303" s="328"/>
      <c r="BA303" s="330"/>
      <c r="BB303" s="328"/>
      <c r="BC303" s="328"/>
      <c r="BD303" s="328"/>
      <c r="BE303" s="330"/>
      <c r="BF303" s="330"/>
      <c r="BG303" s="344"/>
      <c r="BH303" s="330"/>
      <c r="BI303" s="330"/>
      <c r="BJ303" s="330"/>
      <c r="BK303" s="330"/>
      <c r="BL303" s="330"/>
      <c r="BM303" s="330"/>
      <c r="BN303" s="330"/>
      <c r="BO303" s="330"/>
      <c r="BP303" s="331"/>
      <c r="BQ303" s="332"/>
      <c r="BR303" s="333"/>
    </row>
    <row r="304" spans="2:70" ht="15.75" customHeight="1">
      <c r="B304" s="216" t="s">
        <v>245</v>
      </c>
      <c r="C304" s="212">
        <v>920350</v>
      </c>
      <c r="D304" s="223">
        <v>33342285000106</v>
      </c>
      <c r="E304" s="217" t="s">
        <v>19</v>
      </c>
      <c r="F304" s="217" t="s">
        <v>963</v>
      </c>
      <c r="G304" s="217" t="s">
        <v>1011</v>
      </c>
      <c r="H304" s="218" t="s">
        <v>1113</v>
      </c>
      <c r="I304" s="217" t="s">
        <v>66</v>
      </c>
      <c r="J304" s="217"/>
      <c r="K304" s="218" t="s">
        <v>951</v>
      </c>
      <c r="L304" s="212" t="s">
        <v>87</v>
      </c>
      <c r="M304" s="250"/>
      <c r="N304" s="239">
        <v>43703</v>
      </c>
      <c r="O304" s="210" t="s">
        <v>246</v>
      </c>
      <c r="P304" s="210" t="s">
        <v>1090</v>
      </c>
      <c r="Q304" s="210" t="s">
        <v>1091</v>
      </c>
      <c r="R304" s="210" t="s">
        <v>1084</v>
      </c>
      <c r="S304" s="210" t="s">
        <v>1078</v>
      </c>
      <c r="T304" s="210" t="s">
        <v>349</v>
      </c>
      <c r="U304" s="210" t="s">
        <v>1114</v>
      </c>
      <c r="V304" s="210" t="s">
        <v>19</v>
      </c>
      <c r="W304" s="211" t="s">
        <v>1010</v>
      </c>
      <c r="X304" s="211">
        <v>1000</v>
      </c>
      <c r="Y304" s="211">
        <v>1000</v>
      </c>
      <c r="Z304" s="212">
        <v>1000</v>
      </c>
      <c r="AA304" s="240">
        <v>31</v>
      </c>
      <c r="AB304" s="213">
        <v>3.5000000000000001E-3</v>
      </c>
      <c r="AC304" s="213">
        <v>0</v>
      </c>
      <c r="AD304" s="213" t="s">
        <v>113</v>
      </c>
      <c r="AE304" s="213">
        <v>9.3333333333333332E-4</v>
      </c>
      <c r="AF304" s="241">
        <v>24357912.140000001</v>
      </c>
      <c r="AG304" s="241">
        <v>24357912.140000001</v>
      </c>
      <c r="AH304" s="213">
        <v>7.46E-2</v>
      </c>
      <c r="AI304" s="352">
        <v>1.1494</v>
      </c>
      <c r="AJ304" s="213">
        <v>0.1115</v>
      </c>
      <c r="AK304" s="352">
        <v>1.1856</v>
      </c>
      <c r="AL304" s="213">
        <v>0.17119999999999999</v>
      </c>
      <c r="AM304" s="352">
        <v>1.4169</v>
      </c>
      <c r="AN304" s="213" t="s">
        <v>66</v>
      </c>
      <c r="AO304" s="352" t="s">
        <v>66</v>
      </c>
      <c r="AP304" s="213">
        <v>2.5999999999999999E-3</v>
      </c>
      <c r="AQ304" s="219">
        <v>6.1283365001384995</v>
      </c>
      <c r="AR304" s="213" t="s">
        <v>1827</v>
      </c>
      <c r="AU304" s="343"/>
      <c r="AV304" s="343"/>
      <c r="AW304" s="328"/>
      <c r="AX304" s="329"/>
      <c r="AY304" s="328"/>
      <c r="AZ304" s="328"/>
      <c r="BA304" s="330"/>
      <c r="BB304" s="328"/>
      <c r="BC304" s="328"/>
      <c r="BD304" s="328"/>
      <c r="BE304" s="330"/>
      <c r="BF304" s="330"/>
      <c r="BG304" s="344"/>
      <c r="BH304" s="330"/>
      <c r="BI304" s="330"/>
      <c r="BJ304" s="330"/>
      <c r="BK304" s="330"/>
      <c r="BL304" s="330"/>
      <c r="BM304" s="330"/>
      <c r="BN304" s="330"/>
      <c r="BO304" s="330"/>
      <c r="BP304" s="331"/>
      <c r="BQ304" s="332"/>
      <c r="BR304" s="333"/>
    </row>
    <row r="305" spans="2:70" ht="15.75" customHeight="1">
      <c r="B305" s="216" t="s">
        <v>247</v>
      </c>
      <c r="C305" s="212">
        <v>1101676</v>
      </c>
      <c r="D305" s="223">
        <v>41266134000136</v>
      </c>
      <c r="E305" s="217" t="s">
        <v>25</v>
      </c>
      <c r="F305" s="217" t="s">
        <v>958</v>
      </c>
      <c r="G305" s="217" t="s">
        <v>962</v>
      </c>
      <c r="H305" s="218" t="s">
        <v>66</v>
      </c>
      <c r="I305" s="217" t="s">
        <v>1841</v>
      </c>
      <c r="J305" s="217" t="s">
        <v>66</v>
      </c>
      <c r="K305" s="218"/>
      <c r="L305" s="212" t="s">
        <v>87</v>
      </c>
      <c r="M305" s="250"/>
      <c r="N305" s="239">
        <v>44314</v>
      </c>
      <c r="O305" s="210" t="s">
        <v>114</v>
      </c>
      <c r="P305" s="210" t="s">
        <v>1075</v>
      </c>
      <c r="Q305" s="210" t="s">
        <v>1076</v>
      </c>
      <c r="R305" s="210" t="s">
        <v>1084</v>
      </c>
      <c r="S305" s="210" t="s">
        <v>1078</v>
      </c>
      <c r="T305" s="210" t="s">
        <v>1082</v>
      </c>
      <c r="U305" s="210" t="s">
        <v>958</v>
      </c>
      <c r="V305" s="210" t="s">
        <v>25</v>
      </c>
      <c r="W305" s="211" t="s">
        <v>1035</v>
      </c>
      <c r="X305" s="211">
        <v>0.01</v>
      </c>
      <c r="Y305" s="211">
        <v>0.01</v>
      </c>
      <c r="Z305" s="212">
        <v>0.01</v>
      </c>
      <c r="AA305" s="240">
        <v>10</v>
      </c>
      <c r="AB305" s="213">
        <v>8.0000000000000002E-3</v>
      </c>
      <c r="AC305" s="213">
        <v>0</v>
      </c>
      <c r="AD305" s="213" t="s">
        <v>113</v>
      </c>
      <c r="AE305" s="213">
        <v>5.3333333333333332E-3</v>
      </c>
      <c r="AF305" s="241">
        <v>6439658.4199999999</v>
      </c>
      <c r="AG305" s="241">
        <v>6439658.4199999999</v>
      </c>
      <c r="AH305" s="213">
        <v>3.5099999999999999E-2</v>
      </c>
      <c r="AI305" s="352">
        <v>0.5413</v>
      </c>
      <c r="AJ305" s="213">
        <v>4.0000000000000002E-4</v>
      </c>
      <c r="AK305" s="352">
        <v>4.1999999999999997E-3</v>
      </c>
      <c r="AL305" s="213" t="s">
        <v>66</v>
      </c>
      <c r="AM305" s="352" t="s">
        <v>66</v>
      </c>
      <c r="AN305" s="213" t="s">
        <v>66</v>
      </c>
      <c r="AO305" s="352" t="s">
        <v>66</v>
      </c>
      <c r="AP305" s="213">
        <v>4.4600000000000001E-2</v>
      </c>
      <c r="AQ305" s="219">
        <v>-1.9864999426269894</v>
      </c>
      <c r="AR305" s="213" t="s">
        <v>1827</v>
      </c>
      <c r="AU305" s="343"/>
      <c r="AV305" s="343"/>
      <c r="AW305" s="328"/>
      <c r="AX305" s="329"/>
      <c r="AY305" s="328"/>
      <c r="AZ305" s="328"/>
      <c r="BA305" s="330"/>
      <c r="BB305" s="328"/>
      <c r="BC305" s="328"/>
      <c r="BD305" s="328"/>
      <c r="BE305" s="330"/>
      <c r="BF305" s="330"/>
      <c r="BG305" s="344"/>
      <c r="BH305" s="330"/>
      <c r="BI305" s="330"/>
      <c r="BJ305" s="330"/>
      <c r="BK305" s="330"/>
      <c r="BL305" s="330"/>
      <c r="BM305" s="330"/>
      <c r="BN305" s="330"/>
      <c r="BO305" s="330"/>
      <c r="BP305" s="331"/>
      <c r="BQ305" s="332"/>
      <c r="BR305" s="333"/>
    </row>
    <row r="306" spans="2:70" ht="15.75" customHeight="1">
      <c r="B306" s="216" t="s">
        <v>248</v>
      </c>
      <c r="C306" s="212">
        <v>541732</v>
      </c>
      <c r="D306" s="223">
        <v>41266158000195</v>
      </c>
      <c r="E306" s="217" t="s">
        <v>25</v>
      </c>
      <c r="F306" s="217" t="s">
        <v>958</v>
      </c>
      <c r="G306" s="217" t="s">
        <v>962</v>
      </c>
      <c r="H306" s="218" t="s">
        <v>66</v>
      </c>
      <c r="I306" s="217" t="s">
        <v>1842</v>
      </c>
      <c r="J306" s="217" t="s">
        <v>66</v>
      </c>
      <c r="K306" s="218"/>
      <c r="L306" s="212" t="s">
        <v>87</v>
      </c>
      <c r="M306" s="250"/>
      <c r="N306" s="239">
        <v>44314</v>
      </c>
      <c r="O306" s="210" t="s">
        <v>114</v>
      </c>
      <c r="P306" s="210" t="s">
        <v>1075</v>
      </c>
      <c r="Q306" s="210" t="s">
        <v>1076</v>
      </c>
      <c r="R306" s="210" t="s">
        <v>1084</v>
      </c>
      <c r="S306" s="210" t="s">
        <v>1078</v>
      </c>
      <c r="T306" s="210" t="s">
        <v>1082</v>
      </c>
      <c r="U306" s="210" t="s">
        <v>958</v>
      </c>
      <c r="V306" s="210" t="s">
        <v>25</v>
      </c>
      <c r="W306" s="211" t="s">
        <v>1016</v>
      </c>
      <c r="X306" s="211">
        <v>0.01</v>
      </c>
      <c r="Y306" s="211">
        <v>0.01</v>
      </c>
      <c r="Z306" s="212">
        <v>0.01</v>
      </c>
      <c r="AA306" s="240">
        <v>10</v>
      </c>
      <c r="AB306" s="213">
        <v>8.0000000000000002E-3</v>
      </c>
      <c r="AC306" s="213">
        <v>0</v>
      </c>
      <c r="AD306" s="213" t="s">
        <v>113</v>
      </c>
      <c r="AE306" s="213">
        <v>5.3333333333333332E-3</v>
      </c>
      <c r="AF306" s="241">
        <v>5145800.29</v>
      </c>
      <c r="AG306" s="241">
        <v>5145800.29</v>
      </c>
      <c r="AH306" s="213">
        <v>-1.67E-2</v>
      </c>
      <c r="AI306" s="352">
        <v>-0.25750000000000001</v>
      </c>
      <c r="AJ306" s="213">
        <v>-0.1084</v>
      </c>
      <c r="AK306" s="352">
        <v>-1.1519999999999999</v>
      </c>
      <c r="AL306" s="213" t="s">
        <v>66</v>
      </c>
      <c r="AM306" s="352" t="s">
        <v>66</v>
      </c>
      <c r="AN306" s="213" t="s">
        <v>66</v>
      </c>
      <c r="AO306" s="352" t="s">
        <v>66</v>
      </c>
      <c r="AP306" s="213">
        <v>8.6099999999999996E-2</v>
      </c>
      <c r="AQ306" s="219">
        <v>-2.3336181056445331</v>
      </c>
      <c r="AR306" s="213" t="s">
        <v>1827</v>
      </c>
      <c r="AU306" s="343"/>
      <c r="AV306" s="343"/>
      <c r="AW306" s="328"/>
      <c r="AX306" s="329"/>
      <c r="AY306" s="328"/>
      <c r="AZ306" s="328"/>
      <c r="BA306" s="330"/>
      <c r="BB306" s="328"/>
      <c r="BC306" s="328"/>
      <c r="BD306" s="328"/>
      <c r="BE306" s="330"/>
      <c r="BF306" s="330"/>
      <c r="BG306" s="344"/>
      <c r="BH306" s="330"/>
      <c r="BI306" s="330"/>
      <c r="BJ306" s="330"/>
      <c r="BK306" s="330"/>
      <c r="BL306" s="330"/>
      <c r="BM306" s="330"/>
      <c r="BN306" s="330"/>
      <c r="BO306" s="330"/>
      <c r="BP306" s="331"/>
      <c r="BQ306" s="332"/>
      <c r="BR306" s="333"/>
    </row>
    <row r="307" spans="2:70" ht="15.75" customHeight="1">
      <c r="B307" s="216" t="s">
        <v>1227</v>
      </c>
      <c r="C307" s="212">
        <v>926084</v>
      </c>
      <c r="D307" s="223">
        <v>45294999000167</v>
      </c>
      <c r="E307" s="217" t="s">
        <v>19</v>
      </c>
      <c r="F307" s="217" t="s">
        <v>1009</v>
      </c>
      <c r="G307" s="217"/>
      <c r="H307" s="218"/>
      <c r="I307" s="217" t="s">
        <v>66</v>
      </c>
      <c r="J307" s="217"/>
      <c r="K307" s="218" t="s">
        <v>1046</v>
      </c>
      <c r="L307" s="212" t="s">
        <v>87</v>
      </c>
      <c r="M307" s="250"/>
      <c r="N307" s="239">
        <v>44678</v>
      </c>
      <c r="O307" s="210" t="s">
        <v>249</v>
      </c>
      <c r="P307" s="210" t="s">
        <v>1075</v>
      </c>
      <c r="Q307" s="210" t="s">
        <v>1076</v>
      </c>
      <c r="R307" s="210" t="s">
        <v>1077</v>
      </c>
      <c r="S307" s="210" t="s">
        <v>1078</v>
      </c>
      <c r="T307" s="210" t="s">
        <v>349</v>
      </c>
      <c r="U307" s="210" t="s">
        <v>65</v>
      </c>
      <c r="V307" s="210" t="s">
        <v>25</v>
      </c>
      <c r="W307" s="211" t="s">
        <v>1052</v>
      </c>
      <c r="X307" s="211">
        <v>0</v>
      </c>
      <c r="Y307" s="211">
        <v>0</v>
      </c>
      <c r="Z307" s="212">
        <v>0</v>
      </c>
      <c r="AA307" s="240">
        <v>7</v>
      </c>
      <c r="AB307" s="213">
        <v>8.0000000000000002E-3</v>
      </c>
      <c r="AC307" s="213">
        <v>0.2</v>
      </c>
      <c r="AD307" s="213" t="s">
        <v>113</v>
      </c>
      <c r="AE307" s="213" t="s">
        <v>66</v>
      </c>
      <c r="AF307" s="241">
        <v>77407398.650000006</v>
      </c>
      <c r="AG307" s="241">
        <v>77407398.650000006</v>
      </c>
      <c r="AH307" s="213" t="s">
        <v>66</v>
      </c>
      <c r="AI307" s="352" t="s">
        <v>66</v>
      </c>
      <c r="AJ307" s="213" t="s">
        <v>66</v>
      </c>
      <c r="AK307" s="352" t="s">
        <v>66</v>
      </c>
      <c r="AL307" s="213" t="s">
        <v>66</v>
      </c>
      <c r="AM307" s="352" t="s">
        <v>66</v>
      </c>
      <c r="AN307" s="213" t="s">
        <v>66</v>
      </c>
      <c r="AO307" s="352" t="s">
        <v>66</v>
      </c>
      <c r="AP307" s="213" t="s">
        <v>66</v>
      </c>
      <c r="AQ307" s="219" t="s">
        <v>66</v>
      </c>
      <c r="AR307" s="213" t="s">
        <v>1827</v>
      </c>
      <c r="AU307" s="343"/>
      <c r="AV307" s="343"/>
      <c r="AW307" s="328"/>
      <c r="AX307" s="329"/>
      <c r="AY307" s="328"/>
      <c r="AZ307" s="328"/>
      <c r="BA307" s="330"/>
      <c r="BB307" s="328"/>
      <c r="BC307" s="328"/>
      <c r="BD307" s="328"/>
      <c r="BE307" s="330"/>
      <c r="BF307" s="330"/>
      <c r="BG307" s="344"/>
      <c r="BH307" s="330"/>
      <c r="BI307" s="330"/>
      <c r="BJ307" s="330"/>
      <c r="BK307" s="330"/>
      <c r="BL307" s="330"/>
      <c r="BM307" s="330"/>
      <c r="BN307" s="330"/>
      <c r="BO307" s="330"/>
      <c r="BP307" s="331"/>
      <c r="BQ307" s="332"/>
      <c r="BR307" s="333"/>
    </row>
    <row r="308" spans="2:70" ht="15.75" customHeight="1">
      <c r="B308" s="216" t="s">
        <v>1228</v>
      </c>
      <c r="C308" s="212">
        <v>914280</v>
      </c>
      <c r="D308" s="223">
        <v>42730970000192</v>
      </c>
      <c r="E308" s="217" t="s">
        <v>19</v>
      </c>
      <c r="F308" s="217" t="s">
        <v>963</v>
      </c>
      <c r="G308" s="217" t="s">
        <v>1011</v>
      </c>
      <c r="H308" s="218" t="s">
        <v>1113</v>
      </c>
      <c r="I308" s="217" t="s">
        <v>66</v>
      </c>
      <c r="J308" s="217"/>
      <c r="K308" s="218"/>
      <c r="L308" s="212" t="s">
        <v>87</v>
      </c>
      <c r="M308" s="250"/>
      <c r="N308" s="239">
        <v>44456</v>
      </c>
      <c r="O308" s="210" t="s">
        <v>249</v>
      </c>
      <c r="P308" s="210" t="s">
        <v>1075</v>
      </c>
      <c r="Q308" s="210" t="s">
        <v>1076</v>
      </c>
      <c r="R308" s="210" t="s">
        <v>799</v>
      </c>
      <c r="S308" s="210" t="s">
        <v>1078</v>
      </c>
      <c r="T308" s="210" t="s">
        <v>349</v>
      </c>
      <c r="U308" s="210" t="s">
        <v>1114</v>
      </c>
      <c r="V308" s="210" t="s">
        <v>19</v>
      </c>
      <c r="W308" s="211" t="s">
        <v>1024</v>
      </c>
      <c r="X308" s="211">
        <v>5000</v>
      </c>
      <c r="Y308" s="211">
        <v>1000</v>
      </c>
      <c r="Z308" s="212">
        <v>1000</v>
      </c>
      <c r="AA308" s="240">
        <v>31</v>
      </c>
      <c r="AB308" s="213">
        <v>5.0000000000000001E-3</v>
      </c>
      <c r="AC308" s="213">
        <v>0.2</v>
      </c>
      <c r="AD308" s="213" t="s">
        <v>1100</v>
      </c>
      <c r="AE308" s="213" t="s">
        <v>66</v>
      </c>
      <c r="AF308" s="241">
        <v>31350544.16</v>
      </c>
      <c r="AG308" s="241">
        <v>31350544.16</v>
      </c>
      <c r="AH308" s="213">
        <v>7.5499999999999998E-2</v>
      </c>
      <c r="AI308" s="352">
        <v>1.1631</v>
      </c>
      <c r="AJ308" s="213" t="s">
        <v>66</v>
      </c>
      <c r="AK308" s="352" t="s">
        <v>66</v>
      </c>
      <c r="AL308" s="213" t="s">
        <v>66</v>
      </c>
      <c r="AM308" s="352" t="s">
        <v>66</v>
      </c>
      <c r="AN308" s="213" t="s">
        <v>66</v>
      </c>
      <c r="AO308" s="352" t="s">
        <v>66</v>
      </c>
      <c r="AP308" s="213" t="s">
        <v>66</v>
      </c>
      <c r="AQ308" s="219" t="s">
        <v>66</v>
      </c>
      <c r="AR308" s="213" t="s">
        <v>1827</v>
      </c>
      <c r="AU308" s="343"/>
      <c r="AV308" s="343"/>
      <c r="AW308" s="328"/>
      <c r="AX308" s="329"/>
      <c r="AY308" s="328"/>
      <c r="AZ308" s="328"/>
      <c r="BA308" s="330"/>
      <c r="BB308" s="328"/>
      <c r="BC308" s="328"/>
      <c r="BD308" s="328"/>
      <c r="BE308" s="330"/>
      <c r="BF308" s="330"/>
      <c r="BG308" s="344"/>
      <c r="BH308" s="330"/>
      <c r="BI308" s="330"/>
      <c r="BJ308" s="330"/>
      <c r="BK308" s="330"/>
      <c r="BL308" s="330"/>
      <c r="BM308" s="330"/>
      <c r="BN308" s="330"/>
      <c r="BO308" s="330"/>
      <c r="BP308" s="331"/>
      <c r="BQ308" s="332"/>
      <c r="BR308" s="333"/>
    </row>
    <row r="309" spans="2:70" ht="15.75" customHeight="1">
      <c r="B309" s="216" t="s">
        <v>1229</v>
      </c>
      <c r="C309" s="212">
        <v>914279</v>
      </c>
      <c r="D309" s="223">
        <v>26623189000162</v>
      </c>
      <c r="E309" s="217" t="s">
        <v>25</v>
      </c>
      <c r="F309" s="217" t="s">
        <v>958</v>
      </c>
      <c r="G309" s="217" t="s">
        <v>962</v>
      </c>
      <c r="H309" s="218" t="s">
        <v>66</v>
      </c>
      <c r="I309" s="217" t="s">
        <v>1841</v>
      </c>
      <c r="J309" s="217" t="s">
        <v>66</v>
      </c>
      <c r="K309" s="218"/>
      <c r="L309" s="212" t="s">
        <v>87</v>
      </c>
      <c r="M309" s="250"/>
      <c r="N309" s="239">
        <v>42761</v>
      </c>
      <c r="O309" s="210" t="s">
        <v>114</v>
      </c>
      <c r="P309" s="210" t="s">
        <v>1075</v>
      </c>
      <c r="Q309" s="210" t="s">
        <v>1076</v>
      </c>
      <c r="R309" s="210" t="s">
        <v>1077</v>
      </c>
      <c r="S309" s="210" t="s">
        <v>1078</v>
      </c>
      <c r="T309" s="210" t="s">
        <v>1082</v>
      </c>
      <c r="U309" s="210" t="s">
        <v>958</v>
      </c>
      <c r="V309" s="210" t="s">
        <v>25</v>
      </c>
      <c r="W309" s="211" t="s">
        <v>1016</v>
      </c>
      <c r="X309" s="211">
        <v>5000</v>
      </c>
      <c r="Y309" s="211">
        <v>1000</v>
      </c>
      <c r="Z309" s="212">
        <v>5000</v>
      </c>
      <c r="AA309" s="240">
        <v>61</v>
      </c>
      <c r="AB309" s="213">
        <v>5.0000000000000001E-3</v>
      </c>
      <c r="AC309" s="213">
        <v>0.1</v>
      </c>
      <c r="AD309" s="213" t="s">
        <v>113</v>
      </c>
      <c r="AE309" s="213">
        <v>4.0000000000000001E-3</v>
      </c>
      <c r="AF309" s="241">
        <v>314449525.47000003</v>
      </c>
      <c r="AG309" s="241">
        <v>314449525.47000003</v>
      </c>
      <c r="AH309" s="213">
        <v>8.9099999999999999E-2</v>
      </c>
      <c r="AI309" s="352">
        <v>1.373</v>
      </c>
      <c r="AJ309" s="213">
        <v>6.6100000000000006E-2</v>
      </c>
      <c r="AK309" s="352">
        <v>0.70279999999999998</v>
      </c>
      <c r="AL309" s="213">
        <v>0.13239999999999999</v>
      </c>
      <c r="AM309" s="352">
        <v>1.0962000000000001</v>
      </c>
      <c r="AN309" s="213">
        <v>0.21579999999999999</v>
      </c>
      <c r="AO309" s="352">
        <v>1.2805</v>
      </c>
      <c r="AP309" s="213">
        <v>4.8899999999999999E-2</v>
      </c>
      <c r="AQ309" s="219">
        <v>-0.50534530140569467</v>
      </c>
      <c r="AR309" s="213" t="s">
        <v>1827</v>
      </c>
      <c r="AU309" s="343"/>
      <c r="AV309" s="343"/>
      <c r="AW309" s="328"/>
      <c r="AX309" s="329"/>
      <c r="AY309" s="328"/>
      <c r="AZ309" s="328"/>
      <c r="BA309" s="330"/>
      <c r="BB309" s="328"/>
      <c r="BC309" s="328"/>
      <c r="BD309" s="328"/>
      <c r="BE309" s="330"/>
      <c r="BF309" s="330"/>
      <c r="BG309" s="344"/>
      <c r="BH309" s="383"/>
      <c r="BI309" s="330"/>
      <c r="BJ309" s="330"/>
      <c r="BK309" s="330"/>
      <c r="BL309" s="330"/>
      <c r="BM309" s="330"/>
      <c r="BN309" s="330"/>
      <c r="BO309" s="330"/>
      <c r="BP309" s="331"/>
      <c r="BQ309" s="332"/>
      <c r="BR309" s="333"/>
    </row>
    <row r="310" spans="2:70" ht="15.75" customHeight="1">
      <c r="B310" s="216" t="s">
        <v>1230</v>
      </c>
      <c r="C310" s="212">
        <v>784879</v>
      </c>
      <c r="D310" s="223">
        <v>35726720000113</v>
      </c>
      <c r="E310" s="217" t="s">
        <v>25</v>
      </c>
      <c r="F310" s="217" t="s">
        <v>958</v>
      </c>
      <c r="G310" s="217" t="s">
        <v>962</v>
      </c>
      <c r="H310" s="218" t="s">
        <v>66</v>
      </c>
      <c r="I310" s="217" t="s">
        <v>1259</v>
      </c>
      <c r="J310" s="217" t="s">
        <v>66</v>
      </c>
      <c r="K310" s="218"/>
      <c r="L310" s="212" t="s">
        <v>87</v>
      </c>
      <c r="M310" s="250"/>
      <c r="N310" s="239">
        <v>43829</v>
      </c>
      <c r="O310" s="210" t="s">
        <v>114</v>
      </c>
      <c r="P310" s="210" t="s">
        <v>1075</v>
      </c>
      <c r="Q310" s="210" t="s">
        <v>1076</v>
      </c>
      <c r="R310" s="210" t="s">
        <v>1099</v>
      </c>
      <c r="S310" s="210" t="s">
        <v>1078</v>
      </c>
      <c r="T310" s="210" t="s">
        <v>1082</v>
      </c>
      <c r="U310" s="210" t="s">
        <v>958</v>
      </c>
      <c r="V310" s="210" t="s">
        <v>25</v>
      </c>
      <c r="W310" s="211" t="s">
        <v>1028</v>
      </c>
      <c r="X310" s="211">
        <v>100000</v>
      </c>
      <c r="Y310" s="211">
        <v>10000</v>
      </c>
      <c r="Z310" s="212">
        <v>100000</v>
      </c>
      <c r="AA310" s="240">
        <v>91</v>
      </c>
      <c r="AB310" s="213">
        <v>0.01</v>
      </c>
      <c r="AC310" s="213">
        <v>0.1</v>
      </c>
      <c r="AD310" s="213" t="s">
        <v>113</v>
      </c>
      <c r="AE310" s="213">
        <v>8.0000000000000002E-3</v>
      </c>
      <c r="AF310" s="241">
        <v>22333152.420000002</v>
      </c>
      <c r="AG310" s="241">
        <v>22333152.420000002</v>
      </c>
      <c r="AH310" s="213">
        <v>0.1007</v>
      </c>
      <c r="AI310" s="352">
        <v>1.5510999999999999</v>
      </c>
      <c r="AJ310" s="213">
        <v>6.8900000000000003E-2</v>
      </c>
      <c r="AK310" s="352">
        <v>0.73270000000000002</v>
      </c>
      <c r="AL310" s="213">
        <v>0.16850000000000001</v>
      </c>
      <c r="AM310" s="352">
        <v>1.3948</v>
      </c>
      <c r="AN310" s="213" t="s">
        <v>66</v>
      </c>
      <c r="AO310" s="352" t="s">
        <v>66</v>
      </c>
      <c r="AP310" s="213">
        <v>6.6799999999999998E-2</v>
      </c>
      <c r="AQ310" s="219">
        <v>-0.31510073626542628</v>
      </c>
      <c r="AR310" s="213" t="s">
        <v>1827</v>
      </c>
      <c r="AU310" s="343"/>
      <c r="AV310" s="343"/>
      <c r="AW310" s="328"/>
      <c r="AX310" s="329"/>
      <c r="AY310" s="328"/>
      <c r="AZ310" s="328"/>
      <c r="BA310" s="330"/>
      <c r="BB310" s="328"/>
      <c r="BC310" s="328"/>
      <c r="BD310" s="328"/>
      <c r="BE310" s="330"/>
      <c r="BF310" s="330"/>
      <c r="BG310" s="344"/>
      <c r="BH310" s="383"/>
      <c r="BI310" s="330"/>
      <c r="BJ310" s="330"/>
      <c r="BK310" s="330"/>
      <c r="BL310" s="330"/>
      <c r="BM310" s="330"/>
      <c r="BN310" s="330"/>
      <c r="BO310" s="330"/>
      <c r="BP310" s="331"/>
      <c r="BQ310" s="332"/>
      <c r="BR310" s="333"/>
    </row>
    <row r="311" spans="2:70" ht="15.75" customHeight="1">
      <c r="B311" s="216" t="s">
        <v>1231</v>
      </c>
      <c r="C311" s="212">
        <v>2853152</v>
      </c>
      <c r="D311" s="223">
        <v>9120774000120</v>
      </c>
      <c r="E311" s="217" t="s">
        <v>28</v>
      </c>
      <c r="F311" s="217" t="s">
        <v>950</v>
      </c>
      <c r="G311" s="217"/>
      <c r="H311" s="218"/>
      <c r="I311" s="217" t="s">
        <v>66</v>
      </c>
      <c r="J311" s="217" t="s">
        <v>66</v>
      </c>
      <c r="K311" s="218" t="s">
        <v>951</v>
      </c>
      <c r="L311" s="212" t="s">
        <v>87</v>
      </c>
      <c r="M311" s="250"/>
      <c r="N311" s="239">
        <v>39422</v>
      </c>
      <c r="O311" s="210" t="s">
        <v>249</v>
      </c>
      <c r="P311" s="210" t="s">
        <v>1075</v>
      </c>
      <c r="Q311" s="210" t="s">
        <v>1076</v>
      </c>
      <c r="R311" s="210" t="s">
        <v>1077</v>
      </c>
      <c r="S311" s="210" t="s">
        <v>1078</v>
      </c>
      <c r="T311" s="210" t="s">
        <v>1079</v>
      </c>
      <c r="U311" s="210" t="s">
        <v>950</v>
      </c>
      <c r="V311" s="210" t="s">
        <v>1080</v>
      </c>
      <c r="W311" s="211" t="s">
        <v>1007</v>
      </c>
      <c r="X311" s="211">
        <v>5000</v>
      </c>
      <c r="Y311" s="211">
        <v>0</v>
      </c>
      <c r="Z311" s="212">
        <v>0</v>
      </c>
      <c r="AA311" s="240">
        <v>32</v>
      </c>
      <c r="AB311" s="213">
        <v>0.02</v>
      </c>
      <c r="AC311" s="213">
        <v>0.2</v>
      </c>
      <c r="AD311" s="213" t="s">
        <v>1100</v>
      </c>
      <c r="AE311" s="213">
        <v>6.9999999999999993E-3</v>
      </c>
      <c r="AF311" s="241">
        <v>748479326.83000004</v>
      </c>
      <c r="AG311" s="241">
        <v>748479326.83000004</v>
      </c>
      <c r="AH311" s="213">
        <v>-1.47E-2</v>
      </c>
      <c r="AI311" s="352">
        <v>-0.22620000000000001</v>
      </c>
      <c r="AJ311" s="213">
        <v>-0.32329999999999998</v>
      </c>
      <c r="AK311" s="352">
        <v>-3.4365999999999999</v>
      </c>
      <c r="AL311" s="213">
        <v>-0.2029</v>
      </c>
      <c r="AM311" s="352">
        <v>-1.6792</v>
      </c>
      <c r="AN311" s="213">
        <v>-8.0299999999999996E-2</v>
      </c>
      <c r="AO311" s="352">
        <v>-0.4768</v>
      </c>
      <c r="AP311" s="213">
        <v>0.23499999999999999</v>
      </c>
      <c r="AQ311" s="219">
        <v>-1.9256606098744393</v>
      </c>
      <c r="AR311" s="213" t="s">
        <v>1827</v>
      </c>
      <c r="AU311" s="343"/>
      <c r="AV311" s="343"/>
      <c r="AW311" s="328"/>
      <c r="AX311" s="329"/>
      <c r="AY311" s="328"/>
      <c r="AZ311" s="328"/>
      <c r="BA311" s="330"/>
      <c r="BB311" s="328"/>
      <c r="BC311" s="328"/>
      <c r="BD311" s="328"/>
      <c r="BE311" s="330"/>
      <c r="BF311" s="330"/>
      <c r="BG311" s="344"/>
      <c r="BH311" s="383"/>
      <c r="BI311" s="330"/>
      <c r="BJ311" s="330"/>
      <c r="BK311" s="330"/>
      <c r="BL311" s="330"/>
      <c r="BM311" s="330"/>
      <c r="BN311" s="330"/>
      <c r="BO311" s="330"/>
      <c r="BP311" s="331"/>
      <c r="BQ311" s="332"/>
      <c r="BR311" s="333"/>
    </row>
    <row r="312" spans="2:70" ht="15.75" customHeight="1">
      <c r="B312" s="216" t="s">
        <v>250</v>
      </c>
      <c r="C312" s="212">
        <v>2853155</v>
      </c>
      <c r="D312" s="223">
        <v>22710616000199</v>
      </c>
      <c r="E312" s="217" t="s">
        <v>28</v>
      </c>
      <c r="F312" s="217" t="s">
        <v>950</v>
      </c>
      <c r="G312" s="217"/>
      <c r="H312" s="218"/>
      <c r="I312" s="217" t="s">
        <v>66</v>
      </c>
      <c r="J312" s="217" t="s">
        <v>66</v>
      </c>
      <c r="K312" s="218" t="s">
        <v>954</v>
      </c>
      <c r="L312" s="212" t="s">
        <v>87</v>
      </c>
      <c r="M312" s="250"/>
      <c r="N312" s="239">
        <v>42248</v>
      </c>
      <c r="O312" s="210" t="s">
        <v>249</v>
      </c>
      <c r="P312" s="210" t="s">
        <v>1075</v>
      </c>
      <c r="Q312" s="210" t="s">
        <v>1076</v>
      </c>
      <c r="R312" s="210" t="s">
        <v>1077</v>
      </c>
      <c r="S312" s="210" t="s">
        <v>1085</v>
      </c>
      <c r="T312" s="210" t="s">
        <v>1079</v>
      </c>
      <c r="U312" s="210" t="s">
        <v>65</v>
      </c>
      <c r="V312" s="210" t="s">
        <v>1080</v>
      </c>
      <c r="W312" s="211" t="s">
        <v>1036</v>
      </c>
      <c r="X312" s="211">
        <v>50000</v>
      </c>
      <c r="Y312" s="211">
        <v>5000</v>
      </c>
      <c r="Z312" s="212">
        <v>5000</v>
      </c>
      <c r="AA312" s="240">
        <v>32</v>
      </c>
      <c r="AB312" s="213">
        <v>1.4999999999999999E-2</v>
      </c>
      <c r="AC312" s="213">
        <v>0</v>
      </c>
      <c r="AD312" s="213" t="s">
        <v>1100</v>
      </c>
      <c r="AE312" s="213">
        <v>5.2499999999999995E-3</v>
      </c>
      <c r="AF312" s="241">
        <v>5210977.62</v>
      </c>
      <c r="AG312" s="241">
        <v>5210977.62</v>
      </c>
      <c r="AH312" s="213">
        <v>-0.1578</v>
      </c>
      <c r="AI312" s="352">
        <v>-2.4312999999999998</v>
      </c>
      <c r="AJ312" s="213">
        <v>-0.13569999999999999</v>
      </c>
      <c r="AK312" s="352">
        <v>-1.4428000000000001</v>
      </c>
      <c r="AL312" s="213">
        <v>0.1167</v>
      </c>
      <c r="AM312" s="352">
        <v>0.9657</v>
      </c>
      <c r="AN312" s="213">
        <v>7.8299999999999995E-2</v>
      </c>
      <c r="AO312" s="352">
        <v>0.46489999999999998</v>
      </c>
      <c r="AP312" s="213">
        <v>0.20860000000000001</v>
      </c>
      <c r="AQ312" s="219">
        <v>-1.0256834546916931</v>
      </c>
      <c r="AR312" s="213" t="s">
        <v>1827</v>
      </c>
      <c r="AU312" s="343"/>
      <c r="AV312" s="343"/>
      <c r="AW312" s="328"/>
      <c r="AX312" s="329"/>
      <c r="AY312" s="328"/>
      <c r="AZ312" s="328"/>
      <c r="BA312" s="330"/>
      <c r="BB312" s="328"/>
      <c r="BC312" s="328"/>
      <c r="BD312" s="328"/>
      <c r="BE312" s="330"/>
      <c r="BF312" s="330"/>
      <c r="BG312" s="344"/>
      <c r="BH312" s="330"/>
      <c r="BI312" s="330"/>
      <c r="BJ312" s="330"/>
      <c r="BK312" s="330"/>
      <c r="BL312" s="330"/>
      <c r="BM312" s="330"/>
      <c r="BN312" s="330"/>
      <c r="BO312" s="330"/>
      <c r="BP312" s="331"/>
      <c r="BQ312" s="332"/>
      <c r="BR312" s="333"/>
    </row>
    <row r="313" spans="2:70" ht="15.75" customHeight="1">
      <c r="B313" s="216" t="s">
        <v>251</v>
      </c>
      <c r="C313" s="212">
        <v>3976590</v>
      </c>
      <c r="D313" s="223">
        <v>22353918000157</v>
      </c>
      <c r="E313" s="217" t="s">
        <v>28</v>
      </c>
      <c r="F313" s="217" t="s">
        <v>950</v>
      </c>
      <c r="G313" s="217"/>
      <c r="H313" s="218"/>
      <c r="I313" s="217" t="s">
        <v>66</v>
      </c>
      <c r="J313" s="217" t="s">
        <v>66</v>
      </c>
      <c r="K313" s="218" t="s">
        <v>954</v>
      </c>
      <c r="L313" s="212" t="s">
        <v>88</v>
      </c>
      <c r="M313" s="250"/>
      <c r="N313" s="239">
        <v>42248</v>
      </c>
      <c r="O313" s="210" t="s">
        <v>249</v>
      </c>
      <c r="P313" s="210" t="s">
        <v>1075</v>
      </c>
      <c r="Q313" s="210" t="s">
        <v>1076</v>
      </c>
      <c r="R313" s="210" t="s">
        <v>1077</v>
      </c>
      <c r="S313" s="210" t="s">
        <v>1078</v>
      </c>
      <c r="T313" s="210" t="s">
        <v>1079</v>
      </c>
      <c r="U313" s="210" t="s">
        <v>65</v>
      </c>
      <c r="V313" s="210" t="s">
        <v>1080</v>
      </c>
      <c r="W313" s="211" t="s">
        <v>1036</v>
      </c>
      <c r="X313" s="211">
        <v>50000</v>
      </c>
      <c r="Y313" s="211">
        <v>5000</v>
      </c>
      <c r="Z313" s="212">
        <v>5000</v>
      </c>
      <c r="AA313" s="240">
        <v>32</v>
      </c>
      <c r="AB313" s="213">
        <v>1.4999999999999999E-2</v>
      </c>
      <c r="AC313" s="213">
        <v>0.2</v>
      </c>
      <c r="AD313" s="213" t="s">
        <v>1100</v>
      </c>
      <c r="AE313" s="213">
        <v>5.2499999999999995E-3</v>
      </c>
      <c r="AF313" s="241">
        <v>7761076.6500000004</v>
      </c>
      <c r="AG313" s="241">
        <v>7761076.6500000004</v>
      </c>
      <c r="AH313" s="213">
        <v>-0.252</v>
      </c>
      <c r="AI313" s="352">
        <v>-3.8818999999999999</v>
      </c>
      <c r="AJ313" s="213">
        <v>-0.17530000000000001</v>
      </c>
      <c r="AK313" s="352">
        <v>-1.8632</v>
      </c>
      <c r="AL313" s="213">
        <v>3.4599999999999999E-2</v>
      </c>
      <c r="AM313" s="352">
        <v>0.28639999999999999</v>
      </c>
      <c r="AN313" s="213">
        <v>0.36270000000000002</v>
      </c>
      <c r="AO313" s="352">
        <v>2.1520999999999999</v>
      </c>
      <c r="AP313" s="213">
        <v>0.22539999999999999</v>
      </c>
      <c r="AQ313" s="219">
        <v>-1.1412446086317924</v>
      </c>
      <c r="AR313" s="213" t="s">
        <v>1827</v>
      </c>
      <c r="AU313" s="343"/>
      <c r="AV313" s="343"/>
      <c r="AW313" s="328"/>
      <c r="AX313" s="329"/>
      <c r="AY313" s="328"/>
      <c r="AZ313" s="328"/>
      <c r="BA313" s="330"/>
      <c r="BB313" s="328"/>
      <c r="BC313" s="328"/>
      <c r="BD313" s="328"/>
      <c r="BE313" s="330"/>
      <c r="BF313" s="330"/>
      <c r="BG313" s="344"/>
      <c r="BH313" s="383"/>
      <c r="BI313" s="330"/>
      <c r="BJ313" s="330"/>
      <c r="BK313" s="330"/>
      <c r="BL313" s="330"/>
      <c r="BM313" s="330"/>
      <c r="BN313" s="330"/>
      <c r="BO313" s="330"/>
      <c r="BP313" s="331"/>
      <c r="BQ313" s="332"/>
      <c r="BR313" s="333"/>
    </row>
    <row r="314" spans="2:70" ht="15.75" customHeight="1">
      <c r="B314" s="216" t="s">
        <v>1232</v>
      </c>
      <c r="C314" s="212">
        <v>3976607</v>
      </c>
      <c r="D314" s="223">
        <v>11977794000164</v>
      </c>
      <c r="E314" s="217" t="s">
        <v>28</v>
      </c>
      <c r="F314" s="217" t="s">
        <v>950</v>
      </c>
      <c r="G314" s="217"/>
      <c r="H314" s="218"/>
      <c r="I314" s="217" t="s">
        <v>66</v>
      </c>
      <c r="J314" s="217" t="s">
        <v>66</v>
      </c>
      <c r="K314" s="218" t="s">
        <v>951</v>
      </c>
      <c r="L314" s="212" t="s">
        <v>87</v>
      </c>
      <c r="M314" s="250"/>
      <c r="N314" s="239">
        <v>40378</v>
      </c>
      <c r="O314" s="210" t="s">
        <v>249</v>
      </c>
      <c r="P314" s="210" t="s">
        <v>1075</v>
      </c>
      <c r="Q314" s="210" t="s">
        <v>1076</v>
      </c>
      <c r="R314" s="210" t="s">
        <v>1084</v>
      </c>
      <c r="S314" s="210" t="s">
        <v>1078</v>
      </c>
      <c r="T314" s="210" t="s">
        <v>1079</v>
      </c>
      <c r="U314" s="210" t="s">
        <v>950</v>
      </c>
      <c r="V314" s="210" t="s">
        <v>1080</v>
      </c>
      <c r="W314" s="211" t="s">
        <v>1007</v>
      </c>
      <c r="X314" s="211">
        <v>5000</v>
      </c>
      <c r="Y314" s="211">
        <v>0</v>
      </c>
      <c r="Z314" s="212">
        <v>0</v>
      </c>
      <c r="AA314" s="240">
        <v>32</v>
      </c>
      <c r="AB314" s="213">
        <v>0.03</v>
      </c>
      <c r="AC314" s="213">
        <v>0</v>
      </c>
      <c r="AD314" s="213" t="s">
        <v>1100</v>
      </c>
      <c r="AE314" s="213">
        <v>1.0499999999999999E-2</v>
      </c>
      <c r="AF314" s="241">
        <v>1409031482.53</v>
      </c>
      <c r="AG314" s="241">
        <v>1409031482.53</v>
      </c>
      <c r="AH314" s="213">
        <v>-5.8299999999999998E-2</v>
      </c>
      <c r="AI314" s="352">
        <v>-0.89759999999999995</v>
      </c>
      <c r="AJ314" s="213">
        <v>-0.37519999999999998</v>
      </c>
      <c r="AK314" s="352">
        <v>-3.9883000000000002</v>
      </c>
      <c r="AL314" s="213">
        <v>-0.29260000000000003</v>
      </c>
      <c r="AM314" s="352">
        <v>-2.4220000000000002</v>
      </c>
      <c r="AN314" s="213">
        <v>-0.2198</v>
      </c>
      <c r="AO314" s="352">
        <v>-1.3041</v>
      </c>
      <c r="AP314" s="213">
        <v>0.25080000000000002</v>
      </c>
      <c r="AQ314" s="219">
        <v>-2.1070877880197538</v>
      </c>
      <c r="AR314" s="213" t="s">
        <v>1824</v>
      </c>
      <c r="AU314" s="343"/>
      <c r="AV314" s="343"/>
      <c r="AW314" s="328"/>
      <c r="AX314" s="329"/>
      <c r="AY314" s="328"/>
      <c r="AZ314" s="328"/>
      <c r="BA314" s="330"/>
      <c r="BB314" s="328"/>
      <c r="BC314" s="328"/>
      <c r="BD314" s="328"/>
      <c r="BE314" s="330"/>
      <c r="BF314" s="330"/>
      <c r="BG314" s="344"/>
      <c r="BH314" s="383"/>
      <c r="BI314" s="330"/>
      <c r="BJ314" s="330"/>
      <c r="BK314" s="330"/>
      <c r="BL314" s="330"/>
      <c r="BM314" s="330"/>
      <c r="BN314" s="330"/>
      <c r="BO314" s="330"/>
      <c r="BP314" s="331"/>
      <c r="BQ314" s="332"/>
      <c r="BR314" s="333"/>
    </row>
    <row r="315" spans="2:70" ht="15.75" customHeight="1">
      <c r="B315" s="216" t="s">
        <v>1233</v>
      </c>
      <c r="C315" s="212">
        <v>2790924</v>
      </c>
      <c r="D315" s="223">
        <v>14799785000119</v>
      </c>
      <c r="E315" s="217" t="s">
        <v>25</v>
      </c>
      <c r="F315" s="217" t="s">
        <v>959</v>
      </c>
      <c r="G315" s="217" t="s">
        <v>960</v>
      </c>
      <c r="H315" s="218" t="s">
        <v>66</v>
      </c>
      <c r="I315" s="217" t="s">
        <v>1842</v>
      </c>
      <c r="J315" s="217" t="s">
        <v>66</v>
      </c>
      <c r="K315" s="218" t="s">
        <v>951</v>
      </c>
      <c r="L315" s="212" t="s">
        <v>87</v>
      </c>
      <c r="M315" s="250"/>
      <c r="N315" s="239">
        <v>40952</v>
      </c>
      <c r="O315" s="210" t="s">
        <v>249</v>
      </c>
      <c r="P315" s="210" t="s">
        <v>1075</v>
      </c>
      <c r="Q315" s="210" t="s">
        <v>1076</v>
      </c>
      <c r="R315" s="210" t="s">
        <v>1077</v>
      </c>
      <c r="S315" s="210" t="s">
        <v>1078</v>
      </c>
      <c r="T315" s="210" t="s">
        <v>1082</v>
      </c>
      <c r="U315" s="210" t="s">
        <v>1086</v>
      </c>
      <c r="V315" s="210" t="s">
        <v>1080</v>
      </c>
      <c r="W315" s="211" t="s">
        <v>1007</v>
      </c>
      <c r="X315" s="211">
        <v>5000</v>
      </c>
      <c r="Y315" s="211">
        <v>1000</v>
      </c>
      <c r="Z315" s="212">
        <v>1000</v>
      </c>
      <c r="AA315" s="240">
        <v>32</v>
      </c>
      <c r="AB315" s="213">
        <v>0.02</v>
      </c>
      <c r="AC315" s="213">
        <v>0.2</v>
      </c>
      <c r="AD315" s="213" t="s">
        <v>1100</v>
      </c>
      <c r="AE315" s="213">
        <v>6.9999999999999993E-3</v>
      </c>
      <c r="AF315" s="241">
        <v>407210510.60000002</v>
      </c>
      <c r="AG315" s="241">
        <v>407210510.60000002</v>
      </c>
      <c r="AH315" s="213">
        <v>0.1135</v>
      </c>
      <c r="AI315" s="352">
        <v>1.7475000000000001</v>
      </c>
      <c r="AJ315" s="213">
        <v>-5.6800000000000003E-2</v>
      </c>
      <c r="AK315" s="352">
        <v>-0.60319999999999996</v>
      </c>
      <c r="AL315" s="213">
        <v>9.7000000000000003E-3</v>
      </c>
      <c r="AM315" s="352">
        <v>7.9899999999999999E-2</v>
      </c>
      <c r="AN315" s="213">
        <v>9.4899999999999998E-2</v>
      </c>
      <c r="AO315" s="352">
        <v>0.56289999999999996</v>
      </c>
      <c r="AP315" s="213">
        <v>8.8999999999999996E-2</v>
      </c>
      <c r="AQ315" s="219">
        <v>-1.6225525851184066</v>
      </c>
      <c r="AR315" s="213" t="s">
        <v>1827</v>
      </c>
      <c r="AU315" s="343"/>
      <c r="AV315" s="343"/>
      <c r="AW315" s="328"/>
      <c r="AX315" s="329"/>
      <c r="AY315" s="328"/>
      <c r="AZ315" s="328"/>
      <c r="BA315" s="330"/>
      <c r="BB315" s="328"/>
      <c r="BC315" s="328"/>
      <c r="BD315" s="328"/>
      <c r="BE315" s="330"/>
      <c r="BF315" s="330"/>
      <c r="BG315" s="344"/>
      <c r="BH315" s="383"/>
      <c r="BI315" s="330"/>
      <c r="BJ315" s="330"/>
      <c r="BK315" s="330"/>
      <c r="BL315" s="330"/>
      <c r="BM315" s="330"/>
      <c r="BN315" s="330"/>
      <c r="BO315" s="330"/>
      <c r="BP315" s="331"/>
      <c r="BQ315" s="332"/>
      <c r="BR315" s="333"/>
    </row>
    <row r="316" spans="2:70" ht="15.75" customHeight="1">
      <c r="B316" s="216" t="s">
        <v>1234</v>
      </c>
      <c r="C316" s="212">
        <v>1180215</v>
      </c>
      <c r="D316" s="223">
        <v>15912241000184</v>
      </c>
      <c r="E316" s="217" t="s">
        <v>28</v>
      </c>
      <c r="F316" s="217" t="s">
        <v>950</v>
      </c>
      <c r="G316" s="217"/>
      <c r="H316" s="218"/>
      <c r="I316" s="217" t="s">
        <v>1842</v>
      </c>
      <c r="J316" s="217" t="s">
        <v>66</v>
      </c>
      <c r="K316" s="218"/>
      <c r="L316" s="212" t="s">
        <v>87</v>
      </c>
      <c r="M316" s="250"/>
      <c r="N316" s="239">
        <v>41155</v>
      </c>
      <c r="O316" s="210" t="s">
        <v>114</v>
      </c>
      <c r="P316" s="210" t="s">
        <v>1075</v>
      </c>
      <c r="Q316" s="210" t="s">
        <v>1076</v>
      </c>
      <c r="R316" s="210" t="s">
        <v>1084</v>
      </c>
      <c r="S316" s="210" t="s">
        <v>1078</v>
      </c>
      <c r="T316" s="210" t="s">
        <v>1082</v>
      </c>
      <c r="U316" s="210" t="s">
        <v>1086</v>
      </c>
      <c r="V316" s="210" t="s">
        <v>1080</v>
      </c>
      <c r="W316" s="211" t="s">
        <v>1007</v>
      </c>
      <c r="X316" s="211">
        <v>5000</v>
      </c>
      <c r="Y316" s="211">
        <v>5000</v>
      </c>
      <c r="Z316" s="212">
        <v>5000</v>
      </c>
      <c r="AA316" s="240">
        <v>2</v>
      </c>
      <c r="AB316" s="213">
        <v>7.4999999999999997E-3</v>
      </c>
      <c r="AC316" s="213">
        <v>0</v>
      </c>
      <c r="AD316" s="213" t="s">
        <v>1100</v>
      </c>
      <c r="AE316" s="213">
        <v>6.0000000000000001E-3</v>
      </c>
      <c r="AF316" s="241">
        <v>59171499.990000002</v>
      </c>
      <c r="AG316" s="241">
        <v>59171499.990000002</v>
      </c>
      <c r="AH316" s="213">
        <v>-0.17899999999999999</v>
      </c>
      <c r="AI316" s="352">
        <v>-2.7570999999999999</v>
      </c>
      <c r="AJ316" s="213">
        <v>-0.34250000000000003</v>
      </c>
      <c r="AK316" s="352">
        <v>-3.64</v>
      </c>
      <c r="AL316" s="213">
        <v>-0.29139999999999999</v>
      </c>
      <c r="AM316" s="352">
        <v>-2.4117999999999999</v>
      </c>
      <c r="AN316" s="213">
        <v>-0.15479999999999999</v>
      </c>
      <c r="AO316" s="352">
        <v>-0.91849999999999998</v>
      </c>
      <c r="AP316" s="213">
        <v>0.18079999999999999</v>
      </c>
      <c r="AQ316" s="219">
        <v>-2.7244546584040963</v>
      </c>
      <c r="AR316" s="213" t="s">
        <v>1827</v>
      </c>
      <c r="AU316" s="343"/>
      <c r="AV316" s="343"/>
      <c r="AW316" s="328"/>
      <c r="AX316" s="329"/>
      <c r="AY316" s="328"/>
      <c r="AZ316" s="328"/>
      <c r="BA316" s="330"/>
      <c r="BB316" s="328"/>
      <c r="BC316" s="328"/>
      <c r="BD316" s="328"/>
      <c r="BE316" s="330"/>
      <c r="BF316" s="330"/>
      <c r="BG316" s="344"/>
      <c r="BH316" s="383"/>
      <c r="BI316" s="330"/>
      <c r="BJ316" s="330"/>
      <c r="BK316" s="330"/>
      <c r="BL316" s="330"/>
      <c r="BM316" s="330"/>
      <c r="BN316" s="330"/>
      <c r="BO316" s="330"/>
      <c r="BP316" s="331"/>
      <c r="BQ316" s="332"/>
      <c r="BR316" s="333"/>
    </row>
    <row r="317" spans="2:70" ht="15.75" customHeight="1">
      <c r="B317" s="216" t="s">
        <v>1235</v>
      </c>
      <c r="C317" s="212">
        <v>1166349</v>
      </c>
      <c r="D317" s="223">
        <v>40428039000129</v>
      </c>
      <c r="E317" s="217" t="s">
        <v>28</v>
      </c>
      <c r="F317" s="217" t="s">
        <v>950</v>
      </c>
      <c r="G317" s="217"/>
      <c r="H317" s="218"/>
      <c r="I317" s="217" t="s">
        <v>66</v>
      </c>
      <c r="J317" s="217" t="s">
        <v>66</v>
      </c>
      <c r="K317" s="218" t="s">
        <v>951</v>
      </c>
      <c r="L317" s="212" t="s">
        <v>87</v>
      </c>
      <c r="M317" s="250"/>
      <c r="N317" s="239">
        <v>33716</v>
      </c>
      <c r="O317" s="210" t="s">
        <v>249</v>
      </c>
      <c r="P317" s="210" t="s">
        <v>1075</v>
      </c>
      <c r="Q317" s="210" t="s">
        <v>1076</v>
      </c>
      <c r="R317" s="210" t="s">
        <v>1084</v>
      </c>
      <c r="S317" s="210" t="s">
        <v>1078</v>
      </c>
      <c r="T317" s="210" t="s">
        <v>1079</v>
      </c>
      <c r="U317" s="210" t="s">
        <v>950</v>
      </c>
      <c r="V317" s="210" t="s">
        <v>1080</v>
      </c>
      <c r="W317" s="211" t="s">
        <v>1018</v>
      </c>
      <c r="X317" s="211">
        <v>1000</v>
      </c>
      <c r="Y317" s="211">
        <v>1000</v>
      </c>
      <c r="Z317" s="212">
        <v>1000</v>
      </c>
      <c r="AA317" s="240">
        <v>3</v>
      </c>
      <c r="AB317" s="213">
        <v>1.4999999999999999E-2</v>
      </c>
      <c r="AC317" s="213">
        <v>0</v>
      </c>
      <c r="AD317" s="213" t="s">
        <v>1100</v>
      </c>
      <c r="AE317" s="213">
        <v>5.2499999999999995E-3</v>
      </c>
      <c r="AF317" s="241">
        <v>11202919.949999999</v>
      </c>
      <c r="AG317" s="241">
        <v>11202919.949999999</v>
      </c>
      <c r="AH317" s="213">
        <v>-1.7100000000000001E-2</v>
      </c>
      <c r="AI317" s="352">
        <v>-0.26400000000000001</v>
      </c>
      <c r="AJ317" s="213">
        <v>-0.24440000000000001</v>
      </c>
      <c r="AK317" s="352">
        <v>-2.5973000000000002</v>
      </c>
      <c r="AL317" s="213">
        <v>-0.1104</v>
      </c>
      <c r="AM317" s="352">
        <v>-0.91410000000000002</v>
      </c>
      <c r="AN317" s="213">
        <v>-7.22E-2</v>
      </c>
      <c r="AO317" s="352">
        <v>-0.42870000000000003</v>
      </c>
      <c r="AP317" s="213">
        <v>0.20519999999999999</v>
      </c>
      <c r="AQ317" s="219">
        <v>-1.7003744357115849</v>
      </c>
      <c r="AR317" s="213" t="s">
        <v>1827</v>
      </c>
      <c r="AU317" s="343"/>
      <c r="AV317" s="343"/>
      <c r="AW317" s="328"/>
      <c r="AX317" s="329"/>
      <c r="AY317" s="328"/>
      <c r="AZ317" s="328"/>
      <c r="BA317" s="330"/>
      <c r="BB317" s="328"/>
      <c r="BC317" s="328"/>
      <c r="BD317" s="328"/>
      <c r="BE317" s="330"/>
      <c r="BF317" s="330"/>
      <c r="BG317" s="344"/>
      <c r="BH317" s="330"/>
      <c r="BI317" s="330"/>
      <c r="BJ317" s="330"/>
      <c r="BK317" s="330"/>
      <c r="BL317" s="330"/>
      <c r="BM317" s="330"/>
      <c r="BN317" s="330"/>
      <c r="BO317" s="330"/>
      <c r="BP317" s="331"/>
      <c r="BQ317" s="332"/>
      <c r="BR317" s="333"/>
    </row>
    <row r="318" spans="2:70" ht="15.75" customHeight="1">
      <c r="B318" s="216" t="s">
        <v>1236</v>
      </c>
      <c r="C318" s="212">
        <v>1168675</v>
      </c>
      <c r="D318" s="223">
        <v>22232878000195</v>
      </c>
      <c r="E318" s="217" t="s">
        <v>19</v>
      </c>
      <c r="F318" s="217" t="s">
        <v>963</v>
      </c>
      <c r="G318" s="217" t="s">
        <v>1011</v>
      </c>
      <c r="H318" s="218" t="s">
        <v>1113</v>
      </c>
      <c r="I318" s="217" t="s">
        <v>66</v>
      </c>
      <c r="J318" s="217"/>
      <c r="K318" s="218" t="s">
        <v>951</v>
      </c>
      <c r="L318" s="212" t="s">
        <v>87</v>
      </c>
      <c r="M318" s="250"/>
      <c r="N318" s="239">
        <v>42184</v>
      </c>
      <c r="O318" s="210" t="s">
        <v>249</v>
      </c>
      <c r="P318" s="210" t="s">
        <v>1075</v>
      </c>
      <c r="Q318" s="210" t="s">
        <v>1076</v>
      </c>
      <c r="R318" s="210" t="s">
        <v>231</v>
      </c>
      <c r="S318" s="210" t="s">
        <v>1078</v>
      </c>
      <c r="T318" s="210" t="s">
        <v>349</v>
      </c>
      <c r="U318" s="210" t="s">
        <v>1114</v>
      </c>
      <c r="V318" s="210" t="s">
        <v>19</v>
      </c>
      <c r="W318" s="211" t="s">
        <v>1024</v>
      </c>
      <c r="X318" s="211">
        <v>0</v>
      </c>
      <c r="Y318" s="211">
        <v>0</v>
      </c>
      <c r="Z318" s="212">
        <v>0</v>
      </c>
      <c r="AA318" s="240">
        <v>31</v>
      </c>
      <c r="AB318" s="213">
        <v>3.0000000000000001E-3</v>
      </c>
      <c r="AC318" s="213">
        <v>0.2</v>
      </c>
      <c r="AD318" s="213" t="s">
        <v>113</v>
      </c>
      <c r="AE318" s="213">
        <v>1.0499999999999999E-3</v>
      </c>
      <c r="AF318" s="241">
        <v>842735255.89999998</v>
      </c>
      <c r="AG318" s="241">
        <v>842735255.89999998</v>
      </c>
      <c r="AH318" s="213">
        <v>8.09E-2</v>
      </c>
      <c r="AI318" s="352">
        <v>1.2461</v>
      </c>
      <c r="AJ318" s="213">
        <v>0.1283</v>
      </c>
      <c r="AK318" s="352">
        <v>1.3640000000000001</v>
      </c>
      <c r="AL318" s="213">
        <v>0.20830000000000001</v>
      </c>
      <c r="AM318" s="352">
        <v>1.7245999999999999</v>
      </c>
      <c r="AN318" s="213">
        <v>0.19220000000000001</v>
      </c>
      <c r="AO318" s="352">
        <v>1.1406000000000001</v>
      </c>
      <c r="AP318" s="213">
        <v>4.5999999999999999E-3</v>
      </c>
      <c r="AQ318" s="219">
        <v>6.7368184413657755</v>
      </c>
      <c r="AR318" s="213" t="s">
        <v>1827</v>
      </c>
      <c r="AU318" s="343"/>
      <c r="AV318" s="343"/>
      <c r="AW318" s="328"/>
      <c r="AX318" s="329"/>
      <c r="AY318" s="328"/>
      <c r="AZ318" s="328"/>
      <c r="BA318" s="330"/>
      <c r="BB318" s="328"/>
      <c r="BC318" s="328"/>
      <c r="BD318" s="328"/>
      <c r="BE318" s="330"/>
      <c r="BF318" s="330"/>
      <c r="BG318" s="344"/>
      <c r="BH318" s="330"/>
      <c r="BI318" s="330"/>
      <c r="BJ318" s="330"/>
      <c r="BK318" s="330"/>
      <c r="BL318" s="330"/>
      <c r="BM318" s="330"/>
      <c r="BN318" s="330"/>
      <c r="BO318" s="330"/>
      <c r="BP318" s="331"/>
      <c r="BQ318" s="332"/>
      <c r="BR318" s="333"/>
    </row>
    <row r="319" spans="2:70" ht="15.75" customHeight="1">
      <c r="B319" s="216" t="s">
        <v>1237</v>
      </c>
      <c r="C319" s="212">
        <v>1168577</v>
      </c>
      <c r="D319" s="223">
        <v>42730755000191</v>
      </c>
      <c r="E319" s="217" t="s">
        <v>19</v>
      </c>
      <c r="F319" s="217" t="s">
        <v>963</v>
      </c>
      <c r="G319" s="217" t="s">
        <v>1034</v>
      </c>
      <c r="H319" s="218" t="s">
        <v>1113</v>
      </c>
      <c r="I319" s="217" t="s">
        <v>66</v>
      </c>
      <c r="J319" s="217" t="s">
        <v>1822</v>
      </c>
      <c r="K319" s="218" t="s">
        <v>951</v>
      </c>
      <c r="L319" s="212" t="s">
        <v>87</v>
      </c>
      <c r="M319" s="250"/>
      <c r="N319" s="239">
        <v>44454</v>
      </c>
      <c r="O319" s="210" t="s">
        <v>249</v>
      </c>
      <c r="P319" s="210" t="s">
        <v>1075</v>
      </c>
      <c r="Q319" s="210" t="s">
        <v>1076</v>
      </c>
      <c r="R319" s="210" t="s">
        <v>1099</v>
      </c>
      <c r="S319" s="210" t="s">
        <v>1078</v>
      </c>
      <c r="T319" s="210" t="s">
        <v>32</v>
      </c>
      <c r="U319" s="210" t="s">
        <v>1150</v>
      </c>
      <c r="V319" s="210" t="s">
        <v>25</v>
      </c>
      <c r="W319" s="211" t="s">
        <v>1028</v>
      </c>
      <c r="X319" s="211">
        <v>50000</v>
      </c>
      <c r="Y319" s="211">
        <v>5000</v>
      </c>
      <c r="Z319" s="212">
        <v>5000</v>
      </c>
      <c r="AA319" s="240">
        <v>106</v>
      </c>
      <c r="AB319" s="213">
        <v>1.7500000000000002E-2</v>
      </c>
      <c r="AC319" s="213">
        <v>0</v>
      </c>
      <c r="AD319" s="213" t="s">
        <v>1100</v>
      </c>
      <c r="AE319" s="213">
        <v>5.8327500000000003E-3</v>
      </c>
      <c r="AF319" s="241">
        <v>287821.55</v>
      </c>
      <c r="AG319" s="241">
        <v>287821.55</v>
      </c>
      <c r="AH319" s="213">
        <v>-0.2039</v>
      </c>
      <c r="AI319" s="352">
        <v>-3.1408</v>
      </c>
      <c r="AJ319" s="213" t="s">
        <v>66</v>
      </c>
      <c r="AK319" s="352" t="s">
        <v>66</v>
      </c>
      <c r="AL319" s="213" t="s">
        <v>66</v>
      </c>
      <c r="AM319" s="352" t="s">
        <v>66</v>
      </c>
      <c r="AN319" s="213" t="s">
        <v>66</v>
      </c>
      <c r="AO319" s="352" t="s">
        <v>66</v>
      </c>
      <c r="AP319" s="213" t="s">
        <v>66</v>
      </c>
      <c r="AQ319" s="219" t="s">
        <v>66</v>
      </c>
      <c r="AR319" s="213" t="s">
        <v>1827</v>
      </c>
      <c r="AU319" s="343"/>
      <c r="AV319" s="343"/>
      <c r="AW319" s="328"/>
      <c r="AX319" s="329"/>
      <c r="AY319" s="328"/>
      <c r="AZ319" s="328"/>
      <c r="BA319" s="330"/>
      <c r="BB319" s="328"/>
      <c r="BC319" s="328"/>
      <c r="BD319" s="328"/>
      <c r="BE319" s="330"/>
      <c r="BF319" s="330"/>
      <c r="BG319" s="344"/>
      <c r="BH319" s="330"/>
      <c r="BI319" s="330"/>
      <c r="BJ319" s="330"/>
      <c r="BK319" s="330"/>
      <c r="BL319" s="330"/>
      <c r="BM319" s="330"/>
      <c r="BN319" s="330"/>
      <c r="BO319" s="330"/>
      <c r="BP319" s="331"/>
      <c r="BQ319" s="332"/>
      <c r="BR319" s="333"/>
    </row>
    <row r="320" spans="2:70" ht="15.75" customHeight="1">
      <c r="B320" s="216" t="s">
        <v>252</v>
      </c>
      <c r="C320" s="212">
        <v>1166333</v>
      </c>
      <c r="D320" s="223">
        <v>4501865000192</v>
      </c>
      <c r="E320" s="217" t="s">
        <v>19</v>
      </c>
      <c r="F320" s="217" t="s">
        <v>963</v>
      </c>
      <c r="G320" s="217" t="s">
        <v>1011</v>
      </c>
      <c r="H320" s="218" t="s">
        <v>1113</v>
      </c>
      <c r="I320" s="217" t="s">
        <v>66</v>
      </c>
      <c r="J320" s="217" t="s">
        <v>1794</v>
      </c>
      <c r="K320" s="218" t="s">
        <v>951</v>
      </c>
      <c r="L320" s="212" t="s">
        <v>87</v>
      </c>
      <c r="M320" s="250"/>
      <c r="N320" s="239">
        <v>37074</v>
      </c>
      <c r="O320" s="210" t="s">
        <v>249</v>
      </c>
      <c r="P320" s="210" t="s">
        <v>1075</v>
      </c>
      <c r="Q320" s="210" t="s">
        <v>1076</v>
      </c>
      <c r="R320" s="210" t="s">
        <v>1084</v>
      </c>
      <c r="S320" s="210" t="s">
        <v>1078</v>
      </c>
      <c r="T320" s="210" t="s">
        <v>349</v>
      </c>
      <c r="U320" s="210" t="s">
        <v>1114</v>
      </c>
      <c r="V320" s="210" t="s">
        <v>19</v>
      </c>
      <c r="W320" s="211" t="s">
        <v>1017</v>
      </c>
      <c r="X320" s="211">
        <v>500</v>
      </c>
      <c r="Y320" s="211">
        <v>100</v>
      </c>
      <c r="Z320" s="212">
        <v>100</v>
      </c>
      <c r="AA320" s="240">
        <v>0</v>
      </c>
      <c r="AB320" s="213">
        <v>2.5000000000000001E-3</v>
      </c>
      <c r="AC320" s="213">
        <v>0</v>
      </c>
      <c r="AD320" s="213" t="s">
        <v>1100</v>
      </c>
      <c r="AE320" s="213">
        <v>8.7499999999999991E-4</v>
      </c>
      <c r="AF320" s="241">
        <v>890121509.19000006</v>
      </c>
      <c r="AG320" s="241">
        <v>890121509.19000006</v>
      </c>
      <c r="AH320" s="213">
        <v>6.7799999999999999E-2</v>
      </c>
      <c r="AI320" s="352">
        <v>1.0448999999999999</v>
      </c>
      <c r="AJ320" s="213">
        <v>9.9099999999999994E-2</v>
      </c>
      <c r="AK320" s="352">
        <v>1.0529999999999999</v>
      </c>
      <c r="AL320" s="213">
        <v>0.13150000000000001</v>
      </c>
      <c r="AM320" s="352">
        <v>1.0882000000000001</v>
      </c>
      <c r="AN320" s="213">
        <v>0.13059999999999999</v>
      </c>
      <c r="AO320" s="352">
        <v>0.77510000000000001</v>
      </c>
      <c r="AP320" s="213">
        <v>1.6999999999999999E-3</v>
      </c>
      <c r="AQ320" s="219">
        <v>2.6857499106964502</v>
      </c>
      <c r="AR320" s="213" t="s">
        <v>1827</v>
      </c>
      <c r="AU320" s="343"/>
      <c r="AV320" s="343"/>
      <c r="AW320" s="328"/>
      <c r="AX320" s="329"/>
      <c r="AY320" s="328"/>
      <c r="AZ320" s="328"/>
      <c r="BA320" s="330"/>
      <c r="BB320" s="328"/>
      <c r="BC320" s="328"/>
      <c r="BD320" s="328"/>
      <c r="BE320" s="330"/>
      <c r="BF320" s="330"/>
      <c r="BG320" s="344"/>
      <c r="BH320" s="330"/>
      <c r="BI320" s="330"/>
      <c r="BJ320" s="330"/>
      <c r="BK320" s="330"/>
      <c r="BL320" s="330"/>
      <c r="BM320" s="330"/>
      <c r="BN320" s="330"/>
      <c r="BO320" s="330"/>
      <c r="BP320" s="331"/>
      <c r="BQ320" s="332"/>
      <c r="BR320" s="333"/>
    </row>
    <row r="321" spans="2:70" ht="15.75" customHeight="1">
      <c r="B321" s="216" t="s">
        <v>67</v>
      </c>
      <c r="C321" s="212">
        <v>1166904</v>
      </c>
      <c r="D321" s="223">
        <v>27717359000130</v>
      </c>
      <c r="E321" s="217" t="s">
        <v>19</v>
      </c>
      <c r="F321" s="217" t="s">
        <v>963</v>
      </c>
      <c r="G321" s="217" t="s">
        <v>1011</v>
      </c>
      <c r="H321" s="218" t="s">
        <v>1113</v>
      </c>
      <c r="I321" s="217" t="s">
        <v>66</v>
      </c>
      <c r="J321" s="217" t="s">
        <v>1794</v>
      </c>
      <c r="K321" s="218" t="s">
        <v>951</v>
      </c>
      <c r="L321" s="212" t="s">
        <v>87</v>
      </c>
      <c r="M321" s="250"/>
      <c r="N321" s="239">
        <v>43059</v>
      </c>
      <c r="O321" s="210" t="s">
        <v>249</v>
      </c>
      <c r="P321" s="210" t="s">
        <v>1075</v>
      </c>
      <c r="Q321" s="210" t="s">
        <v>1076</v>
      </c>
      <c r="R321" s="210" t="s">
        <v>1084</v>
      </c>
      <c r="S321" s="210" t="s">
        <v>1078</v>
      </c>
      <c r="T321" s="210" t="s">
        <v>349</v>
      </c>
      <c r="U321" s="210" t="s">
        <v>1114</v>
      </c>
      <c r="V321" s="210" t="s">
        <v>19</v>
      </c>
      <c r="W321" s="211" t="s">
        <v>1017</v>
      </c>
      <c r="X321" s="211">
        <v>500</v>
      </c>
      <c r="Y321" s="211">
        <v>100</v>
      </c>
      <c r="Z321" s="212">
        <v>100</v>
      </c>
      <c r="AA321" s="240">
        <v>0</v>
      </c>
      <c r="AB321" s="213">
        <v>3.0000000000000001E-3</v>
      </c>
      <c r="AC321" s="213">
        <v>0</v>
      </c>
      <c r="AD321" s="213" t="s">
        <v>109</v>
      </c>
      <c r="AE321" s="213">
        <v>1.0499999999999999E-3</v>
      </c>
      <c r="AF321" s="241">
        <v>3766846720.0900002</v>
      </c>
      <c r="AG321" s="241">
        <v>3766846720.0900002</v>
      </c>
      <c r="AH321" s="213">
        <v>6.8199999999999997E-2</v>
      </c>
      <c r="AI321" s="352">
        <v>1.0506</v>
      </c>
      <c r="AJ321" s="213">
        <v>0.1003</v>
      </c>
      <c r="AK321" s="352">
        <v>1.0656000000000001</v>
      </c>
      <c r="AL321" s="213">
        <v>0.1331</v>
      </c>
      <c r="AM321" s="352">
        <v>1.1012999999999999</v>
      </c>
      <c r="AN321" s="213">
        <v>0.15229999999999999</v>
      </c>
      <c r="AO321" s="352">
        <v>0.90410000000000001</v>
      </c>
      <c r="AP321" s="213">
        <v>1.6999999999999999E-3</v>
      </c>
      <c r="AQ321" s="219">
        <v>3.2241922653975403</v>
      </c>
      <c r="AR321" s="213" t="s">
        <v>1827</v>
      </c>
      <c r="AU321" s="343"/>
      <c r="AV321" s="343"/>
      <c r="AW321" s="328"/>
      <c r="AX321" s="329"/>
      <c r="AY321" s="328"/>
      <c r="AZ321" s="328"/>
      <c r="BA321" s="330"/>
      <c r="BB321" s="328"/>
      <c r="BC321" s="328"/>
      <c r="BD321" s="328"/>
      <c r="BE321" s="330"/>
      <c r="BF321" s="330"/>
      <c r="BG321" s="344"/>
      <c r="BH321" s="330"/>
      <c r="BI321" s="330"/>
      <c r="BJ321" s="330"/>
      <c r="BK321" s="330"/>
      <c r="BL321" s="330"/>
      <c r="BM321" s="330"/>
      <c r="BN321" s="330"/>
      <c r="BO321" s="330"/>
      <c r="BP321" s="331"/>
      <c r="BQ321" s="332"/>
      <c r="BR321" s="333"/>
    </row>
    <row r="322" spans="2:70" ht="15.75" customHeight="1">
      <c r="B322" s="216" t="s">
        <v>1238</v>
      </c>
      <c r="C322" s="212">
        <v>1167007</v>
      </c>
      <c r="D322" s="223">
        <v>14171644000157</v>
      </c>
      <c r="E322" s="217" t="s">
        <v>19</v>
      </c>
      <c r="F322" s="217" t="s">
        <v>963</v>
      </c>
      <c r="G322" s="217" t="s">
        <v>1011</v>
      </c>
      <c r="H322" s="218" t="s">
        <v>1113</v>
      </c>
      <c r="I322" s="217" t="s">
        <v>66</v>
      </c>
      <c r="J322" s="217"/>
      <c r="K322" s="218" t="s">
        <v>951</v>
      </c>
      <c r="L322" s="212" t="s">
        <v>87</v>
      </c>
      <c r="M322" s="250"/>
      <c r="N322" s="239">
        <v>40899</v>
      </c>
      <c r="O322" s="210" t="s">
        <v>249</v>
      </c>
      <c r="P322" s="210" t="s">
        <v>1075</v>
      </c>
      <c r="Q322" s="210" t="s">
        <v>1076</v>
      </c>
      <c r="R322" s="210" t="s">
        <v>1084</v>
      </c>
      <c r="S322" s="210" t="s">
        <v>1078</v>
      </c>
      <c r="T322" s="210" t="s">
        <v>349</v>
      </c>
      <c r="U322" s="210" t="s">
        <v>1114</v>
      </c>
      <c r="V322" s="210" t="s">
        <v>19</v>
      </c>
      <c r="W322" s="211" t="s">
        <v>1024</v>
      </c>
      <c r="X322" s="211">
        <v>5000</v>
      </c>
      <c r="Y322" s="211">
        <v>1000</v>
      </c>
      <c r="Z322" s="212">
        <v>1000</v>
      </c>
      <c r="AA322" s="240">
        <v>31</v>
      </c>
      <c r="AB322" s="213">
        <v>5.0000000000000001E-3</v>
      </c>
      <c r="AC322" s="213">
        <v>0.2</v>
      </c>
      <c r="AD322" s="213" t="s">
        <v>1100</v>
      </c>
      <c r="AE322" s="213">
        <v>1.7499999999999998E-3</v>
      </c>
      <c r="AF322" s="241">
        <v>1960021179.78</v>
      </c>
      <c r="AG322" s="241">
        <v>1960021179.78</v>
      </c>
      <c r="AH322" s="213">
        <v>7.6200000000000004E-2</v>
      </c>
      <c r="AI322" s="352">
        <v>1.1745000000000001</v>
      </c>
      <c r="AJ322" s="213">
        <v>0.11890000000000001</v>
      </c>
      <c r="AK322" s="352">
        <v>1.2641</v>
      </c>
      <c r="AL322" s="213">
        <v>0.19650000000000001</v>
      </c>
      <c r="AM322" s="352">
        <v>1.6263000000000001</v>
      </c>
      <c r="AN322" s="213">
        <v>0.1762</v>
      </c>
      <c r="AO322" s="352">
        <v>1.0456000000000001</v>
      </c>
      <c r="AP322" s="213">
        <v>3.2000000000000002E-3</v>
      </c>
      <c r="AQ322" s="219">
        <v>7.0819831835430556</v>
      </c>
      <c r="AR322" s="213" t="s">
        <v>1824</v>
      </c>
      <c r="AU322" s="343"/>
      <c r="AV322" s="343"/>
      <c r="AW322" s="328"/>
      <c r="AX322" s="329"/>
      <c r="AY322" s="328"/>
      <c r="AZ322" s="328"/>
      <c r="BA322" s="330"/>
      <c r="BB322" s="328"/>
      <c r="BC322" s="328"/>
      <c r="BD322" s="328"/>
      <c r="BE322" s="330"/>
      <c r="BF322" s="330"/>
      <c r="BG322" s="344"/>
      <c r="BH322" s="383"/>
      <c r="BI322" s="330"/>
      <c r="BJ322" s="330"/>
      <c r="BK322" s="330"/>
      <c r="BL322" s="330"/>
      <c r="BM322" s="330"/>
      <c r="BN322" s="330"/>
      <c r="BO322" s="330"/>
      <c r="BP322" s="331"/>
      <c r="BQ322" s="332"/>
      <c r="BR322" s="333"/>
    </row>
    <row r="323" spans="2:70" ht="15.75" customHeight="1">
      <c r="B323" s="216" t="s">
        <v>46</v>
      </c>
      <c r="C323" s="212">
        <v>1166370</v>
      </c>
      <c r="D323" s="223">
        <v>33599991000120</v>
      </c>
      <c r="E323" s="217" t="s">
        <v>19</v>
      </c>
      <c r="F323" s="217" t="s">
        <v>963</v>
      </c>
      <c r="G323" s="217" t="s">
        <v>1011</v>
      </c>
      <c r="H323" s="218" t="s">
        <v>1113</v>
      </c>
      <c r="I323" s="217" t="s">
        <v>66</v>
      </c>
      <c r="J323" s="217"/>
      <c r="K323" s="218" t="s">
        <v>951</v>
      </c>
      <c r="L323" s="212" t="s">
        <v>87</v>
      </c>
      <c r="M323" s="250"/>
      <c r="N323" s="239">
        <v>43644</v>
      </c>
      <c r="O323" s="210" t="s">
        <v>249</v>
      </c>
      <c r="P323" s="210" t="s">
        <v>1075</v>
      </c>
      <c r="Q323" s="210" t="s">
        <v>1076</v>
      </c>
      <c r="R323" s="210" t="s">
        <v>1077</v>
      </c>
      <c r="S323" s="210" t="s">
        <v>1078</v>
      </c>
      <c r="T323" s="210" t="s">
        <v>349</v>
      </c>
      <c r="U323" s="210" t="s">
        <v>1114</v>
      </c>
      <c r="V323" s="210" t="s">
        <v>25</v>
      </c>
      <c r="W323" s="211" t="s">
        <v>1016</v>
      </c>
      <c r="X323" s="211">
        <v>5000</v>
      </c>
      <c r="Y323" s="211">
        <v>1000</v>
      </c>
      <c r="Z323" s="212">
        <v>1000</v>
      </c>
      <c r="AA323" s="240">
        <v>60</v>
      </c>
      <c r="AB323" s="213">
        <v>0.01</v>
      </c>
      <c r="AC323" s="213">
        <v>0.2</v>
      </c>
      <c r="AD323" s="213" t="s">
        <v>109</v>
      </c>
      <c r="AE323" s="213">
        <v>3.4999999999999996E-3</v>
      </c>
      <c r="AF323" s="241">
        <v>194840719.02000001</v>
      </c>
      <c r="AG323" s="241">
        <v>194840719.02000001</v>
      </c>
      <c r="AH323" s="213">
        <v>5.7500000000000002E-2</v>
      </c>
      <c r="AI323" s="352">
        <v>0.88619999999999999</v>
      </c>
      <c r="AJ323" s="213">
        <v>0.1041</v>
      </c>
      <c r="AK323" s="352">
        <v>1.1065</v>
      </c>
      <c r="AL323" s="213">
        <v>0.1946</v>
      </c>
      <c r="AM323" s="352">
        <v>1.6107</v>
      </c>
      <c r="AN323" s="213">
        <v>0.27160000000000001</v>
      </c>
      <c r="AO323" s="352">
        <v>1.6114999999999999</v>
      </c>
      <c r="AP323" s="213">
        <v>1.2999999999999999E-2</v>
      </c>
      <c r="AQ323" s="219">
        <v>0.7071408869878778</v>
      </c>
      <c r="AR323" s="213" t="s">
        <v>1827</v>
      </c>
      <c r="AU323" s="343"/>
      <c r="AV323" s="343"/>
      <c r="AW323" s="328"/>
      <c r="AX323" s="329"/>
      <c r="AY323" s="328"/>
      <c r="AZ323" s="328"/>
      <c r="BA323" s="330"/>
      <c r="BB323" s="328"/>
      <c r="BC323" s="328"/>
      <c r="BD323" s="328"/>
      <c r="BE323" s="330"/>
      <c r="BF323" s="330"/>
      <c r="BG323" s="344"/>
      <c r="BH323" s="330"/>
      <c r="BI323" s="330"/>
      <c r="BJ323" s="330"/>
      <c r="BK323" s="330"/>
      <c r="BL323" s="330"/>
      <c r="BM323" s="330"/>
      <c r="BN323" s="330"/>
      <c r="BO323" s="330"/>
      <c r="BP323" s="331"/>
      <c r="BQ323" s="332"/>
      <c r="BR323" s="333"/>
    </row>
    <row r="324" spans="2:70" ht="15.75" customHeight="1">
      <c r="B324" s="216" t="s">
        <v>1239</v>
      </c>
      <c r="C324" s="212">
        <v>1174390</v>
      </c>
      <c r="D324" s="223">
        <v>44347394000124</v>
      </c>
      <c r="E324" s="217" t="s">
        <v>19</v>
      </c>
      <c r="F324" s="217" t="s">
        <v>964</v>
      </c>
      <c r="G324" s="217" t="s">
        <v>1011</v>
      </c>
      <c r="H324" s="218" t="s">
        <v>1259</v>
      </c>
      <c r="I324" s="217" t="s">
        <v>66</v>
      </c>
      <c r="J324" s="217"/>
      <c r="K324" s="218" t="s">
        <v>951</v>
      </c>
      <c r="L324" s="212" t="s">
        <v>87</v>
      </c>
      <c r="M324" s="250"/>
      <c r="N324" s="239">
        <v>44579</v>
      </c>
      <c r="O324" s="210" t="s">
        <v>249</v>
      </c>
      <c r="P324" s="210" t="s">
        <v>1075</v>
      </c>
      <c r="Q324" s="210" t="s">
        <v>1076</v>
      </c>
      <c r="R324" s="210" t="s">
        <v>1084</v>
      </c>
      <c r="S324" s="210" t="s">
        <v>1078</v>
      </c>
      <c r="T324" s="210" t="s">
        <v>349</v>
      </c>
      <c r="U324" s="210" t="s">
        <v>964</v>
      </c>
      <c r="V324" s="210" t="s">
        <v>19</v>
      </c>
      <c r="W324" s="211" t="s">
        <v>1024</v>
      </c>
      <c r="X324" s="211">
        <v>1000</v>
      </c>
      <c r="Y324" s="211">
        <v>1000</v>
      </c>
      <c r="Z324" s="212">
        <v>1000</v>
      </c>
      <c r="AA324" s="240">
        <v>31</v>
      </c>
      <c r="AB324" s="213">
        <v>5.0000000000000001E-3</v>
      </c>
      <c r="AC324" s="213">
        <v>0.2</v>
      </c>
      <c r="AD324" s="213" t="s">
        <v>1100</v>
      </c>
      <c r="AE324" s="213" t="s">
        <v>66</v>
      </c>
      <c r="AF324" s="241">
        <v>76380511.769999996</v>
      </c>
      <c r="AG324" s="241">
        <v>76380511.769999996</v>
      </c>
      <c r="AH324" s="213" t="s">
        <v>66</v>
      </c>
      <c r="AI324" s="352" t="s">
        <v>66</v>
      </c>
      <c r="AJ324" s="213" t="s">
        <v>66</v>
      </c>
      <c r="AK324" s="352" t="s">
        <v>66</v>
      </c>
      <c r="AL324" s="213" t="s">
        <v>66</v>
      </c>
      <c r="AM324" s="352" t="s">
        <v>66</v>
      </c>
      <c r="AN324" s="213" t="s">
        <v>66</v>
      </c>
      <c r="AO324" s="352" t="s">
        <v>66</v>
      </c>
      <c r="AP324" s="213" t="s">
        <v>66</v>
      </c>
      <c r="AQ324" s="219" t="s">
        <v>66</v>
      </c>
      <c r="AR324" s="213" t="s">
        <v>1824</v>
      </c>
      <c r="AU324" s="343"/>
      <c r="AV324" s="343"/>
      <c r="AW324" s="328"/>
      <c r="AX324" s="329"/>
      <c r="AY324" s="328"/>
      <c r="AZ324" s="328"/>
      <c r="BA324" s="330"/>
      <c r="BB324" s="328"/>
      <c r="BC324" s="328"/>
      <c r="BD324" s="328"/>
      <c r="BE324" s="330"/>
      <c r="BF324" s="330"/>
      <c r="BG324" s="344"/>
      <c r="BH324" s="330"/>
      <c r="BI324" s="330"/>
      <c r="BJ324" s="330"/>
      <c r="BK324" s="330"/>
      <c r="BL324" s="330"/>
      <c r="BM324" s="330"/>
      <c r="BN324" s="330"/>
      <c r="BO324" s="330"/>
      <c r="BP324" s="331"/>
      <c r="BQ324" s="332"/>
      <c r="BR324" s="333"/>
    </row>
    <row r="325" spans="2:70" ht="15.75" customHeight="1">
      <c r="B325" s="216" t="s">
        <v>1240</v>
      </c>
      <c r="C325" s="212">
        <v>2388614</v>
      </c>
      <c r="D325" s="223">
        <v>37287717000176</v>
      </c>
      <c r="E325" s="217" t="s">
        <v>19</v>
      </c>
      <c r="F325" s="217" t="s">
        <v>963</v>
      </c>
      <c r="G325" s="217" t="s">
        <v>1034</v>
      </c>
      <c r="H325" s="218" t="s">
        <v>1113</v>
      </c>
      <c r="I325" s="217" t="s">
        <v>66</v>
      </c>
      <c r="J325" s="217" t="s">
        <v>1822</v>
      </c>
      <c r="K325" s="218" t="s">
        <v>951</v>
      </c>
      <c r="L325" s="212" t="s">
        <v>87</v>
      </c>
      <c r="M325" s="250"/>
      <c r="N325" s="239">
        <v>44015</v>
      </c>
      <c r="O325" s="210" t="s">
        <v>249</v>
      </c>
      <c r="P325" s="210" t="s">
        <v>1075</v>
      </c>
      <c r="Q325" s="210" t="s">
        <v>1076</v>
      </c>
      <c r="R325" s="210" t="s">
        <v>1077</v>
      </c>
      <c r="S325" s="210" t="s">
        <v>1078</v>
      </c>
      <c r="T325" s="210" t="s">
        <v>32</v>
      </c>
      <c r="U325" s="210" t="s">
        <v>1150</v>
      </c>
      <c r="V325" s="210" t="s">
        <v>25</v>
      </c>
      <c r="W325" s="211" t="s">
        <v>1019</v>
      </c>
      <c r="X325" s="211">
        <v>5000</v>
      </c>
      <c r="Y325" s="211">
        <v>1000</v>
      </c>
      <c r="Z325" s="212">
        <v>1000</v>
      </c>
      <c r="AA325" s="240">
        <v>91</v>
      </c>
      <c r="AB325" s="213">
        <v>0.01</v>
      </c>
      <c r="AC325" s="213">
        <v>0.2</v>
      </c>
      <c r="AD325" s="213" t="s">
        <v>109</v>
      </c>
      <c r="AE325" s="213">
        <v>3.4999999999999996E-3</v>
      </c>
      <c r="AF325" s="241">
        <v>46640781.590000004</v>
      </c>
      <c r="AG325" s="241">
        <v>46640781.590000004</v>
      </c>
      <c r="AH325" s="213">
        <v>7.8200000000000006E-2</v>
      </c>
      <c r="AI325" s="352">
        <v>1.2050000000000001</v>
      </c>
      <c r="AJ325" s="213">
        <v>0.1222</v>
      </c>
      <c r="AK325" s="352">
        <v>1.2990999999999999</v>
      </c>
      <c r="AL325" s="213">
        <v>0.17649999999999999</v>
      </c>
      <c r="AM325" s="352">
        <v>1.4611000000000001</v>
      </c>
      <c r="AN325" s="213" t="s">
        <v>66</v>
      </c>
      <c r="AO325" s="352" t="s">
        <v>66</v>
      </c>
      <c r="AP325" s="213">
        <v>4.4000000000000003E-3</v>
      </c>
      <c r="AQ325" s="219">
        <v>5.717738456413886</v>
      </c>
      <c r="AR325" s="213" t="s">
        <v>1827</v>
      </c>
      <c r="AU325" s="343"/>
      <c r="AV325" s="343"/>
      <c r="AW325" s="328"/>
      <c r="AX325" s="329"/>
      <c r="AY325" s="328"/>
      <c r="AZ325" s="328"/>
      <c r="BA325" s="330"/>
      <c r="BB325" s="328"/>
      <c r="BC325" s="328"/>
      <c r="BD325" s="328"/>
      <c r="BE325" s="330"/>
      <c r="BF325" s="330"/>
      <c r="BG325" s="344"/>
      <c r="BH325" s="330"/>
      <c r="BI325" s="330"/>
      <c r="BJ325" s="330"/>
      <c r="BK325" s="330"/>
      <c r="BL325" s="330"/>
      <c r="BM325" s="330"/>
      <c r="BN325" s="330"/>
      <c r="BO325" s="330"/>
      <c r="BP325" s="331"/>
      <c r="BQ325" s="332"/>
      <c r="BR325" s="333"/>
    </row>
    <row r="326" spans="2:70" ht="15.75" customHeight="1">
      <c r="B326" s="216" t="s">
        <v>1241</v>
      </c>
      <c r="C326" s="212">
        <v>1173363</v>
      </c>
      <c r="D326" s="223">
        <v>30934757000113</v>
      </c>
      <c r="E326" s="217" t="s">
        <v>19</v>
      </c>
      <c r="F326" s="217" t="s">
        <v>963</v>
      </c>
      <c r="G326" s="217" t="s">
        <v>1042</v>
      </c>
      <c r="H326" s="218" t="s">
        <v>1113</v>
      </c>
      <c r="I326" s="217" t="s">
        <v>66</v>
      </c>
      <c r="J326" s="217"/>
      <c r="K326" s="218" t="s">
        <v>951</v>
      </c>
      <c r="L326" s="212" t="s">
        <v>87</v>
      </c>
      <c r="M326" s="250"/>
      <c r="N326" s="239">
        <v>43437</v>
      </c>
      <c r="O326" s="210" t="s">
        <v>249</v>
      </c>
      <c r="P326" s="210" t="s">
        <v>1075</v>
      </c>
      <c r="Q326" s="210" t="s">
        <v>1076</v>
      </c>
      <c r="R326" s="210" t="s">
        <v>1084</v>
      </c>
      <c r="S326" s="210" t="s">
        <v>1078</v>
      </c>
      <c r="T326" s="210" t="s">
        <v>349</v>
      </c>
      <c r="U326" s="210" t="s">
        <v>964</v>
      </c>
      <c r="V326" s="210" t="s">
        <v>19</v>
      </c>
      <c r="W326" s="211" t="s">
        <v>1024</v>
      </c>
      <c r="X326" s="211">
        <v>1000</v>
      </c>
      <c r="Y326" s="211">
        <v>1000</v>
      </c>
      <c r="Z326" s="212">
        <v>1000</v>
      </c>
      <c r="AA326" s="240">
        <v>31</v>
      </c>
      <c r="AB326" s="213">
        <v>8.0000000000000002E-3</v>
      </c>
      <c r="AC326" s="213">
        <v>0</v>
      </c>
      <c r="AD326" s="213" t="s">
        <v>113</v>
      </c>
      <c r="AE326" s="213">
        <v>2.8E-3</v>
      </c>
      <c r="AF326" s="241">
        <v>389241217.29000002</v>
      </c>
      <c r="AG326" s="241">
        <v>389241217.29000002</v>
      </c>
      <c r="AH326" s="213">
        <v>7.4800000000000005E-2</v>
      </c>
      <c r="AI326" s="352">
        <v>1.1519999999999999</v>
      </c>
      <c r="AJ326" s="213">
        <v>0.1144</v>
      </c>
      <c r="AK326" s="352">
        <v>1.2162999999999999</v>
      </c>
      <c r="AL326" s="213">
        <v>0.2195</v>
      </c>
      <c r="AM326" s="352">
        <v>1.8166</v>
      </c>
      <c r="AN326" s="213">
        <v>0.20030000000000001</v>
      </c>
      <c r="AO326" s="352">
        <v>1.1887000000000001</v>
      </c>
      <c r="AP326" s="213">
        <v>5.3E-3</v>
      </c>
      <c r="AQ326" s="219">
        <v>3.513048413752534</v>
      </c>
      <c r="AR326" s="213" t="s">
        <v>1827</v>
      </c>
      <c r="AU326" s="343"/>
      <c r="AV326" s="343"/>
      <c r="AW326" s="328"/>
      <c r="AX326" s="329"/>
      <c r="AY326" s="328"/>
      <c r="AZ326" s="328"/>
      <c r="BA326" s="330"/>
      <c r="BB326" s="328"/>
      <c r="BC326" s="328"/>
      <c r="BD326" s="328"/>
      <c r="BE326" s="330"/>
      <c r="BF326" s="330"/>
      <c r="BG326" s="344"/>
      <c r="BH326" s="330"/>
      <c r="BI326" s="330"/>
      <c r="BJ326" s="330"/>
      <c r="BK326" s="330"/>
      <c r="BL326" s="330"/>
      <c r="BM326" s="330"/>
      <c r="BN326" s="330"/>
      <c r="BO326" s="330"/>
      <c r="BP326" s="331"/>
      <c r="BQ326" s="332"/>
      <c r="BR326" s="333"/>
    </row>
    <row r="327" spans="2:70" ht="15.75" customHeight="1">
      <c r="B327" s="216" t="s">
        <v>1242</v>
      </c>
      <c r="C327" s="212">
        <v>1173294</v>
      </c>
      <c r="D327" s="223">
        <v>34096235000140</v>
      </c>
      <c r="E327" s="217" t="s">
        <v>19</v>
      </c>
      <c r="F327" s="217" t="s">
        <v>964</v>
      </c>
      <c r="G327" s="217" t="s">
        <v>1042</v>
      </c>
      <c r="H327" s="218" t="s">
        <v>1113</v>
      </c>
      <c r="I327" s="217" t="s">
        <v>66</v>
      </c>
      <c r="J327" s="217"/>
      <c r="K327" s="218" t="s">
        <v>951</v>
      </c>
      <c r="L327" s="212" t="s">
        <v>87</v>
      </c>
      <c r="M327" s="250"/>
      <c r="N327" s="239">
        <v>43677</v>
      </c>
      <c r="O327" s="210" t="s">
        <v>249</v>
      </c>
      <c r="P327" s="210" t="s">
        <v>1075</v>
      </c>
      <c r="Q327" s="210" t="s">
        <v>1076</v>
      </c>
      <c r="R327" s="210" t="s">
        <v>1084</v>
      </c>
      <c r="S327" s="210" t="s">
        <v>1078</v>
      </c>
      <c r="T327" s="210" t="s">
        <v>349</v>
      </c>
      <c r="U327" s="210" t="s">
        <v>964</v>
      </c>
      <c r="V327" s="210" t="s">
        <v>19</v>
      </c>
      <c r="W327" s="211" t="s">
        <v>1024</v>
      </c>
      <c r="X327" s="211">
        <v>500</v>
      </c>
      <c r="Y327" s="211">
        <v>100</v>
      </c>
      <c r="Z327" s="212">
        <v>100</v>
      </c>
      <c r="AA327" s="240">
        <v>31</v>
      </c>
      <c r="AB327" s="213">
        <v>8.0000000000000002E-3</v>
      </c>
      <c r="AC327" s="213">
        <v>0.2</v>
      </c>
      <c r="AD327" s="213" t="s">
        <v>113</v>
      </c>
      <c r="AE327" s="213">
        <v>2.8E-3</v>
      </c>
      <c r="AF327" s="241">
        <v>152446309.41999999</v>
      </c>
      <c r="AG327" s="241">
        <v>152446309.41999999</v>
      </c>
      <c r="AH327" s="213">
        <v>7.7100000000000002E-2</v>
      </c>
      <c r="AI327" s="352">
        <v>1.1881999999999999</v>
      </c>
      <c r="AJ327" s="213">
        <v>0.1144</v>
      </c>
      <c r="AK327" s="352">
        <v>1.2162999999999999</v>
      </c>
      <c r="AL327" s="213">
        <v>0.223</v>
      </c>
      <c r="AM327" s="352">
        <v>1.8455999999999999</v>
      </c>
      <c r="AN327" s="213" t="s">
        <v>66</v>
      </c>
      <c r="AO327" s="352" t="s">
        <v>66</v>
      </c>
      <c r="AP327" s="213">
        <v>2.9100000000000001E-2</v>
      </c>
      <c r="AQ327" s="219">
        <v>0.64820267045454072</v>
      </c>
      <c r="AR327" s="213" t="s">
        <v>1827</v>
      </c>
      <c r="AU327" s="343"/>
      <c r="AV327" s="343"/>
      <c r="AW327" s="328"/>
      <c r="AX327" s="329"/>
      <c r="AY327" s="328"/>
      <c r="AZ327" s="328"/>
      <c r="BA327" s="330"/>
      <c r="BB327" s="328"/>
      <c r="BC327" s="328"/>
      <c r="BD327" s="328"/>
      <c r="BE327" s="330"/>
      <c r="BF327" s="330"/>
      <c r="BG327" s="344"/>
      <c r="BH327" s="330"/>
      <c r="BI327" s="330"/>
      <c r="BJ327" s="330"/>
      <c r="BK327" s="330"/>
      <c r="BL327" s="330"/>
      <c r="BM327" s="330"/>
      <c r="BN327" s="330"/>
      <c r="BO327" s="330"/>
      <c r="BP327" s="331"/>
      <c r="BQ327" s="332"/>
      <c r="BR327" s="333"/>
    </row>
    <row r="328" spans="2:70" ht="15.75" customHeight="1">
      <c r="B328" s="216" t="s">
        <v>1243</v>
      </c>
      <c r="C328" s="212">
        <v>1173328</v>
      </c>
      <c r="D328" s="223">
        <v>33144687000198</v>
      </c>
      <c r="E328" s="217" t="s">
        <v>28</v>
      </c>
      <c r="F328" s="217" t="s">
        <v>32</v>
      </c>
      <c r="G328" s="217" t="s">
        <v>34</v>
      </c>
      <c r="H328" s="218"/>
      <c r="I328" s="217" t="s">
        <v>66</v>
      </c>
      <c r="J328" s="217" t="s">
        <v>66</v>
      </c>
      <c r="K328" s="218" t="s">
        <v>954</v>
      </c>
      <c r="L328" s="212" t="s">
        <v>88</v>
      </c>
      <c r="M328" s="250"/>
      <c r="N328" s="239">
        <v>43592</v>
      </c>
      <c r="O328" s="210" t="s">
        <v>249</v>
      </c>
      <c r="P328" s="210" t="s">
        <v>1075</v>
      </c>
      <c r="Q328" s="210" t="s">
        <v>1076</v>
      </c>
      <c r="R328" s="210" t="s">
        <v>1084</v>
      </c>
      <c r="S328" s="210" t="s">
        <v>1078</v>
      </c>
      <c r="T328" s="210" t="s">
        <v>34</v>
      </c>
      <c r="U328" s="210" t="s">
        <v>66</v>
      </c>
      <c r="V328" s="210" t="s">
        <v>34</v>
      </c>
      <c r="W328" s="211" t="s">
        <v>34</v>
      </c>
      <c r="X328" s="211">
        <v>500</v>
      </c>
      <c r="Y328" s="211">
        <v>500</v>
      </c>
      <c r="Z328" s="212">
        <v>500</v>
      </c>
      <c r="AA328" s="240">
        <v>1</v>
      </c>
      <c r="AB328" s="213">
        <v>1E-3</v>
      </c>
      <c r="AC328" s="213">
        <v>0</v>
      </c>
      <c r="AD328" s="213" t="s">
        <v>113</v>
      </c>
      <c r="AE328" s="213">
        <v>3.5E-4</v>
      </c>
      <c r="AF328" s="241">
        <v>256375276.91</v>
      </c>
      <c r="AG328" s="241">
        <v>256375276.91</v>
      </c>
      <c r="AH328" s="213">
        <v>-6.7000000000000004E-2</v>
      </c>
      <c r="AI328" s="352">
        <v>-1.0324</v>
      </c>
      <c r="AJ328" s="213">
        <v>2.7400000000000001E-2</v>
      </c>
      <c r="AK328" s="352">
        <v>0.29099999999999998</v>
      </c>
      <c r="AL328" s="213">
        <v>1.0800000000000001E-2</v>
      </c>
      <c r="AM328" s="352">
        <v>8.9700000000000002E-2</v>
      </c>
      <c r="AN328" s="213">
        <v>0.39789999999999998</v>
      </c>
      <c r="AO328" s="352">
        <v>2.3614000000000002</v>
      </c>
      <c r="AP328" s="213">
        <v>0.16639999999999999</v>
      </c>
      <c r="AQ328" s="219">
        <v>-0.29552128800237948</v>
      </c>
      <c r="AR328" s="213" t="s">
        <v>1827</v>
      </c>
      <c r="AU328" s="343"/>
      <c r="AV328" s="343"/>
      <c r="AW328" s="328"/>
      <c r="AX328" s="329"/>
      <c r="AY328" s="328"/>
      <c r="AZ328" s="328"/>
      <c r="BA328" s="330"/>
      <c r="BB328" s="328"/>
      <c r="BC328" s="328"/>
      <c r="BD328" s="328"/>
      <c r="BE328" s="330"/>
      <c r="BF328" s="330"/>
      <c r="BG328" s="344"/>
      <c r="BH328" s="330"/>
      <c r="BI328" s="330"/>
      <c r="BJ328" s="330"/>
      <c r="BK328" s="330"/>
      <c r="BL328" s="330"/>
      <c r="BM328" s="330"/>
      <c r="BN328" s="330"/>
      <c r="BO328" s="330"/>
      <c r="BP328" s="331"/>
      <c r="BQ328" s="332"/>
      <c r="BR328" s="333"/>
    </row>
    <row r="329" spans="2:70" ht="15.75" customHeight="1">
      <c r="B329" s="216" t="s">
        <v>253</v>
      </c>
      <c r="C329" s="212">
        <v>1173367</v>
      </c>
      <c r="D329" s="223">
        <v>1214092000175</v>
      </c>
      <c r="E329" s="217" t="s">
        <v>25</v>
      </c>
      <c r="F329" s="217" t="s">
        <v>958</v>
      </c>
      <c r="G329" s="217" t="s">
        <v>962</v>
      </c>
      <c r="H329" s="218" t="s">
        <v>66</v>
      </c>
      <c r="I329" s="217" t="s">
        <v>1841</v>
      </c>
      <c r="J329" s="217" t="s">
        <v>66</v>
      </c>
      <c r="K329" s="218"/>
      <c r="L329" s="212" t="s">
        <v>87</v>
      </c>
      <c r="M329" s="250"/>
      <c r="N329" s="239">
        <v>35193</v>
      </c>
      <c r="O329" s="210" t="s">
        <v>249</v>
      </c>
      <c r="P329" s="210" t="s">
        <v>1075</v>
      </c>
      <c r="Q329" s="210" t="s">
        <v>1076</v>
      </c>
      <c r="R329" s="210" t="s">
        <v>1084</v>
      </c>
      <c r="S329" s="210" t="s">
        <v>1078</v>
      </c>
      <c r="T329" s="210" t="s">
        <v>1082</v>
      </c>
      <c r="U329" s="210" t="s">
        <v>958</v>
      </c>
      <c r="V329" s="210" t="s">
        <v>25</v>
      </c>
      <c r="W329" s="211" t="s">
        <v>1016</v>
      </c>
      <c r="X329" s="211">
        <v>5000</v>
      </c>
      <c r="Y329" s="211">
        <v>1000</v>
      </c>
      <c r="Z329" s="212">
        <v>1000</v>
      </c>
      <c r="AA329" s="240">
        <v>31</v>
      </c>
      <c r="AB329" s="213">
        <v>0.02</v>
      </c>
      <c r="AC329" s="213">
        <v>0.2</v>
      </c>
      <c r="AD329" s="213" t="s">
        <v>1157</v>
      </c>
      <c r="AE329" s="213">
        <v>6.9999999999999993E-3</v>
      </c>
      <c r="AF329" s="241">
        <v>241406278.61000001</v>
      </c>
      <c r="AG329" s="241">
        <v>241406278.61000001</v>
      </c>
      <c r="AH329" s="213">
        <v>8.9800000000000005E-2</v>
      </c>
      <c r="AI329" s="352">
        <v>1.3835</v>
      </c>
      <c r="AJ329" s="213">
        <v>6.9400000000000003E-2</v>
      </c>
      <c r="AK329" s="352">
        <v>0.73780000000000001</v>
      </c>
      <c r="AL329" s="213">
        <v>0.10639999999999999</v>
      </c>
      <c r="AM329" s="352">
        <v>0.88070000000000004</v>
      </c>
      <c r="AN329" s="213">
        <v>0.1113</v>
      </c>
      <c r="AO329" s="352">
        <v>0.6603</v>
      </c>
      <c r="AP329" s="213">
        <v>2.4E-2</v>
      </c>
      <c r="AQ329" s="219">
        <v>-0.93870824655596696</v>
      </c>
      <c r="AR329" s="213" t="s">
        <v>1827</v>
      </c>
      <c r="AU329" s="343"/>
      <c r="AV329" s="343"/>
      <c r="AW329" s="328"/>
      <c r="AX329" s="329"/>
      <c r="AY329" s="328"/>
      <c r="AZ329" s="328"/>
      <c r="BA329" s="330"/>
      <c r="BB329" s="328"/>
      <c r="BC329" s="328"/>
      <c r="BD329" s="328"/>
      <c r="BE329" s="330"/>
      <c r="BF329" s="330"/>
      <c r="BG329" s="344"/>
      <c r="BH329" s="330"/>
      <c r="BI329" s="330"/>
      <c r="BJ329" s="330"/>
      <c r="BK329" s="330"/>
      <c r="BL329" s="330"/>
      <c r="BM329" s="330"/>
      <c r="BN329" s="330"/>
      <c r="BO329" s="330"/>
      <c r="BP329" s="331"/>
      <c r="BQ329" s="332"/>
      <c r="BR329" s="333"/>
    </row>
    <row r="330" spans="2:70" ht="15.75" customHeight="1">
      <c r="B330" s="216" t="s">
        <v>1244</v>
      </c>
      <c r="C330" s="212">
        <v>3300024</v>
      </c>
      <c r="D330" s="223">
        <v>39800632000175</v>
      </c>
      <c r="E330" s="217" t="s">
        <v>28</v>
      </c>
      <c r="F330" s="217" t="s">
        <v>950</v>
      </c>
      <c r="G330" s="217"/>
      <c r="H330" s="218"/>
      <c r="I330" s="217" t="s">
        <v>66</v>
      </c>
      <c r="J330" s="217" t="s">
        <v>66</v>
      </c>
      <c r="K330" s="218" t="s">
        <v>954</v>
      </c>
      <c r="L330" s="212"/>
      <c r="M330" s="250"/>
      <c r="N330" s="239">
        <v>44165</v>
      </c>
      <c r="O330" s="210" t="s">
        <v>114</v>
      </c>
      <c r="P330" s="210" t="s">
        <v>1075</v>
      </c>
      <c r="Q330" s="210" t="s">
        <v>1076</v>
      </c>
      <c r="R330" s="210" t="s">
        <v>1084</v>
      </c>
      <c r="S330" s="210" t="s">
        <v>1078</v>
      </c>
      <c r="T330" s="210" t="s">
        <v>1079</v>
      </c>
      <c r="U330" s="210" t="s">
        <v>65</v>
      </c>
      <c r="V330" s="210" t="s">
        <v>1080</v>
      </c>
      <c r="W330" s="211" t="s">
        <v>1007</v>
      </c>
      <c r="X330" s="211">
        <v>1</v>
      </c>
      <c r="Y330" s="211">
        <v>1</v>
      </c>
      <c r="Z330" s="212">
        <v>1</v>
      </c>
      <c r="AA330" s="240">
        <v>4</v>
      </c>
      <c r="AB330" s="213">
        <v>0.01</v>
      </c>
      <c r="AC330" s="213">
        <v>0</v>
      </c>
      <c r="AD330" s="213" t="s">
        <v>113</v>
      </c>
      <c r="AE330" s="213">
        <v>6.6666666666666662E-3</v>
      </c>
      <c r="AF330" s="241">
        <v>30816196.940000001</v>
      </c>
      <c r="AG330" s="241">
        <v>30816196.940000001</v>
      </c>
      <c r="AH330" s="213">
        <v>-0.1038</v>
      </c>
      <c r="AI330" s="352">
        <v>-1.5994999999999999</v>
      </c>
      <c r="AJ330" s="213">
        <v>-6.1100000000000002E-2</v>
      </c>
      <c r="AK330" s="352">
        <v>-0.64939999999999998</v>
      </c>
      <c r="AL330" s="213" t="s">
        <v>66</v>
      </c>
      <c r="AM330" s="352" t="s">
        <v>66</v>
      </c>
      <c r="AN330" s="213" t="s">
        <v>66</v>
      </c>
      <c r="AO330" s="352" t="s">
        <v>66</v>
      </c>
      <c r="AP330" s="213">
        <v>0.19650000000000001</v>
      </c>
      <c r="AQ330" s="219">
        <v>-0.68027962795406705</v>
      </c>
      <c r="AR330" s="213" t="s">
        <v>1827</v>
      </c>
      <c r="AU330" s="343"/>
      <c r="AV330" s="343"/>
      <c r="AW330" s="328"/>
      <c r="AX330" s="329"/>
      <c r="AY330" s="328"/>
      <c r="AZ330" s="328"/>
      <c r="BA330" s="330"/>
      <c r="BB330" s="328"/>
      <c r="BC330" s="328"/>
      <c r="BD330" s="328"/>
      <c r="BE330" s="330"/>
      <c r="BF330" s="330"/>
      <c r="BG330" s="344"/>
      <c r="BH330" s="330"/>
      <c r="BI330" s="330"/>
      <c r="BJ330" s="330"/>
      <c r="BK330" s="330"/>
      <c r="BL330" s="330"/>
      <c r="BM330" s="330"/>
      <c r="BN330" s="330"/>
      <c r="BO330" s="330"/>
      <c r="BP330" s="331"/>
      <c r="BQ330" s="332"/>
      <c r="BR330" s="333"/>
    </row>
    <row r="331" spans="2:70" ht="15.75" customHeight="1">
      <c r="B331" s="216" t="s">
        <v>1245</v>
      </c>
      <c r="C331" s="212">
        <v>1180182</v>
      </c>
      <c r="D331" s="223">
        <v>9290813000138</v>
      </c>
      <c r="E331" s="217" t="s">
        <v>28</v>
      </c>
      <c r="F331" s="217" t="s">
        <v>950</v>
      </c>
      <c r="G331" s="217"/>
      <c r="H331" s="218"/>
      <c r="I331" s="217" t="s">
        <v>66</v>
      </c>
      <c r="J331" s="217" t="s">
        <v>66</v>
      </c>
      <c r="K331" s="218" t="s">
        <v>951</v>
      </c>
      <c r="L331" s="212" t="s">
        <v>87</v>
      </c>
      <c r="M331" s="250"/>
      <c r="N331" s="239">
        <v>39517</v>
      </c>
      <c r="O331" s="210" t="s">
        <v>249</v>
      </c>
      <c r="P331" s="210" t="s">
        <v>1075</v>
      </c>
      <c r="Q331" s="210" t="s">
        <v>1076</v>
      </c>
      <c r="R331" s="210" t="s">
        <v>1084</v>
      </c>
      <c r="S331" s="210" t="s">
        <v>1078</v>
      </c>
      <c r="T331" s="210" t="s">
        <v>1079</v>
      </c>
      <c r="U331" s="210" t="s">
        <v>950</v>
      </c>
      <c r="V331" s="210" t="s">
        <v>1080</v>
      </c>
      <c r="W331" s="211" t="s">
        <v>1015</v>
      </c>
      <c r="X331" s="211">
        <v>5000</v>
      </c>
      <c r="Y331" s="211">
        <v>1000</v>
      </c>
      <c r="Z331" s="212">
        <v>1000</v>
      </c>
      <c r="AA331" s="240">
        <v>3</v>
      </c>
      <c r="AB331" s="213">
        <v>2.5000000000000001E-2</v>
      </c>
      <c r="AC331" s="213">
        <v>0</v>
      </c>
      <c r="AD331" s="213" t="s">
        <v>1100</v>
      </c>
      <c r="AE331" s="213">
        <v>8.7499999999999991E-3</v>
      </c>
      <c r="AF331" s="241">
        <v>49583501.560000002</v>
      </c>
      <c r="AG331" s="241">
        <v>49583501.560000002</v>
      </c>
      <c r="AH331" s="213">
        <v>1.9099999999999999E-2</v>
      </c>
      <c r="AI331" s="352">
        <v>0.29430000000000001</v>
      </c>
      <c r="AJ331" s="213">
        <v>-0.188</v>
      </c>
      <c r="AK331" s="352">
        <v>-1.9979</v>
      </c>
      <c r="AL331" s="213">
        <v>-0.11559999999999999</v>
      </c>
      <c r="AM331" s="352">
        <v>-0.95679999999999998</v>
      </c>
      <c r="AN331" s="213">
        <v>-9.7299999999999998E-2</v>
      </c>
      <c r="AO331" s="352">
        <v>-0.57720000000000005</v>
      </c>
      <c r="AP331" s="213">
        <v>0.1895</v>
      </c>
      <c r="AQ331" s="219">
        <v>-1.4779268843062145</v>
      </c>
      <c r="AR331" s="213" t="s">
        <v>1824</v>
      </c>
      <c r="AU331" s="343"/>
      <c r="AV331" s="343"/>
      <c r="AW331" s="328"/>
      <c r="AX331" s="329"/>
      <c r="AY331" s="328"/>
      <c r="AZ331" s="328"/>
      <c r="BA331" s="330"/>
      <c r="BB331" s="328"/>
      <c r="BC331" s="328"/>
      <c r="BD331" s="328"/>
      <c r="BE331" s="330"/>
      <c r="BF331" s="330"/>
      <c r="BG331" s="344"/>
      <c r="BH331" s="330"/>
      <c r="BI331" s="330"/>
      <c r="BJ331" s="330"/>
      <c r="BK331" s="330"/>
      <c r="BL331" s="330"/>
      <c r="BM331" s="330"/>
      <c r="BN331" s="330"/>
      <c r="BO331" s="330"/>
      <c r="BP331" s="331"/>
      <c r="BQ331" s="332"/>
      <c r="BR331" s="333"/>
    </row>
    <row r="332" spans="2:70" ht="15.75" customHeight="1">
      <c r="B332" s="216" t="s">
        <v>1246</v>
      </c>
      <c r="C332" s="212">
        <v>1173342</v>
      </c>
      <c r="D332" s="223">
        <v>11952873000110</v>
      </c>
      <c r="E332" s="217" t="s">
        <v>25</v>
      </c>
      <c r="F332" s="217" t="s">
        <v>958</v>
      </c>
      <c r="G332" s="217" t="s">
        <v>962</v>
      </c>
      <c r="H332" s="218" t="s">
        <v>66</v>
      </c>
      <c r="I332" s="217" t="s">
        <v>1841</v>
      </c>
      <c r="J332" s="217" t="s">
        <v>66</v>
      </c>
      <c r="K332" s="218"/>
      <c r="L332" s="212" t="s">
        <v>87</v>
      </c>
      <c r="M332" s="250"/>
      <c r="N332" s="239">
        <v>40330</v>
      </c>
      <c r="O332" s="210" t="s">
        <v>249</v>
      </c>
      <c r="P332" s="210" t="s">
        <v>1075</v>
      </c>
      <c r="Q332" s="210" t="s">
        <v>1076</v>
      </c>
      <c r="R332" s="210" t="s">
        <v>1084</v>
      </c>
      <c r="S332" s="210" t="s">
        <v>1078</v>
      </c>
      <c r="T332" s="210" t="s">
        <v>1082</v>
      </c>
      <c r="U332" s="210" t="s">
        <v>958</v>
      </c>
      <c r="V332" s="210" t="s">
        <v>25</v>
      </c>
      <c r="W332" s="211" t="s">
        <v>1037</v>
      </c>
      <c r="X332" s="211">
        <v>5000</v>
      </c>
      <c r="Y332" s="211">
        <v>1000</v>
      </c>
      <c r="Z332" s="212">
        <v>1000</v>
      </c>
      <c r="AA332" s="240">
        <v>5</v>
      </c>
      <c r="AB332" s="213">
        <v>1.2500000000000001E-2</v>
      </c>
      <c r="AC332" s="213">
        <v>0.2</v>
      </c>
      <c r="AD332" s="213" t="s">
        <v>1100</v>
      </c>
      <c r="AE332" s="213">
        <v>4.3749999999999995E-3</v>
      </c>
      <c r="AF332" s="241">
        <v>114584903.65000001</v>
      </c>
      <c r="AG332" s="241">
        <v>114584903.65000001</v>
      </c>
      <c r="AH332" s="213">
        <v>0.1183</v>
      </c>
      <c r="AI332" s="352">
        <v>1.8220000000000001</v>
      </c>
      <c r="AJ332" s="213">
        <v>0.15079999999999999</v>
      </c>
      <c r="AK332" s="352">
        <v>1.6025</v>
      </c>
      <c r="AL332" s="213">
        <v>0.2051</v>
      </c>
      <c r="AM332" s="352">
        <v>1.6974</v>
      </c>
      <c r="AN332" s="213">
        <v>0.2359</v>
      </c>
      <c r="AO332" s="352">
        <v>1.3998999999999999</v>
      </c>
      <c r="AP332" s="213">
        <v>3.3399999999999999E-2</v>
      </c>
      <c r="AQ332" s="219">
        <v>1.5312056423952294</v>
      </c>
      <c r="AR332" s="213" t="s">
        <v>1827</v>
      </c>
      <c r="AU332" s="343"/>
      <c r="AV332" s="343"/>
      <c r="AW332" s="328"/>
      <c r="AX332" s="329"/>
      <c r="AY332" s="328"/>
      <c r="AZ332" s="328"/>
      <c r="BA332" s="330"/>
      <c r="BB332" s="328"/>
      <c r="BC332" s="328"/>
      <c r="BD332" s="328"/>
      <c r="BE332" s="330"/>
      <c r="BF332" s="330"/>
      <c r="BG332" s="344"/>
      <c r="BH332" s="383"/>
      <c r="BI332" s="330"/>
      <c r="BJ332" s="330"/>
      <c r="BK332" s="330"/>
      <c r="BL332" s="330"/>
      <c r="BM332" s="330"/>
      <c r="BN332" s="330"/>
      <c r="BO332" s="330"/>
      <c r="BP332" s="331"/>
      <c r="BQ332" s="332"/>
      <c r="BR332" s="333"/>
    </row>
    <row r="333" spans="2:70" ht="15.75" customHeight="1">
      <c r="B333" s="216" t="s">
        <v>1247</v>
      </c>
      <c r="C333" s="212">
        <v>1173361</v>
      </c>
      <c r="D333" s="223">
        <v>44967234000188</v>
      </c>
      <c r="E333" s="217" t="s">
        <v>28</v>
      </c>
      <c r="F333" s="217" t="s">
        <v>950</v>
      </c>
      <c r="G333" s="217"/>
      <c r="H333" s="218"/>
      <c r="I333" s="217" t="s">
        <v>66</v>
      </c>
      <c r="J333" s="217" t="s">
        <v>66</v>
      </c>
      <c r="K333" s="218" t="s">
        <v>951</v>
      </c>
      <c r="L333" s="212" t="s">
        <v>87</v>
      </c>
      <c r="M333" s="250"/>
      <c r="N333" s="239">
        <v>44614</v>
      </c>
      <c r="O333" s="210" t="s">
        <v>249</v>
      </c>
      <c r="P333" s="210" t="s">
        <v>1075</v>
      </c>
      <c r="Q333" s="210" t="s">
        <v>1076</v>
      </c>
      <c r="R333" s="210" t="s">
        <v>1084</v>
      </c>
      <c r="S333" s="210" t="s">
        <v>1078</v>
      </c>
      <c r="T333" s="210" t="s">
        <v>1079</v>
      </c>
      <c r="U333" s="210" t="s">
        <v>950</v>
      </c>
      <c r="V333" s="210" t="s">
        <v>1080</v>
      </c>
      <c r="W333" s="211" t="s">
        <v>1007</v>
      </c>
      <c r="X333" s="211">
        <v>25000</v>
      </c>
      <c r="Y333" s="211">
        <v>10000</v>
      </c>
      <c r="Z333" s="212">
        <v>10000</v>
      </c>
      <c r="AA333" s="240">
        <v>367</v>
      </c>
      <c r="AB333" s="213">
        <v>0.02</v>
      </c>
      <c r="AC333" s="213">
        <v>0.2</v>
      </c>
      <c r="AD333" s="213" t="s">
        <v>1100</v>
      </c>
      <c r="AE333" s="213">
        <v>0.01</v>
      </c>
      <c r="AF333" s="241">
        <v>35380676.659999996</v>
      </c>
      <c r="AG333" s="241">
        <v>35380676.659999996</v>
      </c>
      <c r="AH333" s="213" t="s">
        <v>66</v>
      </c>
      <c r="AI333" s="352" t="s">
        <v>66</v>
      </c>
      <c r="AJ333" s="213" t="s">
        <v>66</v>
      </c>
      <c r="AK333" s="352" t="s">
        <v>66</v>
      </c>
      <c r="AL333" s="213" t="s">
        <v>66</v>
      </c>
      <c r="AM333" s="352" t="s">
        <v>66</v>
      </c>
      <c r="AN333" s="213" t="s">
        <v>66</v>
      </c>
      <c r="AO333" s="352" t="s">
        <v>66</v>
      </c>
      <c r="AP333" s="213" t="s">
        <v>66</v>
      </c>
      <c r="AQ333" s="219" t="s">
        <v>66</v>
      </c>
      <c r="AR333" s="213" t="s">
        <v>1827</v>
      </c>
      <c r="AU333" s="343"/>
      <c r="AV333" s="343"/>
      <c r="AW333" s="328"/>
      <c r="AX333" s="329"/>
      <c r="AY333" s="328"/>
      <c r="AZ333" s="328"/>
      <c r="BA333" s="330"/>
      <c r="BB333" s="328"/>
      <c r="BC333" s="328"/>
      <c r="BD333" s="328"/>
      <c r="BE333" s="330"/>
      <c r="BF333" s="330"/>
      <c r="BG333" s="344"/>
      <c r="BH333" s="330"/>
      <c r="BI333" s="330"/>
      <c r="BJ333" s="330"/>
      <c r="BK333" s="330"/>
      <c r="BL333" s="330"/>
      <c r="BM333" s="330"/>
      <c r="BN333" s="330"/>
      <c r="BO333" s="330"/>
      <c r="BP333" s="331"/>
      <c r="BQ333" s="332"/>
      <c r="BR333" s="333"/>
    </row>
    <row r="334" spans="2:70" ht="15.75" customHeight="1">
      <c r="B334" s="216" t="s">
        <v>1757</v>
      </c>
      <c r="C334" s="212">
        <v>4053576</v>
      </c>
      <c r="D334" s="223">
        <v>46300375000178</v>
      </c>
      <c r="E334" s="217" t="s">
        <v>28</v>
      </c>
      <c r="F334" s="217" t="s">
        <v>950</v>
      </c>
      <c r="G334" s="217"/>
      <c r="H334" s="218"/>
      <c r="I334" s="217" t="s">
        <v>66</v>
      </c>
      <c r="J334" s="217" t="s">
        <v>66</v>
      </c>
      <c r="K334" s="218" t="s">
        <v>951</v>
      </c>
      <c r="L334" s="212" t="s">
        <v>87</v>
      </c>
      <c r="M334" s="250"/>
      <c r="N334" s="239">
        <v>44701</v>
      </c>
      <c r="O334" s="210" t="s">
        <v>1758</v>
      </c>
      <c r="P334" s="210" t="s">
        <v>1736</v>
      </c>
      <c r="Q334" s="210" t="s">
        <v>1737</v>
      </c>
      <c r="R334" s="210" t="s">
        <v>1745</v>
      </c>
      <c r="S334" s="210" t="s">
        <v>1078</v>
      </c>
      <c r="T334" s="210" t="s">
        <v>1079</v>
      </c>
      <c r="U334" s="210" t="s">
        <v>1739</v>
      </c>
      <c r="V334" s="210" t="s">
        <v>1080</v>
      </c>
      <c r="W334" s="211" t="s">
        <v>1759</v>
      </c>
      <c r="X334" s="211">
        <v>25000</v>
      </c>
      <c r="Y334" s="211">
        <v>10000</v>
      </c>
      <c r="Z334" s="212">
        <v>10000</v>
      </c>
      <c r="AA334" s="240">
        <v>367</v>
      </c>
      <c r="AB334" s="213">
        <v>0.02</v>
      </c>
      <c r="AC334" s="213">
        <v>0.2</v>
      </c>
      <c r="AD334" s="213" t="s">
        <v>113</v>
      </c>
      <c r="AE334" s="213" t="s">
        <v>66</v>
      </c>
      <c r="AF334" s="241">
        <v>505174.7</v>
      </c>
      <c r="AG334" s="241">
        <v>505174.7</v>
      </c>
      <c r="AH334" s="213" t="s">
        <v>66</v>
      </c>
      <c r="AI334" s="352" t="s">
        <v>66</v>
      </c>
      <c r="AJ334" s="213" t="s">
        <v>66</v>
      </c>
      <c r="AK334" s="352" t="s">
        <v>66</v>
      </c>
      <c r="AL334" s="213" t="s">
        <v>66</v>
      </c>
      <c r="AM334" s="352" t="s">
        <v>66</v>
      </c>
      <c r="AN334" s="213" t="s">
        <v>66</v>
      </c>
      <c r="AO334" s="352" t="s">
        <v>66</v>
      </c>
      <c r="AP334" s="213" t="s">
        <v>66</v>
      </c>
      <c r="AQ334" s="219" t="s">
        <v>66</v>
      </c>
      <c r="AR334" s="213" t="s">
        <v>1824</v>
      </c>
      <c r="AU334" s="343"/>
      <c r="AV334" s="343"/>
      <c r="AW334" s="328"/>
      <c r="AX334" s="329"/>
      <c r="AY334" s="328"/>
      <c r="AZ334" s="328"/>
      <c r="BA334" s="330"/>
      <c r="BB334" s="328"/>
      <c r="BC334" s="328"/>
      <c r="BD334" s="328"/>
      <c r="BE334" s="330"/>
      <c r="BF334" s="330"/>
      <c r="BG334" s="344"/>
      <c r="BH334" s="330"/>
      <c r="BI334" s="330"/>
      <c r="BJ334" s="330"/>
      <c r="BK334" s="330"/>
      <c r="BL334" s="330"/>
      <c r="BM334" s="330"/>
      <c r="BN334" s="330"/>
      <c r="BO334" s="330"/>
      <c r="BP334" s="331"/>
      <c r="BQ334" s="332"/>
      <c r="BR334" s="333"/>
    </row>
    <row r="335" spans="2:70" ht="15.75" customHeight="1">
      <c r="B335" s="216" t="s">
        <v>1248</v>
      </c>
      <c r="C335" s="212">
        <v>1176370</v>
      </c>
      <c r="D335" s="223">
        <v>9518581000122</v>
      </c>
      <c r="E335" s="217" t="s">
        <v>19</v>
      </c>
      <c r="F335" s="217" t="s">
        <v>964</v>
      </c>
      <c r="G335" s="217" t="s">
        <v>1021</v>
      </c>
      <c r="H335" s="218" t="s">
        <v>1259</v>
      </c>
      <c r="I335" s="217" t="s">
        <v>66</v>
      </c>
      <c r="J335" s="217"/>
      <c r="K335" s="218" t="s">
        <v>951</v>
      </c>
      <c r="L335" s="212" t="s">
        <v>87</v>
      </c>
      <c r="M335" s="250"/>
      <c r="N335" s="239">
        <v>39629</v>
      </c>
      <c r="O335" s="210" t="s">
        <v>114</v>
      </c>
      <c r="P335" s="210" t="s">
        <v>1075</v>
      </c>
      <c r="Q335" s="210" t="s">
        <v>1076</v>
      </c>
      <c r="R335" s="210" t="s">
        <v>1084</v>
      </c>
      <c r="S335" s="210" t="s">
        <v>1078</v>
      </c>
      <c r="T335" s="210" t="s">
        <v>349</v>
      </c>
      <c r="U335" s="210" t="s">
        <v>964</v>
      </c>
      <c r="V335" s="210" t="s">
        <v>19</v>
      </c>
      <c r="W335" s="211" t="s">
        <v>1024</v>
      </c>
      <c r="X335" s="211">
        <v>0</v>
      </c>
      <c r="Y335" s="211">
        <v>0</v>
      </c>
      <c r="Z335" s="212">
        <v>0</v>
      </c>
      <c r="AA335" s="240">
        <v>1</v>
      </c>
      <c r="AB335" s="213">
        <v>4.0000000000000001E-3</v>
      </c>
      <c r="AC335" s="213">
        <v>0</v>
      </c>
      <c r="AD335" s="213" t="s">
        <v>1157</v>
      </c>
      <c r="AE335" s="213">
        <v>3.2000000000000002E-3</v>
      </c>
      <c r="AF335" s="241">
        <v>294082856.13</v>
      </c>
      <c r="AG335" s="241">
        <v>294082856.13</v>
      </c>
      <c r="AH335" s="213">
        <v>3.0200000000000001E-2</v>
      </c>
      <c r="AI335" s="352">
        <v>0.46450000000000002</v>
      </c>
      <c r="AJ335" s="213">
        <v>1.1599999999999999E-2</v>
      </c>
      <c r="AK335" s="352">
        <v>0.123</v>
      </c>
      <c r="AL335" s="213">
        <v>3.95E-2</v>
      </c>
      <c r="AM335" s="352">
        <v>0.32729999999999998</v>
      </c>
      <c r="AN335" s="213">
        <v>0.10829999999999999</v>
      </c>
      <c r="AO335" s="352">
        <v>0.64239999999999997</v>
      </c>
      <c r="AP335" s="213">
        <v>5.8000000000000003E-2</v>
      </c>
      <c r="AQ335" s="219">
        <v>-1.3233922112504954</v>
      </c>
      <c r="AR335" s="213" t="s">
        <v>1824</v>
      </c>
      <c r="AU335" s="343"/>
      <c r="AV335" s="343"/>
      <c r="AW335" s="328"/>
      <c r="AX335" s="329"/>
      <c r="AY335" s="328"/>
      <c r="AZ335" s="328"/>
      <c r="BA335" s="330"/>
      <c r="BB335" s="328"/>
      <c r="BC335" s="328"/>
      <c r="BD335" s="328"/>
      <c r="BE335" s="330"/>
      <c r="BF335" s="330"/>
      <c r="BG335" s="344"/>
      <c r="BH335" s="330"/>
      <c r="BI335" s="330"/>
      <c r="BJ335" s="330"/>
      <c r="BK335" s="330"/>
      <c r="BL335" s="330"/>
      <c r="BM335" s="330"/>
      <c r="BN335" s="330"/>
      <c r="BO335" s="330"/>
      <c r="BP335" s="331"/>
      <c r="BQ335" s="332"/>
      <c r="BR335" s="333"/>
    </row>
    <row r="336" spans="2:70" ht="15.75" customHeight="1">
      <c r="B336" s="216" t="s">
        <v>1249</v>
      </c>
      <c r="C336" s="212">
        <v>1176349</v>
      </c>
      <c r="D336" s="223">
        <v>44980432000181</v>
      </c>
      <c r="E336" s="217" t="s">
        <v>28</v>
      </c>
      <c r="F336" s="217" t="s">
        <v>950</v>
      </c>
      <c r="G336" s="217"/>
      <c r="H336" s="218"/>
      <c r="I336" s="217" t="s">
        <v>66</v>
      </c>
      <c r="J336" s="217" t="s">
        <v>66</v>
      </c>
      <c r="K336" s="218" t="s">
        <v>954</v>
      </c>
      <c r="L336" s="212"/>
      <c r="M336" s="250"/>
      <c r="N336" s="239">
        <v>44651</v>
      </c>
      <c r="O336" s="210" t="s">
        <v>249</v>
      </c>
      <c r="P336" s="210" t="s">
        <v>1075</v>
      </c>
      <c r="Q336" s="210" t="s">
        <v>1076</v>
      </c>
      <c r="R336" s="210" t="s">
        <v>1077</v>
      </c>
      <c r="S336" s="210" t="s">
        <v>1078</v>
      </c>
      <c r="T336" s="210" t="s">
        <v>1079</v>
      </c>
      <c r="U336" s="210" t="s">
        <v>65</v>
      </c>
      <c r="V336" s="210" t="s">
        <v>1080</v>
      </c>
      <c r="W336" s="211" t="s">
        <v>1036</v>
      </c>
      <c r="X336" s="211">
        <v>1000</v>
      </c>
      <c r="Y336" s="211">
        <v>500</v>
      </c>
      <c r="Z336" s="212">
        <v>500</v>
      </c>
      <c r="AA336" s="240">
        <v>7</v>
      </c>
      <c r="AB336" s="213">
        <v>1.4999999999999999E-2</v>
      </c>
      <c r="AC336" s="213">
        <v>0.2</v>
      </c>
      <c r="AD336" s="213" t="s">
        <v>1100</v>
      </c>
      <c r="AE336" s="213" t="s">
        <v>66</v>
      </c>
      <c r="AF336" s="241">
        <v>20750293.329999998</v>
      </c>
      <c r="AG336" s="241">
        <v>20750293.329999998</v>
      </c>
      <c r="AH336" s="213" t="s">
        <v>66</v>
      </c>
      <c r="AI336" s="352" t="s">
        <v>66</v>
      </c>
      <c r="AJ336" s="213" t="s">
        <v>66</v>
      </c>
      <c r="AK336" s="352" t="s">
        <v>66</v>
      </c>
      <c r="AL336" s="213" t="s">
        <v>66</v>
      </c>
      <c r="AM336" s="352" t="s">
        <v>66</v>
      </c>
      <c r="AN336" s="213" t="s">
        <v>66</v>
      </c>
      <c r="AO336" s="352" t="s">
        <v>66</v>
      </c>
      <c r="AP336" s="213" t="s">
        <v>66</v>
      </c>
      <c r="AQ336" s="219" t="s">
        <v>66</v>
      </c>
      <c r="AR336" s="213" t="s">
        <v>1827</v>
      </c>
      <c r="AU336" s="343"/>
      <c r="AV336" s="343"/>
      <c r="AW336" s="328"/>
      <c r="AX336" s="329"/>
      <c r="AY336" s="328"/>
      <c r="AZ336" s="328"/>
      <c r="BA336" s="330"/>
      <c r="BB336" s="328"/>
      <c r="BC336" s="328"/>
      <c r="BD336" s="328"/>
      <c r="BE336" s="330"/>
      <c r="BF336" s="330"/>
      <c r="BG336" s="344"/>
      <c r="BH336" s="330"/>
      <c r="BI336" s="330"/>
      <c r="BJ336" s="330"/>
      <c r="BK336" s="330"/>
      <c r="BL336" s="330"/>
      <c r="BM336" s="330"/>
      <c r="BN336" s="330"/>
      <c r="BO336" s="330"/>
      <c r="BP336" s="331"/>
      <c r="BQ336" s="332"/>
      <c r="BR336" s="333"/>
    </row>
    <row r="337" spans="2:70" ht="15.75" customHeight="1">
      <c r="B337" s="216" t="s">
        <v>255</v>
      </c>
      <c r="C337" s="212">
        <v>2865036</v>
      </c>
      <c r="D337" s="223">
        <v>888897000131</v>
      </c>
      <c r="E337" s="217" t="s">
        <v>25</v>
      </c>
      <c r="F337" s="217" t="s">
        <v>959</v>
      </c>
      <c r="G337" s="217" t="s">
        <v>960</v>
      </c>
      <c r="H337" s="218" t="s">
        <v>66</v>
      </c>
      <c r="I337" s="217" t="s">
        <v>1841</v>
      </c>
      <c r="J337" s="217" t="s">
        <v>66</v>
      </c>
      <c r="K337" s="218" t="s">
        <v>951</v>
      </c>
      <c r="L337" s="212" t="s">
        <v>87</v>
      </c>
      <c r="M337" s="250"/>
      <c r="N337" s="239">
        <v>35003</v>
      </c>
      <c r="O337" s="210" t="s">
        <v>249</v>
      </c>
      <c r="P337" s="210" t="s">
        <v>1075</v>
      </c>
      <c r="Q337" s="210" t="s">
        <v>1076</v>
      </c>
      <c r="R337" s="210" t="s">
        <v>1084</v>
      </c>
      <c r="S337" s="210" t="s">
        <v>1078</v>
      </c>
      <c r="T337" s="210" t="s">
        <v>1082</v>
      </c>
      <c r="U337" s="210" t="s">
        <v>958</v>
      </c>
      <c r="V337" s="210" t="s">
        <v>25</v>
      </c>
      <c r="W337" s="211" t="s">
        <v>1012</v>
      </c>
      <c r="X337" s="211">
        <v>1000</v>
      </c>
      <c r="Y337" s="211">
        <v>1000</v>
      </c>
      <c r="Z337" s="212">
        <v>1000</v>
      </c>
      <c r="AA337" s="240">
        <v>1</v>
      </c>
      <c r="AB337" s="213">
        <v>1.4999999999999999E-2</v>
      </c>
      <c r="AC337" s="213">
        <v>0.2</v>
      </c>
      <c r="AD337" s="213" t="s">
        <v>1100</v>
      </c>
      <c r="AE337" s="213">
        <v>5.2499999999999995E-3</v>
      </c>
      <c r="AF337" s="241">
        <v>45555260.350000001</v>
      </c>
      <c r="AG337" s="241">
        <v>45555260.350000001</v>
      </c>
      <c r="AH337" s="213">
        <v>0.1011</v>
      </c>
      <c r="AI337" s="352">
        <v>1.5571999999999999</v>
      </c>
      <c r="AJ337" s="213">
        <v>0.1176</v>
      </c>
      <c r="AK337" s="352">
        <v>1.25</v>
      </c>
      <c r="AL337" s="213">
        <v>0.18970000000000001</v>
      </c>
      <c r="AM337" s="352">
        <v>1.5706</v>
      </c>
      <c r="AN337" s="213">
        <v>0.19850000000000001</v>
      </c>
      <c r="AO337" s="352">
        <v>1.1777</v>
      </c>
      <c r="AP337" s="213">
        <v>1.7600000000000001E-2</v>
      </c>
      <c r="AQ337" s="219">
        <v>1.2173891015415736</v>
      </c>
      <c r="AR337" s="213" t="s">
        <v>1827</v>
      </c>
      <c r="AU337" s="343"/>
      <c r="AV337" s="343"/>
      <c r="AW337" s="328"/>
      <c r="AX337" s="329"/>
      <c r="AY337" s="328"/>
      <c r="AZ337" s="328"/>
      <c r="BA337" s="330"/>
      <c r="BB337" s="328"/>
      <c r="BC337" s="328"/>
      <c r="BD337" s="328"/>
      <c r="BE337" s="330"/>
      <c r="BF337" s="330"/>
      <c r="BG337" s="344"/>
      <c r="BH337" s="330"/>
      <c r="BI337" s="330"/>
      <c r="BJ337" s="330"/>
      <c r="BK337" s="330"/>
      <c r="BL337" s="330"/>
      <c r="BM337" s="330"/>
      <c r="BN337" s="330"/>
      <c r="BO337" s="330"/>
      <c r="BP337" s="331"/>
      <c r="BQ337" s="332"/>
      <c r="BR337" s="333"/>
    </row>
    <row r="338" spans="2:70" ht="15.75" customHeight="1">
      <c r="B338" s="216" t="s">
        <v>256</v>
      </c>
      <c r="C338" s="212">
        <v>1166917</v>
      </c>
      <c r="D338" s="223">
        <v>34096227000102</v>
      </c>
      <c r="E338" s="217" t="s">
        <v>25</v>
      </c>
      <c r="F338" s="217" t="s">
        <v>958</v>
      </c>
      <c r="G338" s="217" t="s">
        <v>962</v>
      </c>
      <c r="H338" s="218" t="s">
        <v>66</v>
      </c>
      <c r="I338" s="217" t="s">
        <v>1841</v>
      </c>
      <c r="J338" s="217" t="s">
        <v>66</v>
      </c>
      <c r="K338" s="218"/>
      <c r="L338" s="212" t="s">
        <v>87</v>
      </c>
      <c r="M338" s="250"/>
      <c r="N338" s="239">
        <v>43677</v>
      </c>
      <c r="O338" s="210" t="s">
        <v>249</v>
      </c>
      <c r="P338" s="210" t="s">
        <v>1075</v>
      </c>
      <c r="Q338" s="210" t="s">
        <v>1076</v>
      </c>
      <c r="R338" s="210" t="s">
        <v>1077</v>
      </c>
      <c r="S338" s="210" t="s">
        <v>1078</v>
      </c>
      <c r="T338" s="210" t="s">
        <v>1082</v>
      </c>
      <c r="U338" s="210" t="s">
        <v>958</v>
      </c>
      <c r="V338" s="210" t="s">
        <v>25</v>
      </c>
      <c r="W338" s="211" t="s">
        <v>1016</v>
      </c>
      <c r="X338" s="211">
        <v>25000</v>
      </c>
      <c r="Y338" s="211">
        <v>10000</v>
      </c>
      <c r="Z338" s="212">
        <v>25000</v>
      </c>
      <c r="AA338" s="240">
        <v>60</v>
      </c>
      <c r="AB338" s="213">
        <v>0.02</v>
      </c>
      <c r="AC338" s="213">
        <v>0.2</v>
      </c>
      <c r="AD338" s="213" t="s">
        <v>113</v>
      </c>
      <c r="AE338" s="213">
        <v>6.9999999999999993E-3</v>
      </c>
      <c r="AF338" s="241">
        <v>32624926.719999999</v>
      </c>
      <c r="AG338" s="241">
        <v>32624926.719999999</v>
      </c>
      <c r="AH338" s="213">
        <v>0.11650000000000001</v>
      </c>
      <c r="AI338" s="352">
        <v>1.7939000000000001</v>
      </c>
      <c r="AJ338" s="213">
        <v>5.8599999999999999E-2</v>
      </c>
      <c r="AK338" s="352">
        <v>0.62329999999999997</v>
      </c>
      <c r="AL338" s="213">
        <v>0.1164</v>
      </c>
      <c r="AM338" s="352">
        <v>0.96389999999999998</v>
      </c>
      <c r="AN338" s="213" t="s">
        <v>66</v>
      </c>
      <c r="AO338" s="352" t="s">
        <v>66</v>
      </c>
      <c r="AP338" s="213">
        <v>4.3799999999999999E-2</v>
      </c>
      <c r="AQ338" s="219">
        <v>-0.72973973161999806</v>
      </c>
      <c r="AR338" s="213" t="s">
        <v>1827</v>
      </c>
      <c r="AU338" s="343"/>
      <c r="AV338" s="343"/>
      <c r="AW338" s="328"/>
      <c r="AX338" s="329"/>
      <c r="AY338" s="328"/>
      <c r="AZ338" s="328"/>
      <c r="BA338" s="330"/>
      <c r="BB338" s="328"/>
      <c r="BC338" s="328"/>
      <c r="BD338" s="328"/>
      <c r="BE338" s="330"/>
      <c r="BF338" s="330"/>
      <c r="BG338" s="344"/>
      <c r="BH338" s="330"/>
      <c r="BI338" s="330"/>
      <c r="BJ338" s="330"/>
      <c r="BK338" s="330"/>
      <c r="BL338" s="330"/>
      <c r="BM338" s="330"/>
      <c r="BN338" s="330"/>
      <c r="BO338" s="330"/>
      <c r="BP338" s="331"/>
      <c r="BQ338" s="332"/>
      <c r="BR338" s="333"/>
    </row>
    <row r="339" spans="2:70" ht="15.75" customHeight="1">
      <c r="B339" s="216" t="s">
        <v>1250</v>
      </c>
      <c r="C339" s="212">
        <v>1187508</v>
      </c>
      <c r="D339" s="223">
        <v>9083998000100</v>
      </c>
      <c r="E339" s="217" t="s">
        <v>25</v>
      </c>
      <c r="F339" s="217" t="s">
        <v>958</v>
      </c>
      <c r="G339" s="217" t="s">
        <v>962</v>
      </c>
      <c r="H339" s="218" t="s">
        <v>66</v>
      </c>
      <c r="I339" s="217" t="s">
        <v>1841</v>
      </c>
      <c r="J339" s="217" t="s">
        <v>66</v>
      </c>
      <c r="K339" s="218" t="s">
        <v>951</v>
      </c>
      <c r="L339" s="212" t="s">
        <v>87</v>
      </c>
      <c r="M339" s="250"/>
      <c r="N339" s="239">
        <v>39567</v>
      </c>
      <c r="O339" s="210" t="s">
        <v>114</v>
      </c>
      <c r="P339" s="210" t="s">
        <v>1075</v>
      </c>
      <c r="Q339" s="210" t="s">
        <v>1076</v>
      </c>
      <c r="R339" s="210" t="s">
        <v>1077</v>
      </c>
      <c r="S339" s="210" t="s">
        <v>1078</v>
      </c>
      <c r="T339" s="210" t="s">
        <v>349</v>
      </c>
      <c r="U339" s="210" t="s">
        <v>964</v>
      </c>
      <c r="V339" s="210" t="s">
        <v>25</v>
      </c>
      <c r="W339" s="211" t="s">
        <v>1016</v>
      </c>
      <c r="X339" s="211">
        <v>0</v>
      </c>
      <c r="Y339" s="211">
        <v>0</v>
      </c>
      <c r="Z339" s="212">
        <v>0</v>
      </c>
      <c r="AA339" s="240">
        <v>1</v>
      </c>
      <c r="AB339" s="213">
        <v>2E-3</v>
      </c>
      <c r="AC339" s="213">
        <v>0</v>
      </c>
      <c r="AD339" s="213" t="s">
        <v>113</v>
      </c>
      <c r="AE339" s="213">
        <v>1.6000000000000001E-3</v>
      </c>
      <c r="AF339" s="241">
        <v>3573172.44</v>
      </c>
      <c r="AG339" s="241">
        <v>3573172.44</v>
      </c>
      <c r="AH339" s="213">
        <v>7.51E-2</v>
      </c>
      <c r="AI339" s="352">
        <v>1.1573</v>
      </c>
      <c r="AJ339" s="213">
        <v>6.0199999999999997E-2</v>
      </c>
      <c r="AK339" s="352">
        <v>0.63970000000000005</v>
      </c>
      <c r="AL339" s="213">
        <v>5.9499999999999997E-2</v>
      </c>
      <c r="AM339" s="352">
        <v>0.4924</v>
      </c>
      <c r="AN339" s="213">
        <v>9.8599999999999993E-2</v>
      </c>
      <c r="AO339" s="352">
        <v>0.58479999999999999</v>
      </c>
      <c r="AP339" s="213">
        <v>3.5999999999999997E-2</v>
      </c>
      <c r="AQ339" s="219">
        <v>-0.857493156350421</v>
      </c>
      <c r="AR339" s="213" t="s">
        <v>1827</v>
      </c>
      <c r="AU339" s="343"/>
      <c r="AV339" s="343"/>
      <c r="AW339" s="328"/>
      <c r="AX339" s="329"/>
      <c r="AY339" s="328"/>
      <c r="AZ339" s="328"/>
      <c r="BA339" s="330"/>
      <c r="BB339" s="328"/>
      <c r="BC339" s="328"/>
      <c r="BD339" s="328"/>
      <c r="BE339" s="330"/>
      <c r="BF339" s="330"/>
      <c r="BG339" s="344"/>
      <c r="BH339" s="330"/>
      <c r="BI339" s="330"/>
      <c r="BJ339" s="330"/>
      <c r="BK339" s="330"/>
      <c r="BL339" s="330"/>
      <c r="BM339" s="330"/>
      <c r="BN339" s="330"/>
      <c r="BO339" s="330"/>
      <c r="BP339" s="331"/>
      <c r="BQ339" s="332"/>
      <c r="BR339" s="333"/>
    </row>
    <row r="340" spans="2:70" ht="15.75" customHeight="1">
      <c r="B340" s="216" t="s">
        <v>1251</v>
      </c>
      <c r="C340" s="212">
        <v>3492849</v>
      </c>
      <c r="D340" s="223">
        <v>42730656000100</v>
      </c>
      <c r="E340" s="217" t="s">
        <v>25</v>
      </c>
      <c r="F340" s="217" t="s">
        <v>958</v>
      </c>
      <c r="G340" s="217" t="s">
        <v>962</v>
      </c>
      <c r="H340" s="218" t="s">
        <v>66</v>
      </c>
      <c r="I340" s="217" t="s">
        <v>1842</v>
      </c>
      <c r="J340" s="217" t="s">
        <v>66</v>
      </c>
      <c r="K340" s="218"/>
      <c r="L340" s="212" t="s">
        <v>87</v>
      </c>
      <c r="M340" s="250"/>
      <c r="N340" s="239">
        <v>44407</v>
      </c>
      <c r="O340" s="210" t="s">
        <v>249</v>
      </c>
      <c r="P340" s="210" t="s">
        <v>1075</v>
      </c>
      <c r="Q340" s="210" t="s">
        <v>1076</v>
      </c>
      <c r="R340" s="210" t="s">
        <v>1084</v>
      </c>
      <c r="S340" s="210" t="s">
        <v>1078</v>
      </c>
      <c r="T340" s="210" t="s">
        <v>1082</v>
      </c>
      <c r="U340" s="210" t="s">
        <v>958</v>
      </c>
      <c r="V340" s="210" t="s">
        <v>25</v>
      </c>
      <c r="W340" s="211" t="s">
        <v>1016</v>
      </c>
      <c r="X340" s="211">
        <v>1000</v>
      </c>
      <c r="Y340" s="211">
        <v>100</v>
      </c>
      <c r="Z340" s="212">
        <v>100</v>
      </c>
      <c r="AA340" s="240">
        <v>31</v>
      </c>
      <c r="AB340" s="213">
        <v>0.02</v>
      </c>
      <c r="AC340" s="213">
        <v>0.2</v>
      </c>
      <c r="AD340" s="213" t="s">
        <v>1100</v>
      </c>
      <c r="AE340" s="213">
        <v>6.9999999999999993E-3</v>
      </c>
      <c r="AF340" s="241">
        <v>622082864.64999998</v>
      </c>
      <c r="AG340" s="241">
        <v>622082864.64999998</v>
      </c>
      <c r="AH340" s="213">
        <v>8.3099999999999993E-2</v>
      </c>
      <c r="AI340" s="352">
        <v>1.2794000000000001</v>
      </c>
      <c r="AJ340" s="213" t="s">
        <v>66</v>
      </c>
      <c r="AK340" s="352" t="s">
        <v>66</v>
      </c>
      <c r="AL340" s="213" t="s">
        <v>66</v>
      </c>
      <c r="AM340" s="352" t="s">
        <v>66</v>
      </c>
      <c r="AN340" s="213" t="s">
        <v>66</v>
      </c>
      <c r="AO340" s="352" t="s">
        <v>66</v>
      </c>
      <c r="AP340" s="213" t="s">
        <v>66</v>
      </c>
      <c r="AQ340" s="219" t="s">
        <v>66</v>
      </c>
      <c r="AR340" s="213" t="s">
        <v>1827</v>
      </c>
      <c r="AU340" s="343"/>
      <c r="AV340" s="343"/>
      <c r="AW340" s="328"/>
      <c r="AX340" s="329"/>
      <c r="AY340" s="328"/>
      <c r="AZ340" s="328"/>
      <c r="BA340" s="330"/>
      <c r="BB340" s="328"/>
      <c r="BC340" s="328"/>
      <c r="BD340" s="328"/>
      <c r="BE340" s="330"/>
      <c r="BF340" s="330"/>
      <c r="BG340" s="344"/>
      <c r="BH340" s="330"/>
      <c r="BI340" s="330"/>
      <c r="BJ340" s="330"/>
      <c r="BK340" s="330"/>
      <c r="BL340" s="330"/>
      <c r="BM340" s="330"/>
      <c r="BN340" s="330"/>
      <c r="BO340" s="330"/>
      <c r="BP340" s="331"/>
      <c r="BQ340" s="332"/>
      <c r="BR340" s="333"/>
    </row>
    <row r="341" spans="2:70" ht="15.75" customHeight="1">
      <c r="B341" s="216" t="s">
        <v>257</v>
      </c>
      <c r="C341" s="212">
        <v>4053576</v>
      </c>
      <c r="D341" s="223">
        <v>41287933000199</v>
      </c>
      <c r="E341" s="217" t="s">
        <v>28</v>
      </c>
      <c r="F341" s="217" t="s">
        <v>950</v>
      </c>
      <c r="G341" s="217"/>
      <c r="H341" s="218"/>
      <c r="I341" s="217" t="s">
        <v>66</v>
      </c>
      <c r="J341" s="217" t="s">
        <v>66</v>
      </c>
      <c r="K341" s="218" t="s">
        <v>954</v>
      </c>
      <c r="L341" s="212" t="s">
        <v>87</v>
      </c>
      <c r="M341" s="250"/>
      <c r="N341" s="239">
        <v>44300</v>
      </c>
      <c r="O341" s="210" t="s">
        <v>114</v>
      </c>
      <c r="P341" s="210" t="s">
        <v>1075</v>
      </c>
      <c r="Q341" s="210" t="s">
        <v>1076</v>
      </c>
      <c r="R341" s="210" t="s">
        <v>1077</v>
      </c>
      <c r="S341" s="210" t="s">
        <v>1078</v>
      </c>
      <c r="T341" s="210" t="s">
        <v>1079</v>
      </c>
      <c r="U341" s="210" t="s">
        <v>65</v>
      </c>
      <c r="V341" s="210" t="s">
        <v>1080</v>
      </c>
      <c r="W341" s="211" t="s">
        <v>1036</v>
      </c>
      <c r="X341" s="211">
        <v>5000</v>
      </c>
      <c r="Y341" s="211">
        <v>1000</v>
      </c>
      <c r="Z341" s="212">
        <v>5000</v>
      </c>
      <c r="AA341" s="240">
        <v>6</v>
      </c>
      <c r="AB341" s="213">
        <v>5.0000000000000001E-3</v>
      </c>
      <c r="AC341" s="213">
        <v>0</v>
      </c>
      <c r="AD341" s="213" t="s">
        <v>113</v>
      </c>
      <c r="AE341" s="213">
        <v>3.3333333333333331E-3</v>
      </c>
      <c r="AF341" s="241">
        <v>99747902.409999996</v>
      </c>
      <c r="AG341" s="241">
        <v>99747902.409999996</v>
      </c>
      <c r="AH341" s="213">
        <v>-0.1358</v>
      </c>
      <c r="AI341" s="352">
        <v>-2.0922000000000001</v>
      </c>
      <c r="AJ341" s="213">
        <v>-9.0700000000000003E-2</v>
      </c>
      <c r="AK341" s="352">
        <v>-0.96450000000000002</v>
      </c>
      <c r="AL341" s="213" t="s">
        <v>66</v>
      </c>
      <c r="AM341" s="352" t="s">
        <v>66</v>
      </c>
      <c r="AN341" s="213" t="s">
        <v>66</v>
      </c>
      <c r="AO341" s="352" t="s">
        <v>66</v>
      </c>
      <c r="AP341" s="213">
        <v>0.156</v>
      </c>
      <c r="AQ341" s="219">
        <v>-1.1080313471637921</v>
      </c>
      <c r="AR341" s="213" t="s">
        <v>1824</v>
      </c>
      <c r="AU341" s="343"/>
      <c r="AV341" s="343"/>
      <c r="AW341" s="328"/>
      <c r="AX341" s="329"/>
      <c r="AY341" s="328"/>
      <c r="AZ341" s="328"/>
      <c r="BA341" s="330"/>
      <c r="BB341" s="328"/>
      <c r="BC341" s="328"/>
      <c r="BD341" s="328"/>
      <c r="BE341" s="330"/>
      <c r="BF341" s="330"/>
      <c r="BG341" s="344"/>
      <c r="BH341" s="330"/>
      <c r="BI341" s="330"/>
      <c r="BJ341" s="330"/>
      <c r="BK341" s="330"/>
      <c r="BL341" s="330"/>
      <c r="BM341" s="330"/>
      <c r="BN341" s="330"/>
      <c r="BO341" s="330"/>
      <c r="BP341" s="331"/>
      <c r="BQ341" s="332"/>
      <c r="BR341" s="333"/>
    </row>
    <row r="342" spans="2:70" ht="15.75" customHeight="1">
      <c r="B342" s="216" t="s">
        <v>89</v>
      </c>
      <c r="C342" s="212">
        <v>1170864</v>
      </c>
      <c r="D342" s="223">
        <v>33600729000158</v>
      </c>
      <c r="E342" s="217" t="s">
        <v>28</v>
      </c>
      <c r="F342" s="217" t="s">
        <v>32</v>
      </c>
      <c r="G342" s="217" t="s">
        <v>1049</v>
      </c>
      <c r="H342" s="218"/>
      <c r="I342" s="217" t="s">
        <v>66</v>
      </c>
      <c r="J342" s="217" t="s">
        <v>66</v>
      </c>
      <c r="K342" s="218" t="s">
        <v>954</v>
      </c>
      <c r="L342" s="212" t="s">
        <v>87</v>
      </c>
      <c r="M342" s="250"/>
      <c r="N342" s="239">
        <v>43635</v>
      </c>
      <c r="O342" s="210" t="s">
        <v>249</v>
      </c>
      <c r="P342" s="210" t="s">
        <v>1075</v>
      </c>
      <c r="Q342" s="210" t="s">
        <v>1076</v>
      </c>
      <c r="R342" s="210" t="s">
        <v>1084</v>
      </c>
      <c r="S342" s="210" t="s">
        <v>1078</v>
      </c>
      <c r="T342" s="210" t="s">
        <v>34</v>
      </c>
      <c r="U342" s="210" t="s">
        <v>66</v>
      </c>
      <c r="V342" s="210" t="s">
        <v>25</v>
      </c>
      <c r="W342" s="211" t="s">
        <v>1019</v>
      </c>
      <c r="X342" s="211">
        <v>500</v>
      </c>
      <c r="Y342" s="211">
        <v>500</v>
      </c>
      <c r="Z342" s="212">
        <v>500</v>
      </c>
      <c r="AA342" s="240">
        <v>8</v>
      </c>
      <c r="AB342" s="213">
        <v>1E-3</v>
      </c>
      <c r="AC342" s="213">
        <v>0</v>
      </c>
      <c r="AD342" s="213" t="s">
        <v>109</v>
      </c>
      <c r="AE342" s="213">
        <v>3.5E-4</v>
      </c>
      <c r="AF342" s="241">
        <v>88736895.670000002</v>
      </c>
      <c r="AG342" s="241">
        <v>88736895.670000002</v>
      </c>
      <c r="AH342" s="213">
        <v>2.8999999999999998E-3</v>
      </c>
      <c r="AI342" s="352">
        <v>4.4999999999999998E-2</v>
      </c>
      <c r="AJ342" s="213">
        <v>1.9E-2</v>
      </c>
      <c r="AK342" s="352">
        <v>0.20250000000000001</v>
      </c>
      <c r="AL342" s="213">
        <v>-5.8999999999999997E-2</v>
      </c>
      <c r="AM342" s="352">
        <v>-0.48859999999999998</v>
      </c>
      <c r="AN342" s="213">
        <v>0.28339999999999999</v>
      </c>
      <c r="AO342" s="352">
        <v>1.6816</v>
      </c>
      <c r="AP342" s="213">
        <v>0.14779999999999999</v>
      </c>
      <c r="AQ342" s="219">
        <v>-0.40718232273291677</v>
      </c>
      <c r="AR342" s="213" t="s">
        <v>1827</v>
      </c>
      <c r="AU342" s="343"/>
      <c r="AV342" s="343"/>
      <c r="AW342" s="328"/>
      <c r="AX342" s="329"/>
      <c r="AY342" s="328"/>
      <c r="AZ342" s="328"/>
      <c r="BA342" s="330"/>
      <c r="BB342" s="328"/>
      <c r="BC342" s="328"/>
      <c r="BD342" s="328"/>
      <c r="BE342" s="330"/>
      <c r="BF342" s="330"/>
      <c r="BG342" s="344"/>
      <c r="BH342" s="330"/>
      <c r="BI342" s="330"/>
      <c r="BJ342" s="330"/>
      <c r="BK342" s="330"/>
      <c r="BL342" s="330"/>
      <c r="BM342" s="330"/>
      <c r="BN342" s="330"/>
      <c r="BO342" s="330"/>
      <c r="BP342" s="331"/>
      <c r="BQ342" s="332"/>
      <c r="BR342" s="333"/>
    </row>
    <row r="343" spans="2:70" ht="15.75" customHeight="1">
      <c r="B343" s="216" t="s">
        <v>1252</v>
      </c>
      <c r="C343" s="212">
        <v>3954039</v>
      </c>
      <c r="D343" s="223">
        <v>34979818000110</v>
      </c>
      <c r="E343" s="217" t="s">
        <v>28</v>
      </c>
      <c r="F343" s="217" t="s">
        <v>32</v>
      </c>
      <c r="G343" s="217" t="s">
        <v>1049</v>
      </c>
      <c r="H343" s="218"/>
      <c r="I343" s="217" t="s">
        <v>66</v>
      </c>
      <c r="J343" s="217" t="s">
        <v>66</v>
      </c>
      <c r="K343" s="218" t="s">
        <v>954</v>
      </c>
      <c r="L343" s="212" t="s">
        <v>88</v>
      </c>
      <c r="M343" s="250"/>
      <c r="N343" s="239">
        <v>43790</v>
      </c>
      <c r="O343" s="210" t="s">
        <v>249</v>
      </c>
      <c r="P343" s="210" t="s">
        <v>1075</v>
      </c>
      <c r="Q343" s="210" t="s">
        <v>1076</v>
      </c>
      <c r="R343" s="210" t="s">
        <v>1084</v>
      </c>
      <c r="S343" s="210" t="s">
        <v>1078</v>
      </c>
      <c r="T343" s="210" t="s">
        <v>34</v>
      </c>
      <c r="U343" s="210" t="s">
        <v>66</v>
      </c>
      <c r="V343" s="210" t="s">
        <v>25</v>
      </c>
      <c r="W343" s="211" t="s">
        <v>1019</v>
      </c>
      <c r="X343" s="211">
        <v>500</v>
      </c>
      <c r="Y343" s="211">
        <v>500</v>
      </c>
      <c r="Z343" s="212">
        <v>500</v>
      </c>
      <c r="AA343" s="240">
        <v>5</v>
      </c>
      <c r="AB343" s="213">
        <v>1E-3</v>
      </c>
      <c r="AC343" s="213">
        <v>0</v>
      </c>
      <c r="AD343" s="213" t="s">
        <v>113</v>
      </c>
      <c r="AE343" s="213">
        <v>3.5E-4</v>
      </c>
      <c r="AF343" s="241">
        <v>87296029.819999993</v>
      </c>
      <c r="AG343" s="241">
        <v>87296029.819999993</v>
      </c>
      <c r="AH343" s="213">
        <v>-0.11409999999999999</v>
      </c>
      <c r="AI343" s="352">
        <v>-1.7569999999999999</v>
      </c>
      <c r="AJ343" s="213">
        <v>-3.2000000000000001E-2</v>
      </c>
      <c r="AK343" s="352">
        <v>-0.3402</v>
      </c>
      <c r="AL343" s="213">
        <v>-0.12759999999999999</v>
      </c>
      <c r="AM343" s="352">
        <v>-1.0562</v>
      </c>
      <c r="AN343" s="213" t="s">
        <v>66</v>
      </c>
      <c r="AO343" s="352" t="s">
        <v>66</v>
      </c>
      <c r="AP343" s="213">
        <v>0.1948</v>
      </c>
      <c r="AQ343" s="219">
        <v>-0.53142202106148384</v>
      </c>
      <c r="AR343" s="213" t="s">
        <v>1827</v>
      </c>
      <c r="AU343" s="343"/>
      <c r="AV343" s="343"/>
      <c r="AW343" s="328"/>
      <c r="AX343" s="329"/>
      <c r="AY343" s="328"/>
      <c r="AZ343" s="328"/>
      <c r="BA343" s="330"/>
      <c r="BB343" s="328"/>
      <c r="BC343" s="328"/>
      <c r="BD343" s="328"/>
      <c r="BE343" s="330"/>
      <c r="BF343" s="330"/>
      <c r="BG343" s="344"/>
      <c r="BH343" s="330"/>
      <c r="BI343" s="330"/>
      <c r="BJ343" s="330"/>
      <c r="BK343" s="330"/>
      <c r="BL343" s="330"/>
      <c r="BM343" s="330"/>
      <c r="BN343" s="330"/>
      <c r="BO343" s="330"/>
      <c r="BP343" s="331"/>
      <c r="BQ343" s="332"/>
      <c r="BR343" s="333"/>
    </row>
    <row r="344" spans="2:70" ht="15.75" customHeight="1">
      <c r="B344" s="216" t="s">
        <v>928</v>
      </c>
      <c r="C344" s="212">
        <v>2762127</v>
      </c>
      <c r="D344" s="223">
        <v>43508596000148</v>
      </c>
      <c r="E344" s="217" t="s">
        <v>28</v>
      </c>
      <c r="F344" s="217" t="s">
        <v>950</v>
      </c>
      <c r="G344" s="217"/>
      <c r="H344" s="218" t="s">
        <v>1260</v>
      </c>
      <c r="I344" s="217" t="s">
        <v>66</v>
      </c>
      <c r="J344" s="217" t="s">
        <v>66</v>
      </c>
      <c r="K344" s="218" t="s">
        <v>954</v>
      </c>
      <c r="L344" s="212"/>
      <c r="M344" s="250"/>
      <c r="N344" s="239">
        <v>44484</v>
      </c>
      <c r="O344" s="210" t="s">
        <v>249</v>
      </c>
      <c r="P344" s="210" t="s">
        <v>1075</v>
      </c>
      <c r="Q344" s="210" t="s">
        <v>1076</v>
      </c>
      <c r="R344" s="210" t="s">
        <v>1084</v>
      </c>
      <c r="S344" s="210" t="s">
        <v>1078</v>
      </c>
      <c r="T344" s="210" t="s">
        <v>1079</v>
      </c>
      <c r="U344" s="210" t="s">
        <v>65</v>
      </c>
      <c r="V344" s="210" t="s">
        <v>25</v>
      </c>
      <c r="W344" s="211" t="s">
        <v>1019</v>
      </c>
      <c r="X344" s="211">
        <v>0</v>
      </c>
      <c r="Y344" s="211">
        <v>0</v>
      </c>
      <c r="Z344" s="212">
        <v>0</v>
      </c>
      <c r="AA344" s="240">
        <v>4</v>
      </c>
      <c r="AB344" s="213">
        <v>2.5000000000000001E-3</v>
      </c>
      <c r="AC344" s="213">
        <v>0</v>
      </c>
      <c r="AD344" s="213" t="s">
        <v>1100</v>
      </c>
      <c r="AE344" s="213">
        <v>8.3325000000000001E-4</v>
      </c>
      <c r="AF344" s="241">
        <v>3952859.3</v>
      </c>
      <c r="AG344" s="241">
        <v>3952859.3</v>
      </c>
      <c r="AH344" s="213">
        <v>-0.24640000000000001</v>
      </c>
      <c r="AI344" s="352">
        <v>-3.7951999999999999</v>
      </c>
      <c r="AJ344" s="213" t="s">
        <v>66</v>
      </c>
      <c r="AK344" s="352" t="s">
        <v>66</v>
      </c>
      <c r="AL344" s="213" t="s">
        <v>66</v>
      </c>
      <c r="AM344" s="352" t="s">
        <v>66</v>
      </c>
      <c r="AN344" s="213" t="s">
        <v>66</v>
      </c>
      <c r="AO344" s="352" t="s">
        <v>66</v>
      </c>
      <c r="AP344" s="213" t="s">
        <v>66</v>
      </c>
      <c r="AQ344" s="219" t="s">
        <v>66</v>
      </c>
      <c r="AR344" s="213" t="s">
        <v>1827</v>
      </c>
      <c r="AU344" s="343"/>
      <c r="AV344" s="343"/>
      <c r="AW344" s="328"/>
      <c r="AX344" s="329"/>
      <c r="AY344" s="328"/>
      <c r="AZ344" s="328"/>
      <c r="BA344" s="330"/>
      <c r="BB344" s="328"/>
      <c r="BC344" s="328"/>
      <c r="BD344" s="328"/>
      <c r="BE344" s="330"/>
      <c r="BF344" s="330"/>
      <c r="BG344" s="344"/>
      <c r="BH344" s="330"/>
      <c r="BI344" s="330"/>
      <c r="BJ344" s="330"/>
      <c r="BK344" s="330"/>
      <c r="BL344" s="330"/>
      <c r="BM344" s="330"/>
      <c r="BN344" s="330"/>
      <c r="BO344" s="330"/>
      <c r="BP344" s="331"/>
      <c r="BQ344" s="332"/>
      <c r="BR344" s="333"/>
    </row>
    <row r="345" spans="2:70" ht="15.75" customHeight="1">
      <c r="B345" s="216" t="s">
        <v>1253</v>
      </c>
      <c r="C345" s="212">
        <v>1180157</v>
      </c>
      <c r="D345" s="223">
        <v>41771697000181</v>
      </c>
      <c r="E345" s="217" t="s">
        <v>28</v>
      </c>
      <c r="F345" s="217" t="s">
        <v>32</v>
      </c>
      <c r="G345" s="217" t="s">
        <v>1051</v>
      </c>
      <c r="H345" s="218"/>
      <c r="I345" s="217" t="s">
        <v>66</v>
      </c>
      <c r="J345" s="217" t="s">
        <v>66</v>
      </c>
      <c r="K345" s="218" t="s">
        <v>954</v>
      </c>
      <c r="L345" s="212" t="s">
        <v>88</v>
      </c>
      <c r="M345" s="250"/>
      <c r="N345" s="239">
        <v>44329</v>
      </c>
      <c r="O345" s="210" t="s">
        <v>249</v>
      </c>
      <c r="P345" s="210" t="s">
        <v>1075</v>
      </c>
      <c r="Q345" s="210" t="s">
        <v>1076</v>
      </c>
      <c r="R345" s="210" t="s">
        <v>1077</v>
      </c>
      <c r="S345" s="210" t="s">
        <v>1078</v>
      </c>
      <c r="T345" s="210" t="s">
        <v>32</v>
      </c>
      <c r="U345" s="210" t="s">
        <v>1254</v>
      </c>
      <c r="V345" s="210" t="s">
        <v>25</v>
      </c>
      <c r="W345" s="211" t="s">
        <v>1028</v>
      </c>
      <c r="X345" s="211">
        <v>1000</v>
      </c>
      <c r="Y345" s="211">
        <v>100</v>
      </c>
      <c r="Z345" s="212">
        <v>100</v>
      </c>
      <c r="AA345" s="240">
        <v>4</v>
      </c>
      <c r="AB345" s="213">
        <v>1.4999999999999999E-2</v>
      </c>
      <c r="AC345" s="213">
        <v>0</v>
      </c>
      <c r="AD345" s="213" t="s">
        <v>113</v>
      </c>
      <c r="AE345" s="213">
        <v>5.2499999999999995E-3</v>
      </c>
      <c r="AF345" s="241">
        <v>6367945.2599999998</v>
      </c>
      <c r="AG345" s="241">
        <v>6367945.2599999998</v>
      </c>
      <c r="AH345" s="213">
        <v>-0.50680000000000003</v>
      </c>
      <c r="AI345" s="352">
        <v>-7.8061999999999996</v>
      </c>
      <c r="AJ345" s="213">
        <v>-0.38729999999999998</v>
      </c>
      <c r="AK345" s="352">
        <v>-4.1167999999999996</v>
      </c>
      <c r="AL345" s="213" t="s">
        <v>66</v>
      </c>
      <c r="AM345" s="352" t="s">
        <v>66</v>
      </c>
      <c r="AN345" s="213" t="s">
        <v>66</v>
      </c>
      <c r="AO345" s="352" t="s">
        <v>66</v>
      </c>
      <c r="AP345" s="213">
        <v>0.59309999999999996</v>
      </c>
      <c r="AQ345" s="219">
        <v>-0.67900998816346148</v>
      </c>
      <c r="AR345" s="213" t="s">
        <v>1827</v>
      </c>
      <c r="AU345" s="343"/>
      <c r="AV345" s="343"/>
      <c r="AW345" s="328"/>
      <c r="AX345" s="329"/>
      <c r="AY345" s="328"/>
      <c r="AZ345" s="328"/>
      <c r="BA345" s="330"/>
      <c r="BB345" s="328"/>
      <c r="BC345" s="328"/>
      <c r="BD345" s="328"/>
      <c r="BE345" s="330"/>
      <c r="BF345" s="330"/>
      <c r="BG345" s="344"/>
      <c r="BH345" s="330"/>
      <c r="BI345" s="330"/>
      <c r="BJ345" s="330"/>
      <c r="BK345" s="330"/>
      <c r="BL345" s="330"/>
      <c r="BM345" s="330"/>
      <c r="BN345" s="330"/>
      <c r="BO345" s="330"/>
      <c r="BP345" s="331"/>
      <c r="BQ345" s="332"/>
      <c r="BR345" s="333"/>
    </row>
    <row r="346" spans="2:70" ht="15.75" customHeight="1">
      <c r="B346" s="216" t="s">
        <v>1255</v>
      </c>
      <c r="C346" s="212">
        <v>1178932</v>
      </c>
      <c r="D346" s="223">
        <v>40916758000199</v>
      </c>
      <c r="E346" s="217" t="s">
        <v>28</v>
      </c>
      <c r="F346" s="217" t="s">
        <v>32</v>
      </c>
      <c r="G346" s="217" t="s">
        <v>1051</v>
      </c>
      <c r="H346" s="218"/>
      <c r="I346" s="217" t="s">
        <v>66</v>
      </c>
      <c r="J346" s="217" t="s">
        <v>66</v>
      </c>
      <c r="K346" s="218" t="s">
        <v>954</v>
      </c>
      <c r="L346" s="212" t="s">
        <v>88</v>
      </c>
      <c r="M346" s="250"/>
      <c r="N346" s="239">
        <v>44287</v>
      </c>
      <c r="O346" s="210" t="s">
        <v>249</v>
      </c>
      <c r="P346" s="210" t="s">
        <v>1075</v>
      </c>
      <c r="Q346" s="210" t="s">
        <v>1076</v>
      </c>
      <c r="R346" s="210" t="s">
        <v>1084</v>
      </c>
      <c r="S346" s="210" t="s">
        <v>1078</v>
      </c>
      <c r="T346" s="210" t="s">
        <v>32</v>
      </c>
      <c r="U346" s="210" t="s">
        <v>1254</v>
      </c>
      <c r="V346" s="210" t="s">
        <v>25</v>
      </c>
      <c r="W346" s="211" t="s">
        <v>1016</v>
      </c>
      <c r="X346" s="211">
        <v>1</v>
      </c>
      <c r="Y346" s="211">
        <v>1</v>
      </c>
      <c r="Z346" s="212">
        <v>1</v>
      </c>
      <c r="AA346" s="240">
        <v>3</v>
      </c>
      <c r="AB346" s="213">
        <v>5.0000000000000001E-3</v>
      </c>
      <c r="AC346" s="213">
        <v>0</v>
      </c>
      <c r="AD346" s="213" t="s">
        <v>113</v>
      </c>
      <c r="AE346" s="213">
        <v>1.7499999999999998E-3</v>
      </c>
      <c r="AF346" s="241">
        <v>11259132.210000001</v>
      </c>
      <c r="AG346" s="241">
        <v>11259132.210000001</v>
      </c>
      <c r="AH346" s="213">
        <v>-6.9400000000000003E-2</v>
      </c>
      <c r="AI346" s="352">
        <v>-1.0697000000000001</v>
      </c>
      <c r="AJ346" s="213">
        <v>-1.04E-2</v>
      </c>
      <c r="AK346" s="352">
        <v>-0.11070000000000001</v>
      </c>
      <c r="AL346" s="213" t="s">
        <v>66</v>
      </c>
      <c r="AM346" s="352" t="s">
        <v>66</v>
      </c>
      <c r="AN346" s="213" t="s">
        <v>66</v>
      </c>
      <c r="AO346" s="352" t="s">
        <v>66</v>
      </c>
      <c r="AP346" s="213">
        <v>0.1158</v>
      </c>
      <c r="AQ346" s="219">
        <v>-0.80895900078112681</v>
      </c>
      <c r="AR346" s="213" t="s">
        <v>1827</v>
      </c>
      <c r="AU346" s="343"/>
      <c r="AV346" s="343"/>
      <c r="AW346" s="328"/>
      <c r="AX346" s="329"/>
      <c r="AY346" s="328"/>
      <c r="AZ346" s="328"/>
      <c r="BA346" s="330"/>
      <c r="BB346" s="328"/>
      <c r="BC346" s="328"/>
      <c r="BD346" s="328"/>
      <c r="BE346" s="330"/>
      <c r="BF346" s="330"/>
      <c r="BG346" s="344"/>
      <c r="BH346" s="330"/>
      <c r="BI346" s="330"/>
      <c r="BJ346" s="330"/>
      <c r="BK346" s="330"/>
      <c r="BL346" s="330"/>
      <c r="BM346" s="330"/>
      <c r="BN346" s="330"/>
      <c r="BO346" s="330"/>
      <c r="BP346" s="331"/>
      <c r="BQ346" s="332"/>
      <c r="BR346" s="333"/>
    </row>
    <row r="347" spans="2:70" ht="15.75" customHeight="1">
      <c r="B347" s="216" t="s">
        <v>1256</v>
      </c>
      <c r="C347" s="212">
        <v>2853291</v>
      </c>
      <c r="D347" s="223">
        <v>44347311000105</v>
      </c>
      <c r="E347" s="217" t="s">
        <v>28</v>
      </c>
      <c r="F347" s="217" t="s">
        <v>32</v>
      </c>
      <c r="G347" s="217" t="s">
        <v>1051</v>
      </c>
      <c r="H347" s="218"/>
      <c r="I347" s="217" t="s">
        <v>66</v>
      </c>
      <c r="J347" s="217" t="s">
        <v>66</v>
      </c>
      <c r="K347" s="218" t="s">
        <v>954</v>
      </c>
      <c r="L347" s="212" t="s">
        <v>88</v>
      </c>
      <c r="M347" s="250"/>
      <c r="N347" s="239">
        <v>44532</v>
      </c>
      <c r="O347" s="210" t="s">
        <v>249</v>
      </c>
      <c r="P347" s="210" t="s">
        <v>1075</v>
      </c>
      <c r="Q347" s="210" t="s">
        <v>1076</v>
      </c>
      <c r="R347" s="210" t="s">
        <v>1084</v>
      </c>
      <c r="S347" s="210" t="s">
        <v>1078</v>
      </c>
      <c r="T347" s="210" t="s">
        <v>32</v>
      </c>
      <c r="U347" s="210" t="s">
        <v>1254</v>
      </c>
      <c r="V347" s="210" t="s">
        <v>25</v>
      </c>
      <c r="W347" s="211" t="s">
        <v>1016</v>
      </c>
      <c r="X347" s="211">
        <v>100</v>
      </c>
      <c r="Y347" s="211">
        <v>100</v>
      </c>
      <c r="Z347" s="212">
        <v>100</v>
      </c>
      <c r="AA347" s="240">
        <v>3</v>
      </c>
      <c r="AB347" s="213">
        <v>5.0000000000000001E-3</v>
      </c>
      <c r="AC347" s="213">
        <v>0</v>
      </c>
      <c r="AD347" s="213" t="s">
        <v>1100</v>
      </c>
      <c r="AE347" s="213">
        <v>1.7499999999999998E-3</v>
      </c>
      <c r="AF347" s="241">
        <v>10068224.32</v>
      </c>
      <c r="AG347" s="241">
        <v>10068224.32</v>
      </c>
      <c r="AH347" s="213">
        <v>-4.7699999999999999E-2</v>
      </c>
      <c r="AI347" s="352">
        <v>-0.73460000000000003</v>
      </c>
      <c r="AJ347" s="213" t="s">
        <v>66</v>
      </c>
      <c r="AK347" s="352" t="s">
        <v>66</v>
      </c>
      <c r="AL347" s="213" t="s">
        <v>66</v>
      </c>
      <c r="AM347" s="352" t="s">
        <v>66</v>
      </c>
      <c r="AN347" s="213" t="s">
        <v>66</v>
      </c>
      <c r="AO347" s="352" t="s">
        <v>66</v>
      </c>
      <c r="AP347" s="213" t="s">
        <v>66</v>
      </c>
      <c r="AQ347" s="219" t="s">
        <v>66</v>
      </c>
      <c r="AR347" s="213" t="s">
        <v>1827</v>
      </c>
      <c r="AU347" s="343"/>
      <c r="AV347" s="343"/>
      <c r="AW347" s="328"/>
      <c r="AX347" s="329"/>
      <c r="AY347" s="328"/>
      <c r="AZ347" s="328"/>
      <c r="BA347" s="330"/>
      <c r="BB347" s="328"/>
      <c r="BC347" s="328"/>
      <c r="BD347" s="328"/>
      <c r="BE347" s="330"/>
      <c r="BF347" s="330"/>
      <c r="BG347" s="344"/>
      <c r="BH347" s="330"/>
      <c r="BI347" s="330"/>
      <c r="BJ347" s="330"/>
      <c r="BK347" s="330"/>
      <c r="BL347" s="330"/>
      <c r="BM347" s="330"/>
      <c r="BN347" s="330"/>
      <c r="BO347" s="330"/>
      <c r="BP347" s="331"/>
      <c r="BQ347" s="332"/>
      <c r="BR347" s="333"/>
    </row>
    <row r="348" spans="2:70" ht="15.75" customHeight="1">
      <c r="B348" s="216" t="s">
        <v>897</v>
      </c>
      <c r="C348" s="212">
        <v>2853079</v>
      </c>
      <c r="D348" s="223">
        <v>42730726000120</v>
      </c>
      <c r="E348" s="217" t="s">
        <v>28</v>
      </c>
      <c r="F348" s="217" t="s">
        <v>957</v>
      </c>
      <c r="G348" s="217"/>
      <c r="H348" s="218" t="s">
        <v>1260</v>
      </c>
      <c r="I348" s="217" t="s">
        <v>1842</v>
      </c>
      <c r="J348" s="217" t="s">
        <v>66</v>
      </c>
      <c r="K348" s="218" t="s">
        <v>954</v>
      </c>
      <c r="L348" s="212" t="s">
        <v>87</v>
      </c>
      <c r="M348" s="250"/>
      <c r="N348" s="239">
        <v>44414</v>
      </c>
      <c r="O348" s="210" t="s">
        <v>249</v>
      </c>
      <c r="P348" s="210" t="s">
        <v>1075</v>
      </c>
      <c r="Q348" s="210" t="s">
        <v>1076</v>
      </c>
      <c r="R348" s="210" t="s">
        <v>1084</v>
      </c>
      <c r="S348" s="210" t="s">
        <v>1078</v>
      </c>
      <c r="T348" s="210" t="s">
        <v>1079</v>
      </c>
      <c r="U348" s="210" t="s">
        <v>65</v>
      </c>
      <c r="V348" s="210" t="s">
        <v>1080</v>
      </c>
      <c r="W348" s="211" t="s">
        <v>1007</v>
      </c>
      <c r="X348" s="211">
        <v>0</v>
      </c>
      <c r="Y348" s="211">
        <v>0</v>
      </c>
      <c r="Z348" s="212">
        <v>0</v>
      </c>
      <c r="AA348" s="240">
        <v>3</v>
      </c>
      <c r="AB348" s="213">
        <v>0</v>
      </c>
      <c r="AC348" s="213">
        <v>0</v>
      </c>
      <c r="AD348" s="213" t="s">
        <v>113</v>
      </c>
      <c r="AE348" s="213">
        <v>0</v>
      </c>
      <c r="AF348" s="241">
        <v>7806643.1200000001</v>
      </c>
      <c r="AG348" s="241">
        <v>7806643.1200000001</v>
      </c>
      <c r="AH348" s="213">
        <v>-0.30130000000000001</v>
      </c>
      <c r="AI348" s="352">
        <v>-4.6414</v>
      </c>
      <c r="AJ348" s="213" t="s">
        <v>66</v>
      </c>
      <c r="AK348" s="352" t="s">
        <v>66</v>
      </c>
      <c r="AL348" s="213" t="s">
        <v>66</v>
      </c>
      <c r="AM348" s="352" t="s">
        <v>66</v>
      </c>
      <c r="AN348" s="213" t="s">
        <v>66</v>
      </c>
      <c r="AO348" s="352" t="s">
        <v>66</v>
      </c>
      <c r="AP348" s="213" t="s">
        <v>66</v>
      </c>
      <c r="AQ348" s="219" t="s">
        <v>66</v>
      </c>
      <c r="AR348" s="213" t="s">
        <v>1827</v>
      </c>
      <c r="AU348" s="343"/>
      <c r="AV348" s="343"/>
      <c r="AW348" s="328"/>
      <c r="AX348" s="329"/>
      <c r="AY348" s="328"/>
      <c r="AZ348" s="328"/>
      <c r="BA348" s="330"/>
      <c r="BB348" s="328"/>
      <c r="BC348" s="328"/>
      <c r="BD348" s="328"/>
      <c r="BE348" s="330"/>
      <c r="BF348" s="330"/>
      <c r="BG348" s="344"/>
      <c r="BH348" s="330"/>
      <c r="BI348" s="330"/>
      <c r="BJ348" s="330"/>
      <c r="BK348" s="330"/>
      <c r="BL348" s="330"/>
      <c r="BM348" s="330"/>
      <c r="BN348" s="330"/>
      <c r="BO348" s="330"/>
      <c r="BP348" s="331"/>
      <c r="BQ348" s="332"/>
      <c r="BR348" s="333"/>
    </row>
    <row r="349" spans="2:70" ht="15.75" customHeight="1">
      <c r="B349" s="216" t="s">
        <v>1257</v>
      </c>
      <c r="C349" s="212">
        <v>1176333</v>
      </c>
      <c r="D349" s="223">
        <v>32743215000199</v>
      </c>
      <c r="E349" s="217" t="s">
        <v>28</v>
      </c>
      <c r="F349" s="217" t="s">
        <v>950</v>
      </c>
      <c r="G349" s="217" t="s">
        <v>1021</v>
      </c>
      <c r="H349" s="218"/>
      <c r="I349" s="217" t="s">
        <v>66</v>
      </c>
      <c r="J349" s="217" t="s">
        <v>66</v>
      </c>
      <c r="K349" s="218" t="s">
        <v>951</v>
      </c>
      <c r="L349" s="212" t="s">
        <v>87</v>
      </c>
      <c r="M349" s="250"/>
      <c r="N349" s="239">
        <v>43539</v>
      </c>
      <c r="O349" s="210" t="s">
        <v>249</v>
      </c>
      <c r="P349" s="210" t="s">
        <v>1075</v>
      </c>
      <c r="Q349" s="210" t="s">
        <v>1076</v>
      </c>
      <c r="R349" s="210" t="s">
        <v>1084</v>
      </c>
      <c r="S349" s="210" t="s">
        <v>1078</v>
      </c>
      <c r="T349" s="210" t="s">
        <v>1079</v>
      </c>
      <c r="U349" s="210" t="s">
        <v>950</v>
      </c>
      <c r="V349" s="210" t="s">
        <v>1080</v>
      </c>
      <c r="W349" s="211" t="s">
        <v>1047</v>
      </c>
      <c r="X349" s="211">
        <v>500</v>
      </c>
      <c r="Y349" s="211">
        <v>500</v>
      </c>
      <c r="Z349" s="212">
        <v>500</v>
      </c>
      <c r="AA349" s="240">
        <v>2</v>
      </c>
      <c r="AB349" s="213">
        <v>1E-3</v>
      </c>
      <c r="AC349" s="213">
        <v>0</v>
      </c>
      <c r="AD349" s="213" t="s">
        <v>1014</v>
      </c>
      <c r="AE349" s="213">
        <v>3.5E-4</v>
      </c>
      <c r="AF349" s="241">
        <v>92174164.760000005</v>
      </c>
      <c r="AG349" s="241">
        <v>92174164.760000005</v>
      </c>
      <c r="AH349" s="213">
        <v>-2.12E-2</v>
      </c>
      <c r="AI349" s="352">
        <v>-0.3271</v>
      </c>
      <c r="AJ349" s="213">
        <v>-0.1744</v>
      </c>
      <c r="AK349" s="352">
        <v>-1.8541000000000001</v>
      </c>
      <c r="AL349" s="213">
        <v>-4.1999999999999997E-3</v>
      </c>
      <c r="AM349" s="352">
        <v>-3.4500000000000003E-2</v>
      </c>
      <c r="AN349" s="213">
        <v>1.1000000000000001E-3</v>
      </c>
      <c r="AO349" s="352">
        <v>6.7000000000000002E-3</v>
      </c>
      <c r="AP349" s="213">
        <v>0.20300000000000001</v>
      </c>
      <c r="AQ349" s="219">
        <v>-1.2851824678374431</v>
      </c>
      <c r="AR349" s="213" t="s">
        <v>1827</v>
      </c>
      <c r="AU349" s="343"/>
      <c r="AV349" s="343"/>
      <c r="AW349" s="328"/>
      <c r="AX349" s="329"/>
      <c r="AY349" s="328"/>
      <c r="AZ349" s="328"/>
      <c r="BA349" s="330"/>
      <c r="BB349" s="328"/>
      <c r="BC349" s="328"/>
      <c r="BD349" s="328"/>
      <c r="BE349" s="330"/>
      <c r="BF349" s="330"/>
      <c r="BG349" s="344"/>
      <c r="BH349" s="330"/>
      <c r="BI349" s="330"/>
      <c r="BJ349" s="330"/>
      <c r="BK349" s="330"/>
      <c r="BL349" s="330"/>
      <c r="BM349" s="330"/>
      <c r="BN349" s="330"/>
      <c r="BO349" s="330"/>
      <c r="BP349" s="331"/>
      <c r="BQ349" s="332"/>
      <c r="BR349" s="333"/>
    </row>
    <row r="350" spans="2:70" ht="15.75" customHeight="1">
      <c r="B350" s="216" t="s">
        <v>800</v>
      </c>
      <c r="C350" s="212">
        <v>1176340</v>
      </c>
      <c r="D350" s="223">
        <v>43274439000115</v>
      </c>
      <c r="E350" s="217" t="s">
        <v>28</v>
      </c>
      <c r="F350" s="217" t="s">
        <v>950</v>
      </c>
      <c r="G350" s="217"/>
      <c r="H350" s="218"/>
      <c r="I350" s="217" t="s">
        <v>66</v>
      </c>
      <c r="J350" s="217" t="s">
        <v>66</v>
      </c>
      <c r="K350" s="218" t="s">
        <v>954</v>
      </c>
      <c r="L350" s="212"/>
      <c r="M350" s="250"/>
      <c r="N350" s="239">
        <v>44442</v>
      </c>
      <c r="O350" s="210" t="s">
        <v>249</v>
      </c>
      <c r="P350" s="210" t="s">
        <v>1075</v>
      </c>
      <c r="Q350" s="210" t="s">
        <v>1076</v>
      </c>
      <c r="R350" s="210" t="s">
        <v>1084</v>
      </c>
      <c r="S350" s="210" t="s">
        <v>1078</v>
      </c>
      <c r="T350" s="210" t="s">
        <v>1079</v>
      </c>
      <c r="U350" s="210" t="s">
        <v>65</v>
      </c>
      <c r="V350" s="210" t="s">
        <v>25</v>
      </c>
      <c r="W350" s="211" t="s">
        <v>1019</v>
      </c>
      <c r="X350" s="211">
        <v>100</v>
      </c>
      <c r="Y350" s="211">
        <v>100</v>
      </c>
      <c r="Z350" s="212">
        <v>100</v>
      </c>
      <c r="AA350" s="240">
        <v>4</v>
      </c>
      <c r="AB350" s="213">
        <v>2.5000000000000001E-3</v>
      </c>
      <c r="AC350" s="213">
        <v>0</v>
      </c>
      <c r="AD350" s="213" t="s">
        <v>113</v>
      </c>
      <c r="AE350" s="213">
        <v>8.3325000000000001E-4</v>
      </c>
      <c r="AF350" s="241">
        <v>5989608.29</v>
      </c>
      <c r="AG350" s="241">
        <v>5989608.29</v>
      </c>
      <c r="AH350" s="213">
        <v>-0.31580000000000003</v>
      </c>
      <c r="AI350" s="352">
        <v>-4.8638000000000003</v>
      </c>
      <c r="AJ350" s="213" t="s">
        <v>66</v>
      </c>
      <c r="AK350" s="352" t="s">
        <v>66</v>
      </c>
      <c r="AL350" s="213" t="s">
        <v>66</v>
      </c>
      <c r="AM350" s="352" t="s">
        <v>66</v>
      </c>
      <c r="AN350" s="213" t="s">
        <v>66</v>
      </c>
      <c r="AO350" s="352" t="s">
        <v>66</v>
      </c>
      <c r="AP350" s="213" t="s">
        <v>66</v>
      </c>
      <c r="AQ350" s="219" t="s">
        <v>66</v>
      </c>
      <c r="AR350" s="213" t="s">
        <v>1827</v>
      </c>
      <c r="AU350" s="343"/>
      <c r="AV350" s="343"/>
      <c r="AW350" s="328"/>
      <c r="AX350" s="329"/>
      <c r="AY350" s="328"/>
      <c r="AZ350" s="328"/>
      <c r="BA350" s="330"/>
      <c r="BB350" s="328"/>
      <c r="BC350" s="328"/>
      <c r="BD350" s="328"/>
      <c r="BE350" s="330"/>
      <c r="BF350" s="330"/>
      <c r="BG350" s="344"/>
      <c r="BH350" s="330"/>
      <c r="BI350" s="330"/>
      <c r="BJ350" s="330"/>
      <c r="BK350" s="330"/>
      <c r="BL350" s="330"/>
      <c r="BM350" s="330"/>
      <c r="BN350" s="330"/>
      <c r="BO350" s="330"/>
      <c r="BP350" s="331"/>
      <c r="BQ350" s="332"/>
      <c r="BR350" s="333"/>
    </row>
    <row r="351" spans="2:70" ht="15.75" customHeight="1">
      <c r="B351" s="216" t="s">
        <v>259</v>
      </c>
      <c r="C351" s="212">
        <v>2839372</v>
      </c>
      <c r="D351" s="223">
        <v>36499594000174</v>
      </c>
      <c r="E351" s="217" t="s">
        <v>28</v>
      </c>
      <c r="F351" s="217" t="s">
        <v>950</v>
      </c>
      <c r="G351" s="217" t="s">
        <v>1021</v>
      </c>
      <c r="H351" s="218"/>
      <c r="I351" s="217" t="s">
        <v>66</v>
      </c>
      <c r="J351" s="217" t="s">
        <v>66</v>
      </c>
      <c r="K351" s="218" t="s">
        <v>954</v>
      </c>
      <c r="L351" s="212" t="s">
        <v>87</v>
      </c>
      <c r="M351" s="250"/>
      <c r="N351" s="239">
        <v>43923</v>
      </c>
      <c r="O351" s="210" t="s">
        <v>249</v>
      </c>
      <c r="P351" s="210" t="s">
        <v>1075</v>
      </c>
      <c r="Q351" s="210" t="s">
        <v>1076</v>
      </c>
      <c r="R351" s="210" t="s">
        <v>1084</v>
      </c>
      <c r="S351" s="210" t="s">
        <v>1078</v>
      </c>
      <c r="T351" s="210" t="s">
        <v>1079</v>
      </c>
      <c r="U351" s="210" t="s">
        <v>65</v>
      </c>
      <c r="V351" s="210" t="s">
        <v>25</v>
      </c>
      <c r="W351" s="211" t="s">
        <v>1016</v>
      </c>
      <c r="X351" s="211">
        <v>500</v>
      </c>
      <c r="Y351" s="211">
        <v>100</v>
      </c>
      <c r="Z351" s="212">
        <v>100</v>
      </c>
      <c r="AA351" s="240">
        <v>2</v>
      </c>
      <c r="AB351" s="213">
        <v>2E-3</v>
      </c>
      <c r="AC351" s="213">
        <v>0</v>
      </c>
      <c r="AD351" s="213" t="s">
        <v>1157</v>
      </c>
      <c r="AE351" s="213">
        <v>6.9999999999999999E-4</v>
      </c>
      <c r="AF351" s="241">
        <v>430901170.93000001</v>
      </c>
      <c r="AG351" s="241">
        <v>430901170.93000001</v>
      </c>
      <c r="AH351" s="213">
        <v>-9.0700000000000003E-2</v>
      </c>
      <c r="AI351" s="352">
        <v>-1.3972</v>
      </c>
      <c r="AJ351" s="213">
        <v>1.47E-2</v>
      </c>
      <c r="AK351" s="352">
        <v>0.15620000000000001</v>
      </c>
      <c r="AL351" s="213">
        <v>0.41239999999999999</v>
      </c>
      <c r="AM351" s="352">
        <v>3.4140999999999999</v>
      </c>
      <c r="AN351" s="213" t="s">
        <v>66</v>
      </c>
      <c r="AO351" s="352" t="s">
        <v>66</v>
      </c>
      <c r="AP351" s="213">
        <v>0.20530000000000001</v>
      </c>
      <c r="AQ351" s="219">
        <v>-0.26447541400629099</v>
      </c>
      <c r="AR351" s="213" t="s">
        <v>1824</v>
      </c>
      <c r="AU351" s="343"/>
      <c r="AV351" s="343"/>
      <c r="AW351" s="328"/>
      <c r="AX351" s="329"/>
      <c r="AY351" s="328"/>
      <c r="AZ351" s="328"/>
      <c r="BA351" s="330"/>
      <c r="BB351" s="328"/>
      <c r="BC351" s="328"/>
      <c r="BD351" s="328"/>
      <c r="BE351" s="330"/>
      <c r="BF351" s="330"/>
      <c r="BG351" s="344"/>
      <c r="BH351" s="330"/>
      <c r="BI351" s="330"/>
      <c r="BJ351" s="330"/>
      <c r="BK351" s="330"/>
      <c r="BL351" s="330"/>
      <c r="BM351" s="330"/>
      <c r="BN351" s="330"/>
      <c r="BO351" s="330"/>
      <c r="BP351" s="331"/>
      <c r="BQ351" s="332"/>
      <c r="BR351" s="333"/>
    </row>
    <row r="352" spans="2:70" ht="15.75" customHeight="1">
      <c r="B352" s="216" t="s">
        <v>1258</v>
      </c>
      <c r="C352" s="212">
        <v>2853182</v>
      </c>
      <c r="D352" s="223">
        <v>9814233000100</v>
      </c>
      <c r="E352" s="217" t="s">
        <v>19</v>
      </c>
      <c r="F352" s="217" t="s">
        <v>964</v>
      </c>
      <c r="G352" s="217" t="s">
        <v>1021</v>
      </c>
      <c r="H352" s="218" t="s">
        <v>1259</v>
      </c>
      <c r="I352" s="217" t="s">
        <v>66</v>
      </c>
      <c r="J352" s="217"/>
      <c r="K352" s="218" t="s">
        <v>951</v>
      </c>
      <c r="L352" s="212" t="s">
        <v>87</v>
      </c>
      <c r="M352" s="250"/>
      <c r="N352" s="239">
        <v>39652</v>
      </c>
      <c r="O352" s="210" t="s">
        <v>249</v>
      </c>
      <c r="P352" s="210" t="s">
        <v>1075</v>
      </c>
      <c r="Q352" s="210" t="s">
        <v>1076</v>
      </c>
      <c r="R352" s="210" t="s">
        <v>1084</v>
      </c>
      <c r="S352" s="210" t="s">
        <v>1078</v>
      </c>
      <c r="T352" s="210" t="s">
        <v>349</v>
      </c>
      <c r="U352" s="210" t="s">
        <v>964</v>
      </c>
      <c r="V352" s="210" t="s">
        <v>19</v>
      </c>
      <c r="W352" s="211" t="s">
        <v>1029</v>
      </c>
      <c r="X352" s="211">
        <v>3000</v>
      </c>
      <c r="Y352" s="211">
        <v>1000</v>
      </c>
      <c r="Z352" s="212">
        <v>1000</v>
      </c>
      <c r="AA352" s="240">
        <v>2</v>
      </c>
      <c r="AB352" s="213">
        <v>2E-3</v>
      </c>
      <c r="AC352" s="213">
        <v>0</v>
      </c>
      <c r="AD352" s="213" t="s">
        <v>1157</v>
      </c>
      <c r="AE352" s="213">
        <v>6.9999999999999999E-4</v>
      </c>
      <c r="AF352" s="241">
        <v>364107914.87</v>
      </c>
      <c r="AG352" s="241">
        <v>364107914.87</v>
      </c>
      <c r="AH352" s="213">
        <v>3.2199999999999999E-2</v>
      </c>
      <c r="AI352" s="352">
        <v>0.4955</v>
      </c>
      <c r="AJ352" s="213">
        <v>2.2599999999999999E-2</v>
      </c>
      <c r="AK352" s="352">
        <v>0.24010000000000001</v>
      </c>
      <c r="AL352" s="213">
        <v>6.0999999999999999E-2</v>
      </c>
      <c r="AM352" s="352">
        <v>0.505</v>
      </c>
      <c r="AN352" s="213">
        <v>0.13289999999999999</v>
      </c>
      <c r="AO352" s="352">
        <v>0.78869999999999996</v>
      </c>
      <c r="AP352" s="213">
        <v>5.5E-2</v>
      </c>
      <c r="AQ352" s="219">
        <v>-1.2006000709045792</v>
      </c>
      <c r="AR352" s="213" t="s">
        <v>1824</v>
      </c>
      <c r="AU352" s="343"/>
      <c r="AV352" s="343"/>
      <c r="AW352" s="328"/>
      <c r="AX352" s="329"/>
      <c r="AY352" s="328"/>
      <c r="AZ352" s="328"/>
      <c r="BA352" s="330"/>
      <c r="BB352" s="328"/>
      <c r="BC352" s="328"/>
      <c r="BD352" s="328"/>
      <c r="BE352" s="330"/>
      <c r="BF352" s="330"/>
      <c r="BG352" s="344"/>
      <c r="BH352" s="383"/>
      <c r="BI352" s="330"/>
      <c r="BJ352" s="330"/>
      <c r="BK352" s="330"/>
      <c r="BL352" s="330"/>
      <c r="BM352" s="330"/>
      <c r="BN352" s="330"/>
      <c r="BO352" s="330"/>
      <c r="BP352" s="331"/>
      <c r="BQ352" s="332"/>
      <c r="BR352" s="333"/>
    </row>
    <row r="353" spans="2:70" ht="15.75" customHeight="1">
      <c r="B353" s="216" t="s">
        <v>1903</v>
      </c>
      <c r="C353" s="212">
        <v>1576982</v>
      </c>
      <c r="D353" s="223">
        <v>20374752000120</v>
      </c>
      <c r="E353" s="217" t="s">
        <v>19</v>
      </c>
      <c r="F353" s="217" t="s">
        <v>964</v>
      </c>
      <c r="G353" s="217" t="s">
        <v>1021</v>
      </c>
      <c r="H353" s="218" t="s">
        <v>1260</v>
      </c>
      <c r="I353" s="217" t="s">
        <v>66</v>
      </c>
      <c r="J353" s="217"/>
      <c r="K353" s="218" t="s">
        <v>951</v>
      </c>
      <c r="L353" s="212" t="s">
        <v>87</v>
      </c>
      <c r="M353" s="250"/>
      <c r="N353" s="239">
        <v>41865</v>
      </c>
      <c r="O353" s="210" t="s">
        <v>249</v>
      </c>
      <c r="P353" s="210" t="s">
        <v>1075</v>
      </c>
      <c r="Q353" s="210" t="s">
        <v>1076</v>
      </c>
      <c r="R353" s="210" t="s">
        <v>1084</v>
      </c>
      <c r="S353" s="210" t="s">
        <v>1078</v>
      </c>
      <c r="T353" s="210" t="s">
        <v>349</v>
      </c>
      <c r="U353" s="210" t="s">
        <v>964</v>
      </c>
      <c r="V353" s="210" t="s">
        <v>19</v>
      </c>
      <c r="W353" s="211" t="s">
        <v>1029</v>
      </c>
      <c r="X353" s="211">
        <v>3000</v>
      </c>
      <c r="Y353" s="211">
        <v>1000</v>
      </c>
      <c r="Z353" s="212">
        <v>1000</v>
      </c>
      <c r="AA353" s="240">
        <v>2</v>
      </c>
      <c r="AB353" s="213">
        <v>2E-3</v>
      </c>
      <c r="AC353" s="213">
        <v>0</v>
      </c>
      <c r="AD353" s="213" t="s">
        <v>1157</v>
      </c>
      <c r="AE353" s="213">
        <v>6.9999999999999999E-4</v>
      </c>
      <c r="AF353" s="241">
        <v>259170721.61000001</v>
      </c>
      <c r="AG353" s="241">
        <v>259170721.61000001</v>
      </c>
      <c r="AH353" s="213">
        <v>0</v>
      </c>
      <c r="AI353" s="352">
        <v>-2.9999999999999997E-4</v>
      </c>
      <c r="AJ353" s="213">
        <v>-4.4600000000000001E-2</v>
      </c>
      <c r="AK353" s="352">
        <v>-0.47360000000000002</v>
      </c>
      <c r="AL353" s="213">
        <v>-1.9800000000000002E-2</v>
      </c>
      <c r="AM353" s="352">
        <v>-0.1641</v>
      </c>
      <c r="AN353" s="213">
        <v>3.5000000000000003E-2</v>
      </c>
      <c r="AO353" s="352">
        <v>0.2079</v>
      </c>
      <c r="AP353" s="213">
        <v>8.9300000000000004E-2</v>
      </c>
      <c r="AQ353" s="219">
        <v>-1.4725228470849405</v>
      </c>
      <c r="AR353" s="213" t="s">
        <v>1824</v>
      </c>
      <c r="AU353" s="343"/>
      <c r="AV353" s="343"/>
      <c r="AW353" s="328"/>
      <c r="AX353" s="329"/>
      <c r="AY353" s="328"/>
      <c r="AZ353" s="328"/>
      <c r="BA353" s="330"/>
      <c r="BB353" s="328"/>
      <c r="BC353" s="328"/>
      <c r="BD353" s="328"/>
      <c r="BE353" s="330"/>
      <c r="BF353" s="330"/>
      <c r="BG353" s="344"/>
      <c r="BH353" s="330"/>
      <c r="BI353" s="330"/>
      <c r="BJ353" s="330"/>
      <c r="BK353" s="330"/>
      <c r="BL353" s="330"/>
      <c r="BM353" s="330"/>
      <c r="BN353" s="330"/>
      <c r="BO353" s="330"/>
      <c r="BP353" s="331"/>
      <c r="BQ353" s="332"/>
      <c r="BR353" s="333"/>
    </row>
    <row r="354" spans="2:70" ht="15.75" customHeight="1">
      <c r="B354" s="216" t="s">
        <v>1261</v>
      </c>
      <c r="C354" s="212">
        <v>3051335</v>
      </c>
      <c r="D354" s="223">
        <v>43140671000160</v>
      </c>
      <c r="E354" s="217" t="s">
        <v>19</v>
      </c>
      <c r="F354" s="217" t="s">
        <v>1009</v>
      </c>
      <c r="G354" s="217" t="s">
        <v>1021</v>
      </c>
      <c r="H354" s="218" t="s">
        <v>1259</v>
      </c>
      <c r="I354" s="217" t="s">
        <v>66</v>
      </c>
      <c r="J354" s="217"/>
      <c r="K354" s="218" t="s">
        <v>951</v>
      </c>
      <c r="L354" s="212" t="s">
        <v>87</v>
      </c>
      <c r="M354" s="250"/>
      <c r="N354" s="239">
        <v>44558</v>
      </c>
      <c r="O354" s="210" t="s">
        <v>249</v>
      </c>
      <c r="P354" s="210" t="s">
        <v>1075</v>
      </c>
      <c r="Q354" s="210" t="s">
        <v>1076</v>
      </c>
      <c r="R354" s="210" t="s">
        <v>1157</v>
      </c>
      <c r="S354" s="210" t="s">
        <v>1078</v>
      </c>
      <c r="T354" s="210" t="s">
        <v>349</v>
      </c>
      <c r="U354" s="210" t="s">
        <v>1262</v>
      </c>
      <c r="V354" s="210" t="s">
        <v>19</v>
      </c>
      <c r="W354" s="211" t="s">
        <v>1029</v>
      </c>
      <c r="X354" s="211">
        <v>3000</v>
      </c>
      <c r="Y354" s="211">
        <v>1000</v>
      </c>
      <c r="Z354" s="212">
        <v>1000</v>
      </c>
      <c r="AA354" s="240">
        <v>2</v>
      </c>
      <c r="AB354" s="213">
        <v>2E-3</v>
      </c>
      <c r="AC354" s="213">
        <v>0</v>
      </c>
      <c r="AD354" s="213" t="s">
        <v>978</v>
      </c>
      <c r="AE354" s="213">
        <v>6.9999999999999999E-4</v>
      </c>
      <c r="AF354" s="241">
        <v>140111863.55000001</v>
      </c>
      <c r="AG354" s="241">
        <v>140111863.55000001</v>
      </c>
      <c r="AH354" s="213">
        <v>1.61E-2</v>
      </c>
      <c r="AI354" s="352">
        <v>0.24859999999999999</v>
      </c>
      <c r="AJ354" s="213" t="s">
        <v>66</v>
      </c>
      <c r="AK354" s="352" t="s">
        <v>66</v>
      </c>
      <c r="AL354" s="213" t="s">
        <v>66</v>
      </c>
      <c r="AM354" s="352" t="s">
        <v>66</v>
      </c>
      <c r="AN354" s="213" t="s">
        <v>66</v>
      </c>
      <c r="AO354" s="352" t="s">
        <v>66</v>
      </c>
      <c r="AP354" s="213" t="s">
        <v>66</v>
      </c>
      <c r="AQ354" s="219" t="s">
        <v>66</v>
      </c>
      <c r="AR354" s="213" t="s">
        <v>1824</v>
      </c>
      <c r="AU354" s="343"/>
      <c r="AV354" s="343"/>
      <c r="AW354" s="328"/>
      <c r="AX354" s="329"/>
      <c r="AY354" s="328"/>
      <c r="AZ354" s="328"/>
      <c r="BA354" s="330"/>
      <c r="BB354" s="328"/>
      <c r="BC354" s="328"/>
      <c r="BD354" s="328"/>
      <c r="BE354" s="330"/>
      <c r="BF354" s="330"/>
      <c r="BG354" s="344"/>
      <c r="BH354" s="330"/>
      <c r="BI354" s="330"/>
      <c r="BJ354" s="330"/>
      <c r="BK354" s="330"/>
      <c r="BL354" s="330"/>
      <c r="BM354" s="330"/>
      <c r="BN354" s="330"/>
      <c r="BO354" s="330"/>
      <c r="BP354" s="331"/>
      <c r="BQ354" s="332"/>
      <c r="BR354" s="333"/>
    </row>
    <row r="355" spans="2:70" ht="15.75" customHeight="1">
      <c r="B355" s="216" t="s">
        <v>1263</v>
      </c>
      <c r="C355" s="212">
        <v>2404847</v>
      </c>
      <c r="D355" s="223">
        <v>840011000180</v>
      </c>
      <c r="E355" s="217" t="s">
        <v>19</v>
      </c>
      <c r="F355" s="217" t="s">
        <v>963</v>
      </c>
      <c r="G355" s="217" t="s">
        <v>1021</v>
      </c>
      <c r="H355" s="218" t="s">
        <v>1113</v>
      </c>
      <c r="I355" s="217" t="s">
        <v>66</v>
      </c>
      <c r="J355" s="217"/>
      <c r="K355" s="218" t="s">
        <v>951</v>
      </c>
      <c r="L355" s="212" t="s">
        <v>87</v>
      </c>
      <c r="M355" s="250"/>
      <c r="N355" s="239">
        <v>34974</v>
      </c>
      <c r="O355" s="210" t="s">
        <v>249</v>
      </c>
      <c r="P355" s="210" t="s">
        <v>1075</v>
      </c>
      <c r="Q355" s="210" t="s">
        <v>1076</v>
      </c>
      <c r="R355" s="210" t="s">
        <v>1084</v>
      </c>
      <c r="S355" s="210" t="s">
        <v>1078</v>
      </c>
      <c r="T355" s="210" t="s">
        <v>349</v>
      </c>
      <c r="U355" s="210" t="s">
        <v>1114</v>
      </c>
      <c r="V355" s="210" t="s">
        <v>19</v>
      </c>
      <c r="W355" s="211" t="s">
        <v>1017</v>
      </c>
      <c r="X355" s="211">
        <v>500</v>
      </c>
      <c r="Y355" s="211">
        <v>100</v>
      </c>
      <c r="Z355" s="212">
        <v>100</v>
      </c>
      <c r="AA355" s="240">
        <v>0</v>
      </c>
      <c r="AB355" s="213">
        <v>3.0000000000000001E-3</v>
      </c>
      <c r="AC355" s="213">
        <v>0</v>
      </c>
      <c r="AD355" s="213" t="s">
        <v>109</v>
      </c>
      <c r="AE355" s="213">
        <v>1.0499999999999999E-3</v>
      </c>
      <c r="AF355" s="241">
        <v>3015661060.1199999</v>
      </c>
      <c r="AG355" s="241">
        <v>3015661060.1199999</v>
      </c>
      <c r="AH355" s="213">
        <v>6.9000000000000006E-2</v>
      </c>
      <c r="AI355" s="352">
        <v>1.0626</v>
      </c>
      <c r="AJ355" s="213">
        <v>0.1009</v>
      </c>
      <c r="AK355" s="352">
        <v>1.0720000000000001</v>
      </c>
      <c r="AL355" s="213">
        <v>0.1361</v>
      </c>
      <c r="AM355" s="352">
        <v>1.127</v>
      </c>
      <c r="AN355" s="213">
        <v>0.1186</v>
      </c>
      <c r="AO355" s="352">
        <v>0.7036</v>
      </c>
      <c r="AP355" s="213">
        <v>1.8E-3</v>
      </c>
      <c r="AQ355" s="219">
        <v>3.4126067427437037</v>
      </c>
      <c r="AR355" s="213" t="s">
        <v>1827</v>
      </c>
      <c r="AU355" s="343"/>
      <c r="AV355" s="343"/>
      <c r="AW355" s="328"/>
      <c r="AX355" s="329"/>
      <c r="AY355" s="328"/>
      <c r="AZ355" s="328"/>
      <c r="BA355" s="330"/>
      <c r="BB355" s="328"/>
      <c r="BC355" s="328"/>
      <c r="BD355" s="328"/>
      <c r="BE355" s="330"/>
      <c r="BF355" s="330"/>
      <c r="BG355" s="344"/>
      <c r="BH355" s="330"/>
      <c r="BI355" s="330"/>
      <c r="BJ355" s="330"/>
      <c r="BK355" s="330"/>
      <c r="BL355" s="330"/>
      <c r="BM355" s="330"/>
      <c r="BN355" s="330"/>
      <c r="BO355" s="330"/>
      <c r="BP355" s="331"/>
      <c r="BQ355" s="332"/>
      <c r="BR355" s="333"/>
    </row>
    <row r="356" spans="2:70" ht="15.75" customHeight="1">
      <c r="B356" s="216" t="s">
        <v>1264</v>
      </c>
      <c r="C356" s="212">
        <v>1166326</v>
      </c>
      <c r="D356" s="223">
        <v>32295478000182</v>
      </c>
      <c r="E356" s="217" t="s">
        <v>19</v>
      </c>
      <c r="F356" s="217" t="s">
        <v>963</v>
      </c>
      <c r="G356" s="217" t="s">
        <v>1011</v>
      </c>
      <c r="H356" s="218" t="s">
        <v>1113</v>
      </c>
      <c r="I356" s="217" t="s">
        <v>66</v>
      </c>
      <c r="J356" s="217"/>
      <c r="K356" s="218" t="s">
        <v>951</v>
      </c>
      <c r="L356" s="212" t="s">
        <v>87</v>
      </c>
      <c r="M356" s="250"/>
      <c r="N356" s="239">
        <v>43553</v>
      </c>
      <c r="O356" s="210" t="s">
        <v>249</v>
      </c>
      <c r="P356" s="210" t="s">
        <v>1075</v>
      </c>
      <c r="Q356" s="210" t="s">
        <v>1076</v>
      </c>
      <c r="R356" s="210" t="s">
        <v>1084</v>
      </c>
      <c r="S356" s="210" t="s">
        <v>1078</v>
      </c>
      <c r="T356" s="210" t="s">
        <v>349</v>
      </c>
      <c r="U356" s="210" t="s">
        <v>1114</v>
      </c>
      <c r="V356" s="210" t="s">
        <v>19</v>
      </c>
      <c r="W356" s="211" t="s">
        <v>1017</v>
      </c>
      <c r="X356" s="211">
        <v>1000</v>
      </c>
      <c r="Y356" s="211">
        <v>1000</v>
      </c>
      <c r="Z356" s="212">
        <v>1000</v>
      </c>
      <c r="AA356" s="240">
        <v>5</v>
      </c>
      <c r="AB356" s="213">
        <v>5.0000000000000001E-3</v>
      </c>
      <c r="AC356" s="213">
        <v>0</v>
      </c>
      <c r="AD356" s="213" t="s">
        <v>113</v>
      </c>
      <c r="AE356" s="213">
        <v>1.7499999999999998E-3</v>
      </c>
      <c r="AF356" s="241">
        <v>61382053</v>
      </c>
      <c r="AG356" s="241">
        <v>61382053</v>
      </c>
      <c r="AH356" s="213">
        <v>7.0300000000000001E-2</v>
      </c>
      <c r="AI356" s="352">
        <v>1.0832999999999999</v>
      </c>
      <c r="AJ356" s="213">
        <v>0.1032</v>
      </c>
      <c r="AK356" s="352">
        <v>1.0965</v>
      </c>
      <c r="AL356" s="213">
        <v>0.14269999999999999</v>
      </c>
      <c r="AM356" s="352">
        <v>1.1809000000000001</v>
      </c>
      <c r="AN356" s="213">
        <v>0.15709999999999999</v>
      </c>
      <c r="AO356" s="352">
        <v>0.93240000000000001</v>
      </c>
      <c r="AP356" s="213">
        <v>1.8E-3</v>
      </c>
      <c r="AQ356" s="219">
        <v>4.571148061221054</v>
      </c>
      <c r="AR356" s="213" t="s">
        <v>1827</v>
      </c>
      <c r="AU356" s="343"/>
      <c r="AV356" s="343"/>
      <c r="AW356" s="328"/>
      <c r="AX356" s="329"/>
      <c r="AY356" s="328"/>
      <c r="AZ356" s="328"/>
      <c r="BA356" s="330"/>
      <c r="BB356" s="328"/>
      <c r="BC356" s="328"/>
      <c r="BD356" s="328"/>
      <c r="BE356" s="330"/>
      <c r="BF356" s="330"/>
      <c r="BG356" s="344"/>
      <c r="BH356" s="330"/>
      <c r="BI356" s="330"/>
      <c r="BJ356" s="330"/>
      <c r="BK356" s="330"/>
      <c r="BL356" s="330"/>
      <c r="BM356" s="330"/>
      <c r="BN356" s="330"/>
      <c r="BO356" s="330"/>
      <c r="BP356" s="331"/>
      <c r="BQ356" s="332"/>
      <c r="BR356" s="333"/>
    </row>
    <row r="357" spans="2:70" ht="15.75" customHeight="1">
      <c r="B357" s="216" t="s">
        <v>260</v>
      </c>
      <c r="C357" s="212">
        <v>2552947</v>
      </c>
      <c r="D357" s="223">
        <v>23695876000103</v>
      </c>
      <c r="E357" s="217" t="s">
        <v>25</v>
      </c>
      <c r="F357" s="217" t="s">
        <v>958</v>
      </c>
      <c r="G357" s="217" t="s">
        <v>962</v>
      </c>
      <c r="H357" s="218" t="s">
        <v>66</v>
      </c>
      <c r="I357" s="217" t="s">
        <v>1842</v>
      </c>
      <c r="J357" s="217" t="s">
        <v>66</v>
      </c>
      <c r="K357" s="218"/>
      <c r="L357" s="212" t="s">
        <v>87</v>
      </c>
      <c r="M357" s="250"/>
      <c r="N357" s="239">
        <v>42489</v>
      </c>
      <c r="O357" s="210" t="s">
        <v>114</v>
      </c>
      <c r="P357" s="210" t="s">
        <v>1075</v>
      </c>
      <c r="Q357" s="210" t="s">
        <v>1076</v>
      </c>
      <c r="R357" s="210" t="s">
        <v>1084</v>
      </c>
      <c r="S357" s="210" t="s">
        <v>1078</v>
      </c>
      <c r="T357" s="210" t="s">
        <v>1082</v>
      </c>
      <c r="U357" s="210" t="s">
        <v>958</v>
      </c>
      <c r="V357" s="210" t="s">
        <v>25</v>
      </c>
      <c r="W357" s="211" t="s">
        <v>1012</v>
      </c>
      <c r="X357" s="211">
        <v>10000</v>
      </c>
      <c r="Y357" s="211">
        <v>10000</v>
      </c>
      <c r="Z357" s="212">
        <v>10000</v>
      </c>
      <c r="AA357" s="240">
        <v>31</v>
      </c>
      <c r="AB357" s="213">
        <v>1.9E-2</v>
      </c>
      <c r="AC357" s="213">
        <v>0.2</v>
      </c>
      <c r="AD357" s="213" t="s">
        <v>109</v>
      </c>
      <c r="AE357" s="213">
        <v>3.8E-3</v>
      </c>
      <c r="AF357" s="241">
        <v>25447784.109999999</v>
      </c>
      <c r="AG357" s="241">
        <v>25447784.109999999</v>
      </c>
      <c r="AH357" s="213">
        <v>-2.8799999999999999E-2</v>
      </c>
      <c r="AI357" s="352">
        <v>-0.44350000000000001</v>
      </c>
      <c r="AJ357" s="213">
        <v>-3.4200000000000001E-2</v>
      </c>
      <c r="AK357" s="352">
        <v>-0.36399999999999999</v>
      </c>
      <c r="AL357" s="213">
        <v>-9.1999999999999998E-3</v>
      </c>
      <c r="AM357" s="352">
        <v>-7.6200000000000004E-2</v>
      </c>
      <c r="AN357" s="213">
        <v>4.5600000000000002E-2</v>
      </c>
      <c r="AO357" s="352">
        <v>0.2707</v>
      </c>
      <c r="AP357" s="213">
        <v>9.8500000000000004E-2</v>
      </c>
      <c r="AQ357" s="219">
        <v>-1.217551488894703</v>
      </c>
      <c r="AR357" s="213" t="s">
        <v>1827</v>
      </c>
      <c r="AU357" s="343"/>
      <c r="AV357" s="343"/>
      <c r="AW357" s="328"/>
      <c r="AX357" s="329"/>
      <c r="AY357" s="328"/>
      <c r="AZ357" s="328"/>
      <c r="BA357" s="330"/>
      <c r="BB357" s="328"/>
      <c r="BC357" s="328"/>
      <c r="BD357" s="328"/>
      <c r="BE357" s="330"/>
      <c r="BF357" s="330"/>
      <c r="BG357" s="344"/>
      <c r="BH357" s="330"/>
      <c r="BI357" s="330"/>
      <c r="BJ357" s="330"/>
      <c r="BK357" s="330"/>
      <c r="BL357" s="330"/>
      <c r="BM357" s="330"/>
      <c r="BN357" s="330"/>
      <c r="BO357" s="330"/>
      <c r="BP357" s="331"/>
      <c r="BQ357" s="332"/>
      <c r="BR357" s="333"/>
    </row>
    <row r="358" spans="2:70" ht="15.75" customHeight="1">
      <c r="B358" s="216" t="s">
        <v>1265</v>
      </c>
      <c r="C358" s="212">
        <v>1176351</v>
      </c>
      <c r="D358" s="223">
        <v>17816013000136</v>
      </c>
      <c r="E358" s="217" t="s">
        <v>25</v>
      </c>
      <c r="F358" s="217" t="s">
        <v>958</v>
      </c>
      <c r="G358" s="217" t="s">
        <v>962</v>
      </c>
      <c r="H358" s="218" t="s">
        <v>66</v>
      </c>
      <c r="I358" s="217" t="s">
        <v>1841</v>
      </c>
      <c r="J358" s="217" t="s">
        <v>66</v>
      </c>
      <c r="K358" s="218"/>
      <c r="L358" s="212" t="s">
        <v>87</v>
      </c>
      <c r="M358" s="250"/>
      <c r="N358" s="239">
        <v>41397</v>
      </c>
      <c r="O358" s="210" t="s">
        <v>114</v>
      </c>
      <c r="P358" s="210" t="s">
        <v>1075</v>
      </c>
      <c r="Q358" s="210" t="s">
        <v>1076</v>
      </c>
      <c r="R358" s="210" t="s">
        <v>1084</v>
      </c>
      <c r="S358" s="210" t="s">
        <v>1085</v>
      </c>
      <c r="T358" s="210" t="s">
        <v>1082</v>
      </c>
      <c r="U358" s="210" t="s">
        <v>958</v>
      </c>
      <c r="V358" s="210" t="s">
        <v>25</v>
      </c>
      <c r="W358" s="211" t="s">
        <v>1016</v>
      </c>
      <c r="X358" s="211">
        <v>1000</v>
      </c>
      <c r="Y358" s="211">
        <v>1000</v>
      </c>
      <c r="Z358" s="212">
        <v>1000</v>
      </c>
      <c r="AA358" s="240">
        <v>30</v>
      </c>
      <c r="AB358" s="213">
        <v>1.9800000000000002E-2</v>
      </c>
      <c r="AC358" s="213">
        <v>0.2</v>
      </c>
      <c r="AD358" s="213" t="s">
        <v>1100</v>
      </c>
      <c r="AE358" s="213">
        <v>3.96E-3</v>
      </c>
      <c r="AF358" s="241">
        <v>80711397.450000003</v>
      </c>
      <c r="AG358" s="241">
        <v>80711397.450000003</v>
      </c>
      <c r="AH358" s="213">
        <v>0.13719999999999999</v>
      </c>
      <c r="AI358" s="352">
        <v>2.1128999999999998</v>
      </c>
      <c r="AJ358" s="213">
        <v>0.1603</v>
      </c>
      <c r="AK358" s="352">
        <v>1.7040999999999999</v>
      </c>
      <c r="AL358" s="213">
        <v>0.2419</v>
      </c>
      <c r="AM358" s="352">
        <v>2.0021</v>
      </c>
      <c r="AN358" s="213">
        <v>0.33460000000000001</v>
      </c>
      <c r="AO358" s="352">
        <v>1.9856</v>
      </c>
      <c r="AP358" s="213">
        <v>4.0500000000000001E-2</v>
      </c>
      <c r="AQ358" s="219">
        <v>1.4720497812293349</v>
      </c>
      <c r="AR358" s="213" t="s">
        <v>1827</v>
      </c>
      <c r="AU358" s="343"/>
      <c r="AV358" s="343"/>
      <c r="AW358" s="328"/>
      <c r="AX358" s="329"/>
      <c r="AY358" s="328"/>
      <c r="AZ358" s="328"/>
      <c r="BA358" s="330"/>
      <c r="BB358" s="328"/>
      <c r="BC358" s="328"/>
      <c r="BD358" s="328"/>
      <c r="BE358" s="330"/>
      <c r="BF358" s="330"/>
      <c r="BG358" s="344"/>
      <c r="BH358" s="330"/>
      <c r="BI358" s="330"/>
      <c r="BJ358" s="330"/>
      <c r="BK358" s="330"/>
      <c r="BL358" s="330"/>
      <c r="BM358" s="330"/>
      <c r="BN358" s="330"/>
      <c r="BO358" s="330"/>
      <c r="BP358" s="331"/>
      <c r="BQ358" s="332"/>
      <c r="BR358" s="333"/>
    </row>
    <row r="359" spans="2:70" ht="15.75" customHeight="1">
      <c r="B359" s="216" t="s">
        <v>1266</v>
      </c>
      <c r="C359" s="212">
        <v>1173287</v>
      </c>
      <c r="D359" s="223">
        <v>45294958000170</v>
      </c>
      <c r="E359" s="217" t="s">
        <v>19</v>
      </c>
      <c r="F359" s="217" t="s">
        <v>1009</v>
      </c>
      <c r="G359" s="217" t="s">
        <v>1011</v>
      </c>
      <c r="H359" s="218"/>
      <c r="I359" s="217" t="s">
        <v>66</v>
      </c>
      <c r="J359" s="217"/>
      <c r="K359" s="218" t="s">
        <v>954</v>
      </c>
      <c r="L359" s="212" t="s">
        <v>88</v>
      </c>
      <c r="M359" s="250"/>
      <c r="N359" s="239">
        <v>44678</v>
      </c>
      <c r="O359" s="210" t="s">
        <v>249</v>
      </c>
      <c r="P359" s="210" t="s">
        <v>1075</v>
      </c>
      <c r="Q359" s="210" t="s">
        <v>1076</v>
      </c>
      <c r="R359" s="210" t="s">
        <v>1077</v>
      </c>
      <c r="S359" s="210" t="s">
        <v>1078</v>
      </c>
      <c r="T359" s="210" t="s">
        <v>349</v>
      </c>
      <c r="U359" s="210" t="s">
        <v>65</v>
      </c>
      <c r="V359" s="210" t="s">
        <v>25</v>
      </c>
      <c r="W359" s="211" t="s">
        <v>1052</v>
      </c>
      <c r="X359" s="211">
        <v>0</v>
      </c>
      <c r="Y359" s="211">
        <v>0</v>
      </c>
      <c r="Z359" s="212">
        <v>0</v>
      </c>
      <c r="AA359" s="240">
        <v>7</v>
      </c>
      <c r="AB359" s="213">
        <v>8.0000000000000002E-3</v>
      </c>
      <c r="AC359" s="213">
        <v>0.2</v>
      </c>
      <c r="AD359" s="213" t="s">
        <v>113</v>
      </c>
      <c r="AE359" s="213" t="s">
        <v>66</v>
      </c>
      <c r="AF359" s="241">
        <v>25549589.690000001</v>
      </c>
      <c r="AG359" s="241">
        <v>25549589.690000001</v>
      </c>
      <c r="AH359" s="213" t="s">
        <v>66</v>
      </c>
      <c r="AI359" s="352" t="s">
        <v>66</v>
      </c>
      <c r="AJ359" s="213" t="s">
        <v>66</v>
      </c>
      <c r="AK359" s="352" t="s">
        <v>66</v>
      </c>
      <c r="AL359" s="213" t="s">
        <v>66</v>
      </c>
      <c r="AM359" s="352" t="s">
        <v>66</v>
      </c>
      <c r="AN359" s="213" t="s">
        <v>66</v>
      </c>
      <c r="AO359" s="352" t="s">
        <v>66</v>
      </c>
      <c r="AP359" s="213" t="s">
        <v>66</v>
      </c>
      <c r="AQ359" s="219" t="s">
        <v>66</v>
      </c>
      <c r="AR359" s="213" t="s">
        <v>1827</v>
      </c>
      <c r="AU359" s="343"/>
      <c r="AV359" s="343"/>
      <c r="AW359" s="328"/>
      <c r="AX359" s="329"/>
      <c r="AY359" s="328"/>
      <c r="AZ359" s="328"/>
      <c r="BA359" s="330"/>
      <c r="BB359" s="328"/>
      <c r="BC359" s="328"/>
      <c r="BD359" s="328"/>
      <c r="BE359" s="330"/>
      <c r="BF359" s="330"/>
      <c r="BG359" s="344"/>
      <c r="BH359" s="330"/>
      <c r="BI359" s="330"/>
      <c r="BJ359" s="330"/>
      <c r="BK359" s="330"/>
      <c r="BL359" s="330"/>
      <c r="BM359" s="330"/>
      <c r="BN359" s="330"/>
      <c r="BO359" s="330"/>
      <c r="BP359" s="331"/>
      <c r="BQ359" s="332"/>
      <c r="BR359" s="333"/>
    </row>
    <row r="360" spans="2:70" ht="15.75" customHeight="1">
      <c r="B360" s="216" t="s">
        <v>1267</v>
      </c>
      <c r="C360" s="212">
        <v>1170863</v>
      </c>
      <c r="D360" s="223">
        <v>37098846000116</v>
      </c>
      <c r="E360" s="217" t="s">
        <v>19</v>
      </c>
      <c r="F360" s="217" t="s">
        <v>1009</v>
      </c>
      <c r="G360" s="217"/>
      <c r="H360" s="218"/>
      <c r="I360" s="217" t="s">
        <v>66</v>
      </c>
      <c r="J360" s="217"/>
      <c r="K360" s="218" t="s">
        <v>1050</v>
      </c>
      <c r="L360" s="212" t="s">
        <v>87</v>
      </c>
      <c r="M360" s="250"/>
      <c r="N360" s="239">
        <v>43977</v>
      </c>
      <c r="O360" s="210" t="s">
        <v>249</v>
      </c>
      <c r="P360" s="210" t="s">
        <v>1075</v>
      </c>
      <c r="Q360" s="210" t="s">
        <v>1076</v>
      </c>
      <c r="R360" s="210" t="s">
        <v>1077</v>
      </c>
      <c r="S360" s="210" t="s">
        <v>1078</v>
      </c>
      <c r="T360" s="210" t="s">
        <v>349</v>
      </c>
      <c r="U360" s="210" t="s">
        <v>65</v>
      </c>
      <c r="V360" s="210" t="s">
        <v>25</v>
      </c>
      <c r="W360" s="211" t="s">
        <v>1028</v>
      </c>
      <c r="X360" s="211">
        <v>20000</v>
      </c>
      <c r="Y360" s="211">
        <v>10000</v>
      </c>
      <c r="Z360" s="212">
        <v>10000</v>
      </c>
      <c r="AA360" s="240">
        <v>7</v>
      </c>
      <c r="AB360" s="213">
        <v>8.0000000000000002E-3</v>
      </c>
      <c r="AC360" s="213">
        <v>0</v>
      </c>
      <c r="AD360" s="213" t="s">
        <v>113</v>
      </c>
      <c r="AE360" s="213">
        <v>2.6663999999999998E-3</v>
      </c>
      <c r="AF360" s="241">
        <v>5969031.9199999999</v>
      </c>
      <c r="AG360" s="241">
        <v>5969031.9199999999</v>
      </c>
      <c r="AH360" s="213">
        <v>-0.1089</v>
      </c>
      <c r="AI360" s="352">
        <v>-1.6767000000000001</v>
      </c>
      <c r="AJ360" s="213">
        <v>-0.1081</v>
      </c>
      <c r="AK360" s="352">
        <v>-1.1493</v>
      </c>
      <c r="AL360" s="213">
        <v>9.4000000000000004E-3</v>
      </c>
      <c r="AM360" s="352">
        <v>7.7499999999999999E-2</v>
      </c>
      <c r="AN360" s="213" t="s">
        <v>66</v>
      </c>
      <c r="AO360" s="352" t="s">
        <v>66</v>
      </c>
      <c r="AP360" s="213">
        <v>6.5600000000000006E-2</v>
      </c>
      <c r="AQ360" s="219">
        <v>-3.0827763137907973</v>
      </c>
      <c r="AR360" s="213" t="s">
        <v>1827</v>
      </c>
      <c r="AU360" s="343"/>
      <c r="AV360" s="343"/>
      <c r="AW360" s="328"/>
      <c r="AX360" s="329"/>
      <c r="AY360" s="328"/>
      <c r="AZ360" s="328"/>
      <c r="BA360" s="330"/>
      <c r="BB360" s="328"/>
      <c r="BC360" s="328"/>
      <c r="BD360" s="328"/>
      <c r="BE360" s="330"/>
      <c r="BF360" s="330"/>
      <c r="BG360" s="344"/>
      <c r="BH360" s="330"/>
      <c r="BI360" s="330"/>
      <c r="BJ360" s="330"/>
      <c r="BK360" s="330"/>
      <c r="BL360" s="330"/>
      <c r="BM360" s="330"/>
      <c r="BN360" s="330"/>
      <c r="BO360" s="330"/>
      <c r="BP360" s="331"/>
      <c r="BQ360" s="332"/>
      <c r="BR360" s="333"/>
    </row>
    <row r="361" spans="2:70" ht="15.75" customHeight="1">
      <c r="B361" s="216" t="s">
        <v>1268</v>
      </c>
      <c r="C361" s="212">
        <v>3188714</v>
      </c>
      <c r="D361" s="223">
        <v>29177909000100</v>
      </c>
      <c r="E361" s="217" t="s">
        <v>25</v>
      </c>
      <c r="F361" s="217" t="s">
        <v>958</v>
      </c>
      <c r="G361" s="217" t="s">
        <v>962</v>
      </c>
      <c r="H361" s="218" t="s">
        <v>66</v>
      </c>
      <c r="I361" s="217" t="s">
        <v>1842</v>
      </c>
      <c r="J361" s="217" t="s">
        <v>66</v>
      </c>
      <c r="K361" s="218"/>
      <c r="L361" s="212" t="s">
        <v>87</v>
      </c>
      <c r="M361" s="250"/>
      <c r="N361" s="239">
        <v>43461</v>
      </c>
      <c r="O361" s="210" t="s">
        <v>249</v>
      </c>
      <c r="P361" s="210" t="s">
        <v>1075</v>
      </c>
      <c r="Q361" s="210" t="s">
        <v>1076</v>
      </c>
      <c r="R361" s="210" t="s">
        <v>1077</v>
      </c>
      <c r="S361" s="210" t="s">
        <v>1078</v>
      </c>
      <c r="T361" s="210" t="s">
        <v>1082</v>
      </c>
      <c r="U361" s="210" t="s">
        <v>65</v>
      </c>
      <c r="V361" s="210" t="s">
        <v>25</v>
      </c>
      <c r="W361" s="211" t="s">
        <v>1028</v>
      </c>
      <c r="X361" s="211">
        <v>5000</v>
      </c>
      <c r="Y361" s="211">
        <v>5000</v>
      </c>
      <c r="Z361" s="212">
        <v>5000</v>
      </c>
      <c r="AA361" s="240">
        <v>5</v>
      </c>
      <c r="AB361" s="213">
        <v>0.01</v>
      </c>
      <c r="AC361" s="213">
        <v>0</v>
      </c>
      <c r="AD361" s="213" t="s">
        <v>113</v>
      </c>
      <c r="AE361" s="213">
        <v>8.0000000000000002E-3</v>
      </c>
      <c r="AF361" s="241">
        <v>85507163.519999996</v>
      </c>
      <c r="AG361" s="241">
        <v>85507163.519999996</v>
      </c>
      <c r="AH361" s="213">
        <v>-5.0200000000000002E-2</v>
      </c>
      <c r="AI361" s="352">
        <v>-0.77300000000000002</v>
      </c>
      <c r="AJ361" s="213">
        <v>-3.6999999999999998E-2</v>
      </c>
      <c r="AK361" s="352">
        <v>-0.39340000000000003</v>
      </c>
      <c r="AL361" s="213">
        <v>1.0800000000000001E-2</v>
      </c>
      <c r="AM361" s="352">
        <v>8.9300000000000004E-2</v>
      </c>
      <c r="AN361" s="213">
        <v>0.12670000000000001</v>
      </c>
      <c r="AO361" s="352">
        <v>0.75170000000000003</v>
      </c>
      <c r="AP361" s="213">
        <v>9.2999999999999999E-2</v>
      </c>
      <c r="AQ361" s="219">
        <v>-1.3262560426273273</v>
      </c>
      <c r="AR361" s="213" t="s">
        <v>1827</v>
      </c>
      <c r="AU361" s="343"/>
      <c r="AV361" s="343"/>
      <c r="AW361" s="328"/>
      <c r="AX361" s="329"/>
      <c r="AY361" s="328"/>
      <c r="AZ361" s="328"/>
      <c r="BA361" s="330"/>
      <c r="BB361" s="328"/>
      <c r="BC361" s="328"/>
      <c r="BD361" s="328"/>
      <c r="BE361" s="330"/>
      <c r="BF361" s="330"/>
      <c r="BG361" s="344"/>
      <c r="BH361" s="330"/>
      <c r="BI361" s="330"/>
      <c r="BJ361" s="330"/>
      <c r="BK361" s="330"/>
      <c r="BL361" s="330"/>
      <c r="BM361" s="330"/>
      <c r="BN361" s="330"/>
      <c r="BO361" s="330"/>
      <c r="BP361" s="331"/>
      <c r="BQ361" s="332"/>
      <c r="BR361" s="333"/>
    </row>
    <row r="362" spans="2:70" ht="15.75" customHeight="1">
      <c r="B362" s="216" t="s">
        <v>1270</v>
      </c>
      <c r="C362" s="212">
        <v>1174388</v>
      </c>
      <c r="D362" s="223">
        <v>39281097000193</v>
      </c>
      <c r="E362" s="217" t="s">
        <v>25</v>
      </c>
      <c r="F362" s="217" t="s">
        <v>958</v>
      </c>
      <c r="G362" s="217" t="s">
        <v>962</v>
      </c>
      <c r="H362" s="218" t="s">
        <v>66</v>
      </c>
      <c r="I362" s="217" t="s">
        <v>1841</v>
      </c>
      <c r="J362" s="217" t="s">
        <v>66</v>
      </c>
      <c r="K362" s="218"/>
      <c r="L362" s="212" t="s">
        <v>87</v>
      </c>
      <c r="M362" s="250"/>
      <c r="N362" s="239">
        <v>44134</v>
      </c>
      <c r="O362" s="210" t="s">
        <v>114</v>
      </c>
      <c r="P362" s="210" t="s">
        <v>1075</v>
      </c>
      <c r="Q362" s="210" t="s">
        <v>1076</v>
      </c>
      <c r="R362" s="210" t="s">
        <v>1099</v>
      </c>
      <c r="S362" s="210" t="s">
        <v>1078</v>
      </c>
      <c r="T362" s="210" t="s">
        <v>1082</v>
      </c>
      <c r="U362" s="210" t="s">
        <v>65</v>
      </c>
      <c r="V362" s="210" t="s">
        <v>25</v>
      </c>
      <c r="W362" s="211" t="s">
        <v>1028</v>
      </c>
      <c r="X362" s="211">
        <v>50000</v>
      </c>
      <c r="Y362" s="211">
        <v>50000</v>
      </c>
      <c r="Z362" s="212">
        <v>50000</v>
      </c>
      <c r="AA362" s="240">
        <v>91</v>
      </c>
      <c r="AB362" s="213">
        <v>5.0000000000000001E-3</v>
      </c>
      <c r="AC362" s="213">
        <v>0</v>
      </c>
      <c r="AD362" s="213" t="s">
        <v>113</v>
      </c>
      <c r="AE362" s="213">
        <v>3.3333333333333331E-3</v>
      </c>
      <c r="AF362" s="241">
        <v>9241980.8699999992</v>
      </c>
      <c r="AG362" s="241">
        <v>9241980.8699999992</v>
      </c>
      <c r="AH362" s="213">
        <v>1.35E-2</v>
      </c>
      <c r="AI362" s="352">
        <v>0.20749999999999999</v>
      </c>
      <c r="AJ362" s="213">
        <v>0.05</v>
      </c>
      <c r="AK362" s="352">
        <v>0.53180000000000005</v>
      </c>
      <c r="AL362" s="213" t="s">
        <v>66</v>
      </c>
      <c r="AM362" s="352" t="s">
        <v>66</v>
      </c>
      <c r="AN362" s="213" t="s">
        <v>66</v>
      </c>
      <c r="AO362" s="352" t="s">
        <v>66</v>
      </c>
      <c r="AP362" s="213">
        <v>2.9000000000000001E-2</v>
      </c>
      <c r="AQ362" s="219">
        <v>-1.4041336975042973</v>
      </c>
      <c r="AR362" s="213" t="s">
        <v>1827</v>
      </c>
      <c r="AU362" s="343"/>
      <c r="AV362" s="343"/>
      <c r="AW362" s="328"/>
      <c r="AX362" s="329"/>
      <c r="AY362" s="328"/>
      <c r="AZ362" s="328"/>
      <c r="BA362" s="330"/>
      <c r="BB362" s="328"/>
      <c r="BC362" s="328"/>
      <c r="BD362" s="328"/>
      <c r="BE362" s="330"/>
      <c r="BF362" s="330"/>
      <c r="BG362" s="344"/>
      <c r="BH362" s="330"/>
      <c r="BI362" s="330"/>
      <c r="BJ362" s="330"/>
      <c r="BK362" s="330"/>
      <c r="BL362" s="330"/>
      <c r="BM362" s="330"/>
      <c r="BN362" s="330"/>
      <c r="BO362" s="330"/>
      <c r="BP362" s="331"/>
      <c r="BQ362" s="332"/>
      <c r="BR362" s="333"/>
    </row>
    <row r="363" spans="2:70" ht="15.75" customHeight="1">
      <c r="B363" s="216" t="s">
        <v>1271</v>
      </c>
      <c r="C363" s="212">
        <v>2790914</v>
      </c>
      <c r="D363" s="223">
        <v>39958394000120</v>
      </c>
      <c r="E363" s="217" t="s">
        <v>28</v>
      </c>
      <c r="F363" s="217" t="s">
        <v>950</v>
      </c>
      <c r="G363" s="217"/>
      <c r="H363" s="218"/>
      <c r="I363" s="217" t="s">
        <v>66</v>
      </c>
      <c r="J363" s="217" t="s">
        <v>66</v>
      </c>
      <c r="K363" s="218" t="s">
        <v>951</v>
      </c>
      <c r="L363" s="212" t="s">
        <v>87</v>
      </c>
      <c r="M363" s="250"/>
      <c r="N363" s="239">
        <v>44174</v>
      </c>
      <c r="O363" s="210" t="s">
        <v>249</v>
      </c>
      <c r="P363" s="210" t="s">
        <v>1075</v>
      </c>
      <c r="Q363" s="210" t="s">
        <v>1076</v>
      </c>
      <c r="R363" s="210" t="s">
        <v>1084</v>
      </c>
      <c r="S363" s="210" t="s">
        <v>1078</v>
      </c>
      <c r="T363" s="210" t="s">
        <v>1079</v>
      </c>
      <c r="U363" s="210" t="s">
        <v>950</v>
      </c>
      <c r="V363" s="210" t="s">
        <v>1080</v>
      </c>
      <c r="W363" s="211" t="s">
        <v>1044</v>
      </c>
      <c r="X363" s="211">
        <v>1</v>
      </c>
      <c r="Y363" s="211">
        <v>1</v>
      </c>
      <c r="Z363" s="212">
        <v>1</v>
      </c>
      <c r="AA363" s="240">
        <v>3</v>
      </c>
      <c r="AB363" s="213">
        <v>0</v>
      </c>
      <c r="AC363" s="213">
        <v>0</v>
      </c>
      <c r="AD363" s="213" t="s">
        <v>113</v>
      </c>
      <c r="AE363" s="213" t="s">
        <v>66</v>
      </c>
      <c r="AF363" s="241">
        <v>2876677.02</v>
      </c>
      <c r="AG363" s="241">
        <v>2876677.02</v>
      </c>
      <c r="AH363" s="213">
        <v>-7.7799999999999994E-2</v>
      </c>
      <c r="AI363" s="352">
        <v>-1.1986000000000001</v>
      </c>
      <c r="AJ363" s="213">
        <v>-0.21579999999999999</v>
      </c>
      <c r="AK363" s="352">
        <v>-2.2938999999999998</v>
      </c>
      <c r="AL363" s="213" t="s">
        <v>66</v>
      </c>
      <c r="AM363" s="352" t="s">
        <v>66</v>
      </c>
      <c r="AN363" s="213" t="s">
        <v>66</v>
      </c>
      <c r="AO363" s="352" t="s">
        <v>66</v>
      </c>
      <c r="AP363" s="213">
        <v>0.2298</v>
      </c>
      <c r="AQ363" s="219">
        <v>-1.3344776164466519</v>
      </c>
      <c r="AR363" s="213" t="s">
        <v>1827</v>
      </c>
      <c r="AU363" s="343"/>
      <c r="AV363" s="343"/>
      <c r="AW363" s="328"/>
      <c r="AX363" s="329"/>
      <c r="AY363" s="328"/>
      <c r="AZ363" s="328"/>
      <c r="BA363" s="330"/>
      <c r="BB363" s="328"/>
      <c r="BC363" s="328"/>
      <c r="BD363" s="328"/>
      <c r="BE363" s="330"/>
      <c r="BF363" s="330"/>
      <c r="BG363" s="344"/>
      <c r="BH363" s="330"/>
      <c r="BI363" s="330"/>
      <c r="BJ363" s="330"/>
      <c r="BK363" s="330"/>
      <c r="BL363" s="330"/>
      <c r="BM363" s="330"/>
      <c r="BN363" s="330"/>
      <c r="BO363" s="330"/>
      <c r="BP363" s="331"/>
      <c r="BQ363" s="332"/>
      <c r="BR363" s="333"/>
    </row>
    <row r="364" spans="2:70" ht="15.75" customHeight="1">
      <c r="B364" s="216" t="s">
        <v>1272</v>
      </c>
      <c r="C364" s="212">
        <v>1176353</v>
      </c>
      <c r="D364" s="223">
        <v>39835826000106</v>
      </c>
      <c r="E364" s="217" t="s">
        <v>25</v>
      </c>
      <c r="F364" s="217" t="s">
        <v>958</v>
      </c>
      <c r="G364" s="217" t="s">
        <v>962</v>
      </c>
      <c r="H364" s="218" t="s">
        <v>66</v>
      </c>
      <c r="I364" s="217" t="s">
        <v>1842</v>
      </c>
      <c r="J364" s="217" t="s">
        <v>66</v>
      </c>
      <c r="K364" s="218"/>
      <c r="L364" s="212" t="s">
        <v>87</v>
      </c>
      <c r="M364" s="250"/>
      <c r="N364" s="239">
        <v>44162</v>
      </c>
      <c r="O364" s="210" t="s">
        <v>114</v>
      </c>
      <c r="P364" s="210" t="s">
        <v>1075</v>
      </c>
      <c r="Q364" s="210" t="s">
        <v>1076</v>
      </c>
      <c r="R364" s="210" t="s">
        <v>1099</v>
      </c>
      <c r="S364" s="210" t="s">
        <v>1085</v>
      </c>
      <c r="T364" s="210" t="s">
        <v>1082</v>
      </c>
      <c r="U364" s="210" t="s">
        <v>958</v>
      </c>
      <c r="V364" s="210" t="s">
        <v>25</v>
      </c>
      <c r="W364" s="211" t="s">
        <v>1028</v>
      </c>
      <c r="X364" s="211">
        <v>500000</v>
      </c>
      <c r="Y364" s="211">
        <v>100000</v>
      </c>
      <c r="Z364" s="212">
        <v>500000</v>
      </c>
      <c r="AA364" s="240">
        <v>181</v>
      </c>
      <c r="AB364" s="213">
        <v>7.0000000000000001E-3</v>
      </c>
      <c r="AC364" s="213">
        <v>0.2</v>
      </c>
      <c r="AD364" s="213" t="s">
        <v>113</v>
      </c>
      <c r="AE364" s="213" t="s">
        <v>66</v>
      </c>
      <c r="AF364" s="241">
        <v>259248721.19999999</v>
      </c>
      <c r="AG364" s="241">
        <v>259248721.19999999</v>
      </c>
      <c r="AH364" s="213">
        <v>0.3548</v>
      </c>
      <c r="AI364" s="352">
        <v>5.4657</v>
      </c>
      <c r="AJ364" s="213">
        <v>0.43709999999999999</v>
      </c>
      <c r="AK364" s="352">
        <v>4.6462000000000003</v>
      </c>
      <c r="AL364" s="213" t="s">
        <v>66</v>
      </c>
      <c r="AM364" s="352" t="s">
        <v>66</v>
      </c>
      <c r="AN364" s="213" t="s">
        <v>66</v>
      </c>
      <c r="AO364" s="352" t="s">
        <v>66</v>
      </c>
      <c r="AP364" s="213">
        <v>0.20169999999999999</v>
      </c>
      <c r="AQ364" s="219">
        <v>1.4490408392405665</v>
      </c>
      <c r="AR364" s="213" t="s">
        <v>1827</v>
      </c>
      <c r="AU364" s="343"/>
      <c r="AV364" s="343"/>
      <c r="AW364" s="328"/>
      <c r="AX364" s="329"/>
      <c r="AY364" s="328"/>
      <c r="AZ364" s="328"/>
      <c r="BA364" s="330"/>
      <c r="BB364" s="328"/>
      <c r="BC364" s="328"/>
      <c r="BD364" s="328"/>
      <c r="BE364" s="330"/>
      <c r="BF364" s="330"/>
      <c r="BG364" s="344"/>
      <c r="BH364" s="330"/>
      <c r="BI364" s="330"/>
      <c r="BJ364" s="330"/>
      <c r="BK364" s="330"/>
      <c r="BL364" s="330"/>
      <c r="BM364" s="330"/>
      <c r="BN364" s="330"/>
      <c r="BO364" s="330"/>
      <c r="BP364" s="331"/>
      <c r="BQ364" s="332"/>
      <c r="BR364" s="333"/>
    </row>
    <row r="365" spans="2:70" ht="15.75" customHeight="1">
      <c r="B365" s="216" t="s">
        <v>1273</v>
      </c>
      <c r="C365" s="212">
        <v>3976594</v>
      </c>
      <c r="D365" s="223">
        <v>37953241000165</v>
      </c>
      <c r="E365" s="217" t="s">
        <v>25</v>
      </c>
      <c r="F365" s="217" t="s">
        <v>958</v>
      </c>
      <c r="G365" s="217" t="s">
        <v>962</v>
      </c>
      <c r="H365" s="218" t="s">
        <v>66</v>
      </c>
      <c r="I365" s="217" t="s">
        <v>1841</v>
      </c>
      <c r="J365" s="217" t="s">
        <v>66</v>
      </c>
      <c r="K365" s="218" t="s">
        <v>1040</v>
      </c>
      <c r="L365" s="212" t="s">
        <v>87</v>
      </c>
      <c r="M365" s="250"/>
      <c r="N365" s="239">
        <v>44089</v>
      </c>
      <c r="O365" s="210" t="s">
        <v>249</v>
      </c>
      <c r="P365" s="210" t="s">
        <v>1075</v>
      </c>
      <c r="Q365" s="210" t="s">
        <v>1076</v>
      </c>
      <c r="R365" s="210" t="s">
        <v>1099</v>
      </c>
      <c r="S365" s="210" t="s">
        <v>1085</v>
      </c>
      <c r="T365" s="210" t="s">
        <v>349</v>
      </c>
      <c r="U365" s="210" t="s">
        <v>65</v>
      </c>
      <c r="V365" s="210" t="s">
        <v>25</v>
      </c>
      <c r="W365" s="211" t="s">
        <v>1028</v>
      </c>
      <c r="X365" s="211">
        <v>50000</v>
      </c>
      <c r="Y365" s="211">
        <v>5000</v>
      </c>
      <c r="Z365" s="212">
        <v>5000</v>
      </c>
      <c r="AA365" s="240">
        <v>3</v>
      </c>
      <c r="AB365" s="213">
        <v>0</v>
      </c>
      <c r="AC365" s="213">
        <v>0</v>
      </c>
      <c r="AD365" s="213" t="s">
        <v>113</v>
      </c>
      <c r="AE365" s="213" t="s">
        <v>66</v>
      </c>
      <c r="AF365" s="241">
        <v>29648925.640000001</v>
      </c>
      <c r="AG365" s="241">
        <v>29648925.640000001</v>
      </c>
      <c r="AH365" s="213">
        <v>4.5999999999999999E-2</v>
      </c>
      <c r="AI365" s="352">
        <v>0.70830000000000004</v>
      </c>
      <c r="AJ365" s="213">
        <v>6.5699999999999995E-2</v>
      </c>
      <c r="AK365" s="352">
        <v>0.69850000000000001</v>
      </c>
      <c r="AL365" s="213" t="s">
        <v>66</v>
      </c>
      <c r="AM365" s="352" t="s">
        <v>66</v>
      </c>
      <c r="AN365" s="213" t="s">
        <v>66</v>
      </c>
      <c r="AO365" s="352" t="s">
        <v>66</v>
      </c>
      <c r="AP365" s="213">
        <v>1.5100000000000001E-2</v>
      </c>
      <c r="AQ365" s="219">
        <v>-1.7281779463234379</v>
      </c>
      <c r="AR365" s="213" t="s">
        <v>1827</v>
      </c>
      <c r="AU365" s="343"/>
      <c r="AV365" s="343"/>
      <c r="AW365" s="328"/>
      <c r="AX365" s="329"/>
      <c r="AY365" s="328"/>
      <c r="AZ365" s="328"/>
      <c r="BA365" s="330"/>
      <c r="BB365" s="328"/>
      <c r="BC365" s="328"/>
      <c r="BD365" s="328"/>
      <c r="BE365" s="330"/>
      <c r="BF365" s="330"/>
      <c r="BG365" s="344"/>
      <c r="BH365" s="330"/>
      <c r="BI365" s="330"/>
      <c r="BJ365" s="330"/>
      <c r="BK365" s="330"/>
      <c r="BL365" s="330"/>
      <c r="BM365" s="330"/>
      <c r="BN365" s="330"/>
      <c r="BO365" s="330"/>
      <c r="BP365" s="331"/>
      <c r="BQ365" s="332"/>
      <c r="BR365" s="333"/>
    </row>
    <row r="366" spans="2:70" ht="15.75" customHeight="1">
      <c r="B366" s="216" t="s">
        <v>1274</v>
      </c>
      <c r="C366" s="212">
        <v>1180160</v>
      </c>
      <c r="D366" s="223">
        <v>23186354000178</v>
      </c>
      <c r="E366" s="217" t="s">
        <v>19</v>
      </c>
      <c r="F366" s="217" t="s">
        <v>964</v>
      </c>
      <c r="G366" s="217" t="s">
        <v>1042</v>
      </c>
      <c r="H366" s="218" t="s">
        <v>1113</v>
      </c>
      <c r="I366" s="217" t="s">
        <v>66</v>
      </c>
      <c r="J366" s="217"/>
      <c r="K366" s="218" t="s">
        <v>951</v>
      </c>
      <c r="L366" s="212" t="s">
        <v>87</v>
      </c>
      <c r="M366" s="250"/>
      <c r="N366" s="239">
        <v>42320</v>
      </c>
      <c r="O366" s="210" t="s">
        <v>261</v>
      </c>
      <c r="P366" s="210" t="s">
        <v>1075</v>
      </c>
      <c r="Q366" s="210" t="s">
        <v>1076</v>
      </c>
      <c r="R366" s="210" t="s">
        <v>1084</v>
      </c>
      <c r="S366" s="210" t="s">
        <v>1078</v>
      </c>
      <c r="T366" s="210" t="s">
        <v>1275</v>
      </c>
      <c r="U366" s="210" t="s">
        <v>964</v>
      </c>
      <c r="V366" s="210" t="s">
        <v>19</v>
      </c>
      <c r="W366" s="211" t="s">
        <v>1024</v>
      </c>
      <c r="X366" s="211">
        <v>100</v>
      </c>
      <c r="Y366" s="211">
        <v>0</v>
      </c>
      <c r="Z366" s="212">
        <v>0</v>
      </c>
      <c r="AA366" s="240">
        <v>31</v>
      </c>
      <c r="AB366" s="213">
        <v>0.01</v>
      </c>
      <c r="AC366" s="213">
        <v>0.2</v>
      </c>
      <c r="AD366" s="213" t="s">
        <v>113</v>
      </c>
      <c r="AE366" s="213">
        <v>2.3333333333333331E-3</v>
      </c>
      <c r="AF366" s="241">
        <v>59497944.590000004</v>
      </c>
      <c r="AG366" s="241">
        <v>59497944.590000004</v>
      </c>
      <c r="AH366" s="213">
        <v>4.1700000000000001E-2</v>
      </c>
      <c r="AI366" s="352">
        <v>0.64159999999999995</v>
      </c>
      <c r="AJ366" s="213">
        <v>6.2899999999999998E-2</v>
      </c>
      <c r="AK366" s="352">
        <v>0.66849999999999998</v>
      </c>
      <c r="AL366" s="213">
        <v>0.1542</v>
      </c>
      <c r="AM366" s="352">
        <v>1.2763</v>
      </c>
      <c r="AN366" s="213">
        <v>0.18310000000000001</v>
      </c>
      <c r="AO366" s="352">
        <v>1.0864</v>
      </c>
      <c r="AP366" s="213">
        <v>4.6699999999999998E-2</v>
      </c>
      <c r="AQ366" s="219">
        <v>-0.59651798972400993</v>
      </c>
      <c r="AR366" s="213" t="s">
        <v>1827</v>
      </c>
      <c r="AU366" s="343"/>
      <c r="AV366" s="343"/>
      <c r="AW366" s="328"/>
      <c r="AX366" s="329"/>
      <c r="AY366" s="328"/>
      <c r="AZ366" s="328"/>
      <c r="BA366" s="330"/>
      <c r="BB366" s="328"/>
      <c r="BC366" s="328"/>
      <c r="BD366" s="328"/>
      <c r="BE366" s="330"/>
      <c r="BF366" s="330"/>
      <c r="BG366" s="344"/>
      <c r="BH366" s="330"/>
      <c r="BI366" s="330"/>
      <c r="BJ366" s="330"/>
      <c r="BK366" s="330"/>
      <c r="BL366" s="330"/>
      <c r="BM366" s="330"/>
      <c r="BN366" s="330"/>
      <c r="BO366" s="330"/>
      <c r="BP366" s="331"/>
      <c r="BQ366" s="332"/>
      <c r="BR366" s="333"/>
    </row>
    <row r="367" spans="2:70" ht="15.75" customHeight="1">
      <c r="B367" s="216" t="s">
        <v>262</v>
      </c>
      <c r="C367" s="212">
        <v>1178959</v>
      </c>
      <c r="D367" s="223">
        <v>22632296000104</v>
      </c>
      <c r="E367" s="217" t="s">
        <v>25</v>
      </c>
      <c r="F367" s="217" t="s">
        <v>958</v>
      </c>
      <c r="G367" s="217" t="s">
        <v>962</v>
      </c>
      <c r="H367" s="218" t="s">
        <v>66</v>
      </c>
      <c r="I367" s="217" t="s">
        <v>1259</v>
      </c>
      <c r="J367" s="217" t="s">
        <v>66</v>
      </c>
      <c r="K367" s="218"/>
      <c r="L367" s="212" t="s">
        <v>87</v>
      </c>
      <c r="M367" s="250"/>
      <c r="N367" s="239">
        <v>42377</v>
      </c>
      <c r="O367" s="210" t="s">
        <v>261</v>
      </c>
      <c r="P367" s="210" t="s">
        <v>1075</v>
      </c>
      <c r="Q367" s="210" t="s">
        <v>1076</v>
      </c>
      <c r="R367" s="210" t="s">
        <v>1084</v>
      </c>
      <c r="S367" s="210" t="s">
        <v>1078</v>
      </c>
      <c r="T367" s="210" t="s">
        <v>1276</v>
      </c>
      <c r="U367" s="210" t="s">
        <v>958</v>
      </c>
      <c r="V367" s="210" t="s">
        <v>25</v>
      </c>
      <c r="W367" s="211" t="s">
        <v>1016</v>
      </c>
      <c r="X367" s="211">
        <v>100</v>
      </c>
      <c r="Y367" s="211">
        <v>0</v>
      </c>
      <c r="Z367" s="212">
        <v>0</v>
      </c>
      <c r="AA367" s="240">
        <v>31</v>
      </c>
      <c r="AB367" s="213">
        <v>1.4999999999999999E-2</v>
      </c>
      <c r="AC367" s="213">
        <v>0.2</v>
      </c>
      <c r="AD367" s="213" t="s">
        <v>113</v>
      </c>
      <c r="AE367" s="213">
        <v>3.4999999999999996E-3</v>
      </c>
      <c r="AF367" s="241">
        <v>47102377.32</v>
      </c>
      <c r="AG367" s="241">
        <v>47102377.32</v>
      </c>
      <c r="AH367" s="213">
        <v>5.11E-2</v>
      </c>
      <c r="AI367" s="352">
        <v>0.78659999999999997</v>
      </c>
      <c r="AJ367" s="213">
        <v>-1.8599999999999998E-2</v>
      </c>
      <c r="AK367" s="352">
        <v>-0.19819999999999999</v>
      </c>
      <c r="AL367" s="213">
        <v>7.1000000000000004E-3</v>
      </c>
      <c r="AM367" s="352">
        <v>5.8900000000000001E-2</v>
      </c>
      <c r="AN367" s="213">
        <v>5.5500000000000001E-2</v>
      </c>
      <c r="AO367" s="352">
        <v>0.32929999999999998</v>
      </c>
      <c r="AP367" s="213">
        <v>6.1699999999999998E-2</v>
      </c>
      <c r="AQ367" s="219">
        <v>-1.7331440986177735</v>
      </c>
      <c r="AR367" s="213" t="s">
        <v>1827</v>
      </c>
      <c r="AU367" s="343"/>
      <c r="AV367" s="343"/>
      <c r="AW367" s="328"/>
      <c r="AX367" s="329"/>
      <c r="AY367" s="328"/>
      <c r="AZ367" s="328"/>
      <c r="BA367" s="330"/>
      <c r="BB367" s="328"/>
      <c r="BC367" s="328"/>
      <c r="BD367" s="328"/>
      <c r="BE367" s="330"/>
      <c r="BF367" s="330"/>
      <c r="BG367" s="344"/>
      <c r="BH367" s="330"/>
      <c r="BI367" s="330"/>
      <c r="BJ367" s="330"/>
      <c r="BK367" s="330"/>
      <c r="BL367" s="330"/>
      <c r="BM367" s="330"/>
      <c r="BN367" s="330"/>
      <c r="BO367" s="330"/>
      <c r="BP367" s="331"/>
      <c r="BQ367" s="332"/>
      <c r="BR367" s="333"/>
    </row>
    <row r="368" spans="2:70" ht="15.75" customHeight="1">
      <c r="B368" s="216" t="s">
        <v>263</v>
      </c>
      <c r="C368" s="212">
        <v>1178941</v>
      </c>
      <c r="D368" s="223">
        <v>22344837000190</v>
      </c>
      <c r="E368" s="217" t="s">
        <v>28</v>
      </c>
      <c r="F368" s="217" t="s">
        <v>950</v>
      </c>
      <c r="G368" s="217"/>
      <c r="H368" s="218"/>
      <c r="I368" s="217" t="s">
        <v>66</v>
      </c>
      <c r="J368" s="217" t="s">
        <v>66</v>
      </c>
      <c r="K368" s="218" t="s">
        <v>951</v>
      </c>
      <c r="L368" s="212" t="s">
        <v>87</v>
      </c>
      <c r="M368" s="250"/>
      <c r="N368" s="239">
        <v>42307</v>
      </c>
      <c r="O368" s="210" t="s">
        <v>261</v>
      </c>
      <c r="P368" s="210" t="s">
        <v>1075</v>
      </c>
      <c r="Q368" s="210" t="s">
        <v>1076</v>
      </c>
      <c r="R368" s="210" t="s">
        <v>1084</v>
      </c>
      <c r="S368" s="210" t="s">
        <v>1078</v>
      </c>
      <c r="T368" s="210" t="s">
        <v>1079</v>
      </c>
      <c r="U368" s="210" t="s">
        <v>950</v>
      </c>
      <c r="V368" s="210" t="s">
        <v>1080</v>
      </c>
      <c r="W368" s="211" t="s">
        <v>1007</v>
      </c>
      <c r="X368" s="211">
        <v>100</v>
      </c>
      <c r="Y368" s="211">
        <v>0</v>
      </c>
      <c r="Z368" s="212">
        <v>0</v>
      </c>
      <c r="AA368" s="240">
        <v>3</v>
      </c>
      <c r="AB368" s="213">
        <v>0.02</v>
      </c>
      <c r="AC368" s="213">
        <v>0.2</v>
      </c>
      <c r="AD368" s="213" t="s">
        <v>113</v>
      </c>
      <c r="AE368" s="213">
        <v>4.6666666666666662E-3</v>
      </c>
      <c r="AF368" s="241">
        <v>71755410.530000001</v>
      </c>
      <c r="AG368" s="241">
        <v>71755410.530000001</v>
      </c>
      <c r="AH368" s="213">
        <v>-4.5900000000000003E-2</v>
      </c>
      <c r="AI368" s="352">
        <v>-0.70679999999999998</v>
      </c>
      <c r="AJ368" s="213">
        <v>-0.28399999999999997</v>
      </c>
      <c r="AK368" s="352">
        <v>-3.0186000000000002</v>
      </c>
      <c r="AL368" s="213">
        <v>-0.11070000000000001</v>
      </c>
      <c r="AM368" s="352">
        <v>-0.91639999999999999</v>
      </c>
      <c r="AN368" s="213">
        <v>-0.1225</v>
      </c>
      <c r="AO368" s="352">
        <v>-0.72699999999999998</v>
      </c>
      <c r="AP368" s="213">
        <v>0.24279999999999999</v>
      </c>
      <c r="AQ368" s="219">
        <v>-1.6237454119035521</v>
      </c>
      <c r="AR368" s="213" t="s">
        <v>1824</v>
      </c>
      <c r="AU368" s="343"/>
      <c r="AV368" s="343"/>
      <c r="AW368" s="328"/>
      <c r="AX368" s="329"/>
      <c r="AY368" s="328"/>
      <c r="AZ368" s="328"/>
      <c r="BA368" s="330"/>
      <c r="BB368" s="328"/>
      <c r="BC368" s="328"/>
      <c r="BD368" s="328"/>
      <c r="BE368" s="330"/>
      <c r="BF368" s="330"/>
      <c r="BG368" s="344"/>
      <c r="BH368" s="330"/>
      <c r="BI368" s="330"/>
      <c r="BJ368" s="330"/>
      <c r="BK368" s="330"/>
      <c r="BL368" s="330"/>
      <c r="BM368" s="330"/>
      <c r="BN368" s="330"/>
      <c r="BO368" s="330"/>
      <c r="BP368" s="331"/>
      <c r="BQ368" s="332"/>
      <c r="BR368" s="333"/>
    </row>
    <row r="369" spans="2:70" ht="15.75" customHeight="1">
      <c r="B369" s="216" t="s">
        <v>1277</v>
      </c>
      <c r="C369" s="212">
        <v>2864720</v>
      </c>
      <c r="D369" s="223">
        <v>36436823000101</v>
      </c>
      <c r="E369" s="217" t="s">
        <v>28</v>
      </c>
      <c r="F369" s="217" t="s">
        <v>957</v>
      </c>
      <c r="G369" s="217"/>
      <c r="H369" s="218"/>
      <c r="I369" s="217" t="s">
        <v>1842</v>
      </c>
      <c r="J369" s="217" t="s">
        <v>66</v>
      </c>
      <c r="K369" s="218" t="s">
        <v>951</v>
      </c>
      <c r="L369" s="212" t="s">
        <v>87</v>
      </c>
      <c r="M369" s="250"/>
      <c r="N369" s="239">
        <v>44007</v>
      </c>
      <c r="O369" s="210" t="s">
        <v>261</v>
      </c>
      <c r="P369" s="210" t="s">
        <v>1075</v>
      </c>
      <c r="Q369" s="210" t="s">
        <v>1076</v>
      </c>
      <c r="R369" s="210" t="s">
        <v>1084</v>
      </c>
      <c r="S369" s="210" t="s">
        <v>1078</v>
      </c>
      <c r="T369" s="210" t="s">
        <v>1079</v>
      </c>
      <c r="U369" s="210" t="s">
        <v>957</v>
      </c>
      <c r="V369" s="210" t="s">
        <v>25</v>
      </c>
      <c r="W369" s="211" t="s">
        <v>1016</v>
      </c>
      <c r="X369" s="211">
        <v>0</v>
      </c>
      <c r="Y369" s="211">
        <v>0</v>
      </c>
      <c r="Z369" s="212">
        <v>0</v>
      </c>
      <c r="AA369" s="240">
        <v>31</v>
      </c>
      <c r="AB369" s="213">
        <v>0.02</v>
      </c>
      <c r="AC369" s="213">
        <v>0.2</v>
      </c>
      <c r="AD369" s="213" t="s">
        <v>113</v>
      </c>
      <c r="AE369" s="213">
        <v>4.6666666666666662E-3</v>
      </c>
      <c r="AF369" s="241">
        <v>13216368.35</v>
      </c>
      <c r="AG369" s="241">
        <v>13216368.35</v>
      </c>
      <c r="AH369" s="213">
        <v>3.3999999999999998E-3</v>
      </c>
      <c r="AI369" s="352">
        <v>5.1900000000000002E-2</v>
      </c>
      <c r="AJ369" s="213">
        <v>-0.26450000000000001</v>
      </c>
      <c r="AK369" s="352">
        <v>-2.8111000000000002</v>
      </c>
      <c r="AL369" s="213">
        <v>-0.15579999999999999</v>
      </c>
      <c r="AM369" s="352">
        <v>-1.2892999999999999</v>
      </c>
      <c r="AN369" s="213" t="s">
        <v>66</v>
      </c>
      <c r="AO369" s="352" t="s">
        <v>66</v>
      </c>
      <c r="AP369" s="213">
        <v>0.21759999999999999</v>
      </c>
      <c r="AQ369" s="219">
        <v>-1.7150810357424131</v>
      </c>
      <c r="AR369" s="213" t="s">
        <v>1827</v>
      </c>
      <c r="AU369" s="343"/>
      <c r="AV369" s="343"/>
      <c r="AW369" s="328"/>
      <c r="AX369" s="329"/>
      <c r="AY369" s="328"/>
      <c r="AZ369" s="328"/>
      <c r="BA369" s="330"/>
      <c r="BB369" s="328"/>
      <c r="BC369" s="328"/>
      <c r="BD369" s="328"/>
      <c r="BE369" s="330"/>
      <c r="BF369" s="330"/>
      <c r="BG369" s="344"/>
      <c r="BH369" s="330"/>
      <c r="BI369" s="330"/>
      <c r="BJ369" s="330"/>
      <c r="BK369" s="330"/>
      <c r="BL369" s="330"/>
      <c r="BM369" s="330"/>
      <c r="BN369" s="330"/>
      <c r="BO369" s="330"/>
      <c r="BP369" s="331"/>
      <c r="BQ369" s="332"/>
      <c r="BR369" s="333"/>
    </row>
    <row r="370" spans="2:70" ht="15.75" customHeight="1">
      <c r="B370" s="216" t="s">
        <v>1278</v>
      </c>
      <c r="C370" s="212">
        <v>1221131</v>
      </c>
      <c r="D370" s="223">
        <v>22344843000148</v>
      </c>
      <c r="E370" s="217" t="s">
        <v>19</v>
      </c>
      <c r="F370" s="217" t="s">
        <v>963</v>
      </c>
      <c r="G370" s="217" t="s">
        <v>1011</v>
      </c>
      <c r="H370" s="218" t="s">
        <v>1113</v>
      </c>
      <c r="I370" s="217" t="s">
        <v>66</v>
      </c>
      <c r="J370" s="217"/>
      <c r="K370" s="218" t="s">
        <v>951</v>
      </c>
      <c r="L370" s="212" t="s">
        <v>87</v>
      </c>
      <c r="M370" s="250"/>
      <c r="N370" s="239">
        <v>42338</v>
      </c>
      <c r="O370" s="210" t="s">
        <v>261</v>
      </c>
      <c r="P370" s="210" t="s">
        <v>1075</v>
      </c>
      <c r="Q370" s="210" t="s">
        <v>1076</v>
      </c>
      <c r="R370" s="210" t="s">
        <v>1084</v>
      </c>
      <c r="S370" s="210" t="s">
        <v>1078</v>
      </c>
      <c r="T370" s="210" t="s">
        <v>1275</v>
      </c>
      <c r="U370" s="210" t="s">
        <v>1114</v>
      </c>
      <c r="V370" s="210" t="s">
        <v>19</v>
      </c>
      <c r="W370" s="211" t="s">
        <v>1017</v>
      </c>
      <c r="X370" s="211">
        <v>100</v>
      </c>
      <c r="Y370" s="211">
        <v>0</v>
      </c>
      <c r="Z370" s="212">
        <v>0</v>
      </c>
      <c r="AA370" s="240">
        <v>1</v>
      </c>
      <c r="AB370" s="213">
        <v>5.0000000000000001E-3</v>
      </c>
      <c r="AC370" s="213">
        <v>0</v>
      </c>
      <c r="AD370" s="213" t="s">
        <v>113</v>
      </c>
      <c r="AE370" s="213">
        <v>1.1666666666666665E-3</v>
      </c>
      <c r="AF370" s="241">
        <v>108144412.45999999</v>
      </c>
      <c r="AG370" s="241">
        <v>108144412.45999999</v>
      </c>
      <c r="AH370" s="213">
        <v>7.5800000000000006E-2</v>
      </c>
      <c r="AI370" s="352">
        <v>1.1674</v>
      </c>
      <c r="AJ370" s="213">
        <v>0.1159</v>
      </c>
      <c r="AK370" s="352">
        <v>1.2322</v>
      </c>
      <c r="AL370" s="213">
        <v>0.15359999999999999</v>
      </c>
      <c r="AM370" s="352">
        <v>1.2714000000000001</v>
      </c>
      <c r="AN370" s="213">
        <v>0.16009999999999999</v>
      </c>
      <c r="AO370" s="352">
        <v>0.95020000000000004</v>
      </c>
      <c r="AP370" s="213">
        <v>6.0000000000000001E-3</v>
      </c>
      <c r="AQ370" s="219">
        <v>3.2765599487510042</v>
      </c>
      <c r="AR370" s="213" t="s">
        <v>1824</v>
      </c>
      <c r="AU370" s="343"/>
      <c r="AV370" s="343"/>
      <c r="AW370" s="328"/>
      <c r="AX370" s="329"/>
      <c r="AY370" s="328"/>
      <c r="AZ370" s="328"/>
      <c r="BA370" s="330"/>
      <c r="BB370" s="328"/>
      <c r="BC370" s="328"/>
      <c r="BD370" s="328"/>
      <c r="BE370" s="330"/>
      <c r="BF370" s="330"/>
      <c r="BG370" s="344"/>
      <c r="BH370" s="330"/>
      <c r="BI370" s="330"/>
      <c r="BJ370" s="330"/>
      <c r="BK370" s="330"/>
      <c r="BL370" s="330"/>
      <c r="BM370" s="330"/>
      <c r="BN370" s="330"/>
      <c r="BO370" s="330"/>
      <c r="BP370" s="331"/>
      <c r="BQ370" s="332"/>
      <c r="BR370" s="333"/>
    </row>
    <row r="371" spans="2:70" ht="15.75" customHeight="1">
      <c r="B371" s="216" t="s">
        <v>1279</v>
      </c>
      <c r="C371" s="212">
        <v>2864987</v>
      </c>
      <c r="D371" s="223">
        <v>4240128000183</v>
      </c>
      <c r="E371" s="217" t="s">
        <v>19</v>
      </c>
      <c r="F371" s="217" t="s">
        <v>963</v>
      </c>
      <c r="G371" s="217" t="s">
        <v>1011</v>
      </c>
      <c r="H371" s="218" t="s">
        <v>1113</v>
      </c>
      <c r="I371" s="217" t="s">
        <v>66</v>
      </c>
      <c r="J371" s="217"/>
      <c r="K371" s="218" t="s">
        <v>951</v>
      </c>
      <c r="L371" s="212" t="s">
        <v>87</v>
      </c>
      <c r="M371" s="250"/>
      <c r="N371" s="239">
        <v>36955</v>
      </c>
      <c r="O371" s="210" t="s">
        <v>767</v>
      </c>
      <c r="P371" s="210" t="s">
        <v>767</v>
      </c>
      <c r="Q371" s="210" t="s">
        <v>767</v>
      </c>
      <c r="R371" s="210" t="s">
        <v>1084</v>
      </c>
      <c r="S371" s="210" t="s">
        <v>1078</v>
      </c>
      <c r="T371" s="210" t="s">
        <v>1275</v>
      </c>
      <c r="U371" s="210" t="s">
        <v>1114</v>
      </c>
      <c r="V371" s="210" t="s">
        <v>19</v>
      </c>
      <c r="W371" s="211" t="s">
        <v>1024</v>
      </c>
      <c r="X371" s="211">
        <v>1000</v>
      </c>
      <c r="Y371" s="211">
        <v>1000</v>
      </c>
      <c r="Z371" s="212">
        <v>1000</v>
      </c>
      <c r="AA371" s="240">
        <v>16</v>
      </c>
      <c r="AB371" s="213">
        <v>3.5000000000000001E-3</v>
      </c>
      <c r="AC371" s="213">
        <v>0</v>
      </c>
      <c r="AD371" s="213" t="s">
        <v>109</v>
      </c>
      <c r="AE371" s="213">
        <v>1.4000000000000002E-3</v>
      </c>
      <c r="AF371" s="241">
        <v>85282652.230000004</v>
      </c>
      <c r="AG371" s="241">
        <v>85282652.230000004</v>
      </c>
      <c r="AH371" s="213">
        <v>7.3999999999999996E-2</v>
      </c>
      <c r="AI371" s="352">
        <v>1.1395999999999999</v>
      </c>
      <c r="AJ371" s="213">
        <v>0.11</v>
      </c>
      <c r="AK371" s="352">
        <v>1.1687000000000001</v>
      </c>
      <c r="AL371" s="213">
        <v>0.17100000000000001</v>
      </c>
      <c r="AM371" s="352">
        <v>1.4152</v>
      </c>
      <c r="AN371" s="213">
        <v>0.34960000000000002</v>
      </c>
      <c r="AO371" s="352">
        <v>2.0748000000000002</v>
      </c>
      <c r="AP371" s="213">
        <v>1.9E-3</v>
      </c>
      <c r="AQ371" s="219">
        <v>7.6533521603462979</v>
      </c>
      <c r="AR371" s="213" t="s">
        <v>1827</v>
      </c>
      <c r="AU371" s="343"/>
      <c r="AV371" s="343"/>
      <c r="AW371" s="328"/>
      <c r="AX371" s="329"/>
      <c r="AY371" s="328"/>
      <c r="AZ371" s="328"/>
      <c r="BA371" s="330"/>
      <c r="BB371" s="328"/>
      <c r="BC371" s="328"/>
      <c r="BD371" s="328"/>
      <c r="BE371" s="330"/>
      <c r="BF371" s="330"/>
      <c r="BG371" s="344"/>
      <c r="BH371" s="383"/>
      <c r="BI371" s="330"/>
      <c r="BJ371" s="330"/>
      <c r="BK371" s="330"/>
      <c r="BL371" s="330"/>
      <c r="BM371" s="330"/>
      <c r="BN371" s="330"/>
      <c r="BO371" s="330"/>
      <c r="BP371" s="331"/>
      <c r="BQ371" s="332"/>
      <c r="BR371" s="333"/>
    </row>
    <row r="372" spans="2:70" ht="15.75" customHeight="1">
      <c r="B372" s="216" t="s">
        <v>1280</v>
      </c>
      <c r="C372" s="212">
        <v>1180188</v>
      </c>
      <c r="D372" s="223">
        <v>3319016000150</v>
      </c>
      <c r="E372" s="217" t="s">
        <v>28</v>
      </c>
      <c r="F372" s="217" t="s">
        <v>32</v>
      </c>
      <c r="G372" s="217" t="s">
        <v>34</v>
      </c>
      <c r="H372" s="218"/>
      <c r="I372" s="217" t="s">
        <v>66</v>
      </c>
      <c r="J372" s="217" t="s">
        <v>66</v>
      </c>
      <c r="K372" s="218" t="s">
        <v>954</v>
      </c>
      <c r="L372" s="212" t="s">
        <v>88</v>
      </c>
      <c r="M372" s="250"/>
      <c r="N372" s="239">
        <v>36409</v>
      </c>
      <c r="O372" s="210" t="s">
        <v>767</v>
      </c>
      <c r="P372" s="210" t="s">
        <v>767</v>
      </c>
      <c r="Q372" s="210" t="s">
        <v>767</v>
      </c>
      <c r="R372" s="210" t="s">
        <v>1084</v>
      </c>
      <c r="S372" s="210" t="s">
        <v>1078</v>
      </c>
      <c r="T372" s="210" t="s">
        <v>34</v>
      </c>
      <c r="U372" s="210" t="s">
        <v>66</v>
      </c>
      <c r="V372" s="210" t="s">
        <v>34</v>
      </c>
      <c r="W372" s="211" t="s">
        <v>34</v>
      </c>
      <c r="X372" s="211">
        <v>100</v>
      </c>
      <c r="Y372" s="211">
        <v>100</v>
      </c>
      <c r="Z372" s="212">
        <v>100</v>
      </c>
      <c r="AA372" s="240">
        <v>1</v>
      </c>
      <c r="AB372" s="213">
        <v>8.5000000000000006E-3</v>
      </c>
      <c r="AC372" s="213">
        <v>0</v>
      </c>
      <c r="AD372" s="213" t="s">
        <v>1281</v>
      </c>
      <c r="AE372" s="213">
        <v>3.1166666666666673E-3</v>
      </c>
      <c r="AF372" s="241">
        <v>215310805.06999999</v>
      </c>
      <c r="AG372" s="241">
        <v>215310805.06999999</v>
      </c>
      <c r="AH372" s="213">
        <v>-7.1999999999999995E-2</v>
      </c>
      <c r="AI372" s="352">
        <v>-1.1085</v>
      </c>
      <c r="AJ372" s="213">
        <v>1.9300000000000001E-2</v>
      </c>
      <c r="AK372" s="352">
        <v>0.20499999999999999</v>
      </c>
      <c r="AL372" s="213">
        <v>1.5E-3</v>
      </c>
      <c r="AM372" s="352">
        <v>1.21E-2</v>
      </c>
      <c r="AN372" s="213">
        <v>0.37130000000000002</v>
      </c>
      <c r="AO372" s="352">
        <v>2.2031999999999998</v>
      </c>
      <c r="AP372" s="213">
        <v>0.16650000000000001</v>
      </c>
      <c r="AQ372" s="219">
        <v>-0.34262553546389451</v>
      </c>
      <c r="AR372" s="213" t="s">
        <v>1827</v>
      </c>
      <c r="AU372" s="343"/>
      <c r="AV372" s="343"/>
      <c r="AW372" s="328"/>
      <c r="AX372" s="329"/>
      <c r="AY372" s="328"/>
      <c r="AZ372" s="328"/>
      <c r="BA372" s="330"/>
      <c r="BB372" s="328"/>
      <c r="BC372" s="328"/>
      <c r="BD372" s="328"/>
      <c r="BE372" s="330"/>
      <c r="BF372" s="330"/>
      <c r="BG372" s="344"/>
      <c r="BH372" s="330"/>
      <c r="BI372" s="330"/>
      <c r="BJ372" s="330"/>
      <c r="BK372" s="330"/>
      <c r="BL372" s="330"/>
      <c r="BM372" s="330"/>
      <c r="BN372" s="330"/>
      <c r="BO372" s="330"/>
      <c r="BP372" s="331"/>
      <c r="BQ372" s="332"/>
      <c r="BR372" s="333"/>
    </row>
    <row r="373" spans="2:70" ht="15.75" customHeight="1">
      <c r="B373" s="216" t="s">
        <v>1912</v>
      </c>
      <c r="C373" s="212">
        <v>820337</v>
      </c>
      <c r="D373" s="223">
        <v>836263000135</v>
      </c>
      <c r="E373" s="217" t="s">
        <v>19</v>
      </c>
      <c r="F373" s="217" t="s">
        <v>963</v>
      </c>
      <c r="G373" s="217" t="s">
        <v>1011</v>
      </c>
      <c r="H373" s="218" t="s">
        <v>1113</v>
      </c>
      <c r="I373" s="217" t="s">
        <v>66</v>
      </c>
      <c r="J373" s="217" t="s">
        <v>1794</v>
      </c>
      <c r="K373" s="218" t="s">
        <v>951</v>
      </c>
      <c r="L373" s="212" t="s">
        <v>87</v>
      </c>
      <c r="M373" s="250"/>
      <c r="N373" s="239">
        <v>34988</v>
      </c>
      <c r="O373" s="210" t="s">
        <v>767</v>
      </c>
      <c r="P373" s="210" t="s">
        <v>767</v>
      </c>
      <c r="Q373" s="210" t="s">
        <v>767</v>
      </c>
      <c r="R373" s="210" t="s">
        <v>1084</v>
      </c>
      <c r="S373" s="210" t="s">
        <v>1078</v>
      </c>
      <c r="T373" s="210" t="s">
        <v>1275</v>
      </c>
      <c r="U373" s="210" t="s">
        <v>1114</v>
      </c>
      <c r="V373" s="210" t="s">
        <v>19</v>
      </c>
      <c r="W373" s="211" t="s">
        <v>1017</v>
      </c>
      <c r="X373" s="211">
        <v>1000</v>
      </c>
      <c r="Y373" s="211">
        <v>1000</v>
      </c>
      <c r="Z373" s="212">
        <v>1000</v>
      </c>
      <c r="AA373" s="240">
        <v>1</v>
      </c>
      <c r="AB373" s="213">
        <v>5.0000000000000001E-3</v>
      </c>
      <c r="AC373" s="213">
        <v>0.2</v>
      </c>
      <c r="AD373" s="213" t="s">
        <v>109</v>
      </c>
      <c r="AE373" s="213">
        <v>1.5E-3</v>
      </c>
      <c r="AF373" s="241">
        <v>146564251.88999999</v>
      </c>
      <c r="AG373" s="241">
        <v>146564251.88999999</v>
      </c>
      <c r="AH373" s="213">
        <v>6.3500000000000001E-2</v>
      </c>
      <c r="AI373" s="352">
        <v>0.97819999999999996</v>
      </c>
      <c r="AJ373" s="213">
        <v>9.4399999999999998E-2</v>
      </c>
      <c r="AK373" s="352">
        <v>1.0031000000000001</v>
      </c>
      <c r="AL373" s="213">
        <v>0.12759999999999999</v>
      </c>
      <c r="AM373" s="352">
        <v>1.0566</v>
      </c>
      <c r="AN373" s="213">
        <v>0.16020000000000001</v>
      </c>
      <c r="AO373" s="352">
        <v>0.95069999999999999</v>
      </c>
      <c r="AP373" s="213">
        <v>6.6E-3</v>
      </c>
      <c r="AQ373" s="219">
        <v>4.3399261921444707E-2</v>
      </c>
      <c r="AR373" s="213" t="s">
        <v>1824</v>
      </c>
      <c r="AU373" s="343"/>
      <c r="AV373" s="343"/>
      <c r="AW373" s="328"/>
      <c r="AX373" s="329"/>
      <c r="AY373" s="328"/>
      <c r="AZ373" s="328"/>
      <c r="BA373" s="330"/>
      <c r="BB373" s="328"/>
      <c r="BC373" s="328"/>
      <c r="BD373" s="328"/>
      <c r="BE373" s="330"/>
      <c r="BF373" s="330"/>
      <c r="BG373" s="344"/>
      <c r="BH373" s="330"/>
      <c r="BI373" s="330"/>
      <c r="BJ373" s="330"/>
      <c r="BK373" s="330"/>
      <c r="BL373" s="330"/>
      <c r="BM373" s="330"/>
      <c r="BN373" s="330"/>
      <c r="BO373" s="330"/>
      <c r="BP373" s="331"/>
      <c r="BQ373" s="332"/>
      <c r="BR373" s="333"/>
    </row>
    <row r="374" spans="2:70" ht="15.75" customHeight="1">
      <c r="B374" s="216" t="s">
        <v>1282</v>
      </c>
      <c r="C374" s="212">
        <v>909576</v>
      </c>
      <c r="D374" s="223">
        <v>9083868000177</v>
      </c>
      <c r="E374" s="217" t="s">
        <v>25</v>
      </c>
      <c r="F374" s="217" t="s">
        <v>959</v>
      </c>
      <c r="G374" s="217" t="s">
        <v>960</v>
      </c>
      <c r="H374" s="218" t="s">
        <v>66</v>
      </c>
      <c r="I374" s="217" t="s">
        <v>1841</v>
      </c>
      <c r="J374" s="217" t="s">
        <v>66</v>
      </c>
      <c r="K374" s="218" t="s">
        <v>951</v>
      </c>
      <c r="L374" s="212" t="s">
        <v>87</v>
      </c>
      <c r="M374" s="250"/>
      <c r="N374" s="239">
        <v>39415</v>
      </c>
      <c r="O374" s="210" t="s">
        <v>767</v>
      </c>
      <c r="P374" s="210" t="s">
        <v>767</v>
      </c>
      <c r="Q374" s="210" t="s">
        <v>767</v>
      </c>
      <c r="R374" s="210" t="s">
        <v>1084</v>
      </c>
      <c r="S374" s="210" t="s">
        <v>1078</v>
      </c>
      <c r="T374" s="210" t="s">
        <v>1082</v>
      </c>
      <c r="U374" s="210" t="s">
        <v>1086</v>
      </c>
      <c r="V374" s="210" t="s">
        <v>25</v>
      </c>
      <c r="W374" s="211" t="s">
        <v>1023</v>
      </c>
      <c r="X374" s="211">
        <v>100</v>
      </c>
      <c r="Y374" s="211">
        <v>100</v>
      </c>
      <c r="Z374" s="212">
        <v>100</v>
      </c>
      <c r="AA374" s="240">
        <v>11</v>
      </c>
      <c r="AB374" s="213">
        <v>1.4999999999999999E-2</v>
      </c>
      <c r="AC374" s="213">
        <v>0.2</v>
      </c>
      <c r="AD374" s="213" t="s">
        <v>1157</v>
      </c>
      <c r="AE374" s="213">
        <v>4.4999999999999997E-3</v>
      </c>
      <c r="AF374" s="241">
        <v>6118632.9500000002</v>
      </c>
      <c r="AG374" s="241">
        <v>6118632.9500000002</v>
      </c>
      <c r="AH374" s="213">
        <v>1.3299999999999999E-2</v>
      </c>
      <c r="AI374" s="352">
        <v>0.20469999999999999</v>
      </c>
      <c r="AJ374" s="213">
        <v>1.04E-2</v>
      </c>
      <c r="AK374" s="352">
        <v>0.1106</v>
      </c>
      <c r="AL374" s="213">
        <v>4.9500000000000002E-2</v>
      </c>
      <c r="AM374" s="352">
        <v>0.41010000000000002</v>
      </c>
      <c r="AN374" s="213">
        <v>5.8000000000000003E-2</v>
      </c>
      <c r="AO374" s="352">
        <v>0.34389999999999998</v>
      </c>
      <c r="AP374" s="213">
        <v>4.0599999999999997E-2</v>
      </c>
      <c r="AQ374" s="219">
        <v>-1.9421891750719136</v>
      </c>
      <c r="AR374" s="213" t="s">
        <v>1827</v>
      </c>
      <c r="AU374" s="343"/>
      <c r="AV374" s="343"/>
      <c r="AW374" s="328"/>
      <c r="AX374" s="329"/>
      <c r="AY374" s="328"/>
      <c r="AZ374" s="328"/>
      <c r="BA374" s="330"/>
      <c r="BB374" s="328"/>
      <c r="BC374" s="328"/>
      <c r="BD374" s="328"/>
      <c r="BE374" s="330"/>
      <c r="BF374" s="330"/>
      <c r="BG374" s="344"/>
      <c r="BH374" s="383"/>
      <c r="BI374" s="330"/>
      <c r="BJ374" s="330"/>
      <c r="BK374" s="330"/>
      <c r="BL374" s="330"/>
      <c r="BM374" s="330"/>
      <c r="BN374" s="330"/>
      <c r="BO374" s="330"/>
      <c r="BP374" s="331"/>
      <c r="BQ374" s="332"/>
      <c r="BR374" s="333"/>
    </row>
    <row r="375" spans="2:70" ht="15.75" customHeight="1">
      <c r="B375" s="216" t="s">
        <v>1283</v>
      </c>
      <c r="C375" s="212">
        <v>580523</v>
      </c>
      <c r="D375" s="223">
        <v>8669394000187</v>
      </c>
      <c r="E375" s="217" t="s">
        <v>19</v>
      </c>
      <c r="F375" s="217" t="s">
        <v>963</v>
      </c>
      <c r="G375" s="217" t="s">
        <v>1021</v>
      </c>
      <c r="H375" s="218" t="s">
        <v>1113</v>
      </c>
      <c r="I375" s="217" t="s">
        <v>66</v>
      </c>
      <c r="J375" s="217" t="s">
        <v>1794</v>
      </c>
      <c r="K375" s="218" t="s">
        <v>951</v>
      </c>
      <c r="L375" s="212" t="s">
        <v>87</v>
      </c>
      <c r="M375" s="250"/>
      <c r="N375" s="239">
        <v>39338</v>
      </c>
      <c r="O375" s="210" t="s">
        <v>767</v>
      </c>
      <c r="P375" s="210" t="s">
        <v>767</v>
      </c>
      <c r="Q375" s="210" t="s">
        <v>767</v>
      </c>
      <c r="R375" s="210" t="s">
        <v>1084</v>
      </c>
      <c r="S375" s="210" t="s">
        <v>1078</v>
      </c>
      <c r="T375" s="210" t="s">
        <v>1275</v>
      </c>
      <c r="U375" s="210" t="s">
        <v>1114</v>
      </c>
      <c r="V375" s="210" t="s">
        <v>19</v>
      </c>
      <c r="W375" s="211" t="s">
        <v>1010</v>
      </c>
      <c r="X375" s="211">
        <v>100</v>
      </c>
      <c r="Y375" s="211">
        <v>100</v>
      </c>
      <c r="Z375" s="212">
        <v>100</v>
      </c>
      <c r="AA375" s="240">
        <v>0</v>
      </c>
      <c r="AB375" s="213">
        <v>5.0000000000000001E-4</v>
      </c>
      <c r="AC375" s="213">
        <v>0</v>
      </c>
      <c r="AD375" s="213" t="s">
        <v>109</v>
      </c>
      <c r="AE375" s="213">
        <v>1.4999999999999999E-4</v>
      </c>
      <c r="AF375" s="241">
        <v>718948340.13999999</v>
      </c>
      <c r="AG375" s="241">
        <v>718948340.13999999</v>
      </c>
      <c r="AH375" s="213">
        <v>6.5699999999999995E-2</v>
      </c>
      <c r="AI375" s="352">
        <v>1.0114000000000001</v>
      </c>
      <c r="AJ375" s="213">
        <v>9.5500000000000002E-2</v>
      </c>
      <c r="AK375" s="352">
        <v>1.0154000000000001</v>
      </c>
      <c r="AL375" s="213">
        <v>0.1145</v>
      </c>
      <c r="AM375" s="352">
        <v>0.94789999999999996</v>
      </c>
      <c r="AN375" s="213">
        <v>0.15840000000000001</v>
      </c>
      <c r="AO375" s="352">
        <v>0.94020000000000004</v>
      </c>
      <c r="AP375" s="213">
        <v>1.8E-3</v>
      </c>
      <c r="AQ375" s="219">
        <v>0.75455216331410568</v>
      </c>
      <c r="AR375" s="213" t="s">
        <v>1824</v>
      </c>
      <c r="AU375" s="343"/>
      <c r="AV375" s="343"/>
      <c r="AW375" s="328"/>
      <c r="AX375" s="329"/>
      <c r="AY375" s="328"/>
      <c r="AZ375" s="328"/>
      <c r="BA375" s="330"/>
      <c r="BB375" s="328"/>
      <c r="BC375" s="328"/>
      <c r="BD375" s="328"/>
      <c r="BE375" s="330"/>
      <c r="BF375" s="330"/>
      <c r="BG375" s="344"/>
      <c r="BH375" s="383"/>
      <c r="BI375" s="330"/>
      <c r="BJ375" s="330"/>
      <c r="BK375" s="330"/>
      <c r="BL375" s="330"/>
      <c r="BM375" s="330"/>
      <c r="BN375" s="330"/>
      <c r="BO375" s="330"/>
      <c r="BP375" s="331"/>
      <c r="BQ375" s="332"/>
      <c r="BR375" s="333"/>
    </row>
    <row r="376" spans="2:70" ht="15.75" customHeight="1">
      <c r="B376" s="216" t="s">
        <v>1284</v>
      </c>
      <c r="C376" s="212">
        <v>1148910</v>
      </c>
      <c r="D376" s="223">
        <v>9344799000108</v>
      </c>
      <c r="E376" s="217" t="s">
        <v>19</v>
      </c>
      <c r="F376" s="217" t="s">
        <v>964</v>
      </c>
      <c r="G376" s="217" t="s">
        <v>1021</v>
      </c>
      <c r="H376" s="218" t="s">
        <v>1113</v>
      </c>
      <c r="I376" s="217" t="s">
        <v>66</v>
      </c>
      <c r="J376" s="217"/>
      <c r="K376" s="218" t="s">
        <v>951</v>
      </c>
      <c r="L376" s="212" t="s">
        <v>87</v>
      </c>
      <c r="M376" s="250"/>
      <c r="N376" s="239">
        <v>39646</v>
      </c>
      <c r="O376" s="210" t="s">
        <v>767</v>
      </c>
      <c r="P376" s="210" t="s">
        <v>767</v>
      </c>
      <c r="Q376" s="210" t="s">
        <v>767</v>
      </c>
      <c r="R376" s="210" t="s">
        <v>1084</v>
      </c>
      <c r="S376" s="210" t="s">
        <v>1078</v>
      </c>
      <c r="T376" s="210" t="s">
        <v>1275</v>
      </c>
      <c r="U376" s="210" t="s">
        <v>964</v>
      </c>
      <c r="V376" s="210" t="s">
        <v>19</v>
      </c>
      <c r="W376" s="211" t="s">
        <v>1025</v>
      </c>
      <c r="X376" s="211">
        <v>100</v>
      </c>
      <c r="Y376" s="211">
        <v>100</v>
      </c>
      <c r="Z376" s="212">
        <v>100</v>
      </c>
      <c r="AA376" s="240">
        <v>1</v>
      </c>
      <c r="AB376" s="213">
        <v>3.5000000000000001E-3</v>
      </c>
      <c r="AC376" s="213">
        <v>0</v>
      </c>
      <c r="AD376" s="213" t="s">
        <v>1157</v>
      </c>
      <c r="AE376" s="213">
        <v>1.5166666666666668E-3</v>
      </c>
      <c r="AF376" s="241">
        <v>156761628.75</v>
      </c>
      <c r="AG376" s="241">
        <v>156761628.75</v>
      </c>
      <c r="AH376" s="213">
        <v>6.2700000000000006E-2</v>
      </c>
      <c r="AI376" s="352">
        <v>0.96509999999999996</v>
      </c>
      <c r="AJ376" s="213">
        <v>9.01E-2</v>
      </c>
      <c r="AK376" s="352">
        <v>0.95760000000000001</v>
      </c>
      <c r="AL376" s="213">
        <v>0.1399</v>
      </c>
      <c r="AM376" s="352">
        <v>1.1577999999999999</v>
      </c>
      <c r="AN376" s="213">
        <v>0.23169999999999999</v>
      </c>
      <c r="AO376" s="352">
        <v>1.3748</v>
      </c>
      <c r="AP376" s="213">
        <v>2.75E-2</v>
      </c>
      <c r="AQ376" s="219">
        <v>-0.11935948126895106</v>
      </c>
      <c r="AR376" s="213" t="s">
        <v>1824</v>
      </c>
      <c r="AU376" s="343"/>
      <c r="AV376" s="343"/>
      <c r="AW376" s="328"/>
      <c r="AX376" s="329"/>
      <c r="AY376" s="328"/>
      <c r="AZ376" s="328"/>
      <c r="BA376" s="330"/>
      <c r="BB376" s="328"/>
      <c r="BC376" s="328"/>
      <c r="BD376" s="328"/>
      <c r="BE376" s="330"/>
      <c r="BF376" s="330"/>
      <c r="BG376" s="344"/>
      <c r="BH376" s="330"/>
      <c r="BI376" s="330"/>
      <c r="BJ376" s="330"/>
      <c r="BK376" s="330"/>
      <c r="BL376" s="330"/>
      <c r="BM376" s="330"/>
      <c r="BN376" s="330"/>
      <c r="BO376" s="330"/>
      <c r="BP376" s="331"/>
      <c r="BQ376" s="332"/>
      <c r="BR376" s="333"/>
    </row>
    <row r="377" spans="2:70" ht="15.75" customHeight="1">
      <c r="B377" s="216" t="s">
        <v>777</v>
      </c>
      <c r="C377" s="212">
        <v>580524</v>
      </c>
      <c r="D377" s="223">
        <v>6866051000187</v>
      </c>
      <c r="E377" s="217" t="s">
        <v>19</v>
      </c>
      <c r="F377" s="217" t="s">
        <v>963</v>
      </c>
      <c r="G377" s="217" t="s">
        <v>1011</v>
      </c>
      <c r="H377" s="218" t="s">
        <v>1113</v>
      </c>
      <c r="I377" s="217" t="s">
        <v>66</v>
      </c>
      <c r="J377" s="217"/>
      <c r="K377" s="218" t="s">
        <v>951</v>
      </c>
      <c r="L377" s="212" t="s">
        <v>87</v>
      </c>
      <c r="M377" s="250"/>
      <c r="N377" s="239">
        <v>38406</v>
      </c>
      <c r="O377" s="210" t="s">
        <v>767</v>
      </c>
      <c r="P377" s="210" t="s">
        <v>767</v>
      </c>
      <c r="Q377" s="210" t="s">
        <v>767</v>
      </c>
      <c r="R377" s="210" t="s">
        <v>1084</v>
      </c>
      <c r="S377" s="210" t="s">
        <v>1078</v>
      </c>
      <c r="T377" s="210" t="s">
        <v>1275</v>
      </c>
      <c r="U377" s="210" t="s">
        <v>1114</v>
      </c>
      <c r="V377" s="210" t="s">
        <v>19</v>
      </c>
      <c r="W377" s="211" t="s">
        <v>1017</v>
      </c>
      <c r="X377" s="211">
        <v>1000</v>
      </c>
      <c r="Y377" s="211">
        <v>1000</v>
      </c>
      <c r="Z377" s="212">
        <v>1000</v>
      </c>
      <c r="AA377" s="240">
        <v>0</v>
      </c>
      <c r="AB377" s="213">
        <v>2E-3</v>
      </c>
      <c r="AC377" s="213">
        <v>0</v>
      </c>
      <c r="AD377" s="213" t="s">
        <v>109</v>
      </c>
      <c r="AE377" s="213">
        <v>3.3339999999999997E-4</v>
      </c>
      <c r="AF377" s="241">
        <v>949813851.84000003</v>
      </c>
      <c r="AG377" s="241">
        <v>949813851.84000003</v>
      </c>
      <c r="AH377" s="213">
        <v>7.3099999999999998E-2</v>
      </c>
      <c r="AI377" s="352">
        <v>1.1258999999999999</v>
      </c>
      <c r="AJ377" s="213">
        <v>0.11020000000000001</v>
      </c>
      <c r="AK377" s="352">
        <v>1.1709000000000001</v>
      </c>
      <c r="AL377" s="213">
        <v>0.1532</v>
      </c>
      <c r="AM377" s="352">
        <v>1.2684</v>
      </c>
      <c r="AN377" s="213">
        <v>0.19089999999999999</v>
      </c>
      <c r="AO377" s="352">
        <v>1.1328</v>
      </c>
      <c r="AP377" s="213">
        <v>1.6999999999999999E-3</v>
      </c>
      <c r="AQ377" s="219">
        <v>8.4087431470358549</v>
      </c>
      <c r="AR377" s="213" t="s">
        <v>1824</v>
      </c>
      <c r="AU377" s="343"/>
      <c r="AV377" s="343"/>
      <c r="AW377" s="328"/>
      <c r="AX377" s="329"/>
      <c r="AY377" s="328"/>
      <c r="AZ377" s="328"/>
      <c r="BA377" s="330"/>
      <c r="BB377" s="328"/>
      <c r="BC377" s="328"/>
      <c r="BD377" s="328"/>
      <c r="BE377" s="330"/>
      <c r="BF377" s="330"/>
      <c r="BG377" s="344"/>
      <c r="BH377" s="330"/>
      <c r="BI377" s="330"/>
      <c r="BJ377" s="330"/>
      <c r="BK377" s="330"/>
      <c r="BL377" s="330"/>
      <c r="BM377" s="330"/>
      <c r="BN377" s="330"/>
      <c r="BO377" s="330"/>
      <c r="BP377" s="331"/>
      <c r="BQ377" s="332"/>
      <c r="BR377" s="333"/>
    </row>
    <row r="378" spans="2:70" ht="15.75" customHeight="1">
      <c r="B378" s="216" t="s">
        <v>1285</v>
      </c>
      <c r="C378" s="212">
        <v>1050333</v>
      </c>
      <c r="D378" s="223">
        <v>32485590000186</v>
      </c>
      <c r="E378" s="217" t="s">
        <v>19</v>
      </c>
      <c r="F378" s="217" t="s">
        <v>964</v>
      </c>
      <c r="G378" s="217" t="s">
        <v>1042</v>
      </c>
      <c r="H378" s="218" t="s">
        <v>1113</v>
      </c>
      <c r="I378" s="217" t="s">
        <v>66</v>
      </c>
      <c r="J378" s="217"/>
      <c r="K378" s="218" t="s">
        <v>951</v>
      </c>
      <c r="L378" s="212" t="s">
        <v>87</v>
      </c>
      <c r="M378" s="250"/>
      <c r="N378" s="239">
        <v>43661</v>
      </c>
      <c r="O378" s="210" t="s">
        <v>767</v>
      </c>
      <c r="P378" s="210" t="s">
        <v>767</v>
      </c>
      <c r="Q378" s="210" t="s">
        <v>767</v>
      </c>
      <c r="R378" s="210" t="s">
        <v>1084</v>
      </c>
      <c r="S378" s="210" t="s">
        <v>1078</v>
      </c>
      <c r="T378" s="210" t="s">
        <v>1275</v>
      </c>
      <c r="U378" s="210" t="s">
        <v>964</v>
      </c>
      <c r="V378" s="210" t="s">
        <v>19</v>
      </c>
      <c r="W378" s="211" t="s">
        <v>1024</v>
      </c>
      <c r="X378" s="211">
        <v>5000</v>
      </c>
      <c r="Y378" s="211">
        <v>1000</v>
      </c>
      <c r="Z378" s="212">
        <v>5000</v>
      </c>
      <c r="AA378" s="240">
        <v>31</v>
      </c>
      <c r="AB378" s="213">
        <v>6.0000000000000001E-3</v>
      </c>
      <c r="AC378" s="213">
        <v>0</v>
      </c>
      <c r="AD378" s="213" t="s">
        <v>981</v>
      </c>
      <c r="AE378" s="213">
        <v>2.2002000000000002E-3</v>
      </c>
      <c r="AF378" s="241">
        <v>61717340.060000002</v>
      </c>
      <c r="AG378" s="241">
        <v>61717340.060000002</v>
      </c>
      <c r="AH378" s="213">
        <v>5.3100000000000001E-2</v>
      </c>
      <c r="AI378" s="352">
        <v>0.81779999999999997</v>
      </c>
      <c r="AJ378" s="213">
        <v>8.6499999999999994E-2</v>
      </c>
      <c r="AK378" s="352">
        <v>0.91890000000000005</v>
      </c>
      <c r="AL378" s="213">
        <v>0.16919999999999999</v>
      </c>
      <c r="AM378" s="352">
        <v>1.4001999999999999</v>
      </c>
      <c r="AN378" s="213">
        <v>0.20569999999999999</v>
      </c>
      <c r="AO378" s="352">
        <v>1.2204999999999999</v>
      </c>
      <c r="AP378" s="213">
        <v>4.2900000000000001E-2</v>
      </c>
      <c r="AQ378" s="219">
        <v>-0.1418372652705123</v>
      </c>
      <c r="AR378" s="213" t="s">
        <v>1827</v>
      </c>
      <c r="AU378" s="343"/>
      <c r="AV378" s="343"/>
      <c r="AW378" s="328"/>
      <c r="AX378" s="329"/>
      <c r="AY378" s="328"/>
      <c r="AZ378" s="328"/>
      <c r="BA378" s="330"/>
      <c r="BB378" s="328"/>
      <c r="BC378" s="328"/>
      <c r="BD378" s="328"/>
      <c r="BE378" s="330"/>
      <c r="BF378" s="330"/>
      <c r="BG378" s="344"/>
      <c r="BH378" s="330"/>
      <c r="BI378" s="330"/>
      <c r="BJ378" s="330"/>
      <c r="BK378" s="330"/>
      <c r="BL378" s="330"/>
      <c r="BM378" s="330"/>
      <c r="BN378" s="330"/>
      <c r="BO378" s="330"/>
      <c r="BP378" s="331"/>
      <c r="BQ378" s="332"/>
      <c r="BR378" s="333"/>
    </row>
    <row r="379" spans="2:70" ht="15.75" customHeight="1">
      <c r="B379" s="216" t="s">
        <v>773</v>
      </c>
      <c r="C379" s="212">
        <v>535394</v>
      </c>
      <c r="D379" s="223">
        <v>9238487000110</v>
      </c>
      <c r="E379" s="217" t="s">
        <v>19</v>
      </c>
      <c r="F379" s="217" t="s">
        <v>963</v>
      </c>
      <c r="G379" s="217" t="s">
        <v>1011</v>
      </c>
      <c r="H379" s="218" t="s">
        <v>1113</v>
      </c>
      <c r="I379" s="217" t="s">
        <v>66</v>
      </c>
      <c r="J379" s="217" t="s">
        <v>1794</v>
      </c>
      <c r="K379" s="218" t="s">
        <v>951</v>
      </c>
      <c r="L379" s="212" t="s">
        <v>87</v>
      </c>
      <c r="M379" s="250"/>
      <c r="N379" s="239">
        <v>39568</v>
      </c>
      <c r="O379" s="210" t="s">
        <v>767</v>
      </c>
      <c r="P379" s="210" t="s">
        <v>767</v>
      </c>
      <c r="Q379" s="210" t="s">
        <v>767</v>
      </c>
      <c r="R379" s="210" t="s">
        <v>1084</v>
      </c>
      <c r="S379" s="210" t="s">
        <v>1078</v>
      </c>
      <c r="T379" s="210" t="s">
        <v>1275</v>
      </c>
      <c r="U379" s="210" t="s">
        <v>1114</v>
      </c>
      <c r="V379" s="210" t="s">
        <v>19</v>
      </c>
      <c r="W379" s="211" t="s">
        <v>1029</v>
      </c>
      <c r="X379" s="211">
        <v>10000</v>
      </c>
      <c r="Y379" s="211">
        <v>10000</v>
      </c>
      <c r="Z379" s="212">
        <v>10000</v>
      </c>
      <c r="AA379" s="240">
        <v>0</v>
      </c>
      <c r="AB379" s="213">
        <v>1.5E-3</v>
      </c>
      <c r="AC379" s="213">
        <v>0</v>
      </c>
      <c r="AD379" s="213" t="s">
        <v>109</v>
      </c>
      <c r="AE379" s="213">
        <v>1.9995000000000001E-4</v>
      </c>
      <c r="AF379" s="241">
        <v>1942080330.3</v>
      </c>
      <c r="AG379" s="241">
        <v>1942080330.3</v>
      </c>
      <c r="AH379" s="213">
        <v>6.5500000000000003E-2</v>
      </c>
      <c r="AI379" s="352">
        <v>1.0089999999999999</v>
      </c>
      <c r="AJ379" s="213">
        <v>9.5500000000000002E-2</v>
      </c>
      <c r="AK379" s="352">
        <v>1.0148999999999999</v>
      </c>
      <c r="AL379" s="213">
        <v>0.1154</v>
      </c>
      <c r="AM379" s="352">
        <v>0.9556</v>
      </c>
      <c r="AN379" s="213">
        <v>0.16039999999999999</v>
      </c>
      <c r="AO379" s="352">
        <v>0.9516</v>
      </c>
      <c r="AP379" s="213">
        <v>1.6999999999999999E-3</v>
      </c>
      <c r="AQ379" s="219">
        <v>0.76340854074943754</v>
      </c>
      <c r="AR379" s="213" t="s">
        <v>1824</v>
      </c>
      <c r="AU379" s="343"/>
      <c r="AV379" s="343"/>
      <c r="AW379" s="328"/>
      <c r="AX379" s="329"/>
      <c r="AY379" s="328"/>
      <c r="AZ379" s="328"/>
      <c r="BA379" s="330"/>
      <c r="BB379" s="328"/>
      <c r="BC379" s="328"/>
      <c r="BD379" s="328"/>
      <c r="BE379" s="330"/>
      <c r="BF379" s="330"/>
      <c r="BG379" s="344"/>
      <c r="BH379" s="330"/>
      <c r="BI379" s="330"/>
      <c r="BJ379" s="330"/>
      <c r="BK379" s="330"/>
      <c r="BL379" s="330"/>
      <c r="BM379" s="330"/>
      <c r="BN379" s="330"/>
      <c r="BO379" s="330"/>
      <c r="BP379" s="331"/>
      <c r="BQ379" s="332"/>
      <c r="BR379" s="333"/>
    </row>
    <row r="380" spans="2:70" ht="15.75" customHeight="1">
      <c r="B380" s="216" t="s">
        <v>1286</v>
      </c>
      <c r="C380" s="212">
        <v>551079</v>
      </c>
      <c r="D380" s="223">
        <v>32471624000183</v>
      </c>
      <c r="E380" s="217" t="s">
        <v>28</v>
      </c>
      <c r="F380" s="217" t="s">
        <v>32</v>
      </c>
      <c r="G380" s="217" t="s">
        <v>34</v>
      </c>
      <c r="H380" s="218"/>
      <c r="I380" s="217" t="s">
        <v>66</v>
      </c>
      <c r="J380" s="217" t="s">
        <v>66</v>
      </c>
      <c r="K380" s="218" t="s">
        <v>954</v>
      </c>
      <c r="L380" s="212" t="s">
        <v>88</v>
      </c>
      <c r="M380" s="250"/>
      <c r="N380" s="239">
        <v>44055</v>
      </c>
      <c r="O380" s="210" t="s">
        <v>767</v>
      </c>
      <c r="P380" s="210" t="s">
        <v>767</v>
      </c>
      <c r="Q380" s="210" t="s">
        <v>767</v>
      </c>
      <c r="R380" s="210" t="s">
        <v>1084</v>
      </c>
      <c r="S380" s="210" t="s">
        <v>1078</v>
      </c>
      <c r="T380" s="210" t="s">
        <v>34</v>
      </c>
      <c r="U380" s="210" t="s">
        <v>66</v>
      </c>
      <c r="V380" s="210" t="s">
        <v>34</v>
      </c>
      <c r="W380" s="211" t="s">
        <v>34</v>
      </c>
      <c r="X380" s="211">
        <v>100</v>
      </c>
      <c r="Y380" s="211">
        <v>100</v>
      </c>
      <c r="Z380" s="212">
        <v>100</v>
      </c>
      <c r="AA380" s="240">
        <v>1</v>
      </c>
      <c r="AB380" s="213">
        <v>8.5000000000000006E-3</v>
      </c>
      <c r="AC380" s="213">
        <v>0</v>
      </c>
      <c r="AD380" s="213" t="s">
        <v>1281</v>
      </c>
      <c r="AE380" s="213">
        <v>2.2666666666666668E-3</v>
      </c>
      <c r="AF380" s="241">
        <v>4117284.97</v>
      </c>
      <c r="AG380" s="241">
        <v>4117284.97</v>
      </c>
      <c r="AH380" s="213">
        <v>0.1807</v>
      </c>
      <c r="AI380" s="352">
        <v>2.7837999999999998</v>
      </c>
      <c r="AJ380" s="213">
        <v>0.12609999999999999</v>
      </c>
      <c r="AK380" s="352">
        <v>1.3401000000000001</v>
      </c>
      <c r="AL380" s="213" t="s">
        <v>66</v>
      </c>
      <c r="AM380" s="352" t="s">
        <v>66</v>
      </c>
      <c r="AN380" s="213" t="s">
        <v>66</v>
      </c>
      <c r="AO380" s="352" t="s">
        <v>66</v>
      </c>
      <c r="AP380" s="213">
        <v>0.16489999999999999</v>
      </c>
      <c r="AQ380" s="219">
        <v>0.25712724629259281</v>
      </c>
      <c r="AR380" s="213" t="s">
        <v>1827</v>
      </c>
      <c r="AU380" s="343"/>
      <c r="AV380" s="343"/>
      <c r="AW380" s="328"/>
      <c r="AX380" s="329"/>
      <c r="AY380" s="328"/>
      <c r="AZ380" s="328"/>
      <c r="BA380" s="330"/>
      <c r="BB380" s="328"/>
      <c r="BC380" s="328"/>
      <c r="BD380" s="328"/>
      <c r="BE380" s="330"/>
      <c r="BF380" s="330"/>
      <c r="BG380" s="344"/>
      <c r="BH380" s="330"/>
      <c r="BI380" s="330"/>
      <c r="BJ380" s="330"/>
      <c r="BK380" s="330"/>
      <c r="BL380" s="330"/>
      <c r="BM380" s="330"/>
      <c r="BN380" s="330"/>
      <c r="BO380" s="330"/>
      <c r="BP380" s="331"/>
      <c r="BQ380" s="332"/>
      <c r="BR380" s="333"/>
    </row>
    <row r="381" spans="2:70" ht="15.75" customHeight="1">
      <c r="B381" s="216" t="s">
        <v>1287</v>
      </c>
      <c r="C381" s="212">
        <v>591927</v>
      </c>
      <c r="D381" s="223">
        <v>13614709000129</v>
      </c>
      <c r="E381" s="217" t="s">
        <v>28</v>
      </c>
      <c r="F381" s="217" t="s">
        <v>950</v>
      </c>
      <c r="G381" s="217"/>
      <c r="H381" s="218"/>
      <c r="I381" s="217" t="s">
        <v>66</v>
      </c>
      <c r="J381" s="217" t="s">
        <v>66</v>
      </c>
      <c r="K381" s="218" t="s">
        <v>951</v>
      </c>
      <c r="L381" s="212" t="s">
        <v>87</v>
      </c>
      <c r="M381" s="250"/>
      <c r="N381" s="239">
        <v>41646</v>
      </c>
      <c r="O381" s="210" t="s">
        <v>767</v>
      </c>
      <c r="P381" s="210" t="s">
        <v>767</v>
      </c>
      <c r="Q381" s="210" t="s">
        <v>767</v>
      </c>
      <c r="R381" s="210" t="s">
        <v>1084</v>
      </c>
      <c r="S381" s="210" t="s">
        <v>1078</v>
      </c>
      <c r="T381" s="210" t="s">
        <v>1079</v>
      </c>
      <c r="U381" s="210" t="s">
        <v>950</v>
      </c>
      <c r="V381" s="210" t="s">
        <v>1080</v>
      </c>
      <c r="W381" s="211" t="s">
        <v>1007</v>
      </c>
      <c r="X381" s="211">
        <v>1000</v>
      </c>
      <c r="Y381" s="211">
        <v>1000</v>
      </c>
      <c r="Z381" s="212">
        <v>1000</v>
      </c>
      <c r="AA381" s="240">
        <v>32</v>
      </c>
      <c r="AB381" s="213">
        <v>0.01</v>
      </c>
      <c r="AC381" s="213">
        <v>0</v>
      </c>
      <c r="AD381" s="213" t="s">
        <v>1014</v>
      </c>
      <c r="AE381" s="213">
        <v>2.6666666666666666E-3</v>
      </c>
      <c r="AF381" s="241">
        <v>173720063.28999999</v>
      </c>
      <c r="AG381" s="241">
        <v>173720063.28999999</v>
      </c>
      <c r="AH381" s="213">
        <v>-6.0600000000000001E-2</v>
      </c>
      <c r="AI381" s="352">
        <v>-0.93320000000000003</v>
      </c>
      <c r="AJ381" s="213">
        <v>-0.26569999999999999</v>
      </c>
      <c r="AK381" s="352">
        <v>-2.8243</v>
      </c>
      <c r="AL381" s="213">
        <v>-0.13669999999999999</v>
      </c>
      <c r="AM381" s="352">
        <v>-1.1313</v>
      </c>
      <c r="AN381" s="213">
        <v>-7.5499999999999998E-2</v>
      </c>
      <c r="AO381" s="352">
        <v>-0.44779999999999998</v>
      </c>
      <c r="AP381" s="213">
        <v>0.19939999999999999</v>
      </c>
      <c r="AQ381" s="219">
        <v>-1.8990541052963485</v>
      </c>
      <c r="AR381" s="213" t="s">
        <v>1827</v>
      </c>
      <c r="AU381" s="343"/>
      <c r="AV381" s="343"/>
      <c r="AW381" s="328"/>
      <c r="AX381" s="329"/>
      <c r="AY381" s="328"/>
      <c r="AZ381" s="328"/>
      <c r="BA381" s="330"/>
      <c r="BB381" s="328"/>
      <c r="BC381" s="328"/>
      <c r="BD381" s="328"/>
      <c r="BE381" s="330"/>
      <c r="BF381" s="330"/>
      <c r="BG381" s="344"/>
      <c r="BH381" s="330"/>
      <c r="BI381" s="330"/>
      <c r="BJ381" s="330"/>
      <c r="BK381" s="330"/>
      <c r="BL381" s="330"/>
      <c r="BM381" s="330"/>
      <c r="BN381" s="330"/>
      <c r="BO381" s="330"/>
      <c r="BP381" s="331"/>
      <c r="BQ381" s="332"/>
      <c r="BR381" s="333"/>
    </row>
    <row r="382" spans="2:70" ht="15.75" customHeight="1">
      <c r="B382" s="216" t="s">
        <v>1288</v>
      </c>
      <c r="C382" s="212">
        <v>1183297</v>
      </c>
      <c r="D382" s="223">
        <v>2546749000164</v>
      </c>
      <c r="E382" s="217" t="s">
        <v>19</v>
      </c>
      <c r="F382" s="217" t="s">
        <v>963</v>
      </c>
      <c r="G382" s="217" t="s">
        <v>1021</v>
      </c>
      <c r="H382" s="218" t="s">
        <v>1113</v>
      </c>
      <c r="I382" s="217" t="s">
        <v>66</v>
      </c>
      <c r="J382" s="217" t="s">
        <v>1794</v>
      </c>
      <c r="K382" s="218" t="s">
        <v>951</v>
      </c>
      <c r="L382" s="212" t="s">
        <v>87</v>
      </c>
      <c r="M382" s="250"/>
      <c r="N382" s="239">
        <v>36131</v>
      </c>
      <c r="O382" s="210" t="s">
        <v>265</v>
      </c>
      <c r="P382" s="210" t="s">
        <v>265</v>
      </c>
      <c r="Q382" s="210" t="s">
        <v>1089</v>
      </c>
      <c r="R382" s="210" t="s">
        <v>1084</v>
      </c>
      <c r="S382" s="210" t="s">
        <v>1078</v>
      </c>
      <c r="T382" s="210" t="s">
        <v>1275</v>
      </c>
      <c r="U382" s="210" t="s">
        <v>1114</v>
      </c>
      <c r="V382" s="210" t="s">
        <v>19</v>
      </c>
      <c r="W382" s="211" t="s">
        <v>1010</v>
      </c>
      <c r="X382" s="211">
        <v>1000</v>
      </c>
      <c r="Y382" s="211">
        <v>1000</v>
      </c>
      <c r="Z382" s="212">
        <v>1000</v>
      </c>
      <c r="AA382" s="240">
        <v>0</v>
      </c>
      <c r="AB382" s="213">
        <v>3.5000000000000001E-3</v>
      </c>
      <c r="AC382" s="213">
        <v>0</v>
      </c>
      <c r="AD382" s="213" t="s">
        <v>109</v>
      </c>
      <c r="AE382" s="213">
        <v>8.166666666666666E-4</v>
      </c>
      <c r="AF382" s="241">
        <v>111002320.40000001</v>
      </c>
      <c r="AG382" s="241">
        <v>111002320.40000001</v>
      </c>
      <c r="AH382" s="213">
        <v>7.1099999999999997E-2</v>
      </c>
      <c r="AI382" s="352">
        <v>1.095</v>
      </c>
      <c r="AJ382" s="213">
        <v>0.1138</v>
      </c>
      <c r="AK382" s="352">
        <v>1.2091000000000001</v>
      </c>
      <c r="AL382" s="213">
        <v>0.1338</v>
      </c>
      <c r="AM382" s="352">
        <v>1.1072</v>
      </c>
      <c r="AN382" s="213">
        <v>0.12889999999999999</v>
      </c>
      <c r="AO382" s="352">
        <v>0.76490000000000002</v>
      </c>
      <c r="AP382" s="213">
        <v>1.24E-2</v>
      </c>
      <c r="AQ382" s="219">
        <v>1.4424900490641395</v>
      </c>
      <c r="AR382" s="213" t="s">
        <v>1824</v>
      </c>
      <c r="AU382" s="343"/>
      <c r="AV382" s="343"/>
      <c r="AW382" s="328"/>
      <c r="AX382" s="329"/>
      <c r="AY382" s="328"/>
      <c r="AZ382" s="328"/>
      <c r="BA382" s="330"/>
      <c r="BB382" s="328"/>
      <c r="BC382" s="328"/>
      <c r="BD382" s="328"/>
      <c r="BE382" s="330"/>
      <c r="BF382" s="330"/>
      <c r="BG382" s="344"/>
      <c r="BH382" s="330"/>
      <c r="BI382" s="330"/>
      <c r="BJ382" s="330"/>
      <c r="BK382" s="330"/>
      <c r="BL382" s="330"/>
      <c r="BM382" s="330"/>
      <c r="BN382" s="330"/>
      <c r="BO382" s="330"/>
      <c r="BP382" s="331"/>
      <c r="BQ382" s="332"/>
      <c r="BR382" s="333"/>
    </row>
    <row r="383" spans="2:70" ht="15.75" customHeight="1">
      <c r="B383" s="216" t="s">
        <v>264</v>
      </c>
      <c r="C383" s="212">
        <v>564337</v>
      </c>
      <c r="D383" s="223">
        <v>12796232000187</v>
      </c>
      <c r="E383" s="217" t="s">
        <v>19</v>
      </c>
      <c r="F383" s="217" t="s">
        <v>963</v>
      </c>
      <c r="G383" s="217" t="s">
        <v>1011</v>
      </c>
      <c r="H383" s="218" t="s">
        <v>1113</v>
      </c>
      <c r="I383" s="217" t="s">
        <v>66</v>
      </c>
      <c r="J383" s="217" t="s">
        <v>1794</v>
      </c>
      <c r="K383" s="218" t="s">
        <v>951</v>
      </c>
      <c r="L383" s="212" t="s">
        <v>87</v>
      </c>
      <c r="M383" s="250"/>
      <c r="N383" s="239">
        <v>42390</v>
      </c>
      <c r="O383" s="210" t="s">
        <v>265</v>
      </c>
      <c r="P383" s="210" t="s">
        <v>265</v>
      </c>
      <c r="Q383" s="210" t="s">
        <v>1089</v>
      </c>
      <c r="R383" s="210" t="s">
        <v>1084</v>
      </c>
      <c r="S383" s="210" t="s">
        <v>1078</v>
      </c>
      <c r="T383" s="210" t="s">
        <v>1275</v>
      </c>
      <c r="U383" s="210" t="s">
        <v>1114</v>
      </c>
      <c r="V383" s="210" t="s">
        <v>19</v>
      </c>
      <c r="W383" s="211" t="s">
        <v>1010</v>
      </c>
      <c r="X383" s="211">
        <v>1000</v>
      </c>
      <c r="Y383" s="211">
        <v>1000</v>
      </c>
      <c r="Z383" s="212">
        <v>1000</v>
      </c>
      <c r="AA383" s="240">
        <v>5</v>
      </c>
      <c r="AB383" s="213">
        <v>5.0000000000000001E-3</v>
      </c>
      <c r="AC383" s="213">
        <v>0</v>
      </c>
      <c r="AD383" s="213" t="s">
        <v>109</v>
      </c>
      <c r="AE383" s="213">
        <v>1.5E-3</v>
      </c>
      <c r="AF383" s="241">
        <v>1249100726.73</v>
      </c>
      <c r="AG383" s="241">
        <v>1249100726.73</v>
      </c>
      <c r="AH383" s="213">
        <v>7.8600000000000003E-2</v>
      </c>
      <c r="AI383" s="352">
        <v>1.2099</v>
      </c>
      <c r="AJ383" s="213">
        <v>0.13739999999999999</v>
      </c>
      <c r="AK383" s="352">
        <v>1.4608000000000001</v>
      </c>
      <c r="AL383" s="213">
        <v>0.1933</v>
      </c>
      <c r="AM383" s="352">
        <v>1.6</v>
      </c>
      <c r="AN383" s="213">
        <v>0.1681</v>
      </c>
      <c r="AO383" s="352">
        <v>0.99750000000000005</v>
      </c>
      <c r="AP383" s="213">
        <v>1.2E-2</v>
      </c>
      <c r="AQ383" s="219">
        <v>3.2573420153037027</v>
      </c>
      <c r="AR383" s="213" t="s">
        <v>1827</v>
      </c>
      <c r="AU383" s="343"/>
      <c r="AV383" s="343"/>
      <c r="AW383" s="328"/>
      <c r="AX383" s="329"/>
      <c r="AY383" s="328"/>
      <c r="AZ383" s="328"/>
      <c r="BA383" s="330"/>
      <c r="BB383" s="328"/>
      <c r="BC383" s="328"/>
      <c r="BD383" s="328"/>
      <c r="BE383" s="330"/>
      <c r="BF383" s="330"/>
      <c r="BG383" s="344"/>
      <c r="BH383" s="330"/>
      <c r="BI383" s="330"/>
      <c r="BJ383" s="330"/>
      <c r="BK383" s="330"/>
      <c r="BL383" s="330"/>
      <c r="BM383" s="330"/>
      <c r="BN383" s="330"/>
      <c r="BO383" s="330"/>
      <c r="BP383" s="331"/>
      <c r="BQ383" s="332"/>
      <c r="BR383" s="333"/>
    </row>
    <row r="384" spans="2:70" ht="15.75" customHeight="1">
      <c r="B384" s="216" t="s">
        <v>266</v>
      </c>
      <c r="C384" s="212">
        <v>2614243</v>
      </c>
      <c r="D384" s="223">
        <v>11888706000158</v>
      </c>
      <c r="E384" s="217" t="s">
        <v>28</v>
      </c>
      <c r="F384" s="217" t="s">
        <v>950</v>
      </c>
      <c r="G384" s="217"/>
      <c r="H384" s="218"/>
      <c r="I384" s="217" t="s">
        <v>66</v>
      </c>
      <c r="J384" s="217" t="s">
        <v>66</v>
      </c>
      <c r="K384" s="218" t="s">
        <v>951</v>
      </c>
      <c r="L384" s="212" t="s">
        <v>87</v>
      </c>
      <c r="M384" s="250"/>
      <c r="N384" s="239">
        <v>41407</v>
      </c>
      <c r="O384" s="210" t="s">
        <v>265</v>
      </c>
      <c r="P384" s="210" t="s">
        <v>265</v>
      </c>
      <c r="Q384" s="210" t="s">
        <v>1089</v>
      </c>
      <c r="R384" s="210" t="s">
        <v>1077</v>
      </c>
      <c r="S384" s="210" t="s">
        <v>1078</v>
      </c>
      <c r="T384" s="210" t="s">
        <v>1079</v>
      </c>
      <c r="U384" s="210" t="s">
        <v>950</v>
      </c>
      <c r="V384" s="210" t="s">
        <v>1080</v>
      </c>
      <c r="W384" s="211" t="s">
        <v>1018</v>
      </c>
      <c r="X384" s="211">
        <v>1000</v>
      </c>
      <c r="Y384" s="211">
        <v>1000</v>
      </c>
      <c r="Z384" s="212">
        <v>1000</v>
      </c>
      <c r="AA384" s="240">
        <v>33</v>
      </c>
      <c r="AB384" s="213">
        <v>0.01</v>
      </c>
      <c r="AC384" s="213">
        <v>0.2</v>
      </c>
      <c r="AD384" s="213" t="s">
        <v>1014</v>
      </c>
      <c r="AE384" s="213">
        <v>2.3333333333333331E-3</v>
      </c>
      <c r="AF384" s="241">
        <v>26828069.800000001</v>
      </c>
      <c r="AG384" s="241">
        <v>26828069.800000001</v>
      </c>
      <c r="AH384" s="213">
        <v>-7.3200000000000001E-2</v>
      </c>
      <c r="AI384" s="352">
        <v>-1.1278999999999999</v>
      </c>
      <c r="AJ384" s="213">
        <v>-0.26440000000000002</v>
      </c>
      <c r="AK384" s="352">
        <v>-2.8106</v>
      </c>
      <c r="AL384" s="213">
        <v>-0.14879999999999999</v>
      </c>
      <c r="AM384" s="352">
        <v>-1.2314000000000001</v>
      </c>
      <c r="AN384" s="213">
        <v>-4.2799999999999998E-2</v>
      </c>
      <c r="AO384" s="352">
        <v>-0.25369999999999998</v>
      </c>
      <c r="AP384" s="213">
        <v>0.216</v>
      </c>
      <c r="AQ384" s="219">
        <v>-1.7296968489399578</v>
      </c>
      <c r="AR384" s="213" t="s">
        <v>1827</v>
      </c>
      <c r="AU384" s="343"/>
      <c r="AV384" s="343"/>
      <c r="AW384" s="328"/>
      <c r="AX384" s="329"/>
      <c r="AY384" s="328"/>
      <c r="AZ384" s="328"/>
      <c r="BA384" s="330"/>
      <c r="BB384" s="328"/>
      <c r="BC384" s="328"/>
      <c r="BD384" s="328"/>
      <c r="BE384" s="330"/>
      <c r="BF384" s="330"/>
      <c r="BG384" s="344"/>
      <c r="BH384" s="330"/>
      <c r="BI384" s="330"/>
      <c r="BJ384" s="330"/>
      <c r="BK384" s="330"/>
      <c r="BL384" s="330"/>
      <c r="BM384" s="330"/>
      <c r="BN384" s="330"/>
      <c r="BO384" s="330"/>
      <c r="BP384" s="331"/>
      <c r="BQ384" s="332"/>
      <c r="BR384" s="333"/>
    </row>
    <row r="385" spans="2:70" ht="15.75" customHeight="1">
      <c r="B385" s="216" t="s">
        <v>1289</v>
      </c>
      <c r="C385" s="212">
        <v>764317</v>
      </c>
      <c r="D385" s="223">
        <v>18623754000163</v>
      </c>
      <c r="E385" s="217" t="s">
        <v>19</v>
      </c>
      <c r="F385" s="217" t="s">
        <v>963</v>
      </c>
      <c r="G385" s="217" t="s">
        <v>1011</v>
      </c>
      <c r="H385" s="218" t="s">
        <v>1113</v>
      </c>
      <c r="I385" s="217" t="s">
        <v>66</v>
      </c>
      <c r="J385" s="217"/>
      <c r="K385" s="218" t="s">
        <v>951</v>
      </c>
      <c r="L385" s="212" t="s">
        <v>87</v>
      </c>
      <c r="M385" s="250"/>
      <c r="N385" s="239">
        <v>43010</v>
      </c>
      <c r="O385" s="210" t="s">
        <v>265</v>
      </c>
      <c r="P385" s="210" t="s">
        <v>265</v>
      </c>
      <c r="Q385" s="210" t="s">
        <v>1089</v>
      </c>
      <c r="R385" s="210" t="s">
        <v>1077</v>
      </c>
      <c r="S385" s="210" t="s">
        <v>1078</v>
      </c>
      <c r="T385" s="210" t="s">
        <v>1275</v>
      </c>
      <c r="U385" s="210" t="s">
        <v>1114</v>
      </c>
      <c r="V385" s="210" t="s">
        <v>25</v>
      </c>
      <c r="W385" s="211" t="s">
        <v>1035</v>
      </c>
      <c r="X385" s="211">
        <v>1000</v>
      </c>
      <c r="Y385" s="211">
        <v>1000</v>
      </c>
      <c r="Z385" s="212">
        <v>1000</v>
      </c>
      <c r="AA385" s="240">
        <v>91</v>
      </c>
      <c r="AB385" s="213">
        <v>8.0000000000000002E-3</v>
      </c>
      <c r="AC385" s="213">
        <v>0.2</v>
      </c>
      <c r="AD385" s="213" t="s">
        <v>109</v>
      </c>
      <c r="AE385" s="213">
        <v>1.8666666666666664E-3</v>
      </c>
      <c r="AF385" s="241">
        <v>8202585</v>
      </c>
      <c r="AG385" s="241">
        <v>8202585</v>
      </c>
      <c r="AH385" s="213">
        <v>6.6199999999999995E-2</v>
      </c>
      <c r="AI385" s="352">
        <v>1.0193000000000001</v>
      </c>
      <c r="AJ385" s="213">
        <v>0.10440000000000001</v>
      </c>
      <c r="AK385" s="352">
        <v>1.1099000000000001</v>
      </c>
      <c r="AL385" s="213">
        <v>0.13869999999999999</v>
      </c>
      <c r="AM385" s="352">
        <v>1.1478999999999999</v>
      </c>
      <c r="AN385" s="213">
        <v>0.19089999999999999</v>
      </c>
      <c r="AO385" s="352">
        <v>1.1329</v>
      </c>
      <c r="AP385" s="213">
        <v>1.11E-2</v>
      </c>
      <c r="AQ385" s="219">
        <v>0.85181114699799165</v>
      </c>
      <c r="AR385" s="213" t="s">
        <v>1827</v>
      </c>
      <c r="AU385" s="343"/>
      <c r="AV385" s="343"/>
      <c r="AW385" s="328"/>
      <c r="AX385" s="329"/>
      <c r="AY385" s="328"/>
      <c r="AZ385" s="328"/>
      <c r="BA385" s="330"/>
      <c r="BB385" s="328"/>
      <c r="BC385" s="328"/>
      <c r="BD385" s="328"/>
      <c r="BE385" s="330"/>
      <c r="BF385" s="330"/>
      <c r="BG385" s="344"/>
      <c r="BH385" s="330"/>
      <c r="BI385" s="330"/>
      <c r="BJ385" s="330"/>
      <c r="BK385" s="330"/>
      <c r="BL385" s="330"/>
      <c r="BM385" s="330"/>
      <c r="BN385" s="330"/>
      <c r="BO385" s="330"/>
      <c r="BP385" s="331"/>
      <c r="BQ385" s="332"/>
      <c r="BR385" s="333"/>
    </row>
    <row r="386" spans="2:70" ht="15.75" customHeight="1">
      <c r="B386" s="216" t="s">
        <v>1290</v>
      </c>
      <c r="C386" s="212">
        <v>2614280</v>
      </c>
      <c r="D386" s="223">
        <v>5461732000100</v>
      </c>
      <c r="E386" s="217" t="s">
        <v>25</v>
      </c>
      <c r="F386" s="217" t="s">
        <v>958</v>
      </c>
      <c r="G386" s="217" t="s">
        <v>962</v>
      </c>
      <c r="H386" s="218" t="s">
        <v>66</v>
      </c>
      <c r="I386" s="217" t="s">
        <v>1259</v>
      </c>
      <c r="J386" s="217" t="s">
        <v>66</v>
      </c>
      <c r="K386" s="218"/>
      <c r="L386" s="212" t="s">
        <v>87</v>
      </c>
      <c r="M386" s="250"/>
      <c r="N386" s="239">
        <v>37903</v>
      </c>
      <c r="O386" s="210" t="s">
        <v>265</v>
      </c>
      <c r="P386" s="210" t="s">
        <v>265</v>
      </c>
      <c r="Q386" s="210" t="s">
        <v>1089</v>
      </c>
      <c r="R386" s="210" t="s">
        <v>1077</v>
      </c>
      <c r="S386" s="210" t="s">
        <v>1085</v>
      </c>
      <c r="T386" s="210" t="s">
        <v>1082</v>
      </c>
      <c r="U386" s="210" t="s">
        <v>958</v>
      </c>
      <c r="V386" s="210" t="s">
        <v>25</v>
      </c>
      <c r="W386" s="211" t="s">
        <v>1035</v>
      </c>
      <c r="X386" s="211">
        <v>1000</v>
      </c>
      <c r="Y386" s="211">
        <v>1000</v>
      </c>
      <c r="Z386" s="212">
        <v>1000</v>
      </c>
      <c r="AA386" s="240">
        <v>32</v>
      </c>
      <c r="AB386" s="213">
        <v>1.2999999999999999E-2</v>
      </c>
      <c r="AC386" s="213">
        <v>0.2</v>
      </c>
      <c r="AD386" s="213" t="s">
        <v>109</v>
      </c>
      <c r="AE386" s="213">
        <v>3.0333333333333328E-3</v>
      </c>
      <c r="AF386" s="241">
        <v>83408615.640000001</v>
      </c>
      <c r="AG386" s="241">
        <v>83408615.640000001</v>
      </c>
      <c r="AH386" s="213">
        <v>2.9600000000000001E-2</v>
      </c>
      <c r="AI386" s="352">
        <v>0.45660000000000001</v>
      </c>
      <c r="AJ386" s="213">
        <v>-1.0800000000000001E-2</v>
      </c>
      <c r="AK386" s="352">
        <v>-0.1145</v>
      </c>
      <c r="AL386" s="213">
        <v>5.7299999999999997E-2</v>
      </c>
      <c r="AM386" s="352">
        <v>0.47439999999999999</v>
      </c>
      <c r="AN386" s="213">
        <v>0.12230000000000001</v>
      </c>
      <c r="AO386" s="352">
        <v>0.72599999999999998</v>
      </c>
      <c r="AP386" s="213">
        <v>5.6500000000000002E-2</v>
      </c>
      <c r="AQ386" s="219">
        <v>-1.753788035626789</v>
      </c>
      <c r="AR386" s="213" t="s">
        <v>1827</v>
      </c>
      <c r="AU386" s="343"/>
      <c r="AV386" s="343"/>
      <c r="AW386" s="328"/>
      <c r="AX386" s="329"/>
      <c r="AY386" s="328"/>
      <c r="AZ386" s="328"/>
      <c r="BA386" s="330"/>
      <c r="BB386" s="328"/>
      <c r="BC386" s="328"/>
      <c r="BD386" s="328"/>
      <c r="BE386" s="330"/>
      <c r="BF386" s="330"/>
      <c r="BG386" s="344"/>
      <c r="BH386" s="330"/>
      <c r="BI386" s="330"/>
      <c r="BJ386" s="330"/>
      <c r="BK386" s="330"/>
      <c r="BL386" s="330"/>
      <c r="BM386" s="330"/>
      <c r="BN386" s="330"/>
      <c r="BO386" s="330"/>
      <c r="BP386" s="331"/>
      <c r="BQ386" s="332"/>
      <c r="BR386" s="333"/>
    </row>
    <row r="387" spans="2:70" ht="15.75" customHeight="1">
      <c r="B387" s="216" t="s">
        <v>1291</v>
      </c>
      <c r="C387" s="212">
        <v>1102844</v>
      </c>
      <c r="D387" s="223">
        <v>18623722000168</v>
      </c>
      <c r="E387" s="217" t="s">
        <v>19</v>
      </c>
      <c r="F387" s="217" t="s">
        <v>964</v>
      </c>
      <c r="G387" s="217" t="s">
        <v>1042</v>
      </c>
      <c r="H387" s="218" t="s">
        <v>1113</v>
      </c>
      <c r="I387" s="217" t="s">
        <v>66</v>
      </c>
      <c r="J387" s="217"/>
      <c r="K387" s="218" t="s">
        <v>951</v>
      </c>
      <c r="L387" s="212" t="s">
        <v>87</v>
      </c>
      <c r="M387" s="250"/>
      <c r="N387" s="239">
        <v>42250</v>
      </c>
      <c r="O387" s="210" t="s">
        <v>265</v>
      </c>
      <c r="P387" s="210" t="s">
        <v>265</v>
      </c>
      <c r="Q387" s="210" t="s">
        <v>1089</v>
      </c>
      <c r="R387" s="210" t="s">
        <v>1084</v>
      </c>
      <c r="S387" s="210" t="s">
        <v>1078</v>
      </c>
      <c r="T387" s="210" t="s">
        <v>1275</v>
      </c>
      <c r="U387" s="210" t="s">
        <v>964</v>
      </c>
      <c r="V387" s="210" t="s">
        <v>25</v>
      </c>
      <c r="W387" s="211" t="s">
        <v>1019</v>
      </c>
      <c r="X387" s="211">
        <v>1000</v>
      </c>
      <c r="Y387" s="211">
        <v>1000</v>
      </c>
      <c r="Z387" s="212">
        <v>1000</v>
      </c>
      <c r="AA387" s="240">
        <v>31</v>
      </c>
      <c r="AB387" s="213">
        <v>8.0000000000000002E-3</v>
      </c>
      <c r="AC387" s="213">
        <v>0.2</v>
      </c>
      <c r="AD387" s="213" t="s">
        <v>981</v>
      </c>
      <c r="AE387" s="213">
        <v>2.8E-3</v>
      </c>
      <c r="AF387" s="241">
        <v>893496220.60000002</v>
      </c>
      <c r="AG387" s="241">
        <v>893496220.60000002</v>
      </c>
      <c r="AH387" s="213">
        <v>6.6699999999999995E-2</v>
      </c>
      <c r="AI387" s="352">
        <v>1.0279</v>
      </c>
      <c r="AJ387" s="213">
        <v>0.1028</v>
      </c>
      <c r="AK387" s="352">
        <v>1.0928</v>
      </c>
      <c r="AL387" s="213">
        <v>0.189</v>
      </c>
      <c r="AM387" s="352">
        <v>1.5644</v>
      </c>
      <c r="AN387" s="213">
        <v>0.27189999999999998</v>
      </c>
      <c r="AO387" s="352">
        <v>1.6133999999999999</v>
      </c>
      <c r="AP387" s="213">
        <v>3.1E-2</v>
      </c>
      <c r="AQ387" s="219">
        <v>0.27173596631331792</v>
      </c>
      <c r="AR387" s="213" t="s">
        <v>1827</v>
      </c>
      <c r="AU387" s="343"/>
      <c r="AV387" s="343"/>
      <c r="AW387" s="328"/>
      <c r="AX387" s="329"/>
      <c r="AY387" s="328"/>
      <c r="AZ387" s="328"/>
      <c r="BA387" s="330"/>
      <c r="BB387" s="328"/>
      <c r="BC387" s="328"/>
      <c r="BD387" s="328"/>
      <c r="BE387" s="330"/>
      <c r="BF387" s="330"/>
      <c r="BG387" s="344"/>
      <c r="BH387" s="330"/>
      <c r="BI387" s="330"/>
      <c r="BJ387" s="330"/>
      <c r="BK387" s="330"/>
      <c r="BL387" s="330"/>
      <c r="BM387" s="330"/>
      <c r="BN387" s="330"/>
      <c r="BO387" s="330"/>
      <c r="BP387" s="331"/>
      <c r="BQ387" s="332"/>
      <c r="BR387" s="333"/>
    </row>
    <row r="388" spans="2:70" ht="15.75" customHeight="1">
      <c r="B388" s="216" t="s">
        <v>267</v>
      </c>
      <c r="C388" s="212">
        <v>663632</v>
      </c>
      <c r="D388" s="223">
        <v>23714047000112</v>
      </c>
      <c r="E388" s="217" t="s">
        <v>19</v>
      </c>
      <c r="F388" s="217" t="s">
        <v>963</v>
      </c>
      <c r="G388" s="217" t="s">
        <v>1011</v>
      </c>
      <c r="H388" s="218" t="s">
        <v>1113</v>
      </c>
      <c r="I388" s="217" t="s">
        <v>66</v>
      </c>
      <c r="J388" s="217" t="s">
        <v>1794</v>
      </c>
      <c r="K388" s="218" t="s">
        <v>951</v>
      </c>
      <c r="L388" s="212" t="s">
        <v>87</v>
      </c>
      <c r="M388" s="250"/>
      <c r="N388" s="239">
        <v>43342</v>
      </c>
      <c r="O388" s="210" t="s">
        <v>265</v>
      </c>
      <c r="P388" s="210" t="s">
        <v>265</v>
      </c>
      <c r="Q388" s="210" t="s">
        <v>1089</v>
      </c>
      <c r="R388" s="210" t="s">
        <v>1077</v>
      </c>
      <c r="S388" s="210" t="s">
        <v>1078</v>
      </c>
      <c r="T388" s="210" t="s">
        <v>1275</v>
      </c>
      <c r="U388" s="210" t="s">
        <v>1114</v>
      </c>
      <c r="V388" s="210" t="s">
        <v>19</v>
      </c>
      <c r="W388" s="211" t="s">
        <v>1010</v>
      </c>
      <c r="X388" s="211">
        <v>1000</v>
      </c>
      <c r="Y388" s="211">
        <v>1000</v>
      </c>
      <c r="Z388" s="212">
        <v>1000</v>
      </c>
      <c r="AA388" s="240">
        <v>31</v>
      </c>
      <c r="AB388" s="213">
        <v>5.0000000000000001E-3</v>
      </c>
      <c r="AC388" s="213">
        <v>0</v>
      </c>
      <c r="AD388" s="213" t="s">
        <v>109</v>
      </c>
      <c r="AE388" s="213">
        <v>1.5E-3</v>
      </c>
      <c r="AF388" s="241">
        <v>174625789.12</v>
      </c>
      <c r="AG388" s="241">
        <v>174625789.12</v>
      </c>
      <c r="AH388" s="213">
        <v>8.5900000000000004E-2</v>
      </c>
      <c r="AI388" s="352">
        <v>1.3226</v>
      </c>
      <c r="AJ388" s="213">
        <v>0.14660000000000001</v>
      </c>
      <c r="AK388" s="352">
        <v>1.5579000000000001</v>
      </c>
      <c r="AL388" s="213">
        <v>0.2001</v>
      </c>
      <c r="AM388" s="352">
        <v>1.6559999999999999</v>
      </c>
      <c r="AN388" s="213">
        <v>0.18060000000000001</v>
      </c>
      <c r="AO388" s="352">
        <v>1.0714999999999999</v>
      </c>
      <c r="AP388" s="213">
        <v>1.7000000000000001E-2</v>
      </c>
      <c r="AQ388" s="219">
        <v>2.7648859843822366</v>
      </c>
      <c r="AR388" s="213" t="s">
        <v>1827</v>
      </c>
      <c r="AU388" s="343"/>
      <c r="AV388" s="343"/>
      <c r="AW388" s="328"/>
      <c r="AX388" s="329"/>
      <c r="AY388" s="328"/>
      <c r="AZ388" s="328"/>
      <c r="BA388" s="330"/>
      <c r="BB388" s="328"/>
      <c r="BC388" s="328"/>
      <c r="BD388" s="328"/>
      <c r="BE388" s="330"/>
      <c r="BF388" s="330"/>
      <c r="BG388" s="344"/>
      <c r="BH388" s="330"/>
      <c r="BI388" s="330"/>
      <c r="BJ388" s="330"/>
      <c r="BK388" s="330"/>
      <c r="BL388" s="330"/>
      <c r="BM388" s="330"/>
      <c r="BN388" s="330"/>
      <c r="BO388" s="330"/>
      <c r="BP388" s="331"/>
      <c r="BQ388" s="332"/>
      <c r="BR388" s="333"/>
    </row>
    <row r="389" spans="2:70" ht="15.75" customHeight="1">
      <c r="B389" s="216" t="s">
        <v>268</v>
      </c>
      <c r="C389" s="212">
        <v>1165752</v>
      </c>
      <c r="D389" s="223">
        <v>11447124000136</v>
      </c>
      <c r="E389" s="217" t="s">
        <v>19</v>
      </c>
      <c r="F389" s="217" t="s">
        <v>963</v>
      </c>
      <c r="G389" s="217" t="s">
        <v>1011</v>
      </c>
      <c r="H389" s="218" t="s">
        <v>1113</v>
      </c>
      <c r="I389" s="217" t="s">
        <v>66</v>
      </c>
      <c r="J389" s="217" t="s">
        <v>1794</v>
      </c>
      <c r="K389" s="218" t="s">
        <v>951</v>
      </c>
      <c r="L389" s="212" t="s">
        <v>87</v>
      </c>
      <c r="M389" s="250"/>
      <c r="N389" s="239">
        <v>40771</v>
      </c>
      <c r="O389" s="210" t="s">
        <v>265</v>
      </c>
      <c r="P389" s="210" t="s">
        <v>265</v>
      </c>
      <c r="Q389" s="210" t="s">
        <v>1089</v>
      </c>
      <c r="R389" s="210" t="s">
        <v>1084</v>
      </c>
      <c r="S389" s="210" t="s">
        <v>1078</v>
      </c>
      <c r="T389" s="210" t="s">
        <v>1275</v>
      </c>
      <c r="U389" s="210" t="s">
        <v>1114</v>
      </c>
      <c r="V389" s="210" t="s">
        <v>19</v>
      </c>
      <c r="W389" s="211" t="s">
        <v>1010</v>
      </c>
      <c r="X389" s="211">
        <v>1000</v>
      </c>
      <c r="Y389" s="211">
        <v>1000</v>
      </c>
      <c r="Z389" s="212">
        <v>1000</v>
      </c>
      <c r="AA389" s="240">
        <v>31</v>
      </c>
      <c r="AB389" s="213">
        <v>5.0000000000000001E-3</v>
      </c>
      <c r="AC389" s="213">
        <v>0</v>
      </c>
      <c r="AD389" s="213" t="s">
        <v>109</v>
      </c>
      <c r="AE389" s="213">
        <v>1.5E-3</v>
      </c>
      <c r="AF389" s="241">
        <v>658222435.36000001</v>
      </c>
      <c r="AG389" s="241">
        <v>658222435.36000001</v>
      </c>
      <c r="AH389" s="213">
        <v>8.2600000000000007E-2</v>
      </c>
      <c r="AI389" s="352">
        <v>1.2721</v>
      </c>
      <c r="AJ389" s="213">
        <v>0.13789999999999999</v>
      </c>
      <c r="AK389" s="352">
        <v>1.4658</v>
      </c>
      <c r="AL389" s="213">
        <v>0.1993</v>
      </c>
      <c r="AM389" s="352">
        <v>1.6498999999999999</v>
      </c>
      <c r="AN389" s="213">
        <v>0.17549999999999999</v>
      </c>
      <c r="AO389" s="352">
        <v>1.0411999999999999</v>
      </c>
      <c r="AP389" s="213">
        <v>1.17E-2</v>
      </c>
      <c r="AQ389" s="219">
        <v>3.3538643685588752</v>
      </c>
      <c r="AR389" s="213" t="s">
        <v>1827</v>
      </c>
      <c r="AU389" s="343"/>
      <c r="AV389" s="343"/>
      <c r="AW389" s="328"/>
      <c r="AX389" s="329"/>
      <c r="AY389" s="328"/>
      <c r="AZ389" s="328"/>
      <c r="BA389" s="330"/>
      <c r="BB389" s="328"/>
      <c r="BC389" s="328"/>
      <c r="BD389" s="328"/>
      <c r="BE389" s="330"/>
      <c r="BF389" s="330"/>
      <c r="BG389" s="344"/>
      <c r="BH389" s="330"/>
      <c r="BI389" s="330"/>
      <c r="BJ389" s="330"/>
      <c r="BK389" s="330"/>
      <c r="BL389" s="330"/>
      <c r="BM389" s="330"/>
      <c r="BN389" s="330"/>
      <c r="BO389" s="330"/>
      <c r="BP389" s="331"/>
      <c r="BQ389" s="332"/>
      <c r="BR389" s="333"/>
    </row>
    <row r="390" spans="2:70" ht="15.75" customHeight="1">
      <c r="B390" s="216" t="s">
        <v>1292</v>
      </c>
      <c r="C390" s="212">
        <v>537793</v>
      </c>
      <c r="D390" s="223">
        <v>44479860000125</v>
      </c>
      <c r="E390" s="217" t="s">
        <v>28</v>
      </c>
      <c r="F390" s="217" t="s">
        <v>950</v>
      </c>
      <c r="G390" s="217"/>
      <c r="H390" s="218"/>
      <c r="I390" s="217" t="s">
        <v>66</v>
      </c>
      <c r="J390" s="217" t="s">
        <v>66</v>
      </c>
      <c r="K390" s="218" t="s">
        <v>954</v>
      </c>
      <c r="L390" s="212" t="s">
        <v>88</v>
      </c>
      <c r="M390" s="250"/>
      <c r="N390" s="239">
        <v>44558</v>
      </c>
      <c r="O390" s="210" t="s">
        <v>1293</v>
      </c>
      <c r="P390" s="210" t="s">
        <v>1075</v>
      </c>
      <c r="Q390" s="210" t="s">
        <v>1076</v>
      </c>
      <c r="R390" s="210" t="s">
        <v>1084</v>
      </c>
      <c r="S390" s="210" t="s">
        <v>1078</v>
      </c>
      <c r="T390" s="210" t="s">
        <v>32</v>
      </c>
      <c r="U390" s="210" t="s">
        <v>33</v>
      </c>
      <c r="V390" s="210" t="s">
        <v>1080</v>
      </c>
      <c r="W390" s="211" t="s">
        <v>1007</v>
      </c>
      <c r="X390" s="211">
        <v>5000</v>
      </c>
      <c r="Y390" s="211">
        <v>1000</v>
      </c>
      <c r="Z390" s="212">
        <v>5000</v>
      </c>
      <c r="AA390" s="240">
        <v>15</v>
      </c>
      <c r="AB390" s="213">
        <v>1.9E-2</v>
      </c>
      <c r="AC390" s="213">
        <v>0.2</v>
      </c>
      <c r="AD390" s="213" t="s">
        <v>1100</v>
      </c>
      <c r="AE390" s="213">
        <v>4.4327000000000004E-3</v>
      </c>
      <c r="AF390" s="241">
        <v>22828217</v>
      </c>
      <c r="AG390" s="241">
        <v>22828217</v>
      </c>
      <c r="AH390" s="213">
        <v>-0.153</v>
      </c>
      <c r="AI390" s="352">
        <v>-2.3563000000000001</v>
      </c>
      <c r="AJ390" s="213" t="s">
        <v>66</v>
      </c>
      <c r="AK390" s="352" t="s">
        <v>66</v>
      </c>
      <c r="AL390" s="213" t="s">
        <v>66</v>
      </c>
      <c r="AM390" s="352" t="s">
        <v>66</v>
      </c>
      <c r="AN390" s="213" t="s">
        <v>66</v>
      </c>
      <c r="AO390" s="352" t="s">
        <v>66</v>
      </c>
      <c r="AP390" s="213" t="s">
        <v>66</v>
      </c>
      <c r="AQ390" s="219" t="s">
        <v>66</v>
      </c>
      <c r="AR390" s="213" t="s">
        <v>1824</v>
      </c>
      <c r="AU390" s="343"/>
      <c r="AV390" s="343"/>
      <c r="AW390" s="328"/>
      <c r="AX390" s="329"/>
      <c r="AY390" s="328"/>
      <c r="AZ390" s="328"/>
      <c r="BA390" s="330"/>
      <c r="BB390" s="328"/>
      <c r="BC390" s="328"/>
      <c r="BD390" s="328"/>
      <c r="BE390" s="330"/>
      <c r="BF390" s="330"/>
      <c r="BG390" s="344"/>
      <c r="BH390" s="330"/>
      <c r="BI390" s="330"/>
      <c r="BJ390" s="330"/>
      <c r="BK390" s="330"/>
      <c r="BL390" s="330"/>
      <c r="BM390" s="330"/>
      <c r="BN390" s="330"/>
      <c r="BO390" s="330"/>
      <c r="BP390" s="331"/>
      <c r="BQ390" s="332"/>
      <c r="BR390" s="333"/>
    </row>
    <row r="391" spans="2:70" ht="15.75" customHeight="1">
      <c r="B391" s="216" t="s">
        <v>1294</v>
      </c>
      <c r="C391" s="212">
        <v>1126149</v>
      </c>
      <c r="D391" s="223">
        <v>44515610000101</v>
      </c>
      <c r="E391" s="217" t="s">
        <v>28</v>
      </c>
      <c r="F391" s="217" t="s">
        <v>950</v>
      </c>
      <c r="G391" s="217"/>
      <c r="H391" s="218"/>
      <c r="I391" s="217" t="s">
        <v>66</v>
      </c>
      <c r="J391" s="217" t="s">
        <v>66</v>
      </c>
      <c r="K391" s="218" t="s">
        <v>954</v>
      </c>
      <c r="L391" s="212" t="s">
        <v>87</v>
      </c>
      <c r="M391" s="250"/>
      <c r="N391" s="239">
        <v>44568</v>
      </c>
      <c r="O391" s="210" t="s">
        <v>1293</v>
      </c>
      <c r="P391" s="210" t="s">
        <v>1075</v>
      </c>
      <c r="Q391" s="210" t="s">
        <v>1076</v>
      </c>
      <c r="R391" s="210" t="s">
        <v>1084</v>
      </c>
      <c r="S391" s="210" t="s">
        <v>1078</v>
      </c>
      <c r="T391" s="210" t="s">
        <v>32</v>
      </c>
      <c r="U391" s="210" t="s">
        <v>33</v>
      </c>
      <c r="V391" s="210" t="s">
        <v>1080</v>
      </c>
      <c r="W391" s="211" t="s">
        <v>1007</v>
      </c>
      <c r="X391" s="211">
        <v>5000</v>
      </c>
      <c r="Y391" s="211">
        <v>1000</v>
      </c>
      <c r="Z391" s="212">
        <v>5000</v>
      </c>
      <c r="AA391" s="240">
        <v>15</v>
      </c>
      <c r="AB391" s="213">
        <v>1.9E-2</v>
      </c>
      <c r="AC391" s="213">
        <v>0.2</v>
      </c>
      <c r="AD391" s="213" t="s">
        <v>1100</v>
      </c>
      <c r="AE391" s="213">
        <v>4.4327000000000004E-3</v>
      </c>
      <c r="AF391" s="241">
        <v>24301746.050000001</v>
      </c>
      <c r="AG391" s="241">
        <v>24301746.050000001</v>
      </c>
      <c r="AH391" s="213" t="s">
        <v>66</v>
      </c>
      <c r="AI391" s="352" t="s">
        <v>66</v>
      </c>
      <c r="AJ391" s="213" t="s">
        <v>66</v>
      </c>
      <c r="AK391" s="352" t="s">
        <v>66</v>
      </c>
      <c r="AL391" s="213" t="s">
        <v>66</v>
      </c>
      <c r="AM391" s="352" t="s">
        <v>66</v>
      </c>
      <c r="AN391" s="213" t="s">
        <v>66</v>
      </c>
      <c r="AO391" s="352" t="s">
        <v>66</v>
      </c>
      <c r="AP391" s="213" t="s">
        <v>66</v>
      </c>
      <c r="AQ391" s="219" t="s">
        <v>66</v>
      </c>
      <c r="AR391" s="213" t="s">
        <v>1824</v>
      </c>
      <c r="AU391" s="343"/>
      <c r="AV391" s="343"/>
      <c r="AW391" s="328"/>
      <c r="AX391" s="329"/>
      <c r="AY391" s="328"/>
      <c r="AZ391" s="328"/>
      <c r="BA391" s="330"/>
      <c r="BB391" s="328"/>
      <c r="BC391" s="328"/>
      <c r="BD391" s="328"/>
      <c r="BE391" s="330"/>
      <c r="BF391" s="330"/>
      <c r="BG391" s="344"/>
      <c r="BH391" s="330"/>
      <c r="BI391" s="330"/>
      <c r="BJ391" s="330"/>
      <c r="BK391" s="330"/>
      <c r="BL391" s="330"/>
      <c r="BM391" s="330"/>
      <c r="BN391" s="330"/>
      <c r="BO391" s="330"/>
      <c r="BP391" s="331"/>
      <c r="BQ391" s="332"/>
      <c r="BR391" s="333"/>
    </row>
    <row r="392" spans="2:70" ht="15.75" customHeight="1">
      <c r="B392" s="216" t="s">
        <v>270</v>
      </c>
      <c r="C392" s="212">
        <v>585098</v>
      </c>
      <c r="D392" s="223">
        <v>28246652000120</v>
      </c>
      <c r="E392" s="217" t="s">
        <v>28</v>
      </c>
      <c r="F392" s="217" t="s">
        <v>957</v>
      </c>
      <c r="G392" s="217"/>
      <c r="H392" s="218"/>
      <c r="I392" s="217" t="s">
        <v>1842</v>
      </c>
      <c r="J392" s="217" t="s">
        <v>66</v>
      </c>
      <c r="K392" s="218" t="s">
        <v>951</v>
      </c>
      <c r="L392" s="212" t="s">
        <v>87</v>
      </c>
      <c r="M392" s="250"/>
      <c r="N392" s="239">
        <v>43090</v>
      </c>
      <c r="O392" s="210" t="s">
        <v>269</v>
      </c>
      <c r="P392" s="210" t="s">
        <v>1090</v>
      </c>
      <c r="Q392" s="210" t="s">
        <v>1091</v>
      </c>
      <c r="R392" s="210" t="s">
        <v>1084</v>
      </c>
      <c r="S392" s="210" t="s">
        <v>1078</v>
      </c>
      <c r="T392" s="210" t="s">
        <v>1079</v>
      </c>
      <c r="U392" s="210" t="s">
        <v>957</v>
      </c>
      <c r="V392" s="210" t="s">
        <v>25</v>
      </c>
      <c r="W392" s="211" t="s">
        <v>1023</v>
      </c>
      <c r="X392" s="211">
        <v>5000</v>
      </c>
      <c r="Y392" s="211">
        <v>1000</v>
      </c>
      <c r="Z392" s="212">
        <v>1000</v>
      </c>
      <c r="AA392" s="240">
        <v>32</v>
      </c>
      <c r="AB392" s="213">
        <v>1.9E-2</v>
      </c>
      <c r="AC392" s="213">
        <v>0.2</v>
      </c>
      <c r="AD392" s="213" t="s">
        <v>203</v>
      </c>
      <c r="AE392" s="213">
        <v>4.7499999999999999E-3</v>
      </c>
      <c r="AF392" s="241">
        <v>2173054.38</v>
      </c>
      <c r="AG392" s="241">
        <v>2173054.38</v>
      </c>
      <c r="AH392" s="213">
        <v>-0.1118</v>
      </c>
      <c r="AI392" s="352">
        <v>-1.7222999999999999</v>
      </c>
      <c r="AJ392" s="213">
        <v>-0.36049999999999999</v>
      </c>
      <c r="AK392" s="352">
        <v>-3.8313000000000001</v>
      </c>
      <c r="AL392" s="213">
        <v>-0.23960000000000001</v>
      </c>
      <c r="AM392" s="352">
        <v>-1.9835</v>
      </c>
      <c r="AN392" s="213">
        <v>-0.2863</v>
      </c>
      <c r="AO392" s="352">
        <v>-1.6988000000000001</v>
      </c>
      <c r="AP392" s="213">
        <v>0.21079999999999999</v>
      </c>
      <c r="AQ392" s="219">
        <v>-2.4394748530960153</v>
      </c>
      <c r="AR392" s="213" t="s">
        <v>1827</v>
      </c>
      <c r="AU392" s="343"/>
      <c r="AV392" s="343"/>
      <c r="AW392" s="328"/>
      <c r="AX392" s="329"/>
      <c r="AY392" s="328"/>
      <c r="AZ392" s="328"/>
      <c r="BA392" s="330"/>
      <c r="BB392" s="328"/>
      <c r="BC392" s="328"/>
      <c r="BD392" s="328"/>
      <c r="BE392" s="330"/>
      <c r="BF392" s="330"/>
      <c r="BG392" s="344"/>
      <c r="BH392" s="330"/>
      <c r="BI392" s="330"/>
      <c r="BJ392" s="330"/>
      <c r="BK392" s="330"/>
      <c r="BL392" s="330"/>
      <c r="BM392" s="330"/>
      <c r="BN392" s="330"/>
      <c r="BO392" s="330"/>
      <c r="BP392" s="331"/>
      <c r="BQ392" s="332"/>
      <c r="BR392" s="333"/>
    </row>
    <row r="393" spans="2:70" ht="15.75" customHeight="1">
      <c r="B393" s="216" t="s">
        <v>1295</v>
      </c>
      <c r="C393" s="212">
        <v>1086114</v>
      </c>
      <c r="D393" s="223">
        <v>13106979000129</v>
      </c>
      <c r="E393" s="217" t="s">
        <v>25</v>
      </c>
      <c r="F393" s="217" t="s">
        <v>958</v>
      </c>
      <c r="G393" s="217" t="s">
        <v>962</v>
      </c>
      <c r="H393" s="218" t="s">
        <v>66</v>
      </c>
      <c r="I393" s="217" t="s">
        <v>1842</v>
      </c>
      <c r="J393" s="217" t="s">
        <v>66</v>
      </c>
      <c r="K393" s="218"/>
      <c r="L393" s="212" t="s">
        <v>87</v>
      </c>
      <c r="M393" s="250"/>
      <c r="N393" s="239">
        <v>40633</v>
      </c>
      <c r="O393" s="210" t="s">
        <v>269</v>
      </c>
      <c r="P393" s="210" t="s">
        <v>1090</v>
      </c>
      <c r="Q393" s="210" t="s">
        <v>1091</v>
      </c>
      <c r="R393" s="210" t="s">
        <v>1084</v>
      </c>
      <c r="S393" s="210" t="s">
        <v>1078</v>
      </c>
      <c r="T393" s="210" t="s">
        <v>1082</v>
      </c>
      <c r="U393" s="210" t="s">
        <v>958</v>
      </c>
      <c r="V393" s="210" t="s">
        <v>25</v>
      </c>
      <c r="W393" s="211" t="s">
        <v>1012</v>
      </c>
      <c r="X393" s="211">
        <v>5000</v>
      </c>
      <c r="Y393" s="211">
        <v>1000</v>
      </c>
      <c r="Z393" s="212">
        <v>5000</v>
      </c>
      <c r="AA393" s="240">
        <v>30</v>
      </c>
      <c r="AB393" s="213">
        <v>1.95E-2</v>
      </c>
      <c r="AC393" s="213">
        <v>0.2</v>
      </c>
      <c r="AD393" s="213" t="s">
        <v>109</v>
      </c>
      <c r="AE393" s="213">
        <v>6.8249999999999995E-3</v>
      </c>
      <c r="AF393" s="241">
        <v>124074158.64</v>
      </c>
      <c r="AG393" s="241">
        <v>124074158.64</v>
      </c>
      <c r="AH393" s="213">
        <v>7.6100000000000001E-2</v>
      </c>
      <c r="AI393" s="352">
        <v>1.1715</v>
      </c>
      <c r="AJ393" s="213">
        <v>6.0000000000000001E-3</v>
      </c>
      <c r="AK393" s="352">
        <v>6.4199999999999993E-2</v>
      </c>
      <c r="AL393" s="213">
        <v>2.3800000000000002E-2</v>
      </c>
      <c r="AM393" s="352">
        <v>0.19670000000000001</v>
      </c>
      <c r="AN393" s="213">
        <v>7.4399999999999994E-2</v>
      </c>
      <c r="AO393" s="352">
        <v>0.44119999999999998</v>
      </c>
      <c r="AP393" s="213">
        <v>8.0699999999999994E-2</v>
      </c>
      <c r="AQ393" s="219">
        <v>-0.99999532094153987</v>
      </c>
      <c r="AR393" s="213" t="s">
        <v>1827</v>
      </c>
      <c r="AU393" s="343"/>
      <c r="AV393" s="343"/>
      <c r="AW393" s="328"/>
      <c r="AX393" s="329"/>
      <c r="AY393" s="328"/>
      <c r="AZ393" s="328"/>
      <c r="BA393" s="330"/>
      <c r="BB393" s="328"/>
      <c r="BC393" s="328"/>
      <c r="BD393" s="328"/>
      <c r="BE393" s="330"/>
      <c r="BF393" s="330"/>
      <c r="BG393" s="344"/>
      <c r="BH393" s="330"/>
      <c r="BI393" s="330"/>
      <c r="BJ393" s="330"/>
      <c r="BK393" s="330"/>
      <c r="BL393" s="330"/>
      <c r="BM393" s="330"/>
      <c r="BN393" s="330"/>
      <c r="BO393" s="330"/>
      <c r="BP393" s="331"/>
      <c r="BQ393" s="332"/>
      <c r="BR393" s="333"/>
    </row>
    <row r="394" spans="2:70" ht="15.75" customHeight="1">
      <c r="B394" s="216" t="s">
        <v>271</v>
      </c>
      <c r="C394" s="212">
        <v>553320</v>
      </c>
      <c r="D394" s="223">
        <v>34431415000131</v>
      </c>
      <c r="E394" s="217" t="s">
        <v>19</v>
      </c>
      <c r="F394" s="217" t="s">
        <v>963</v>
      </c>
      <c r="G394" s="217" t="s">
        <v>1034</v>
      </c>
      <c r="H394" s="218" t="s">
        <v>1113</v>
      </c>
      <c r="I394" s="217" t="s">
        <v>66</v>
      </c>
      <c r="J394" s="217" t="s">
        <v>1822</v>
      </c>
      <c r="K394" s="218" t="s">
        <v>951</v>
      </c>
      <c r="L394" s="212" t="s">
        <v>87</v>
      </c>
      <c r="M394" s="250"/>
      <c r="N394" s="239">
        <v>43768</v>
      </c>
      <c r="O394" s="210" t="s">
        <v>269</v>
      </c>
      <c r="P394" s="210" t="s">
        <v>1090</v>
      </c>
      <c r="Q394" s="210" t="s">
        <v>1091</v>
      </c>
      <c r="R394" s="210" t="s">
        <v>1077</v>
      </c>
      <c r="S394" s="210" t="s">
        <v>1085</v>
      </c>
      <c r="T394" s="210" t="s">
        <v>32</v>
      </c>
      <c r="U394" s="210" t="s">
        <v>1150</v>
      </c>
      <c r="V394" s="210" t="s">
        <v>25</v>
      </c>
      <c r="W394" s="211" t="s">
        <v>1012</v>
      </c>
      <c r="X394" s="211">
        <v>5000</v>
      </c>
      <c r="Y394" s="211">
        <v>1000</v>
      </c>
      <c r="Z394" s="212">
        <v>5000</v>
      </c>
      <c r="AA394" s="240">
        <v>361</v>
      </c>
      <c r="AB394" s="213">
        <v>1.4500000000000001E-2</v>
      </c>
      <c r="AC394" s="213">
        <v>0.2</v>
      </c>
      <c r="AD394" s="213" t="s">
        <v>109</v>
      </c>
      <c r="AE394" s="213">
        <v>2.4166666666666668E-3</v>
      </c>
      <c r="AF394" s="241">
        <v>183429014.65000001</v>
      </c>
      <c r="AG394" s="241">
        <v>183429014.65000001</v>
      </c>
      <c r="AH394" s="213">
        <v>8.2000000000000003E-2</v>
      </c>
      <c r="AI394" s="352">
        <v>1.2633000000000001</v>
      </c>
      <c r="AJ394" s="213">
        <v>0.1348</v>
      </c>
      <c r="AK394" s="352">
        <v>1.4322999999999999</v>
      </c>
      <c r="AL394" s="213">
        <v>0.20030000000000001</v>
      </c>
      <c r="AM394" s="352">
        <v>1.6579999999999999</v>
      </c>
      <c r="AN394" s="213" t="s">
        <v>66</v>
      </c>
      <c r="AO394" s="352" t="s">
        <v>66</v>
      </c>
      <c r="AP394" s="213">
        <v>9.1000000000000004E-3</v>
      </c>
      <c r="AQ394" s="219">
        <v>4.0306074361341411</v>
      </c>
      <c r="AR394" s="213" t="s">
        <v>1827</v>
      </c>
      <c r="AU394" s="343"/>
      <c r="AV394" s="343"/>
      <c r="AW394" s="328"/>
      <c r="AX394" s="329"/>
      <c r="AY394" s="328"/>
      <c r="AZ394" s="328"/>
      <c r="BA394" s="330"/>
      <c r="BB394" s="328"/>
      <c r="BC394" s="328"/>
      <c r="BD394" s="328"/>
      <c r="BE394" s="330"/>
      <c r="BF394" s="330"/>
      <c r="BG394" s="344"/>
      <c r="BH394" s="330"/>
      <c r="BI394" s="330"/>
      <c r="BJ394" s="330"/>
      <c r="BK394" s="330"/>
      <c r="BL394" s="330"/>
      <c r="BM394" s="330"/>
      <c r="BN394" s="330"/>
      <c r="BO394" s="330"/>
      <c r="BP394" s="331"/>
      <c r="BQ394" s="332"/>
      <c r="BR394" s="333"/>
    </row>
    <row r="395" spans="2:70" ht="15.75" customHeight="1">
      <c r="B395" s="216" t="s">
        <v>272</v>
      </c>
      <c r="C395" s="212">
        <v>564188</v>
      </c>
      <c r="D395" s="223">
        <v>28866524000189</v>
      </c>
      <c r="E395" s="217" t="s">
        <v>25</v>
      </c>
      <c r="F395" s="217" t="s">
        <v>958</v>
      </c>
      <c r="G395" s="217" t="s">
        <v>962</v>
      </c>
      <c r="H395" s="218" t="s">
        <v>66</v>
      </c>
      <c r="I395" s="217" t="s">
        <v>1842</v>
      </c>
      <c r="J395" s="217" t="s">
        <v>66</v>
      </c>
      <c r="K395" s="218"/>
      <c r="L395" s="212" t="s">
        <v>87</v>
      </c>
      <c r="M395" s="250"/>
      <c r="N395" s="239">
        <v>43088</v>
      </c>
      <c r="O395" s="210" t="s">
        <v>269</v>
      </c>
      <c r="P395" s="210" t="s">
        <v>1090</v>
      </c>
      <c r="Q395" s="210" t="s">
        <v>1091</v>
      </c>
      <c r="R395" s="210" t="s">
        <v>1084</v>
      </c>
      <c r="S395" s="210" t="s">
        <v>1078</v>
      </c>
      <c r="T395" s="210" t="s">
        <v>1082</v>
      </c>
      <c r="U395" s="210" t="s">
        <v>65</v>
      </c>
      <c r="V395" s="210" t="s">
        <v>25</v>
      </c>
      <c r="W395" s="211" t="s">
        <v>1016</v>
      </c>
      <c r="X395" s="211">
        <v>5000</v>
      </c>
      <c r="Y395" s="211">
        <v>1000</v>
      </c>
      <c r="Z395" s="212">
        <v>5000</v>
      </c>
      <c r="AA395" s="240">
        <v>30</v>
      </c>
      <c r="AB395" s="213">
        <v>1.4E-2</v>
      </c>
      <c r="AC395" s="213">
        <v>0.15</v>
      </c>
      <c r="AD395" s="213" t="s">
        <v>109</v>
      </c>
      <c r="AE395" s="213">
        <v>3.7333333333333333E-3</v>
      </c>
      <c r="AF395" s="241">
        <v>252087593.37</v>
      </c>
      <c r="AG395" s="241">
        <v>252087593.37</v>
      </c>
      <c r="AH395" s="213">
        <v>3.3E-3</v>
      </c>
      <c r="AI395" s="352">
        <v>5.0799999999999998E-2</v>
      </c>
      <c r="AJ395" s="213">
        <v>-1.0999999999999999E-2</v>
      </c>
      <c r="AK395" s="352">
        <v>-0.1174</v>
      </c>
      <c r="AL395" s="213">
        <v>1.8700000000000001E-2</v>
      </c>
      <c r="AM395" s="352">
        <v>0.1547</v>
      </c>
      <c r="AN395" s="213">
        <v>-2.3699999999999999E-2</v>
      </c>
      <c r="AO395" s="352">
        <v>-0.1404</v>
      </c>
      <c r="AP395" s="213">
        <v>7.0099999999999996E-2</v>
      </c>
      <c r="AQ395" s="219">
        <v>-1.4056242780069368</v>
      </c>
      <c r="AR395" s="213" t="s">
        <v>1827</v>
      </c>
      <c r="AU395" s="343"/>
      <c r="AV395" s="343"/>
      <c r="AW395" s="328"/>
      <c r="AX395" s="329"/>
      <c r="AY395" s="328"/>
      <c r="AZ395" s="328"/>
      <c r="BA395" s="330"/>
      <c r="BB395" s="328"/>
      <c r="BC395" s="328"/>
      <c r="BD395" s="328"/>
      <c r="BE395" s="330"/>
      <c r="BF395" s="330"/>
      <c r="BG395" s="344"/>
      <c r="BH395" s="330"/>
      <c r="BI395" s="330"/>
      <c r="BJ395" s="330"/>
      <c r="BK395" s="330"/>
      <c r="BL395" s="330"/>
      <c r="BM395" s="330"/>
      <c r="BN395" s="330"/>
      <c r="BO395" s="330"/>
      <c r="BP395" s="331"/>
      <c r="BQ395" s="332"/>
      <c r="BR395" s="333"/>
    </row>
    <row r="396" spans="2:70" ht="15.75" customHeight="1">
      <c r="B396" s="216" t="s">
        <v>1296</v>
      </c>
      <c r="C396" s="212">
        <v>537430</v>
      </c>
      <c r="D396" s="223">
        <v>23272391000107</v>
      </c>
      <c r="E396" s="217" t="s">
        <v>19</v>
      </c>
      <c r="F396" s="217" t="s">
        <v>963</v>
      </c>
      <c r="G396" s="217" t="s">
        <v>1011</v>
      </c>
      <c r="H396" s="218" t="s">
        <v>1113</v>
      </c>
      <c r="I396" s="217" t="s">
        <v>66</v>
      </c>
      <c r="J396" s="217" t="s">
        <v>1794</v>
      </c>
      <c r="K396" s="218" t="s">
        <v>951</v>
      </c>
      <c r="L396" s="212" t="s">
        <v>87</v>
      </c>
      <c r="M396" s="250"/>
      <c r="N396" s="239">
        <v>42347</v>
      </c>
      <c r="O396" s="210" t="s">
        <v>1297</v>
      </c>
      <c r="P396" s="210" t="s">
        <v>1090</v>
      </c>
      <c r="Q396" s="210" t="s">
        <v>1091</v>
      </c>
      <c r="R396" s="210" t="s">
        <v>1077</v>
      </c>
      <c r="S396" s="210" t="s">
        <v>1078</v>
      </c>
      <c r="T396" s="210" t="s">
        <v>1275</v>
      </c>
      <c r="U396" s="210" t="s">
        <v>1114</v>
      </c>
      <c r="V396" s="210" t="s">
        <v>25</v>
      </c>
      <c r="W396" s="211" t="s">
        <v>1016</v>
      </c>
      <c r="X396" s="211">
        <v>1000</v>
      </c>
      <c r="Y396" s="211">
        <v>1000</v>
      </c>
      <c r="Z396" s="212">
        <v>1000</v>
      </c>
      <c r="AA396" s="240">
        <v>60</v>
      </c>
      <c r="AB396" s="213">
        <v>7.4999999999999997E-3</v>
      </c>
      <c r="AC396" s="213">
        <v>0.2</v>
      </c>
      <c r="AD396" s="213" t="s">
        <v>109</v>
      </c>
      <c r="AE396" s="213">
        <v>1.7499999999999998E-3</v>
      </c>
      <c r="AF396" s="241">
        <v>293504172.57999998</v>
      </c>
      <c r="AG396" s="241">
        <v>293504172.57999998</v>
      </c>
      <c r="AH396" s="213">
        <v>8.8300000000000003E-2</v>
      </c>
      <c r="AI396" s="352">
        <v>1.3593999999999999</v>
      </c>
      <c r="AJ396" s="213">
        <v>0.1343</v>
      </c>
      <c r="AK396" s="352">
        <v>1.4274</v>
      </c>
      <c r="AL396" s="213">
        <v>0.2261</v>
      </c>
      <c r="AM396" s="352">
        <v>1.8717999999999999</v>
      </c>
      <c r="AN396" s="213">
        <v>0.28139999999999998</v>
      </c>
      <c r="AO396" s="352">
        <v>1.6698999999999999</v>
      </c>
      <c r="AP396" s="213">
        <v>1.15E-2</v>
      </c>
      <c r="AQ396" s="219">
        <v>3.1377346742366066</v>
      </c>
      <c r="AR396" s="213" t="s">
        <v>1827</v>
      </c>
      <c r="AU396" s="343"/>
      <c r="AV396" s="343"/>
      <c r="AW396" s="328"/>
      <c r="AX396" s="329"/>
      <c r="AY396" s="328"/>
      <c r="AZ396" s="328"/>
      <c r="BA396" s="330"/>
      <c r="BB396" s="328"/>
      <c r="BC396" s="328"/>
      <c r="BD396" s="328"/>
      <c r="BE396" s="330"/>
      <c r="BF396" s="330"/>
      <c r="BG396" s="344"/>
      <c r="BH396" s="330"/>
      <c r="BI396" s="330"/>
      <c r="BJ396" s="330"/>
      <c r="BK396" s="330"/>
      <c r="BL396" s="330"/>
      <c r="BM396" s="330"/>
      <c r="BN396" s="330"/>
      <c r="BO396" s="330"/>
      <c r="BP396" s="331"/>
      <c r="BQ396" s="332"/>
      <c r="BR396" s="333"/>
    </row>
    <row r="397" spans="2:70" ht="15.75" customHeight="1">
      <c r="B397" s="216" t="s">
        <v>778</v>
      </c>
      <c r="C397" s="212">
        <v>3196666</v>
      </c>
      <c r="D397" s="223">
        <v>42847342000191</v>
      </c>
      <c r="E397" s="217" t="s">
        <v>19</v>
      </c>
      <c r="F397" s="217" t="s">
        <v>963</v>
      </c>
      <c r="G397" s="217" t="s">
        <v>1011</v>
      </c>
      <c r="H397" s="218" t="s">
        <v>1113</v>
      </c>
      <c r="I397" s="217" t="s">
        <v>66</v>
      </c>
      <c r="J397" s="217"/>
      <c r="K397" s="218"/>
      <c r="L397" s="212" t="s">
        <v>87</v>
      </c>
      <c r="M397" s="250"/>
      <c r="N397" s="239">
        <v>44459</v>
      </c>
      <c r="O397" s="210" t="s">
        <v>1297</v>
      </c>
      <c r="P397" s="210" t="s">
        <v>1075</v>
      </c>
      <c r="Q397" s="210" t="s">
        <v>1076</v>
      </c>
      <c r="R397" s="210" t="s">
        <v>231</v>
      </c>
      <c r="S397" s="210" t="s">
        <v>1078</v>
      </c>
      <c r="T397" s="210" t="s">
        <v>1275</v>
      </c>
      <c r="U397" s="210" t="s">
        <v>1114</v>
      </c>
      <c r="V397" s="210" t="s">
        <v>25</v>
      </c>
      <c r="W397" s="211" t="s">
        <v>1016</v>
      </c>
      <c r="X397" s="211">
        <v>1000</v>
      </c>
      <c r="Y397" s="211">
        <v>1000</v>
      </c>
      <c r="Z397" s="212">
        <v>1000</v>
      </c>
      <c r="AA397" s="240">
        <v>31</v>
      </c>
      <c r="AB397" s="213">
        <v>5.4999999999999997E-3</v>
      </c>
      <c r="AC397" s="213">
        <v>0.15</v>
      </c>
      <c r="AD397" s="213" t="s">
        <v>109</v>
      </c>
      <c r="AE397" s="213" t="s">
        <v>66</v>
      </c>
      <c r="AF397" s="241">
        <v>38956783.829999998</v>
      </c>
      <c r="AG397" s="241">
        <v>38956783.829999998</v>
      </c>
      <c r="AH397" s="213">
        <v>8.1699999999999995E-2</v>
      </c>
      <c r="AI397" s="352">
        <v>1.2585999999999999</v>
      </c>
      <c r="AJ397" s="213" t="s">
        <v>66</v>
      </c>
      <c r="AK397" s="352" t="s">
        <v>66</v>
      </c>
      <c r="AL397" s="213" t="s">
        <v>66</v>
      </c>
      <c r="AM397" s="352" t="s">
        <v>66</v>
      </c>
      <c r="AN397" s="213" t="s">
        <v>66</v>
      </c>
      <c r="AO397" s="352" t="s">
        <v>66</v>
      </c>
      <c r="AP397" s="213" t="s">
        <v>66</v>
      </c>
      <c r="AQ397" s="219" t="s">
        <v>66</v>
      </c>
      <c r="AR397" s="213" t="s">
        <v>1827</v>
      </c>
      <c r="AU397" s="343"/>
      <c r="AV397" s="343"/>
      <c r="AW397" s="328"/>
      <c r="AX397" s="329"/>
      <c r="AY397" s="328"/>
      <c r="AZ397" s="328"/>
      <c r="BA397" s="330"/>
      <c r="BB397" s="328"/>
      <c r="BC397" s="328"/>
      <c r="BD397" s="328"/>
      <c r="BE397" s="330"/>
      <c r="BF397" s="330"/>
      <c r="BG397" s="344"/>
      <c r="BH397" s="330"/>
      <c r="BI397" s="330"/>
      <c r="BJ397" s="330"/>
      <c r="BK397" s="330"/>
      <c r="BL397" s="330"/>
      <c r="BM397" s="330"/>
      <c r="BN397" s="330"/>
      <c r="BO397" s="330"/>
      <c r="BP397" s="331"/>
      <c r="BQ397" s="332"/>
      <c r="BR397" s="333"/>
    </row>
    <row r="398" spans="2:70" ht="15.75" customHeight="1">
      <c r="B398" s="216" t="s">
        <v>1298</v>
      </c>
      <c r="C398" s="212">
        <v>3196667</v>
      </c>
      <c r="D398" s="223">
        <v>38377094000195</v>
      </c>
      <c r="E398" s="217" t="s">
        <v>19</v>
      </c>
      <c r="F398" s="217" t="s">
        <v>963</v>
      </c>
      <c r="G398" s="217" t="s">
        <v>1011</v>
      </c>
      <c r="H398" s="218" t="s">
        <v>1113</v>
      </c>
      <c r="I398" s="217" t="s">
        <v>66</v>
      </c>
      <c r="J398" s="217"/>
      <c r="K398" s="218" t="s">
        <v>951</v>
      </c>
      <c r="L398" s="212" t="s">
        <v>87</v>
      </c>
      <c r="M398" s="250"/>
      <c r="N398" s="239">
        <v>44260</v>
      </c>
      <c r="O398" s="210" t="s">
        <v>1297</v>
      </c>
      <c r="P398" s="210" t="s">
        <v>1090</v>
      </c>
      <c r="Q398" s="210" t="s">
        <v>1091</v>
      </c>
      <c r="R398" s="210" t="s">
        <v>1099</v>
      </c>
      <c r="S398" s="210" t="s">
        <v>1078</v>
      </c>
      <c r="T398" s="210" t="s">
        <v>1275</v>
      </c>
      <c r="U398" s="210" t="s">
        <v>1114</v>
      </c>
      <c r="V398" s="210" t="s">
        <v>19</v>
      </c>
      <c r="W398" s="211" t="s">
        <v>1024</v>
      </c>
      <c r="X398" s="211">
        <v>1000000</v>
      </c>
      <c r="Y398" s="211">
        <v>1000000</v>
      </c>
      <c r="Z398" s="212">
        <v>1000000</v>
      </c>
      <c r="AA398" s="240">
        <v>90</v>
      </c>
      <c r="AB398" s="213">
        <v>6.4999999999999997E-3</v>
      </c>
      <c r="AC398" s="213">
        <v>0</v>
      </c>
      <c r="AD398" s="213" t="s">
        <v>109</v>
      </c>
      <c r="AE398" s="213">
        <v>1.5166666666666664E-3</v>
      </c>
      <c r="AF398" s="241">
        <v>101597155.02</v>
      </c>
      <c r="AG398" s="241">
        <v>101597155.02</v>
      </c>
      <c r="AH398" s="213">
        <v>8.2600000000000007E-2</v>
      </c>
      <c r="AI398" s="352">
        <v>1.272</v>
      </c>
      <c r="AJ398" s="213">
        <v>0.1235</v>
      </c>
      <c r="AK398" s="352">
        <v>1.3127</v>
      </c>
      <c r="AL398" s="213" t="s">
        <v>66</v>
      </c>
      <c r="AM398" s="352" t="s">
        <v>66</v>
      </c>
      <c r="AN398" s="213" t="s">
        <v>66</v>
      </c>
      <c r="AO398" s="352" t="s">
        <v>66</v>
      </c>
      <c r="AP398" s="213">
        <v>8.3000000000000001E-3</v>
      </c>
      <c r="AQ398" s="219">
        <v>3.1979188626079598</v>
      </c>
      <c r="AR398" s="213" t="s">
        <v>1827</v>
      </c>
      <c r="AU398" s="343"/>
      <c r="AV398" s="343"/>
      <c r="AW398" s="328"/>
      <c r="AX398" s="329"/>
      <c r="AY398" s="328"/>
      <c r="AZ398" s="328"/>
      <c r="BA398" s="330"/>
      <c r="BB398" s="328"/>
      <c r="BC398" s="328"/>
      <c r="BD398" s="328"/>
      <c r="BE398" s="330"/>
      <c r="BF398" s="330"/>
      <c r="BG398" s="344"/>
      <c r="BH398" s="330"/>
      <c r="BI398" s="330"/>
      <c r="BJ398" s="330"/>
      <c r="BK398" s="330"/>
      <c r="BL398" s="330"/>
      <c r="BM398" s="330"/>
      <c r="BN398" s="330"/>
      <c r="BO398" s="330"/>
      <c r="BP398" s="331"/>
      <c r="BQ398" s="332"/>
      <c r="BR398" s="333"/>
    </row>
    <row r="399" spans="2:70" ht="15.75" customHeight="1">
      <c r="B399" s="216" t="s">
        <v>1299</v>
      </c>
      <c r="C399" s="212">
        <v>608830</v>
      </c>
      <c r="D399" s="223">
        <v>26605199000175</v>
      </c>
      <c r="E399" s="217" t="s">
        <v>19</v>
      </c>
      <c r="F399" s="217" t="s">
        <v>963</v>
      </c>
      <c r="G399" s="217" t="s">
        <v>1011</v>
      </c>
      <c r="H399" s="218" t="s">
        <v>1113</v>
      </c>
      <c r="I399" s="217" t="s">
        <v>66</v>
      </c>
      <c r="J399" s="217"/>
      <c r="K399" s="218"/>
      <c r="L399" s="212" t="s">
        <v>87</v>
      </c>
      <c r="M399" s="250"/>
      <c r="N399" s="239">
        <v>43461</v>
      </c>
      <c r="O399" s="210" t="s">
        <v>1297</v>
      </c>
      <c r="P399" s="210" t="s">
        <v>1090</v>
      </c>
      <c r="Q399" s="210" t="s">
        <v>1091</v>
      </c>
      <c r="R399" s="210" t="s">
        <v>1084</v>
      </c>
      <c r="S399" s="210" t="s">
        <v>1078</v>
      </c>
      <c r="T399" s="210" t="s">
        <v>1275</v>
      </c>
      <c r="U399" s="210" t="s">
        <v>1114</v>
      </c>
      <c r="V399" s="210" t="s">
        <v>19</v>
      </c>
      <c r="W399" s="211" t="s">
        <v>1300</v>
      </c>
      <c r="X399" s="211">
        <v>1000</v>
      </c>
      <c r="Y399" s="211">
        <v>1000</v>
      </c>
      <c r="Z399" s="212">
        <v>1000</v>
      </c>
      <c r="AA399" s="240">
        <v>90</v>
      </c>
      <c r="AB399" s="213">
        <v>8.9999999999999993E-3</v>
      </c>
      <c r="AC399" s="213">
        <v>0.2</v>
      </c>
      <c r="AD399" s="213" t="s">
        <v>1100</v>
      </c>
      <c r="AE399" s="213">
        <v>2.0999999999999994E-3</v>
      </c>
      <c r="AF399" s="241">
        <v>71716233.519999996</v>
      </c>
      <c r="AG399" s="241">
        <v>71716233.519999996</v>
      </c>
      <c r="AH399" s="213">
        <v>5.4899999999999997E-2</v>
      </c>
      <c r="AI399" s="352">
        <v>0.84619999999999995</v>
      </c>
      <c r="AJ399" s="213">
        <v>8.9300000000000004E-2</v>
      </c>
      <c r="AK399" s="352">
        <v>0.94940000000000002</v>
      </c>
      <c r="AL399" s="213">
        <v>0.20380000000000001</v>
      </c>
      <c r="AM399" s="352">
        <v>1.6869000000000001</v>
      </c>
      <c r="AN399" s="213">
        <v>0.24179999999999999</v>
      </c>
      <c r="AO399" s="352">
        <v>1.4348000000000001</v>
      </c>
      <c r="AP399" s="213">
        <v>5.6099999999999997E-2</v>
      </c>
      <c r="AQ399" s="219">
        <v>-4.9820718371771766E-2</v>
      </c>
      <c r="AR399" s="213" t="s">
        <v>1827</v>
      </c>
      <c r="AU399" s="343"/>
      <c r="AV399" s="343"/>
      <c r="AW399" s="328"/>
      <c r="AX399" s="329"/>
      <c r="AY399" s="328"/>
      <c r="AZ399" s="328"/>
      <c r="BA399" s="330"/>
      <c r="BB399" s="328"/>
      <c r="BC399" s="328"/>
      <c r="BD399" s="328"/>
      <c r="BE399" s="330"/>
      <c r="BF399" s="330"/>
      <c r="BG399" s="344"/>
      <c r="BH399" s="330"/>
      <c r="BI399" s="330"/>
      <c r="BJ399" s="330"/>
      <c r="BK399" s="330"/>
      <c r="BL399" s="330"/>
      <c r="BM399" s="330"/>
      <c r="BN399" s="330"/>
      <c r="BO399" s="330"/>
      <c r="BP399" s="331"/>
      <c r="BQ399" s="332"/>
      <c r="BR399" s="333"/>
    </row>
    <row r="400" spans="2:70" ht="15.75" customHeight="1">
      <c r="B400" s="216" t="s">
        <v>1301</v>
      </c>
      <c r="C400" s="212">
        <v>974385</v>
      </c>
      <c r="D400" s="223">
        <v>31120037000187</v>
      </c>
      <c r="E400" s="217" t="s">
        <v>28</v>
      </c>
      <c r="F400" s="217" t="s">
        <v>32</v>
      </c>
      <c r="G400" s="217" t="s">
        <v>33</v>
      </c>
      <c r="H400" s="218"/>
      <c r="I400" s="217" t="s">
        <v>66</v>
      </c>
      <c r="J400" s="217" t="s">
        <v>66</v>
      </c>
      <c r="K400" s="218" t="s">
        <v>1040</v>
      </c>
      <c r="L400" s="212" t="s">
        <v>87</v>
      </c>
      <c r="M400" s="250"/>
      <c r="N400" s="239">
        <v>43439</v>
      </c>
      <c r="O400" s="210" t="s">
        <v>1297</v>
      </c>
      <c r="P400" s="210" t="s">
        <v>1090</v>
      </c>
      <c r="Q400" s="210" t="s">
        <v>1091</v>
      </c>
      <c r="R400" s="210" t="s">
        <v>1077</v>
      </c>
      <c r="S400" s="210" t="s">
        <v>1078</v>
      </c>
      <c r="T400" s="210" t="s">
        <v>32</v>
      </c>
      <c r="U400" s="210" t="s">
        <v>33</v>
      </c>
      <c r="V400" s="210" t="s">
        <v>25</v>
      </c>
      <c r="W400" s="211" t="s">
        <v>1019</v>
      </c>
      <c r="X400" s="211">
        <v>500</v>
      </c>
      <c r="Y400" s="211">
        <v>100</v>
      </c>
      <c r="Z400" s="212">
        <v>100</v>
      </c>
      <c r="AA400" s="240">
        <v>90</v>
      </c>
      <c r="AB400" s="213">
        <v>0.01</v>
      </c>
      <c r="AC400" s="213">
        <v>0.15</v>
      </c>
      <c r="AD400" s="213" t="s">
        <v>1157</v>
      </c>
      <c r="AE400" s="213">
        <v>2.5000000000000001E-3</v>
      </c>
      <c r="AF400" s="241">
        <v>19029214.809999999</v>
      </c>
      <c r="AG400" s="241">
        <v>19029214.809999999</v>
      </c>
      <c r="AH400" s="213">
        <v>1.95E-2</v>
      </c>
      <c r="AI400" s="352">
        <v>0.3</v>
      </c>
      <c r="AJ400" s="213">
        <v>1.1000000000000001E-3</v>
      </c>
      <c r="AK400" s="352">
        <v>1.21E-2</v>
      </c>
      <c r="AL400" s="213">
        <v>8.43E-2</v>
      </c>
      <c r="AM400" s="352">
        <v>0.69789999999999996</v>
      </c>
      <c r="AN400" s="213">
        <v>0.2092</v>
      </c>
      <c r="AO400" s="352">
        <v>1.2415</v>
      </c>
      <c r="AP400" s="213">
        <v>5.2900000000000003E-2</v>
      </c>
      <c r="AQ400" s="219">
        <v>-1.6528756648487721</v>
      </c>
      <c r="AR400" s="213" t="s">
        <v>1827</v>
      </c>
      <c r="AU400" s="343"/>
      <c r="AV400" s="343"/>
      <c r="AW400" s="328"/>
      <c r="AX400" s="329"/>
      <c r="AY400" s="328"/>
      <c r="AZ400" s="328"/>
      <c r="BA400" s="330"/>
      <c r="BB400" s="328"/>
      <c r="BC400" s="328"/>
      <c r="BD400" s="328"/>
      <c r="BE400" s="330"/>
      <c r="BF400" s="330"/>
      <c r="BG400" s="344"/>
      <c r="BH400" s="383"/>
      <c r="BI400" s="330"/>
      <c r="BJ400" s="330"/>
      <c r="BK400" s="330"/>
      <c r="BL400" s="330"/>
      <c r="BM400" s="330"/>
      <c r="BN400" s="330"/>
      <c r="BO400" s="330"/>
      <c r="BP400" s="331"/>
      <c r="BQ400" s="332"/>
      <c r="BR400" s="333"/>
    </row>
    <row r="401" spans="2:70" ht="15.75" customHeight="1">
      <c r="B401" s="216" t="s">
        <v>866</v>
      </c>
      <c r="C401" s="212">
        <v>608782</v>
      </c>
      <c r="D401" s="223">
        <v>21732670000172</v>
      </c>
      <c r="E401" s="217" t="s">
        <v>28</v>
      </c>
      <c r="F401" s="217" t="s">
        <v>32</v>
      </c>
      <c r="G401" s="217" t="s">
        <v>33</v>
      </c>
      <c r="H401" s="218"/>
      <c r="I401" s="217" t="s">
        <v>66</v>
      </c>
      <c r="J401" s="217" t="s">
        <v>66</v>
      </c>
      <c r="K401" s="218" t="s">
        <v>1040</v>
      </c>
      <c r="L401" s="212" t="s">
        <v>87</v>
      </c>
      <c r="M401" s="250"/>
      <c r="N401" s="239">
        <v>42202</v>
      </c>
      <c r="O401" s="210" t="s">
        <v>1297</v>
      </c>
      <c r="P401" s="210" t="s">
        <v>1090</v>
      </c>
      <c r="Q401" s="210" t="s">
        <v>1091</v>
      </c>
      <c r="R401" s="210" t="s">
        <v>1077</v>
      </c>
      <c r="S401" s="210" t="s">
        <v>1078</v>
      </c>
      <c r="T401" s="210" t="s">
        <v>32</v>
      </c>
      <c r="U401" s="210" t="s">
        <v>33</v>
      </c>
      <c r="V401" s="210" t="s">
        <v>25</v>
      </c>
      <c r="W401" s="211" t="s">
        <v>1019</v>
      </c>
      <c r="X401" s="211">
        <v>25000</v>
      </c>
      <c r="Y401" s="211">
        <v>5000</v>
      </c>
      <c r="Z401" s="212">
        <v>5000</v>
      </c>
      <c r="AA401" s="240">
        <v>180</v>
      </c>
      <c r="AB401" s="213">
        <v>5.4999999999999997E-3</v>
      </c>
      <c r="AC401" s="213">
        <v>0.2</v>
      </c>
      <c r="AD401" s="213" t="s">
        <v>1157</v>
      </c>
      <c r="AE401" s="213">
        <v>1.2833333333333332E-3</v>
      </c>
      <c r="AF401" s="241">
        <v>311888009.93000001</v>
      </c>
      <c r="AG401" s="241">
        <v>311888009.93000001</v>
      </c>
      <c r="AH401" s="213">
        <v>2.5700000000000001E-2</v>
      </c>
      <c r="AI401" s="352">
        <v>0.3957</v>
      </c>
      <c r="AJ401" s="213">
        <v>8.9999999999999993E-3</v>
      </c>
      <c r="AK401" s="352">
        <v>9.5399999999999999E-2</v>
      </c>
      <c r="AL401" s="213">
        <v>0.10150000000000001</v>
      </c>
      <c r="AM401" s="352">
        <v>0.83979999999999999</v>
      </c>
      <c r="AN401" s="213">
        <v>0.19289999999999999</v>
      </c>
      <c r="AO401" s="352">
        <v>1.1445000000000001</v>
      </c>
      <c r="AP401" s="213">
        <v>4.8300000000000003E-2</v>
      </c>
      <c r="AQ401" s="219">
        <v>-1.6514333788064208</v>
      </c>
      <c r="AR401" s="213" t="s">
        <v>1824</v>
      </c>
      <c r="AU401" s="343"/>
      <c r="AV401" s="343"/>
      <c r="AW401" s="328"/>
      <c r="AX401" s="329"/>
      <c r="AY401" s="328"/>
      <c r="AZ401" s="328"/>
      <c r="BA401" s="330"/>
      <c r="BB401" s="328"/>
      <c r="BC401" s="328"/>
      <c r="BD401" s="328"/>
      <c r="BE401" s="330"/>
      <c r="BF401" s="330"/>
      <c r="BG401" s="344"/>
      <c r="BH401" s="330"/>
      <c r="BI401" s="330"/>
      <c r="BJ401" s="330"/>
      <c r="BK401" s="330"/>
      <c r="BL401" s="330"/>
      <c r="BM401" s="330"/>
      <c r="BN401" s="330"/>
      <c r="BO401" s="330"/>
      <c r="BP401" s="331"/>
      <c r="BQ401" s="332"/>
      <c r="BR401" s="333"/>
    </row>
    <row r="402" spans="2:70" ht="15.75" customHeight="1">
      <c r="B402" s="216" t="s">
        <v>1302</v>
      </c>
      <c r="C402" s="212">
        <v>2970988</v>
      </c>
      <c r="D402" s="223">
        <v>13615411000133</v>
      </c>
      <c r="E402" s="217" t="s">
        <v>19</v>
      </c>
      <c r="F402" s="217" t="s">
        <v>963</v>
      </c>
      <c r="G402" s="217" t="s">
        <v>1011</v>
      </c>
      <c r="H402" s="218" t="s">
        <v>1113</v>
      </c>
      <c r="I402" s="217" t="s">
        <v>66</v>
      </c>
      <c r="J402" s="217"/>
      <c r="K402" s="218" t="s">
        <v>951</v>
      </c>
      <c r="L402" s="212" t="s">
        <v>87</v>
      </c>
      <c r="M402" s="250"/>
      <c r="N402" s="239">
        <v>40777</v>
      </c>
      <c r="O402" s="210" t="s">
        <v>1297</v>
      </c>
      <c r="P402" s="210" t="s">
        <v>1090</v>
      </c>
      <c r="Q402" s="210" t="s">
        <v>1091</v>
      </c>
      <c r="R402" s="210" t="s">
        <v>1084</v>
      </c>
      <c r="S402" s="210" t="s">
        <v>1078</v>
      </c>
      <c r="T402" s="210" t="s">
        <v>1275</v>
      </c>
      <c r="U402" s="210" t="s">
        <v>1114</v>
      </c>
      <c r="V402" s="210" t="s">
        <v>19</v>
      </c>
      <c r="W402" s="211" t="s">
        <v>1896</v>
      </c>
      <c r="X402" s="211">
        <v>1000</v>
      </c>
      <c r="Y402" s="211">
        <v>1000</v>
      </c>
      <c r="Z402" s="212">
        <v>1000</v>
      </c>
      <c r="AA402" s="240">
        <v>1</v>
      </c>
      <c r="AB402" s="213">
        <v>3.2000000000000002E-3</v>
      </c>
      <c r="AC402" s="213">
        <v>0</v>
      </c>
      <c r="AD402" s="213" t="s">
        <v>109</v>
      </c>
      <c r="AE402" s="213">
        <v>9.6000000000000002E-4</v>
      </c>
      <c r="AF402" s="241">
        <v>2578350975.1900001</v>
      </c>
      <c r="AG402" s="241">
        <v>2578350975.1900001</v>
      </c>
      <c r="AH402" s="213">
        <v>7.1999999999999995E-2</v>
      </c>
      <c r="AI402" s="352">
        <v>1.1089</v>
      </c>
      <c r="AJ402" s="213">
        <v>0.1069</v>
      </c>
      <c r="AK402" s="352">
        <v>1.1365000000000001</v>
      </c>
      <c r="AL402" s="213">
        <v>0.18640000000000001</v>
      </c>
      <c r="AM402" s="352">
        <v>1.5432999999999999</v>
      </c>
      <c r="AN402" s="213">
        <v>0.1956</v>
      </c>
      <c r="AO402" s="352">
        <v>1.1605000000000001</v>
      </c>
      <c r="AP402" s="213">
        <v>5.7999999999999996E-3</v>
      </c>
      <c r="AQ402" s="219">
        <v>2.0182773155349527</v>
      </c>
      <c r="AR402" s="213" t="s">
        <v>1827</v>
      </c>
      <c r="AU402" s="343"/>
      <c r="AV402" s="343"/>
      <c r="AW402" s="328"/>
      <c r="AX402" s="329"/>
      <c r="AY402" s="328"/>
      <c r="AZ402" s="328"/>
      <c r="BA402" s="330"/>
      <c r="BB402" s="328"/>
      <c r="BC402" s="328"/>
      <c r="BD402" s="328"/>
      <c r="BE402" s="330"/>
      <c r="BF402" s="330"/>
      <c r="BG402" s="344"/>
      <c r="BH402" s="330"/>
      <c r="BI402" s="330"/>
      <c r="BJ402" s="330"/>
      <c r="BK402" s="330"/>
      <c r="BL402" s="330"/>
      <c r="BM402" s="330"/>
      <c r="BN402" s="330"/>
      <c r="BO402" s="330"/>
      <c r="BP402" s="331"/>
      <c r="BQ402" s="332"/>
      <c r="BR402" s="333"/>
    </row>
    <row r="403" spans="2:70" ht="15.75" customHeight="1">
      <c r="B403" s="216" t="s">
        <v>273</v>
      </c>
      <c r="C403" s="212">
        <v>2509850</v>
      </c>
      <c r="D403" s="223">
        <v>35726908000161</v>
      </c>
      <c r="E403" s="217" t="s">
        <v>25</v>
      </c>
      <c r="F403" s="217" t="s">
        <v>958</v>
      </c>
      <c r="G403" s="217" t="s">
        <v>962</v>
      </c>
      <c r="H403" s="218" t="s">
        <v>66</v>
      </c>
      <c r="I403" s="217" t="s">
        <v>1259</v>
      </c>
      <c r="J403" s="217" t="s">
        <v>66</v>
      </c>
      <c r="K403" s="218"/>
      <c r="L403" s="212" t="s">
        <v>87</v>
      </c>
      <c r="M403" s="250"/>
      <c r="N403" s="239">
        <v>43921</v>
      </c>
      <c r="O403" s="210" t="s">
        <v>274</v>
      </c>
      <c r="P403" s="210" t="s">
        <v>1075</v>
      </c>
      <c r="Q403" s="210" t="s">
        <v>1076</v>
      </c>
      <c r="R403" s="210" t="s">
        <v>1077</v>
      </c>
      <c r="S403" s="210" t="s">
        <v>1085</v>
      </c>
      <c r="T403" s="210" t="s">
        <v>1082</v>
      </c>
      <c r="U403" s="210" t="s">
        <v>958</v>
      </c>
      <c r="V403" s="210" t="s">
        <v>25</v>
      </c>
      <c r="W403" s="211" t="s">
        <v>1012</v>
      </c>
      <c r="X403" s="211">
        <v>50000</v>
      </c>
      <c r="Y403" s="211">
        <v>10000</v>
      </c>
      <c r="Z403" s="212">
        <v>50000</v>
      </c>
      <c r="AA403" s="240">
        <v>91</v>
      </c>
      <c r="AB403" s="213">
        <v>1.9E-2</v>
      </c>
      <c r="AC403" s="213">
        <v>0.2</v>
      </c>
      <c r="AD403" s="213" t="s">
        <v>113</v>
      </c>
      <c r="AE403" s="213" t="s">
        <v>66</v>
      </c>
      <c r="AF403" s="241">
        <v>1052818786.72</v>
      </c>
      <c r="AG403" s="241">
        <v>1052818786.72</v>
      </c>
      <c r="AH403" s="213">
        <v>0.23219999999999999</v>
      </c>
      <c r="AI403" s="352">
        <v>3.5768</v>
      </c>
      <c r="AJ403" s="213">
        <v>0.32369999999999999</v>
      </c>
      <c r="AK403" s="352">
        <v>3.4407999999999999</v>
      </c>
      <c r="AL403" s="213">
        <v>0.51800000000000002</v>
      </c>
      <c r="AM403" s="352">
        <v>4.2877000000000001</v>
      </c>
      <c r="AN403" s="213" t="s">
        <v>66</v>
      </c>
      <c r="AO403" s="352" t="s">
        <v>66</v>
      </c>
      <c r="AP403" s="213">
        <v>6.93E-2</v>
      </c>
      <c r="AQ403" s="219">
        <v>2.7861838716425114</v>
      </c>
      <c r="AR403" s="213" t="s">
        <v>1827</v>
      </c>
      <c r="AU403" s="343"/>
      <c r="AV403" s="343"/>
      <c r="AW403" s="328"/>
      <c r="AX403" s="329"/>
      <c r="AY403" s="328"/>
      <c r="AZ403" s="328"/>
      <c r="BA403" s="330"/>
      <c r="BB403" s="328"/>
      <c r="BC403" s="328"/>
      <c r="BD403" s="328"/>
      <c r="BE403" s="330"/>
      <c r="BF403" s="330"/>
      <c r="BG403" s="344"/>
      <c r="BH403" s="330"/>
      <c r="BI403" s="330"/>
      <c r="BJ403" s="330"/>
      <c r="BK403" s="330"/>
      <c r="BL403" s="330"/>
      <c r="BM403" s="330"/>
      <c r="BN403" s="330"/>
      <c r="BO403" s="330"/>
      <c r="BP403" s="331"/>
      <c r="BQ403" s="332"/>
      <c r="BR403" s="333"/>
    </row>
    <row r="404" spans="2:70" ht="15.75" customHeight="1">
      <c r="B404" s="216" t="s">
        <v>68</v>
      </c>
      <c r="C404" s="212">
        <v>2808191</v>
      </c>
      <c r="D404" s="223">
        <v>23957096000186</v>
      </c>
      <c r="E404" s="217" t="s">
        <v>19</v>
      </c>
      <c r="F404" s="217" t="s">
        <v>963</v>
      </c>
      <c r="G404" s="217" t="s">
        <v>1034</v>
      </c>
      <c r="H404" s="218" t="s">
        <v>1113</v>
      </c>
      <c r="I404" s="217" t="s">
        <v>66</v>
      </c>
      <c r="J404" s="217" t="s">
        <v>1822</v>
      </c>
      <c r="K404" s="218" t="s">
        <v>951</v>
      </c>
      <c r="L404" s="212" t="s">
        <v>87</v>
      </c>
      <c r="M404" s="250"/>
      <c r="N404" s="239">
        <v>42639</v>
      </c>
      <c r="O404" s="210" t="s">
        <v>275</v>
      </c>
      <c r="P404" s="210" t="s">
        <v>1110</v>
      </c>
      <c r="Q404" s="210" t="s">
        <v>1110</v>
      </c>
      <c r="R404" s="210" t="s">
        <v>1077</v>
      </c>
      <c r="S404" s="210" t="s">
        <v>1078</v>
      </c>
      <c r="T404" s="210" t="s">
        <v>32</v>
      </c>
      <c r="U404" s="210" t="s">
        <v>1150</v>
      </c>
      <c r="V404" s="210" t="s">
        <v>25</v>
      </c>
      <c r="W404" s="211" t="s">
        <v>1035</v>
      </c>
      <c r="X404" s="211">
        <v>5000</v>
      </c>
      <c r="Y404" s="211">
        <v>5000</v>
      </c>
      <c r="Z404" s="212">
        <v>5000</v>
      </c>
      <c r="AA404" s="240">
        <v>180</v>
      </c>
      <c r="AB404" s="213">
        <v>0.02</v>
      </c>
      <c r="AC404" s="213">
        <v>0.2</v>
      </c>
      <c r="AD404" s="213" t="s">
        <v>1157</v>
      </c>
      <c r="AE404" s="213">
        <v>3.3333333333333331E-3</v>
      </c>
      <c r="AF404" s="241">
        <v>308065288.88</v>
      </c>
      <c r="AG404" s="241">
        <v>308065288.88</v>
      </c>
      <c r="AH404" s="213">
        <v>7.0499999999999993E-2</v>
      </c>
      <c r="AI404" s="352">
        <v>1.0851999999999999</v>
      </c>
      <c r="AJ404" s="213">
        <v>0.106</v>
      </c>
      <c r="AK404" s="352">
        <v>1.1264000000000001</v>
      </c>
      <c r="AL404" s="213">
        <v>0.16919999999999999</v>
      </c>
      <c r="AM404" s="352">
        <v>1.4003000000000001</v>
      </c>
      <c r="AN404" s="213">
        <v>0.24660000000000001</v>
      </c>
      <c r="AO404" s="352">
        <v>1.4632000000000001</v>
      </c>
      <c r="AP404" s="213">
        <v>3.3E-3</v>
      </c>
      <c r="AQ404" s="219">
        <v>3.2848324665504354</v>
      </c>
      <c r="AR404" s="213" t="s">
        <v>1827</v>
      </c>
      <c r="AU404" s="343"/>
      <c r="AV404" s="343"/>
      <c r="AW404" s="328"/>
      <c r="AX404" s="329"/>
      <c r="AY404" s="328"/>
      <c r="AZ404" s="328"/>
      <c r="BA404" s="330"/>
      <c r="BB404" s="328"/>
      <c r="BC404" s="328"/>
      <c r="BD404" s="328"/>
      <c r="BE404" s="330"/>
      <c r="BF404" s="330"/>
      <c r="BG404" s="344"/>
      <c r="BH404" s="330"/>
      <c r="BI404" s="330"/>
      <c r="BJ404" s="330"/>
      <c r="BK404" s="330"/>
      <c r="BL404" s="330"/>
      <c r="BM404" s="330"/>
      <c r="BN404" s="330"/>
      <c r="BO404" s="330"/>
      <c r="BP404" s="331"/>
      <c r="BQ404" s="332"/>
      <c r="BR404" s="333"/>
    </row>
    <row r="405" spans="2:70" ht="15.75" customHeight="1">
      <c r="B405" s="216" t="s">
        <v>276</v>
      </c>
      <c r="C405" s="212">
        <v>634744</v>
      </c>
      <c r="D405" s="223">
        <v>19773986000160</v>
      </c>
      <c r="E405" s="217" t="s">
        <v>28</v>
      </c>
      <c r="F405" s="217" t="s">
        <v>950</v>
      </c>
      <c r="G405" s="217"/>
      <c r="H405" s="218"/>
      <c r="I405" s="217" t="s">
        <v>66</v>
      </c>
      <c r="J405" s="217" t="s">
        <v>66</v>
      </c>
      <c r="K405" s="218" t="s">
        <v>951</v>
      </c>
      <c r="L405" s="212" t="s">
        <v>87</v>
      </c>
      <c r="M405" s="250"/>
      <c r="N405" s="239">
        <v>41764</v>
      </c>
      <c r="O405" s="210" t="s">
        <v>277</v>
      </c>
      <c r="P405" s="210" t="s">
        <v>1090</v>
      </c>
      <c r="Q405" s="210" t="s">
        <v>1091</v>
      </c>
      <c r="R405" s="210" t="s">
        <v>1084</v>
      </c>
      <c r="S405" s="210" t="s">
        <v>1078</v>
      </c>
      <c r="T405" s="210" t="s">
        <v>1079</v>
      </c>
      <c r="U405" s="210" t="s">
        <v>950</v>
      </c>
      <c r="V405" s="210" t="s">
        <v>1080</v>
      </c>
      <c r="W405" s="211" t="s">
        <v>1007</v>
      </c>
      <c r="X405" s="211">
        <v>1000</v>
      </c>
      <c r="Y405" s="211">
        <v>1000</v>
      </c>
      <c r="Z405" s="212">
        <v>1000</v>
      </c>
      <c r="AA405" s="240">
        <v>32</v>
      </c>
      <c r="AB405" s="213">
        <v>0.02</v>
      </c>
      <c r="AC405" s="213">
        <v>0.2</v>
      </c>
      <c r="AD405" s="213" t="s">
        <v>1100</v>
      </c>
      <c r="AE405" s="213">
        <v>4.0000000000000001E-3</v>
      </c>
      <c r="AF405" s="241">
        <v>63835435.600000001</v>
      </c>
      <c r="AG405" s="241">
        <v>63835435.600000001</v>
      </c>
      <c r="AH405" s="213">
        <v>-0.17119999999999999</v>
      </c>
      <c r="AI405" s="352">
        <v>-2.637</v>
      </c>
      <c r="AJ405" s="213">
        <v>-0.378</v>
      </c>
      <c r="AK405" s="352">
        <v>-4.0179999999999998</v>
      </c>
      <c r="AL405" s="213">
        <v>-0.2059</v>
      </c>
      <c r="AM405" s="352">
        <v>-1.7048000000000001</v>
      </c>
      <c r="AN405" s="213">
        <v>-0.20580000000000001</v>
      </c>
      <c r="AO405" s="352">
        <v>-1.2215</v>
      </c>
      <c r="AP405" s="213">
        <v>0.26889999999999997</v>
      </c>
      <c r="AQ405" s="219">
        <v>-1.9644166876793581</v>
      </c>
      <c r="AR405" s="213" t="s">
        <v>1827</v>
      </c>
      <c r="AU405" s="343"/>
      <c r="AV405" s="343"/>
      <c r="AW405" s="328"/>
      <c r="AX405" s="329"/>
      <c r="AY405" s="328"/>
      <c r="AZ405" s="328"/>
      <c r="BA405" s="330"/>
      <c r="BB405" s="328"/>
      <c r="BC405" s="328"/>
      <c r="BD405" s="328"/>
      <c r="BE405" s="330"/>
      <c r="BF405" s="330"/>
      <c r="BG405" s="344"/>
      <c r="BH405" s="330"/>
      <c r="BI405" s="330"/>
      <c r="BJ405" s="330"/>
      <c r="BK405" s="330"/>
      <c r="BL405" s="330"/>
      <c r="BM405" s="330"/>
      <c r="BN405" s="330"/>
      <c r="BO405" s="330"/>
      <c r="BP405" s="331"/>
      <c r="BQ405" s="332"/>
      <c r="BR405" s="333"/>
    </row>
    <row r="406" spans="2:70" ht="15.75" customHeight="1">
      <c r="B406" s="216" t="s">
        <v>869</v>
      </c>
      <c r="C406" s="212">
        <v>532475</v>
      </c>
      <c r="D406" s="223">
        <v>14438229000117</v>
      </c>
      <c r="E406" s="217" t="s">
        <v>28</v>
      </c>
      <c r="F406" s="217" t="s">
        <v>950</v>
      </c>
      <c r="G406" s="217"/>
      <c r="H406" s="218"/>
      <c r="I406" s="217" t="s">
        <v>66</v>
      </c>
      <c r="J406" s="217" t="s">
        <v>66</v>
      </c>
      <c r="K406" s="218" t="s">
        <v>951</v>
      </c>
      <c r="L406" s="212" t="s">
        <v>87</v>
      </c>
      <c r="M406" s="250"/>
      <c r="N406" s="239">
        <v>41947</v>
      </c>
      <c r="O406" s="210" t="s">
        <v>870</v>
      </c>
      <c r="P406" s="210" t="s">
        <v>1075</v>
      </c>
      <c r="Q406" s="210" t="s">
        <v>1076</v>
      </c>
      <c r="R406" s="210" t="s">
        <v>1084</v>
      </c>
      <c r="S406" s="210" t="s">
        <v>1078</v>
      </c>
      <c r="T406" s="210" t="s">
        <v>1079</v>
      </c>
      <c r="U406" s="210" t="s">
        <v>950</v>
      </c>
      <c r="V406" s="210" t="s">
        <v>1080</v>
      </c>
      <c r="W406" s="211" t="s">
        <v>1007</v>
      </c>
      <c r="X406" s="211">
        <v>5000</v>
      </c>
      <c r="Y406" s="211">
        <v>1000</v>
      </c>
      <c r="Z406" s="212">
        <v>1000</v>
      </c>
      <c r="AA406" s="240">
        <v>32</v>
      </c>
      <c r="AB406" s="213">
        <v>0.02</v>
      </c>
      <c r="AC406" s="213">
        <v>0.2</v>
      </c>
      <c r="AD406" s="213" t="s">
        <v>113</v>
      </c>
      <c r="AE406" s="213">
        <v>2.666E-3</v>
      </c>
      <c r="AF406" s="241">
        <v>157482893.22999999</v>
      </c>
      <c r="AG406" s="241">
        <v>157482893.22999999</v>
      </c>
      <c r="AH406" s="213">
        <v>7.2999999999999995E-2</v>
      </c>
      <c r="AI406" s="352">
        <v>1.1245000000000001</v>
      </c>
      <c r="AJ406" s="213">
        <v>8.9099999999999999E-2</v>
      </c>
      <c r="AK406" s="352">
        <v>0.94720000000000004</v>
      </c>
      <c r="AL406" s="213">
        <v>0.48010000000000003</v>
      </c>
      <c r="AM406" s="352">
        <v>3.9741</v>
      </c>
      <c r="AN406" s="213">
        <v>0.74860000000000004</v>
      </c>
      <c r="AO406" s="352">
        <v>4.4424999999999999</v>
      </c>
      <c r="AP406" s="213">
        <v>0.17649999999999999</v>
      </c>
      <c r="AQ406" s="219">
        <v>6.2221313993695349E-2</v>
      </c>
      <c r="AR406" s="213" t="s">
        <v>1827</v>
      </c>
      <c r="AU406" s="343"/>
      <c r="AV406" s="343"/>
      <c r="AW406" s="328"/>
      <c r="AX406" s="329"/>
      <c r="AY406" s="328"/>
      <c r="AZ406" s="328"/>
      <c r="BA406" s="330"/>
      <c r="BB406" s="328"/>
      <c r="BC406" s="328"/>
      <c r="BD406" s="328"/>
      <c r="BE406" s="330"/>
      <c r="BF406" s="330"/>
      <c r="BG406" s="344"/>
      <c r="BH406" s="330"/>
      <c r="BI406" s="330"/>
      <c r="BJ406" s="330"/>
      <c r="BK406" s="330"/>
      <c r="BL406" s="330"/>
      <c r="BM406" s="330"/>
      <c r="BN406" s="330"/>
      <c r="BO406" s="330"/>
      <c r="BP406" s="331"/>
      <c r="BQ406" s="332"/>
      <c r="BR406" s="333"/>
    </row>
    <row r="407" spans="2:70" ht="15.75" customHeight="1">
      <c r="B407" s="216" t="s">
        <v>278</v>
      </c>
      <c r="C407" s="212">
        <v>847449</v>
      </c>
      <c r="D407" s="223">
        <v>30338659000113</v>
      </c>
      <c r="E407" s="217" t="s">
        <v>25</v>
      </c>
      <c r="F407" s="217" t="s">
        <v>958</v>
      </c>
      <c r="G407" s="217" t="s">
        <v>962</v>
      </c>
      <c r="H407" s="218" t="s">
        <v>66</v>
      </c>
      <c r="I407" s="217" t="s">
        <v>1842</v>
      </c>
      <c r="J407" s="217" t="s">
        <v>66</v>
      </c>
      <c r="K407" s="218"/>
      <c r="L407" s="212" t="s">
        <v>87</v>
      </c>
      <c r="M407" s="250"/>
      <c r="N407" s="239">
        <v>43304</v>
      </c>
      <c r="O407" s="210" t="s">
        <v>279</v>
      </c>
      <c r="P407" s="210" t="s">
        <v>1075</v>
      </c>
      <c r="Q407" s="210" t="s">
        <v>1076</v>
      </c>
      <c r="R407" s="210" t="s">
        <v>1084</v>
      </c>
      <c r="S407" s="210" t="s">
        <v>1078</v>
      </c>
      <c r="T407" s="210" t="s">
        <v>1082</v>
      </c>
      <c r="U407" s="210" t="s">
        <v>958</v>
      </c>
      <c r="V407" s="210" t="s">
        <v>25</v>
      </c>
      <c r="W407" s="211" t="s">
        <v>1016</v>
      </c>
      <c r="X407" s="211">
        <v>500</v>
      </c>
      <c r="Y407" s="211">
        <v>500</v>
      </c>
      <c r="Z407" s="212">
        <v>500</v>
      </c>
      <c r="AA407" s="240">
        <v>31</v>
      </c>
      <c r="AB407" s="213">
        <v>1.7999999999999999E-2</v>
      </c>
      <c r="AC407" s="213">
        <v>0.2</v>
      </c>
      <c r="AD407" s="213" t="s">
        <v>113</v>
      </c>
      <c r="AE407" s="213">
        <v>3.5999999999999995E-3</v>
      </c>
      <c r="AF407" s="241">
        <v>20761823.57</v>
      </c>
      <c r="AG407" s="241">
        <v>20761823.57</v>
      </c>
      <c r="AH407" s="213">
        <v>3.1399999999999997E-2</v>
      </c>
      <c r="AI407" s="352">
        <v>0.4839</v>
      </c>
      <c r="AJ407" s="213">
        <v>-0.46929999999999999</v>
      </c>
      <c r="AK407" s="352">
        <v>-4.9885999999999999</v>
      </c>
      <c r="AL407" s="213">
        <v>-0.42359999999999998</v>
      </c>
      <c r="AM407" s="352">
        <v>-3.5066000000000002</v>
      </c>
      <c r="AN407" s="213">
        <v>-0.14960000000000001</v>
      </c>
      <c r="AO407" s="352">
        <v>-0.88790000000000002</v>
      </c>
      <c r="AP407" s="213">
        <v>0.62119999999999997</v>
      </c>
      <c r="AQ407" s="219">
        <v>-0.84953668419519712</v>
      </c>
      <c r="AR407" s="213" t="s">
        <v>1827</v>
      </c>
      <c r="AU407" s="343"/>
      <c r="AV407" s="343"/>
      <c r="AW407" s="328"/>
      <c r="AX407" s="329"/>
      <c r="AY407" s="328"/>
      <c r="AZ407" s="328"/>
      <c r="BA407" s="330"/>
      <c r="BB407" s="328"/>
      <c r="BC407" s="328"/>
      <c r="BD407" s="328"/>
      <c r="BE407" s="330"/>
      <c r="BF407" s="330"/>
      <c r="BG407" s="344"/>
      <c r="BH407" s="330"/>
      <c r="BI407" s="330"/>
      <c r="BJ407" s="330"/>
      <c r="BK407" s="330"/>
      <c r="BL407" s="330"/>
      <c r="BM407" s="330"/>
      <c r="BN407" s="330"/>
      <c r="BO407" s="330"/>
      <c r="BP407" s="331"/>
      <c r="BQ407" s="332"/>
      <c r="BR407" s="333"/>
    </row>
    <row r="408" spans="2:70" ht="15.75" customHeight="1">
      <c r="B408" s="216" t="s">
        <v>837</v>
      </c>
      <c r="C408" s="212">
        <v>532457</v>
      </c>
      <c r="D408" s="223">
        <v>42562316000117</v>
      </c>
      <c r="E408" s="217" t="s">
        <v>25</v>
      </c>
      <c r="F408" s="217" t="s">
        <v>959</v>
      </c>
      <c r="G408" s="217" t="s">
        <v>962</v>
      </c>
      <c r="H408" s="218" t="s">
        <v>66</v>
      </c>
      <c r="I408" s="217" t="s">
        <v>1842</v>
      </c>
      <c r="J408" s="217" t="s">
        <v>66</v>
      </c>
      <c r="K408" s="218" t="s">
        <v>954</v>
      </c>
      <c r="L408" s="212" t="s">
        <v>87</v>
      </c>
      <c r="M408" s="250"/>
      <c r="N408" s="239">
        <v>44407</v>
      </c>
      <c r="O408" s="210" t="s">
        <v>838</v>
      </c>
      <c r="P408" s="210" t="s">
        <v>1075</v>
      </c>
      <c r="Q408" s="210" t="s">
        <v>1076</v>
      </c>
      <c r="R408" s="210" t="s">
        <v>1077</v>
      </c>
      <c r="S408" s="210" t="s">
        <v>1078</v>
      </c>
      <c r="T408" s="210" t="s">
        <v>1082</v>
      </c>
      <c r="U408" s="210" t="s">
        <v>65</v>
      </c>
      <c r="V408" s="210" t="s">
        <v>25</v>
      </c>
      <c r="W408" s="211" t="s">
        <v>1016</v>
      </c>
      <c r="X408" s="211">
        <v>100000</v>
      </c>
      <c r="Y408" s="211">
        <v>10000</v>
      </c>
      <c r="Z408" s="212">
        <v>100000</v>
      </c>
      <c r="AA408" s="240">
        <v>33</v>
      </c>
      <c r="AB408" s="213">
        <v>6.9999999999999999E-4</v>
      </c>
      <c r="AC408" s="213">
        <v>0.15</v>
      </c>
      <c r="AD408" s="213" t="s">
        <v>109</v>
      </c>
      <c r="AE408" s="213" t="s">
        <v>66</v>
      </c>
      <c r="AF408" s="241">
        <v>21996431.800000001</v>
      </c>
      <c r="AG408" s="241">
        <v>21996431.800000001</v>
      </c>
      <c r="AH408" s="213">
        <v>-1.8E-3</v>
      </c>
      <c r="AI408" s="352">
        <v>-2.7300000000000001E-2</v>
      </c>
      <c r="AJ408" s="213" t="s">
        <v>66</v>
      </c>
      <c r="AK408" s="352" t="s">
        <v>66</v>
      </c>
      <c r="AL408" s="213" t="s">
        <v>66</v>
      </c>
      <c r="AM408" s="352" t="s">
        <v>66</v>
      </c>
      <c r="AN408" s="213" t="s">
        <v>66</v>
      </c>
      <c r="AO408" s="352" t="s">
        <v>66</v>
      </c>
      <c r="AP408" s="213" t="s">
        <v>66</v>
      </c>
      <c r="AQ408" s="219" t="s">
        <v>66</v>
      </c>
      <c r="AR408" s="213" t="s">
        <v>1827</v>
      </c>
      <c r="AU408" s="343"/>
      <c r="AV408" s="343"/>
      <c r="AW408" s="328"/>
      <c r="AX408" s="329"/>
      <c r="AY408" s="328"/>
      <c r="AZ408" s="328"/>
      <c r="BA408" s="330"/>
      <c r="BB408" s="328"/>
      <c r="BC408" s="328"/>
      <c r="BD408" s="328"/>
      <c r="BE408" s="330"/>
      <c r="BF408" s="330"/>
      <c r="BG408" s="344"/>
      <c r="BH408" s="330"/>
      <c r="BI408" s="330"/>
      <c r="BJ408" s="330"/>
      <c r="BK408" s="330"/>
      <c r="BL408" s="330"/>
      <c r="BM408" s="330"/>
      <c r="BN408" s="330"/>
      <c r="BO408" s="330"/>
      <c r="BP408" s="331"/>
      <c r="BQ408" s="332"/>
      <c r="BR408" s="333"/>
    </row>
    <row r="409" spans="2:70" ht="15.75" customHeight="1">
      <c r="B409" s="216" t="s">
        <v>280</v>
      </c>
      <c r="C409" s="212">
        <v>532459</v>
      </c>
      <c r="D409" s="223">
        <v>23591953000177</v>
      </c>
      <c r="E409" s="217" t="s">
        <v>28</v>
      </c>
      <c r="F409" s="217" t="s">
        <v>950</v>
      </c>
      <c r="G409" s="217"/>
      <c r="H409" s="218"/>
      <c r="I409" s="217" t="s">
        <v>66</v>
      </c>
      <c r="J409" s="217" t="s">
        <v>66</v>
      </c>
      <c r="K409" s="218" t="s">
        <v>951</v>
      </c>
      <c r="L409" s="212" t="s">
        <v>87</v>
      </c>
      <c r="M409" s="250"/>
      <c r="N409" s="239">
        <v>42359</v>
      </c>
      <c r="O409" s="210" t="s">
        <v>281</v>
      </c>
      <c r="P409" s="210" t="s">
        <v>1075</v>
      </c>
      <c r="Q409" s="210" t="s">
        <v>1076</v>
      </c>
      <c r="R409" s="210" t="s">
        <v>1077</v>
      </c>
      <c r="S409" s="210" t="s">
        <v>1078</v>
      </c>
      <c r="T409" s="210" t="s">
        <v>1079</v>
      </c>
      <c r="U409" s="210" t="s">
        <v>950</v>
      </c>
      <c r="V409" s="210" t="s">
        <v>1080</v>
      </c>
      <c r="W409" s="211" t="s">
        <v>1007</v>
      </c>
      <c r="X409" s="211">
        <v>100000</v>
      </c>
      <c r="Y409" s="211">
        <v>10000</v>
      </c>
      <c r="Z409" s="212">
        <v>100000</v>
      </c>
      <c r="AA409" s="240">
        <v>24</v>
      </c>
      <c r="AB409" s="213">
        <v>0.02</v>
      </c>
      <c r="AC409" s="213">
        <v>0.2</v>
      </c>
      <c r="AD409" s="213" t="s">
        <v>113</v>
      </c>
      <c r="AE409" s="213">
        <v>4.0000000000000001E-3</v>
      </c>
      <c r="AF409" s="241">
        <v>99428274.930000007</v>
      </c>
      <c r="AG409" s="241">
        <v>99428274.930000007</v>
      </c>
      <c r="AH409" s="213">
        <v>9.7500000000000003E-2</v>
      </c>
      <c r="AI409" s="352">
        <v>1.5024</v>
      </c>
      <c r="AJ409" s="213">
        <v>-7.3800000000000004E-2</v>
      </c>
      <c r="AK409" s="352">
        <v>-0.78439999999999999</v>
      </c>
      <c r="AL409" s="213">
        <v>4.8500000000000001E-2</v>
      </c>
      <c r="AM409" s="352">
        <v>0.40110000000000001</v>
      </c>
      <c r="AN409" s="213">
        <v>0.30220000000000002</v>
      </c>
      <c r="AO409" s="352">
        <v>1.7931999999999999</v>
      </c>
      <c r="AP409" s="213">
        <v>0.19520000000000001</v>
      </c>
      <c r="AQ409" s="219">
        <v>-0.75556150500039287</v>
      </c>
      <c r="AR409" s="213" t="s">
        <v>1827</v>
      </c>
      <c r="AU409" s="343"/>
      <c r="AV409" s="343"/>
      <c r="AW409" s="328"/>
      <c r="AX409" s="329"/>
      <c r="AY409" s="328"/>
      <c r="AZ409" s="328"/>
      <c r="BA409" s="330"/>
      <c r="BB409" s="328"/>
      <c r="BC409" s="328"/>
      <c r="BD409" s="328"/>
      <c r="BE409" s="330"/>
      <c r="BF409" s="330"/>
      <c r="BG409" s="344"/>
      <c r="BH409" s="330"/>
      <c r="BI409" s="330"/>
      <c r="BJ409" s="330"/>
      <c r="BK409" s="330"/>
      <c r="BL409" s="330"/>
      <c r="BM409" s="330"/>
      <c r="BN409" s="330"/>
      <c r="BO409" s="330"/>
      <c r="BP409" s="331"/>
      <c r="BQ409" s="332"/>
      <c r="BR409" s="333"/>
    </row>
    <row r="410" spans="2:70" ht="15.75" customHeight="1">
      <c r="B410" s="216" t="s">
        <v>1303</v>
      </c>
      <c r="C410" s="212">
        <v>942442</v>
      </c>
      <c r="D410" s="223">
        <v>11701977000152</v>
      </c>
      <c r="E410" s="217" t="s">
        <v>19</v>
      </c>
      <c r="F410" s="217" t="s">
        <v>963</v>
      </c>
      <c r="G410" s="217"/>
      <c r="H410" s="218" t="s">
        <v>1113</v>
      </c>
      <c r="I410" s="217" t="s">
        <v>66</v>
      </c>
      <c r="J410" s="217"/>
      <c r="K410" s="218"/>
      <c r="L410" s="212" t="s">
        <v>87</v>
      </c>
      <c r="M410" s="250"/>
      <c r="N410" s="239">
        <v>40470</v>
      </c>
      <c r="O410" s="210" t="s">
        <v>282</v>
      </c>
      <c r="P410" s="210" t="s">
        <v>1090</v>
      </c>
      <c r="Q410" s="210" t="s">
        <v>1091</v>
      </c>
      <c r="R410" s="210" t="s">
        <v>1084</v>
      </c>
      <c r="S410" s="210" t="s">
        <v>1078</v>
      </c>
      <c r="T410" s="210" t="s">
        <v>1275</v>
      </c>
      <c r="U410" s="210" t="s">
        <v>1114</v>
      </c>
      <c r="V410" s="210" t="s">
        <v>25</v>
      </c>
      <c r="W410" s="211" t="s">
        <v>1035</v>
      </c>
      <c r="X410" s="211">
        <v>1000</v>
      </c>
      <c r="Y410" s="211">
        <v>1000</v>
      </c>
      <c r="Z410" s="212">
        <v>5000</v>
      </c>
      <c r="AA410" s="240">
        <v>15</v>
      </c>
      <c r="AB410" s="213">
        <v>5.0000000000000001E-3</v>
      </c>
      <c r="AC410" s="213">
        <v>0.1</v>
      </c>
      <c r="AD410" s="213" t="s">
        <v>109</v>
      </c>
      <c r="AE410" s="213">
        <v>1.6666666666666666E-3</v>
      </c>
      <c r="AF410" s="241">
        <v>21660091.440000001</v>
      </c>
      <c r="AG410" s="241">
        <v>21660091.440000001</v>
      </c>
      <c r="AH410" s="213">
        <v>4.24E-2</v>
      </c>
      <c r="AI410" s="352">
        <v>0.65290000000000004</v>
      </c>
      <c r="AJ410" s="213">
        <v>3.7600000000000001E-2</v>
      </c>
      <c r="AK410" s="352">
        <v>0.39929999999999999</v>
      </c>
      <c r="AL410" s="213">
        <v>0.1003</v>
      </c>
      <c r="AM410" s="352">
        <v>0.8306</v>
      </c>
      <c r="AN410" s="213">
        <v>0.17480000000000001</v>
      </c>
      <c r="AO410" s="352">
        <v>1.0376000000000001</v>
      </c>
      <c r="AP410" s="213">
        <v>4.02E-2</v>
      </c>
      <c r="AQ410" s="219">
        <v>-1.2987988236489585</v>
      </c>
      <c r="AR410" s="213" t="s">
        <v>1827</v>
      </c>
      <c r="AU410" s="343"/>
      <c r="AV410" s="343"/>
      <c r="AW410" s="328"/>
      <c r="AX410" s="329"/>
      <c r="AY410" s="328"/>
      <c r="AZ410" s="328"/>
      <c r="BA410" s="330"/>
      <c r="BB410" s="328"/>
      <c r="BC410" s="328"/>
      <c r="BD410" s="328"/>
      <c r="BE410" s="330"/>
      <c r="BF410" s="330"/>
      <c r="BG410" s="344"/>
      <c r="BH410" s="330"/>
      <c r="BI410" s="330"/>
      <c r="BJ410" s="330"/>
      <c r="BK410" s="330"/>
      <c r="BL410" s="330"/>
      <c r="BM410" s="330"/>
      <c r="BN410" s="330"/>
      <c r="BO410" s="330"/>
      <c r="BP410" s="331"/>
      <c r="BQ410" s="332"/>
      <c r="BR410" s="333"/>
    </row>
    <row r="411" spans="2:70" ht="15.75" customHeight="1">
      <c r="B411" s="216" t="s">
        <v>283</v>
      </c>
      <c r="C411" s="212">
        <v>591908</v>
      </c>
      <c r="D411" s="223">
        <v>11447136000160</v>
      </c>
      <c r="E411" s="217" t="s">
        <v>19</v>
      </c>
      <c r="F411" s="217" t="s">
        <v>963</v>
      </c>
      <c r="G411" s="217" t="s">
        <v>1011</v>
      </c>
      <c r="H411" s="218" t="s">
        <v>1113</v>
      </c>
      <c r="I411" s="217" t="s">
        <v>66</v>
      </c>
      <c r="J411" s="217"/>
      <c r="K411" s="218" t="s">
        <v>951</v>
      </c>
      <c r="L411" s="212" t="s">
        <v>87</v>
      </c>
      <c r="M411" s="250"/>
      <c r="N411" s="239">
        <v>40302</v>
      </c>
      <c r="O411" s="210" t="s">
        <v>282</v>
      </c>
      <c r="P411" s="210" t="s">
        <v>1090</v>
      </c>
      <c r="Q411" s="210" t="s">
        <v>1091</v>
      </c>
      <c r="R411" s="210" t="s">
        <v>1084</v>
      </c>
      <c r="S411" s="210" t="s">
        <v>1078</v>
      </c>
      <c r="T411" s="210" t="s">
        <v>1275</v>
      </c>
      <c r="U411" s="210" t="s">
        <v>1114</v>
      </c>
      <c r="V411" s="210" t="s">
        <v>19</v>
      </c>
      <c r="W411" s="211" t="s">
        <v>1024</v>
      </c>
      <c r="X411" s="211">
        <v>1000</v>
      </c>
      <c r="Y411" s="211">
        <v>1</v>
      </c>
      <c r="Z411" s="212">
        <v>1000</v>
      </c>
      <c r="AA411" s="240">
        <v>31</v>
      </c>
      <c r="AB411" s="213">
        <v>5.0000000000000001E-3</v>
      </c>
      <c r="AC411" s="213">
        <v>0</v>
      </c>
      <c r="AD411" s="213" t="s">
        <v>109</v>
      </c>
      <c r="AE411" s="213">
        <v>1.6666666666666666E-3</v>
      </c>
      <c r="AF411" s="241">
        <v>91254206.939999998</v>
      </c>
      <c r="AG411" s="241">
        <v>91254206.939999998</v>
      </c>
      <c r="AH411" s="213">
        <v>7.3099999999999998E-2</v>
      </c>
      <c r="AI411" s="352">
        <v>1.1253</v>
      </c>
      <c r="AJ411" s="213">
        <v>0.1101</v>
      </c>
      <c r="AK411" s="352">
        <v>1.1707000000000001</v>
      </c>
      <c r="AL411" s="213">
        <v>0.1706</v>
      </c>
      <c r="AM411" s="352">
        <v>1.4125000000000001</v>
      </c>
      <c r="AN411" s="213">
        <v>0.1925</v>
      </c>
      <c r="AO411" s="352">
        <v>1.1420999999999999</v>
      </c>
      <c r="AP411" s="213">
        <v>1.9E-3</v>
      </c>
      <c r="AQ411" s="219">
        <v>7.6413817403730473</v>
      </c>
      <c r="AR411" s="213" t="s">
        <v>1827</v>
      </c>
      <c r="AU411" s="343"/>
      <c r="AV411" s="343"/>
      <c r="AW411" s="328"/>
      <c r="AX411" s="329"/>
      <c r="AY411" s="328"/>
      <c r="AZ411" s="328"/>
      <c r="BA411" s="330"/>
      <c r="BB411" s="328"/>
      <c r="BC411" s="328"/>
      <c r="BD411" s="328"/>
      <c r="BE411" s="330"/>
      <c r="BF411" s="330"/>
      <c r="BG411" s="344"/>
      <c r="BH411" s="330"/>
      <c r="BI411" s="330"/>
      <c r="BJ411" s="330"/>
      <c r="BK411" s="330"/>
      <c r="BL411" s="330"/>
      <c r="BM411" s="330"/>
      <c r="BN411" s="330"/>
      <c r="BO411" s="330"/>
      <c r="BP411" s="331"/>
      <c r="BQ411" s="332"/>
      <c r="BR411" s="333"/>
    </row>
    <row r="412" spans="2:70" ht="15.75" customHeight="1">
      <c r="B412" s="216" t="s">
        <v>1304</v>
      </c>
      <c r="C412" s="212">
        <v>558848</v>
      </c>
      <c r="D412" s="223">
        <v>5488919000190</v>
      </c>
      <c r="E412" s="217" t="s">
        <v>25</v>
      </c>
      <c r="F412" s="217" t="s">
        <v>959</v>
      </c>
      <c r="G412" s="217" t="s">
        <v>960</v>
      </c>
      <c r="H412" s="218" t="s">
        <v>66</v>
      </c>
      <c r="I412" s="217" t="s">
        <v>1841</v>
      </c>
      <c r="J412" s="217" t="s">
        <v>66</v>
      </c>
      <c r="K412" s="218" t="s">
        <v>951</v>
      </c>
      <c r="L412" s="212" t="s">
        <v>87</v>
      </c>
      <c r="M412" s="250"/>
      <c r="N412" s="239">
        <v>37649</v>
      </c>
      <c r="O412" s="210" t="s">
        <v>282</v>
      </c>
      <c r="P412" s="210" t="s">
        <v>1090</v>
      </c>
      <c r="Q412" s="210" t="s">
        <v>1091</v>
      </c>
      <c r="R412" s="210" t="s">
        <v>1084</v>
      </c>
      <c r="S412" s="210" t="s">
        <v>1078</v>
      </c>
      <c r="T412" s="210" t="s">
        <v>1082</v>
      </c>
      <c r="U412" s="210" t="s">
        <v>958</v>
      </c>
      <c r="V412" s="210" t="s">
        <v>25</v>
      </c>
      <c r="W412" s="211" t="s">
        <v>1012</v>
      </c>
      <c r="X412" s="211">
        <v>1000</v>
      </c>
      <c r="Y412" s="211">
        <v>1</v>
      </c>
      <c r="Z412" s="212">
        <v>1000</v>
      </c>
      <c r="AA412" s="240">
        <v>4</v>
      </c>
      <c r="AB412" s="213">
        <v>1.4999999999999999E-2</v>
      </c>
      <c r="AC412" s="213">
        <v>0.2</v>
      </c>
      <c r="AD412" s="213" t="s">
        <v>109</v>
      </c>
      <c r="AE412" s="213">
        <v>4.9999999999999992E-3</v>
      </c>
      <c r="AF412" s="241">
        <v>21689824.039999999</v>
      </c>
      <c r="AG412" s="241">
        <v>21689824.039999999</v>
      </c>
      <c r="AH412" s="213">
        <v>5.6399999999999999E-2</v>
      </c>
      <c r="AI412" s="352">
        <v>0.86850000000000005</v>
      </c>
      <c r="AJ412" s="213">
        <v>5.5300000000000002E-2</v>
      </c>
      <c r="AK412" s="352">
        <v>0.58750000000000002</v>
      </c>
      <c r="AL412" s="213">
        <v>6.9699999999999998E-2</v>
      </c>
      <c r="AM412" s="352">
        <v>0.57709999999999995</v>
      </c>
      <c r="AN412" s="213">
        <v>0.1676</v>
      </c>
      <c r="AO412" s="352">
        <v>0.99480000000000002</v>
      </c>
      <c r="AP412" s="213">
        <v>2.3699999999999999E-2</v>
      </c>
      <c r="AQ412" s="219">
        <v>-1.5144122615497113</v>
      </c>
      <c r="AR412" s="213" t="s">
        <v>1827</v>
      </c>
      <c r="AU412" s="343"/>
      <c r="AV412" s="343"/>
      <c r="AW412" s="328"/>
      <c r="AX412" s="329"/>
      <c r="AY412" s="328"/>
      <c r="AZ412" s="328"/>
      <c r="BA412" s="330"/>
      <c r="BB412" s="328"/>
      <c r="BC412" s="328"/>
      <c r="BD412" s="328"/>
      <c r="BE412" s="330"/>
      <c r="BF412" s="330"/>
      <c r="BG412" s="344"/>
      <c r="BH412" s="383"/>
      <c r="BI412" s="330"/>
      <c r="BJ412" s="330"/>
      <c r="BK412" s="330"/>
      <c r="BL412" s="330"/>
      <c r="BM412" s="330"/>
      <c r="BN412" s="330"/>
      <c r="BO412" s="330"/>
      <c r="BP412" s="331"/>
      <c r="BQ412" s="332"/>
      <c r="BR412" s="333"/>
    </row>
    <row r="413" spans="2:70" ht="15.75" customHeight="1">
      <c r="B413" s="216" t="s">
        <v>284</v>
      </c>
      <c r="C413" s="212">
        <v>2345926</v>
      </c>
      <c r="D413" s="223">
        <v>13176277000111</v>
      </c>
      <c r="E413" s="217" t="s">
        <v>19</v>
      </c>
      <c r="F413" s="217" t="s">
        <v>964</v>
      </c>
      <c r="G413" s="217" t="s">
        <v>1021</v>
      </c>
      <c r="H413" s="218" t="s">
        <v>1113</v>
      </c>
      <c r="I413" s="217" t="s">
        <v>66</v>
      </c>
      <c r="J413" s="217"/>
      <c r="K413" s="218" t="s">
        <v>951</v>
      </c>
      <c r="L413" s="212" t="s">
        <v>87</v>
      </c>
      <c r="M413" s="250"/>
      <c r="N413" s="239">
        <v>40821</v>
      </c>
      <c r="O413" s="210" t="s">
        <v>282</v>
      </c>
      <c r="P413" s="210" t="s">
        <v>1075</v>
      </c>
      <c r="Q413" s="210" t="s">
        <v>1091</v>
      </c>
      <c r="R413" s="210" t="s">
        <v>1084</v>
      </c>
      <c r="S413" s="210" t="s">
        <v>1078</v>
      </c>
      <c r="T413" s="210" t="s">
        <v>1275</v>
      </c>
      <c r="U413" s="210" t="s">
        <v>964</v>
      </c>
      <c r="V413" s="210" t="s">
        <v>25</v>
      </c>
      <c r="W413" s="211" t="s">
        <v>1012</v>
      </c>
      <c r="X413" s="211">
        <v>1000</v>
      </c>
      <c r="Y413" s="211">
        <v>1</v>
      </c>
      <c r="Z413" s="212">
        <v>1000</v>
      </c>
      <c r="AA413" s="240">
        <v>1</v>
      </c>
      <c r="AB413" s="213">
        <v>0.01</v>
      </c>
      <c r="AC413" s="213">
        <v>0.2</v>
      </c>
      <c r="AD413" s="213" t="s">
        <v>981</v>
      </c>
      <c r="AE413" s="213">
        <v>3.3333333333333331E-3</v>
      </c>
      <c r="AF413" s="241">
        <v>46674172.18</v>
      </c>
      <c r="AG413" s="241">
        <v>46674172.18</v>
      </c>
      <c r="AH413" s="213">
        <v>6.2799999999999995E-2</v>
      </c>
      <c r="AI413" s="352">
        <v>0.96740000000000004</v>
      </c>
      <c r="AJ413" s="213">
        <v>8.1699999999999995E-2</v>
      </c>
      <c r="AK413" s="352">
        <v>0.86850000000000005</v>
      </c>
      <c r="AL413" s="213">
        <v>0.13150000000000001</v>
      </c>
      <c r="AM413" s="352">
        <v>1.0887</v>
      </c>
      <c r="AN413" s="213">
        <v>0.2525</v>
      </c>
      <c r="AO413" s="352">
        <v>1.4982</v>
      </c>
      <c r="AP413" s="213">
        <v>3.0700000000000002E-2</v>
      </c>
      <c r="AQ413" s="219">
        <v>-0.35540702785232098</v>
      </c>
      <c r="AR413" s="213" t="s">
        <v>1824</v>
      </c>
      <c r="AU413" s="343"/>
      <c r="AV413" s="343"/>
      <c r="AW413" s="328"/>
      <c r="AX413" s="329"/>
      <c r="AY413" s="328"/>
      <c r="AZ413" s="328"/>
      <c r="BA413" s="330"/>
      <c r="BB413" s="328"/>
      <c r="BC413" s="328"/>
      <c r="BD413" s="328"/>
      <c r="BE413" s="330"/>
      <c r="BF413" s="330"/>
      <c r="BG413" s="344"/>
      <c r="BH413" s="330"/>
      <c r="BI413" s="330"/>
      <c r="BJ413" s="330"/>
      <c r="BK413" s="330"/>
      <c r="BL413" s="330"/>
      <c r="BM413" s="330"/>
      <c r="BN413" s="330"/>
      <c r="BO413" s="330"/>
      <c r="BP413" s="331"/>
      <c r="BQ413" s="332"/>
      <c r="BR413" s="333"/>
    </row>
    <row r="414" spans="2:70" ht="15.75" customHeight="1">
      <c r="B414" s="216" t="s">
        <v>1305</v>
      </c>
      <c r="C414" s="212">
        <v>789068</v>
      </c>
      <c r="D414" s="223">
        <v>10705335000169</v>
      </c>
      <c r="E414" s="217" t="s">
        <v>19</v>
      </c>
      <c r="F414" s="217" t="s">
        <v>963</v>
      </c>
      <c r="G414" s="217" t="s">
        <v>1011</v>
      </c>
      <c r="H414" s="218" t="s">
        <v>1113</v>
      </c>
      <c r="I414" s="217" t="s">
        <v>66</v>
      </c>
      <c r="J414" s="217"/>
      <c r="K414" s="218" t="s">
        <v>951</v>
      </c>
      <c r="L414" s="212" t="s">
        <v>87</v>
      </c>
      <c r="M414" s="250"/>
      <c r="N414" s="239">
        <v>39986</v>
      </c>
      <c r="O414" s="210" t="s">
        <v>282</v>
      </c>
      <c r="P414" s="210" t="s">
        <v>1090</v>
      </c>
      <c r="Q414" s="210" t="s">
        <v>1091</v>
      </c>
      <c r="R414" s="210" t="s">
        <v>1084</v>
      </c>
      <c r="S414" s="210" t="s">
        <v>1078</v>
      </c>
      <c r="T414" s="210" t="s">
        <v>1082</v>
      </c>
      <c r="U414" s="210" t="s">
        <v>958</v>
      </c>
      <c r="V414" s="210" t="s">
        <v>25</v>
      </c>
      <c r="W414" s="211" t="s">
        <v>1012</v>
      </c>
      <c r="X414" s="211">
        <v>1000</v>
      </c>
      <c r="Y414" s="211">
        <v>1000</v>
      </c>
      <c r="Z414" s="212">
        <v>1000</v>
      </c>
      <c r="AA414" s="240">
        <v>1</v>
      </c>
      <c r="AB414" s="213">
        <v>0.01</v>
      </c>
      <c r="AC414" s="213">
        <v>0.2</v>
      </c>
      <c r="AD414" s="213" t="s">
        <v>109</v>
      </c>
      <c r="AE414" s="213">
        <v>3.3333333333333331E-3</v>
      </c>
      <c r="AF414" s="241">
        <v>48833947.200000003</v>
      </c>
      <c r="AG414" s="241">
        <v>48833947.200000003</v>
      </c>
      <c r="AH414" s="213">
        <v>6.1400000000000003E-2</v>
      </c>
      <c r="AI414" s="352">
        <v>0.94579999999999997</v>
      </c>
      <c r="AJ414" s="213">
        <v>7.9600000000000004E-2</v>
      </c>
      <c r="AK414" s="352">
        <v>0.84660000000000002</v>
      </c>
      <c r="AL414" s="213">
        <v>9.6199999999999994E-2</v>
      </c>
      <c r="AM414" s="352">
        <v>0.79630000000000001</v>
      </c>
      <c r="AN414" s="213">
        <v>0.1608</v>
      </c>
      <c r="AO414" s="352">
        <v>0.95450000000000002</v>
      </c>
      <c r="AP414" s="213">
        <v>7.4000000000000003E-3</v>
      </c>
      <c r="AQ414" s="219">
        <v>-1.8036069023395911</v>
      </c>
      <c r="AR414" s="213" t="s">
        <v>1824</v>
      </c>
      <c r="AU414" s="343"/>
      <c r="AV414" s="343"/>
      <c r="AW414" s="328"/>
      <c r="AX414" s="329"/>
      <c r="AY414" s="328"/>
      <c r="AZ414" s="328"/>
      <c r="BA414" s="330"/>
      <c r="BB414" s="328"/>
      <c r="BC414" s="328"/>
      <c r="BD414" s="328"/>
      <c r="BE414" s="330"/>
      <c r="BF414" s="330"/>
      <c r="BG414" s="344"/>
      <c r="BH414" s="383"/>
      <c r="BI414" s="330"/>
      <c r="BJ414" s="330"/>
      <c r="BK414" s="330"/>
      <c r="BL414" s="330"/>
      <c r="BM414" s="330"/>
      <c r="BN414" s="330"/>
      <c r="BO414" s="330"/>
      <c r="BP414" s="331"/>
      <c r="BQ414" s="332"/>
      <c r="BR414" s="333"/>
    </row>
    <row r="415" spans="2:70" ht="15.75" customHeight="1">
      <c r="B415" s="216" t="s">
        <v>285</v>
      </c>
      <c r="C415" s="212">
        <v>2509263</v>
      </c>
      <c r="D415" s="223">
        <v>34286544000183</v>
      </c>
      <c r="E415" s="217" t="s">
        <v>28</v>
      </c>
      <c r="F415" s="217" t="s">
        <v>957</v>
      </c>
      <c r="G415" s="217"/>
      <c r="H415" s="218"/>
      <c r="I415" s="217" t="s">
        <v>1842</v>
      </c>
      <c r="J415" s="217" t="s">
        <v>66</v>
      </c>
      <c r="K415" s="218" t="s">
        <v>951</v>
      </c>
      <c r="L415" s="212" t="s">
        <v>87</v>
      </c>
      <c r="M415" s="250"/>
      <c r="N415" s="239">
        <v>43703</v>
      </c>
      <c r="O415" s="210" t="s">
        <v>282</v>
      </c>
      <c r="P415" s="210" t="s">
        <v>1090</v>
      </c>
      <c r="Q415" s="210" t="s">
        <v>1091</v>
      </c>
      <c r="R415" s="210" t="s">
        <v>1084</v>
      </c>
      <c r="S415" s="210" t="s">
        <v>1078</v>
      </c>
      <c r="T415" s="210" t="s">
        <v>1079</v>
      </c>
      <c r="U415" s="210" t="s">
        <v>957</v>
      </c>
      <c r="V415" s="210" t="s">
        <v>25</v>
      </c>
      <c r="W415" s="211" t="s">
        <v>1023</v>
      </c>
      <c r="X415" s="211">
        <v>1000</v>
      </c>
      <c r="Y415" s="211">
        <v>1</v>
      </c>
      <c r="Z415" s="212">
        <v>1000</v>
      </c>
      <c r="AA415" s="240">
        <v>33</v>
      </c>
      <c r="AB415" s="213">
        <v>1.9199999999999998E-2</v>
      </c>
      <c r="AC415" s="213">
        <v>0.2</v>
      </c>
      <c r="AD415" s="213" t="s">
        <v>113</v>
      </c>
      <c r="AE415" s="213">
        <v>6.3999999999999994E-3</v>
      </c>
      <c r="AF415" s="241">
        <v>56164553.340000004</v>
      </c>
      <c r="AG415" s="241">
        <v>56164553.340000004</v>
      </c>
      <c r="AH415" s="213">
        <v>4.1000000000000002E-2</v>
      </c>
      <c r="AI415" s="352">
        <v>0.63160000000000005</v>
      </c>
      <c r="AJ415" s="213">
        <v>-0.14050000000000001</v>
      </c>
      <c r="AK415" s="352">
        <v>-1.4932000000000001</v>
      </c>
      <c r="AL415" s="213">
        <v>-8.8000000000000005E-3</v>
      </c>
      <c r="AM415" s="352">
        <v>-7.3099999999999998E-2</v>
      </c>
      <c r="AN415" s="213" t="s">
        <v>66</v>
      </c>
      <c r="AO415" s="352" t="s">
        <v>66</v>
      </c>
      <c r="AP415" s="213">
        <v>0.1958</v>
      </c>
      <c r="AQ415" s="219">
        <v>-1.1345506210430267</v>
      </c>
      <c r="AR415" s="213" t="s">
        <v>1827</v>
      </c>
      <c r="AU415" s="343"/>
      <c r="AV415" s="343"/>
      <c r="AW415" s="328"/>
      <c r="AX415" s="329"/>
      <c r="AY415" s="328"/>
      <c r="AZ415" s="328"/>
      <c r="BA415" s="330"/>
      <c r="BB415" s="328"/>
      <c r="BC415" s="328"/>
      <c r="BD415" s="328"/>
      <c r="BE415" s="330"/>
      <c r="BF415" s="330"/>
      <c r="BG415" s="344"/>
      <c r="BH415" s="330"/>
      <c r="BI415" s="330"/>
      <c r="BJ415" s="330"/>
      <c r="BK415" s="330"/>
      <c r="BL415" s="330"/>
      <c r="BM415" s="330"/>
      <c r="BN415" s="330"/>
      <c r="BO415" s="330"/>
      <c r="BP415" s="331"/>
      <c r="BQ415" s="332"/>
      <c r="BR415" s="333"/>
    </row>
    <row r="416" spans="2:70" ht="15.75" customHeight="1">
      <c r="B416" s="216" t="s">
        <v>286</v>
      </c>
      <c r="C416" s="212">
        <v>845101</v>
      </c>
      <c r="D416" s="223">
        <v>5109839000186</v>
      </c>
      <c r="E416" s="217" t="s">
        <v>25</v>
      </c>
      <c r="F416" s="217" t="s">
        <v>959</v>
      </c>
      <c r="G416" s="217" t="s">
        <v>960</v>
      </c>
      <c r="H416" s="218" t="s">
        <v>66</v>
      </c>
      <c r="I416" s="217" t="s">
        <v>1841</v>
      </c>
      <c r="J416" s="217" t="s">
        <v>66</v>
      </c>
      <c r="K416" s="218" t="s">
        <v>951</v>
      </c>
      <c r="L416" s="212" t="s">
        <v>87</v>
      </c>
      <c r="M416" s="250"/>
      <c r="N416" s="239">
        <v>37503</v>
      </c>
      <c r="O416" s="210" t="s">
        <v>282</v>
      </c>
      <c r="P416" s="210" t="s">
        <v>1090</v>
      </c>
      <c r="Q416" s="210" t="s">
        <v>1091</v>
      </c>
      <c r="R416" s="210" t="s">
        <v>1084</v>
      </c>
      <c r="S416" s="210" t="s">
        <v>1078</v>
      </c>
      <c r="T416" s="210" t="s">
        <v>1082</v>
      </c>
      <c r="U416" s="210" t="s">
        <v>1086</v>
      </c>
      <c r="V416" s="210" t="s">
        <v>25</v>
      </c>
      <c r="W416" s="211" t="s">
        <v>1023</v>
      </c>
      <c r="X416" s="211">
        <v>1000</v>
      </c>
      <c r="Y416" s="211">
        <v>1</v>
      </c>
      <c r="Z416" s="212">
        <v>1000</v>
      </c>
      <c r="AA416" s="240">
        <v>33</v>
      </c>
      <c r="AB416" s="213">
        <v>1.9199999999999998E-2</v>
      </c>
      <c r="AC416" s="213">
        <v>0.2</v>
      </c>
      <c r="AD416" s="213" t="s">
        <v>109</v>
      </c>
      <c r="AE416" s="213">
        <v>6.3999999999999994E-3</v>
      </c>
      <c r="AF416" s="241">
        <v>207501906.40000001</v>
      </c>
      <c r="AG416" s="241">
        <v>207501906.40000001</v>
      </c>
      <c r="AH416" s="213">
        <v>5.3400000000000003E-2</v>
      </c>
      <c r="AI416" s="352">
        <v>0.82250000000000001</v>
      </c>
      <c r="AJ416" s="213">
        <v>5.3600000000000002E-2</v>
      </c>
      <c r="AK416" s="352">
        <v>0.56940000000000002</v>
      </c>
      <c r="AL416" s="213">
        <v>8.43E-2</v>
      </c>
      <c r="AM416" s="352">
        <v>0.69820000000000004</v>
      </c>
      <c r="AN416" s="213">
        <v>0.16070000000000001</v>
      </c>
      <c r="AO416" s="352">
        <v>0.95330000000000004</v>
      </c>
      <c r="AP416" s="213">
        <v>2.9700000000000001E-2</v>
      </c>
      <c r="AQ416" s="219">
        <v>-1.2548595609942408</v>
      </c>
      <c r="AR416" s="213" t="s">
        <v>1827</v>
      </c>
      <c r="AU416" s="343"/>
      <c r="AV416" s="343"/>
      <c r="AW416" s="328"/>
      <c r="AX416" s="329"/>
      <c r="AY416" s="328"/>
      <c r="AZ416" s="328"/>
      <c r="BA416" s="330"/>
      <c r="BB416" s="328"/>
      <c r="BC416" s="328"/>
      <c r="BD416" s="328"/>
      <c r="BE416" s="330"/>
      <c r="BF416" s="330"/>
      <c r="BG416" s="344"/>
      <c r="BH416" s="330"/>
      <c r="BI416" s="330"/>
      <c r="BJ416" s="330"/>
      <c r="BK416" s="330"/>
      <c r="BL416" s="330"/>
      <c r="BM416" s="330"/>
      <c r="BN416" s="330"/>
      <c r="BO416" s="330"/>
      <c r="BP416" s="331"/>
      <c r="BQ416" s="332"/>
      <c r="BR416" s="333"/>
    </row>
    <row r="417" spans="2:70" ht="15.75" customHeight="1">
      <c r="B417" s="216" t="s">
        <v>287</v>
      </c>
      <c r="C417" s="212">
        <v>856171</v>
      </c>
      <c r="D417" s="223">
        <v>31416575000113</v>
      </c>
      <c r="E417" s="217" t="s">
        <v>25</v>
      </c>
      <c r="F417" s="217" t="s">
        <v>959</v>
      </c>
      <c r="G417" s="217" t="s">
        <v>953</v>
      </c>
      <c r="H417" s="218" t="s">
        <v>66</v>
      </c>
      <c r="I417" s="217" t="s">
        <v>1259</v>
      </c>
      <c r="J417" s="217" t="s">
        <v>66</v>
      </c>
      <c r="K417" s="218"/>
      <c r="L417" s="212" t="s">
        <v>87</v>
      </c>
      <c r="M417" s="250"/>
      <c r="N417" s="239">
        <v>43446</v>
      </c>
      <c r="O417" s="210" t="s">
        <v>282</v>
      </c>
      <c r="P417" s="210" t="s">
        <v>1090</v>
      </c>
      <c r="Q417" s="210" t="s">
        <v>1091</v>
      </c>
      <c r="R417" s="210" t="s">
        <v>1084</v>
      </c>
      <c r="S417" s="210" t="s">
        <v>1078</v>
      </c>
      <c r="T417" s="210" t="s">
        <v>1082</v>
      </c>
      <c r="U417" s="210" t="s">
        <v>1086</v>
      </c>
      <c r="V417" s="210" t="s">
        <v>25</v>
      </c>
      <c r="W417" s="211" t="s">
        <v>1016</v>
      </c>
      <c r="X417" s="211">
        <v>1000</v>
      </c>
      <c r="Y417" s="211">
        <v>1</v>
      </c>
      <c r="Z417" s="212">
        <v>1000</v>
      </c>
      <c r="AA417" s="240">
        <v>17</v>
      </c>
      <c r="AB417" s="213">
        <v>1.4999999999999999E-2</v>
      </c>
      <c r="AC417" s="213">
        <v>0.2</v>
      </c>
      <c r="AD417" s="213" t="s">
        <v>109</v>
      </c>
      <c r="AE417" s="213">
        <v>4.9999999999999992E-3</v>
      </c>
      <c r="AF417" s="241">
        <v>174672920.06</v>
      </c>
      <c r="AG417" s="241">
        <v>174672920.06</v>
      </c>
      <c r="AH417" s="213">
        <v>6.1100000000000002E-2</v>
      </c>
      <c r="AI417" s="352">
        <v>0.9415</v>
      </c>
      <c r="AJ417" s="213">
        <v>0.12609999999999999</v>
      </c>
      <c r="AK417" s="352">
        <v>1.3405</v>
      </c>
      <c r="AL417" s="213">
        <v>0.2215</v>
      </c>
      <c r="AM417" s="352">
        <v>1.8334999999999999</v>
      </c>
      <c r="AN417" s="213">
        <v>0.30380000000000001</v>
      </c>
      <c r="AO417" s="352">
        <v>1.8027</v>
      </c>
      <c r="AP417" s="213">
        <v>6.0299999999999999E-2</v>
      </c>
      <c r="AQ417" s="219">
        <v>0.5086927409193297</v>
      </c>
      <c r="AR417" s="213" t="s">
        <v>1827</v>
      </c>
      <c r="AU417" s="343"/>
      <c r="AV417" s="343"/>
      <c r="AW417" s="328"/>
      <c r="AX417" s="329"/>
      <c r="AY417" s="328"/>
      <c r="AZ417" s="328"/>
      <c r="BA417" s="330"/>
      <c r="BB417" s="328"/>
      <c r="BC417" s="328"/>
      <c r="BD417" s="328"/>
      <c r="BE417" s="330"/>
      <c r="BF417" s="330"/>
      <c r="BG417" s="344"/>
      <c r="BH417" s="330"/>
      <c r="BI417" s="330"/>
      <c r="BJ417" s="330"/>
      <c r="BK417" s="330"/>
      <c r="BL417" s="330"/>
      <c r="BM417" s="330"/>
      <c r="BN417" s="330"/>
      <c r="BO417" s="330"/>
      <c r="BP417" s="331"/>
      <c r="BQ417" s="332"/>
      <c r="BR417" s="333"/>
    </row>
    <row r="418" spans="2:70" ht="15.75" customHeight="1">
      <c r="B418" s="216" t="s">
        <v>288</v>
      </c>
      <c r="C418" s="212">
        <v>856169</v>
      </c>
      <c r="D418" s="223">
        <v>29298540000185</v>
      </c>
      <c r="E418" s="217" t="s">
        <v>25</v>
      </c>
      <c r="F418" s="217" t="s">
        <v>958</v>
      </c>
      <c r="G418" s="217" t="s">
        <v>962</v>
      </c>
      <c r="H418" s="218" t="s">
        <v>66</v>
      </c>
      <c r="I418" s="217" t="s">
        <v>1259</v>
      </c>
      <c r="J418" s="217" t="s">
        <v>66</v>
      </c>
      <c r="K418" s="218"/>
      <c r="L418" s="212" t="s">
        <v>87</v>
      </c>
      <c r="M418" s="250"/>
      <c r="N418" s="239">
        <v>43160</v>
      </c>
      <c r="O418" s="210" t="s">
        <v>282</v>
      </c>
      <c r="P418" s="210" t="s">
        <v>1090</v>
      </c>
      <c r="Q418" s="210" t="s">
        <v>1091</v>
      </c>
      <c r="R418" s="210" t="s">
        <v>1084</v>
      </c>
      <c r="S418" s="210" t="s">
        <v>1078</v>
      </c>
      <c r="T418" s="210" t="s">
        <v>1082</v>
      </c>
      <c r="U418" s="210" t="s">
        <v>958</v>
      </c>
      <c r="V418" s="210" t="s">
        <v>25</v>
      </c>
      <c r="W418" s="211" t="s">
        <v>1012</v>
      </c>
      <c r="X418" s="211">
        <v>1000</v>
      </c>
      <c r="Y418" s="211">
        <v>1</v>
      </c>
      <c r="Z418" s="212">
        <v>1000</v>
      </c>
      <c r="AA418" s="240">
        <v>33</v>
      </c>
      <c r="AB418" s="213">
        <v>0.02</v>
      </c>
      <c r="AC418" s="213">
        <v>0.2</v>
      </c>
      <c r="AD418" s="213" t="s">
        <v>109</v>
      </c>
      <c r="AE418" s="213">
        <v>6.6666666666666662E-3</v>
      </c>
      <c r="AF418" s="241">
        <v>103435766.66</v>
      </c>
      <c r="AG418" s="241">
        <v>103435766.66</v>
      </c>
      <c r="AH418" s="213">
        <v>5.8200000000000002E-2</v>
      </c>
      <c r="AI418" s="352">
        <v>0.89649999999999996</v>
      </c>
      <c r="AJ418" s="213">
        <v>2.29E-2</v>
      </c>
      <c r="AK418" s="352">
        <v>0.24340000000000001</v>
      </c>
      <c r="AL418" s="213">
        <v>3.5999999999999997E-2</v>
      </c>
      <c r="AM418" s="352">
        <v>0.29759999999999998</v>
      </c>
      <c r="AN418" s="213">
        <v>0.2089</v>
      </c>
      <c r="AO418" s="352">
        <v>1.2399</v>
      </c>
      <c r="AP418" s="213">
        <v>5.57E-2</v>
      </c>
      <c r="AQ418" s="219">
        <v>-1.1797646663404133</v>
      </c>
      <c r="AR418" s="213" t="s">
        <v>1827</v>
      </c>
      <c r="AU418" s="343"/>
      <c r="AV418" s="343"/>
      <c r="AW418" s="328"/>
      <c r="AX418" s="329"/>
      <c r="AY418" s="328"/>
      <c r="AZ418" s="328"/>
      <c r="BA418" s="330"/>
      <c r="BB418" s="328"/>
      <c r="BC418" s="328"/>
      <c r="BD418" s="328"/>
      <c r="BE418" s="330"/>
      <c r="BF418" s="330"/>
      <c r="BG418" s="344"/>
      <c r="BH418" s="383"/>
      <c r="BI418" s="330"/>
      <c r="BJ418" s="330"/>
      <c r="BK418" s="330"/>
      <c r="BL418" s="330"/>
      <c r="BM418" s="330"/>
      <c r="BN418" s="330"/>
      <c r="BO418" s="330"/>
      <c r="BP418" s="331"/>
      <c r="BQ418" s="332"/>
      <c r="BR418" s="333"/>
    </row>
    <row r="419" spans="2:70" ht="15.75" customHeight="1">
      <c r="B419" s="216" t="s">
        <v>1306</v>
      </c>
      <c r="C419" s="212">
        <v>534873</v>
      </c>
      <c r="D419" s="223">
        <v>11403850000157</v>
      </c>
      <c r="E419" s="217" t="s">
        <v>28</v>
      </c>
      <c r="F419" s="217" t="s">
        <v>950</v>
      </c>
      <c r="G419" s="217"/>
      <c r="H419" s="218"/>
      <c r="I419" s="217" t="s">
        <v>66</v>
      </c>
      <c r="J419" s="217" t="s">
        <v>66</v>
      </c>
      <c r="K419" s="218" t="s">
        <v>951</v>
      </c>
      <c r="L419" s="212" t="s">
        <v>87</v>
      </c>
      <c r="M419" s="250"/>
      <c r="N419" s="239">
        <v>40254</v>
      </c>
      <c r="O419" s="210" t="s">
        <v>282</v>
      </c>
      <c r="P419" s="210" t="s">
        <v>1110</v>
      </c>
      <c r="Q419" s="210" t="s">
        <v>1110</v>
      </c>
      <c r="R419" s="210" t="s">
        <v>1084</v>
      </c>
      <c r="S419" s="210" t="s">
        <v>1078</v>
      </c>
      <c r="T419" s="210" t="s">
        <v>1079</v>
      </c>
      <c r="U419" s="210" t="s">
        <v>950</v>
      </c>
      <c r="V419" s="210" t="s">
        <v>1080</v>
      </c>
      <c r="W419" s="211" t="s">
        <v>1007</v>
      </c>
      <c r="X419" s="211">
        <v>1000</v>
      </c>
      <c r="Y419" s="211">
        <v>1</v>
      </c>
      <c r="Z419" s="212">
        <v>1000</v>
      </c>
      <c r="AA419" s="240">
        <v>33</v>
      </c>
      <c r="AB419" s="213">
        <v>7.0000000000000001E-3</v>
      </c>
      <c r="AC419" s="213">
        <v>0.2</v>
      </c>
      <c r="AD419" s="213" t="s">
        <v>1170</v>
      </c>
      <c r="AE419" s="213">
        <v>3.5000000000000001E-3</v>
      </c>
      <c r="AF419" s="241">
        <v>401131628.20999998</v>
      </c>
      <c r="AG419" s="241">
        <v>401131628.20999998</v>
      </c>
      <c r="AH419" s="213">
        <v>5.0500000000000003E-2</v>
      </c>
      <c r="AI419" s="352">
        <v>0.77829999999999999</v>
      </c>
      <c r="AJ419" s="213">
        <v>-0.14169999999999999</v>
      </c>
      <c r="AK419" s="352">
        <v>-1.5063</v>
      </c>
      <c r="AL419" s="213">
        <v>2.3599999999999999E-2</v>
      </c>
      <c r="AM419" s="352">
        <v>0.19500000000000001</v>
      </c>
      <c r="AN419" s="213">
        <v>0.19719999999999999</v>
      </c>
      <c r="AO419" s="352">
        <v>1.1701999999999999</v>
      </c>
      <c r="AP419" s="213">
        <v>0.21010000000000001</v>
      </c>
      <c r="AQ419" s="219">
        <v>-1.0500876350291086</v>
      </c>
      <c r="AR419" s="213" t="s">
        <v>1824</v>
      </c>
      <c r="AU419" s="343"/>
      <c r="AV419" s="343"/>
      <c r="AW419" s="328"/>
      <c r="AX419" s="329"/>
      <c r="AY419" s="328"/>
      <c r="AZ419" s="328"/>
      <c r="BA419" s="330"/>
      <c r="BB419" s="328"/>
      <c r="BC419" s="328"/>
      <c r="BD419" s="328"/>
      <c r="BE419" s="330"/>
      <c r="BF419" s="330"/>
      <c r="BG419" s="344"/>
      <c r="BH419" s="330"/>
      <c r="BI419" s="330"/>
      <c r="BJ419" s="330"/>
      <c r="BK419" s="330"/>
      <c r="BL419" s="330"/>
      <c r="BM419" s="330"/>
      <c r="BN419" s="330"/>
      <c r="BO419" s="330"/>
      <c r="BP419" s="331"/>
      <c r="BQ419" s="332"/>
      <c r="BR419" s="333"/>
    </row>
    <row r="420" spans="2:70" ht="15.75" customHeight="1">
      <c r="B420" s="216" t="s">
        <v>289</v>
      </c>
      <c r="C420" s="212">
        <v>822358</v>
      </c>
      <c r="D420" s="223">
        <v>41969763000122</v>
      </c>
      <c r="E420" s="217" t="s">
        <v>28</v>
      </c>
      <c r="F420" s="217" t="s">
        <v>950</v>
      </c>
      <c r="G420" s="217"/>
      <c r="H420" s="218"/>
      <c r="I420" s="217" t="s">
        <v>66</v>
      </c>
      <c r="J420" s="217" t="s">
        <v>66</v>
      </c>
      <c r="K420" s="218" t="s">
        <v>951</v>
      </c>
      <c r="L420" s="212" t="s">
        <v>87</v>
      </c>
      <c r="M420" s="250"/>
      <c r="N420" s="239">
        <v>44349</v>
      </c>
      <c r="O420" s="210" t="s">
        <v>114</v>
      </c>
      <c r="P420" s="210" t="s">
        <v>1075</v>
      </c>
      <c r="Q420" s="210" t="s">
        <v>1076</v>
      </c>
      <c r="R420" s="210" t="s">
        <v>1077</v>
      </c>
      <c r="S420" s="210" t="s">
        <v>1078</v>
      </c>
      <c r="T420" s="210" t="s">
        <v>1079</v>
      </c>
      <c r="U420" s="210" t="s">
        <v>950</v>
      </c>
      <c r="V420" s="210" t="s">
        <v>1080</v>
      </c>
      <c r="W420" s="211" t="s">
        <v>1007</v>
      </c>
      <c r="X420" s="211">
        <v>5000</v>
      </c>
      <c r="Y420" s="211">
        <v>1000</v>
      </c>
      <c r="Z420" s="212">
        <v>1000</v>
      </c>
      <c r="AA420" s="240">
        <v>32</v>
      </c>
      <c r="AB420" s="213">
        <v>0.02</v>
      </c>
      <c r="AC420" s="213">
        <v>0.2</v>
      </c>
      <c r="AD420" s="213" t="s">
        <v>113</v>
      </c>
      <c r="AE420" s="213">
        <v>4.0000000000000001E-3</v>
      </c>
      <c r="AF420" s="241">
        <v>14960433.720000001</v>
      </c>
      <c r="AG420" s="241">
        <v>14960433.720000001</v>
      </c>
      <c r="AH420" s="213">
        <v>-2.1399999999999999E-2</v>
      </c>
      <c r="AI420" s="352">
        <v>-0.32900000000000001</v>
      </c>
      <c r="AJ420" s="213">
        <v>-0.1996</v>
      </c>
      <c r="AK420" s="352">
        <v>-2.1215999999999999</v>
      </c>
      <c r="AL420" s="213" t="s">
        <v>66</v>
      </c>
      <c r="AM420" s="352" t="s">
        <v>66</v>
      </c>
      <c r="AN420" s="213" t="s">
        <v>66</v>
      </c>
      <c r="AO420" s="352" t="s">
        <v>66</v>
      </c>
      <c r="AP420" s="213">
        <v>0.18540000000000001</v>
      </c>
      <c r="AQ420" s="219">
        <v>-1.5931699928887992</v>
      </c>
      <c r="AR420" s="213" t="s">
        <v>1827</v>
      </c>
      <c r="AU420" s="343"/>
      <c r="AV420" s="343"/>
      <c r="AW420" s="328"/>
      <c r="AX420" s="329"/>
      <c r="AY420" s="328"/>
      <c r="AZ420" s="328"/>
      <c r="BA420" s="330"/>
      <c r="BB420" s="328"/>
      <c r="BC420" s="328"/>
      <c r="BD420" s="328"/>
      <c r="BE420" s="330"/>
      <c r="BF420" s="330"/>
      <c r="BG420" s="344"/>
      <c r="BH420" s="330"/>
      <c r="BI420" s="330"/>
      <c r="BJ420" s="330"/>
      <c r="BK420" s="330"/>
      <c r="BL420" s="330"/>
      <c r="BM420" s="330"/>
      <c r="BN420" s="330"/>
      <c r="BO420" s="330"/>
      <c r="BP420" s="331"/>
      <c r="BQ420" s="332"/>
      <c r="BR420" s="333"/>
    </row>
    <row r="421" spans="2:70" ht="15.75" customHeight="1">
      <c r="B421" s="216" t="s">
        <v>864</v>
      </c>
      <c r="C421" s="212">
        <v>856170</v>
      </c>
      <c r="D421" s="223">
        <v>43214601000100</v>
      </c>
      <c r="E421" s="217" t="s">
        <v>25</v>
      </c>
      <c r="F421" s="217" t="s">
        <v>958</v>
      </c>
      <c r="G421" s="217" t="s">
        <v>962</v>
      </c>
      <c r="H421" s="218" t="s">
        <v>66</v>
      </c>
      <c r="I421" s="217" t="s">
        <v>1842</v>
      </c>
      <c r="J421" s="217" t="s">
        <v>66</v>
      </c>
      <c r="K421" s="218"/>
      <c r="L421" s="212" t="s">
        <v>87</v>
      </c>
      <c r="M421" s="250"/>
      <c r="N421" s="239">
        <v>44469</v>
      </c>
      <c r="O421" s="210" t="s">
        <v>865</v>
      </c>
      <c r="P421" s="210" t="s">
        <v>1075</v>
      </c>
      <c r="Q421" s="210" t="s">
        <v>1076</v>
      </c>
      <c r="R421" s="210" t="s">
        <v>1084</v>
      </c>
      <c r="S421" s="210" t="s">
        <v>1078</v>
      </c>
      <c r="T421" s="210" t="s">
        <v>1082</v>
      </c>
      <c r="U421" s="210" t="s">
        <v>958</v>
      </c>
      <c r="V421" s="210" t="s">
        <v>25</v>
      </c>
      <c r="W421" s="211" t="s">
        <v>1016</v>
      </c>
      <c r="X421" s="211">
        <v>500</v>
      </c>
      <c r="Y421" s="211">
        <v>100</v>
      </c>
      <c r="Z421" s="212">
        <v>100</v>
      </c>
      <c r="AA421" s="240">
        <v>31</v>
      </c>
      <c r="AB421" s="213">
        <v>1.95E-2</v>
      </c>
      <c r="AC421" s="213">
        <v>0.2</v>
      </c>
      <c r="AD421" s="213" t="s">
        <v>1100</v>
      </c>
      <c r="AE421" s="213">
        <v>6.4993500000000001E-3</v>
      </c>
      <c r="AF421" s="241">
        <v>225608416.97999999</v>
      </c>
      <c r="AG421" s="241">
        <v>225608416.97999999</v>
      </c>
      <c r="AH421" s="213">
        <v>0.10539999999999999</v>
      </c>
      <c r="AI421" s="352">
        <v>1.6242000000000001</v>
      </c>
      <c r="AJ421" s="213" t="s">
        <v>66</v>
      </c>
      <c r="AK421" s="352" t="s">
        <v>66</v>
      </c>
      <c r="AL421" s="213" t="s">
        <v>66</v>
      </c>
      <c r="AM421" s="352" t="s">
        <v>66</v>
      </c>
      <c r="AN421" s="213" t="s">
        <v>66</v>
      </c>
      <c r="AO421" s="352" t="s">
        <v>66</v>
      </c>
      <c r="AP421" s="213" t="s">
        <v>66</v>
      </c>
      <c r="AQ421" s="219" t="s">
        <v>66</v>
      </c>
      <c r="AR421" s="213" t="s">
        <v>1827</v>
      </c>
      <c r="AU421" s="343"/>
      <c r="AV421" s="343"/>
      <c r="AW421" s="328"/>
      <c r="AX421" s="329"/>
      <c r="AY421" s="328"/>
      <c r="AZ421" s="328"/>
      <c r="BA421" s="330"/>
      <c r="BB421" s="328"/>
      <c r="BC421" s="328"/>
      <c r="BD421" s="328"/>
      <c r="BE421" s="330"/>
      <c r="BF421" s="330"/>
      <c r="BG421" s="344"/>
      <c r="BH421" s="330"/>
      <c r="BI421" s="330"/>
      <c r="BJ421" s="330"/>
      <c r="BK421" s="330"/>
      <c r="BL421" s="330"/>
      <c r="BM421" s="330"/>
      <c r="BN421" s="330"/>
      <c r="BO421" s="330"/>
      <c r="BP421" s="331"/>
      <c r="BQ421" s="332"/>
      <c r="BR421" s="333"/>
    </row>
    <row r="422" spans="2:70" ht="15.75" customHeight="1">
      <c r="B422" s="216" t="s">
        <v>1307</v>
      </c>
      <c r="C422" s="212">
        <v>634677</v>
      </c>
      <c r="D422" s="223">
        <v>35408329000170</v>
      </c>
      <c r="E422" s="217" t="s">
        <v>19</v>
      </c>
      <c r="F422" s="217" t="s">
        <v>963</v>
      </c>
      <c r="G422" s="217" t="s">
        <v>1011</v>
      </c>
      <c r="H422" s="218" t="s">
        <v>1113</v>
      </c>
      <c r="I422" s="217" t="s">
        <v>66</v>
      </c>
      <c r="J422" s="217"/>
      <c r="K422" s="218" t="s">
        <v>951</v>
      </c>
      <c r="L422" s="212" t="s">
        <v>87</v>
      </c>
      <c r="M422" s="250"/>
      <c r="N422" s="239">
        <v>43826</v>
      </c>
      <c r="O422" s="210" t="s">
        <v>291</v>
      </c>
      <c r="P422" s="210" t="s">
        <v>1090</v>
      </c>
      <c r="Q422" s="210" t="s">
        <v>1091</v>
      </c>
      <c r="R422" s="210" t="s">
        <v>1084</v>
      </c>
      <c r="S422" s="210" t="s">
        <v>1078</v>
      </c>
      <c r="T422" s="210" t="s">
        <v>1275</v>
      </c>
      <c r="U422" s="210" t="s">
        <v>1114</v>
      </c>
      <c r="V422" s="210" t="s">
        <v>19</v>
      </c>
      <c r="W422" s="211" t="s">
        <v>1024</v>
      </c>
      <c r="X422" s="211">
        <v>500</v>
      </c>
      <c r="Y422" s="211">
        <v>500</v>
      </c>
      <c r="Z422" s="212">
        <v>0</v>
      </c>
      <c r="AA422" s="240">
        <v>1</v>
      </c>
      <c r="AB422" s="213">
        <v>4.0000000000000001E-3</v>
      </c>
      <c r="AC422" s="213">
        <v>0</v>
      </c>
      <c r="AD422" s="213" t="s">
        <v>109</v>
      </c>
      <c r="AE422" s="213">
        <v>1.08E-3</v>
      </c>
      <c r="AF422" s="241">
        <v>63403972.520000003</v>
      </c>
      <c r="AG422" s="241">
        <v>63403972.520000003</v>
      </c>
      <c r="AH422" s="213">
        <v>7.1599999999999997E-2</v>
      </c>
      <c r="AI422" s="352">
        <v>1.1026</v>
      </c>
      <c r="AJ422" s="213">
        <v>0.1046</v>
      </c>
      <c r="AK422" s="352">
        <v>1.1123000000000001</v>
      </c>
      <c r="AL422" s="213">
        <v>0.1588</v>
      </c>
      <c r="AM422" s="352">
        <v>1.3141</v>
      </c>
      <c r="AN422" s="213" t="s">
        <v>66</v>
      </c>
      <c r="AO422" s="352" t="s">
        <v>66</v>
      </c>
      <c r="AP422" s="213">
        <v>2.3E-3</v>
      </c>
      <c r="AQ422" s="219">
        <v>4.1396438973137393</v>
      </c>
      <c r="AR422" s="213" t="s">
        <v>1827</v>
      </c>
      <c r="AU422" s="343"/>
      <c r="AV422" s="343"/>
      <c r="AW422" s="328"/>
      <c r="AX422" s="329"/>
      <c r="AY422" s="328"/>
      <c r="AZ422" s="328"/>
      <c r="BA422" s="330"/>
      <c r="BB422" s="328"/>
      <c r="BC422" s="328"/>
      <c r="BD422" s="328"/>
      <c r="BE422" s="330"/>
      <c r="BF422" s="330"/>
      <c r="BG422" s="344"/>
      <c r="BH422" s="330"/>
      <c r="BI422" s="330"/>
      <c r="BJ422" s="330"/>
      <c r="BK422" s="330"/>
      <c r="BL422" s="330"/>
      <c r="BM422" s="330"/>
      <c r="BN422" s="330"/>
      <c r="BO422" s="330"/>
      <c r="BP422" s="331"/>
      <c r="BQ422" s="332"/>
      <c r="BR422" s="333"/>
    </row>
    <row r="423" spans="2:70" ht="15.75" customHeight="1">
      <c r="B423" s="216" t="s">
        <v>292</v>
      </c>
      <c r="C423" s="212">
        <v>546426</v>
      </c>
      <c r="D423" s="223">
        <v>39800304000179</v>
      </c>
      <c r="E423" s="217" t="s">
        <v>28</v>
      </c>
      <c r="F423" s="217" t="s">
        <v>957</v>
      </c>
      <c r="G423" s="217"/>
      <c r="H423" s="218"/>
      <c r="I423" s="217" t="s">
        <v>1259</v>
      </c>
      <c r="J423" s="217" t="s">
        <v>66</v>
      </c>
      <c r="K423" s="218" t="s">
        <v>951</v>
      </c>
      <c r="L423" s="212" t="s">
        <v>87</v>
      </c>
      <c r="M423" s="250"/>
      <c r="N423" s="239">
        <v>44180</v>
      </c>
      <c r="O423" s="210" t="s">
        <v>291</v>
      </c>
      <c r="P423" s="210" t="s">
        <v>1075</v>
      </c>
      <c r="Q423" s="210" t="s">
        <v>1076</v>
      </c>
      <c r="R423" s="210" t="s">
        <v>1077</v>
      </c>
      <c r="S423" s="210" t="s">
        <v>1078</v>
      </c>
      <c r="T423" s="210" t="s">
        <v>1079</v>
      </c>
      <c r="U423" s="210" t="s">
        <v>957</v>
      </c>
      <c r="V423" s="210" t="s">
        <v>25</v>
      </c>
      <c r="W423" s="211" t="s">
        <v>1016</v>
      </c>
      <c r="X423" s="211">
        <v>5000</v>
      </c>
      <c r="Y423" s="211">
        <v>1000</v>
      </c>
      <c r="Z423" s="212">
        <v>1000</v>
      </c>
      <c r="AA423" s="240">
        <v>32</v>
      </c>
      <c r="AB423" s="213">
        <v>0.02</v>
      </c>
      <c r="AC423" s="213">
        <v>0.2</v>
      </c>
      <c r="AD423" s="213" t="s">
        <v>113</v>
      </c>
      <c r="AE423" s="213" t="s">
        <v>66</v>
      </c>
      <c r="AF423" s="241">
        <v>19855547.710000001</v>
      </c>
      <c r="AG423" s="241">
        <v>19855547.710000001</v>
      </c>
      <c r="AH423" s="213">
        <v>1.4999999999999999E-2</v>
      </c>
      <c r="AI423" s="352">
        <v>0.2316</v>
      </c>
      <c r="AJ423" s="213">
        <v>-0.17979999999999999</v>
      </c>
      <c r="AK423" s="352">
        <v>-1.9107000000000001</v>
      </c>
      <c r="AL423" s="213" t="s">
        <v>66</v>
      </c>
      <c r="AM423" s="352" t="s">
        <v>66</v>
      </c>
      <c r="AN423" s="213" t="s">
        <v>66</v>
      </c>
      <c r="AO423" s="352" t="s">
        <v>66</v>
      </c>
      <c r="AP423" s="213">
        <v>0.1769</v>
      </c>
      <c r="AQ423" s="219">
        <v>-1.5400218425477932</v>
      </c>
      <c r="AR423" s="213" t="s">
        <v>1827</v>
      </c>
      <c r="AU423" s="343"/>
      <c r="AV423" s="343"/>
      <c r="AW423" s="328"/>
      <c r="AX423" s="329"/>
      <c r="AY423" s="328"/>
      <c r="AZ423" s="328"/>
      <c r="BA423" s="330"/>
      <c r="BB423" s="328"/>
      <c r="BC423" s="328"/>
      <c r="BD423" s="328"/>
      <c r="BE423" s="330"/>
      <c r="BF423" s="330"/>
      <c r="BG423" s="344"/>
      <c r="BH423" s="330"/>
      <c r="BI423" s="330"/>
      <c r="BJ423" s="330"/>
      <c r="BK423" s="330"/>
      <c r="BL423" s="330"/>
      <c r="BM423" s="330"/>
      <c r="BN423" s="330"/>
      <c r="BO423" s="330"/>
      <c r="BP423" s="331"/>
      <c r="BQ423" s="332"/>
      <c r="BR423" s="333"/>
    </row>
    <row r="424" spans="2:70" ht="15.75" customHeight="1">
      <c r="B424" s="216" t="s">
        <v>902</v>
      </c>
      <c r="C424" s="212">
        <v>557243</v>
      </c>
      <c r="D424" s="223">
        <v>40938560000106</v>
      </c>
      <c r="E424" s="217" t="s">
        <v>28</v>
      </c>
      <c r="F424" s="217" t="s">
        <v>950</v>
      </c>
      <c r="G424" s="217"/>
      <c r="H424" s="218"/>
      <c r="I424" s="217" t="s">
        <v>66</v>
      </c>
      <c r="J424" s="217" t="s">
        <v>66</v>
      </c>
      <c r="K424" s="218" t="s">
        <v>954</v>
      </c>
      <c r="L424" s="212"/>
      <c r="M424" s="250"/>
      <c r="N424" s="239">
        <v>44295</v>
      </c>
      <c r="O424" s="210" t="s">
        <v>291</v>
      </c>
      <c r="P424" s="210" t="s">
        <v>1075</v>
      </c>
      <c r="Q424" s="210" t="s">
        <v>1076</v>
      </c>
      <c r="R424" s="210" t="s">
        <v>1077</v>
      </c>
      <c r="S424" s="210" t="s">
        <v>1078</v>
      </c>
      <c r="T424" s="210" t="s">
        <v>1079</v>
      </c>
      <c r="U424" s="210" t="s">
        <v>65</v>
      </c>
      <c r="V424" s="210" t="s">
        <v>1080</v>
      </c>
      <c r="W424" s="211" t="s">
        <v>1036</v>
      </c>
      <c r="X424" s="211">
        <v>0</v>
      </c>
      <c r="Y424" s="211">
        <v>0</v>
      </c>
      <c r="Z424" s="212">
        <v>0</v>
      </c>
      <c r="AA424" s="240">
        <v>6</v>
      </c>
      <c r="AB424" s="213">
        <v>2E-3</v>
      </c>
      <c r="AC424" s="213">
        <v>0</v>
      </c>
      <c r="AD424" s="213" t="s">
        <v>113</v>
      </c>
      <c r="AE424" s="213" t="s">
        <v>66</v>
      </c>
      <c r="AF424" s="241">
        <v>46280157.789999999</v>
      </c>
      <c r="AG424" s="241">
        <v>46280157.789999999</v>
      </c>
      <c r="AH424" s="213">
        <v>-0.1113</v>
      </c>
      <c r="AI424" s="352">
        <v>-1.7138</v>
      </c>
      <c r="AJ424" s="213">
        <v>-7.1599999999999997E-2</v>
      </c>
      <c r="AK424" s="352">
        <v>-0.76090000000000002</v>
      </c>
      <c r="AL424" s="213" t="s">
        <v>66</v>
      </c>
      <c r="AM424" s="352" t="s">
        <v>66</v>
      </c>
      <c r="AN424" s="213" t="s">
        <v>66</v>
      </c>
      <c r="AO424" s="352" t="s">
        <v>66</v>
      </c>
      <c r="AP424" s="213">
        <v>0.2084</v>
      </c>
      <c r="AQ424" s="219">
        <v>-0.68399371587988445</v>
      </c>
      <c r="AR424" s="213" t="s">
        <v>1824</v>
      </c>
      <c r="AU424" s="343"/>
      <c r="AV424" s="343"/>
      <c r="AW424" s="328"/>
      <c r="AX424" s="329"/>
      <c r="AY424" s="328"/>
      <c r="AZ424" s="328"/>
      <c r="BA424" s="330"/>
      <c r="BB424" s="328"/>
      <c r="BC424" s="328"/>
      <c r="BD424" s="328"/>
      <c r="BE424" s="330"/>
      <c r="BF424" s="330"/>
      <c r="BG424" s="344"/>
      <c r="BH424" s="330"/>
      <c r="BI424" s="330"/>
      <c r="BJ424" s="330"/>
      <c r="BK424" s="330"/>
      <c r="BL424" s="330"/>
      <c r="BM424" s="330"/>
      <c r="BN424" s="330"/>
      <c r="BO424" s="330"/>
      <c r="BP424" s="331"/>
      <c r="BQ424" s="332"/>
      <c r="BR424" s="333"/>
    </row>
    <row r="425" spans="2:70" ht="15.75" customHeight="1">
      <c r="B425" s="216" t="s">
        <v>293</v>
      </c>
      <c r="C425" s="212">
        <v>2853232</v>
      </c>
      <c r="D425" s="223">
        <v>41088640000182</v>
      </c>
      <c r="E425" s="217" t="s">
        <v>28</v>
      </c>
      <c r="F425" s="217" t="s">
        <v>950</v>
      </c>
      <c r="G425" s="217"/>
      <c r="H425" s="218"/>
      <c r="I425" s="217" t="s">
        <v>66</v>
      </c>
      <c r="J425" s="217" t="s">
        <v>66</v>
      </c>
      <c r="K425" s="218" t="s">
        <v>954</v>
      </c>
      <c r="L425" s="212" t="s">
        <v>87</v>
      </c>
      <c r="M425" s="250"/>
      <c r="N425" s="239">
        <v>44295</v>
      </c>
      <c r="O425" s="210" t="s">
        <v>291</v>
      </c>
      <c r="P425" s="210" t="s">
        <v>1075</v>
      </c>
      <c r="Q425" s="210" t="s">
        <v>1076</v>
      </c>
      <c r="R425" s="210" t="s">
        <v>1077</v>
      </c>
      <c r="S425" s="210" t="s">
        <v>1078</v>
      </c>
      <c r="T425" s="210" t="s">
        <v>1079</v>
      </c>
      <c r="U425" s="210" t="s">
        <v>65</v>
      </c>
      <c r="V425" s="210" t="s">
        <v>1080</v>
      </c>
      <c r="W425" s="211" t="s">
        <v>1036</v>
      </c>
      <c r="X425" s="211">
        <v>1000</v>
      </c>
      <c r="Y425" s="211">
        <v>1000</v>
      </c>
      <c r="Z425" s="212">
        <v>1000</v>
      </c>
      <c r="AA425" s="240">
        <v>6</v>
      </c>
      <c r="AB425" s="213">
        <v>8.0000000000000002E-3</v>
      </c>
      <c r="AC425" s="213">
        <v>0</v>
      </c>
      <c r="AD425" s="213" t="s">
        <v>113</v>
      </c>
      <c r="AE425" s="213">
        <v>5.3333333333333332E-3</v>
      </c>
      <c r="AF425" s="241">
        <v>5855166.2599999998</v>
      </c>
      <c r="AG425" s="241">
        <v>5855166.2599999998</v>
      </c>
      <c r="AH425" s="213">
        <v>-0.11409999999999999</v>
      </c>
      <c r="AI425" s="352">
        <v>-1.7573000000000001</v>
      </c>
      <c r="AJ425" s="213">
        <v>-7.7600000000000002E-2</v>
      </c>
      <c r="AK425" s="352">
        <v>-0.82450000000000001</v>
      </c>
      <c r="AL425" s="213" t="s">
        <v>66</v>
      </c>
      <c r="AM425" s="352" t="s">
        <v>66</v>
      </c>
      <c r="AN425" s="213" t="s">
        <v>66</v>
      </c>
      <c r="AO425" s="352" t="s">
        <v>66</v>
      </c>
      <c r="AP425" s="213">
        <v>0.20580000000000001</v>
      </c>
      <c r="AQ425" s="219">
        <v>-0.72676754994490445</v>
      </c>
      <c r="AR425" s="213" t="s">
        <v>1824</v>
      </c>
      <c r="AU425" s="343"/>
      <c r="AV425" s="343"/>
      <c r="AW425" s="328"/>
      <c r="AX425" s="329"/>
      <c r="AY425" s="328"/>
      <c r="AZ425" s="328"/>
      <c r="BA425" s="330"/>
      <c r="BB425" s="328"/>
      <c r="BC425" s="328"/>
      <c r="BD425" s="328"/>
      <c r="BE425" s="330"/>
      <c r="BF425" s="330"/>
      <c r="BG425" s="344"/>
      <c r="BH425" s="330"/>
      <c r="BI425" s="330"/>
      <c r="BJ425" s="330"/>
      <c r="BK425" s="330"/>
      <c r="BL425" s="330"/>
      <c r="BM425" s="330"/>
      <c r="BN425" s="330"/>
      <c r="BO425" s="330"/>
      <c r="BP425" s="331"/>
      <c r="BQ425" s="332"/>
      <c r="BR425" s="333"/>
    </row>
    <row r="426" spans="2:70" ht="15.75" customHeight="1">
      <c r="B426" s="216" t="s">
        <v>1308</v>
      </c>
      <c r="C426" s="212">
        <v>1180173</v>
      </c>
      <c r="D426" s="223">
        <v>37712284000159</v>
      </c>
      <c r="E426" s="217" t="s">
        <v>28</v>
      </c>
      <c r="F426" s="217" t="s">
        <v>950</v>
      </c>
      <c r="G426" s="217"/>
      <c r="H426" s="218"/>
      <c r="I426" s="217" t="s">
        <v>66</v>
      </c>
      <c r="J426" s="217" t="s">
        <v>66</v>
      </c>
      <c r="K426" s="218" t="s">
        <v>954</v>
      </c>
      <c r="L426" s="212"/>
      <c r="M426" s="250"/>
      <c r="N426" s="239">
        <v>44186</v>
      </c>
      <c r="O426" s="210" t="s">
        <v>291</v>
      </c>
      <c r="P426" s="210" t="s">
        <v>1075</v>
      </c>
      <c r="Q426" s="210" t="s">
        <v>1076</v>
      </c>
      <c r="R426" s="210" t="s">
        <v>1077</v>
      </c>
      <c r="S426" s="210" t="s">
        <v>1078</v>
      </c>
      <c r="T426" s="210" t="s">
        <v>1079</v>
      </c>
      <c r="U426" s="210" t="s">
        <v>65</v>
      </c>
      <c r="V426" s="210" t="s">
        <v>1080</v>
      </c>
      <c r="W426" s="211" t="s">
        <v>1036</v>
      </c>
      <c r="X426" s="211">
        <v>1000</v>
      </c>
      <c r="Y426" s="211">
        <v>1000</v>
      </c>
      <c r="Z426" s="212">
        <v>1000</v>
      </c>
      <c r="AA426" s="240">
        <v>6</v>
      </c>
      <c r="AB426" s="213">
        <v>8.0000000000000002E-3</v>
      </c>
      <c r="AC426" s="213">
        <v>0</v>
      </c>
      <c r="AD426" s="213" t="s">
        <v>113</v>
      </c>
      <c r="AE426" s="213">
        <v>5.3333333333333332E-3</v>
      </c>
      <c r="AF426" s="241">
        <v>7716480.7199999997</v>
      </c>
      <c r="AG426" s="241">
        <v>7716480.7199999997</v>
      </c>
      <c r="AH426" s="213">
        <v>-0.20710000000000001</v>
      </c>
      <c r="AI426" s="352">
        <v>-3.1901000000000002</v>
      </c>
      <c r="AJ426" s="213">
        <v>-0.1152</v>
      </c>
      <c r="AK426" s="352">
        <v>-1.2241</v>
      </c>
      <c r="AL426" s="213" t="s">
        <v>66</v>
      </c>
      <c r="AM426" s="352" t="s">
        <v>66</v>
      </c>
      <c r="AN426" s="213" t="s">
        <v>66</v>
      </c>
      <c r="AO426" s="352" t="s">
        <v>66</v>
      </c>
      <c r="AP426" s="213">
        <v>0.21229999999999999</v>
      </c>
      <c r="AQ426" s="219">
        <v>-0.89442851240664012</v>
      </c>
      <c r="AR426" s="213" t="s">
        <v>1827</v>
      </c>
      <c r="AU426" s="343"/>
      <c r="AV426" s="343"/>
      <c r="AW426" s="328"/>
      <c r="AX426" s="329"/>
      <c r="AY426" s="328"/>
      <c r="AZ426" s="328"/>
      <c r="BA426" s="330"/>
      <c r="BB426" s="328"/>
      <c r="BC426" s="328"/>
      <c r="BD426" s="328"/>
      <c r="BE426" s="330"/>
      <c r="BF426" s="330"/>
      <c r="BG426" s="344"/>
      <c r="BH426" s="330"/>
      <c r="BI426" s="330"/>
      <c r="BJ426" s="330"/>
      <c r="BK426" s="330"/>
      <c r="BL426" s="330"/>
      <c r="BM426" s="330"/>
      <c r="BN426" s="330"/>
      <c r="BO426" s="330"/>
      <c r="BP426" s="331"/>
      <c r="BQ426" s="332"/>
      <c r="BR426" s="333"/>
    </row>
    <row r="427" spans="2:70" ht="15.75" customHeight="1">
      <c r="B427" s="216" t="s">
        <v>1309</v>
      </c>
      <c r="C427" s="212">
        <v>2624097</v>
      </c>
      <c r="D427" s="223">
        <v>28856743000187</v>
      </c>
      <c r="E427" s="217" t="s">
        <v>25</v>
      </c>
      <c r="F427" s="217" t="s">
        <v>958</v>
      </c>
      <c r="G427" s="217" t="s">
        <v>962</v>
      </c>
      <c r="H427" s="218" t="s">
        <v>66</v>
      </c>
      <c r="I427" s="217" t="s">
        <v>1259</v>
      </c>
      <c r="J427" s="217" t="s">
        <v>66</v>
      </c>
      <c r="K427" s="218"/>
      <c r="L427" s="212" t="s">
        <v>87</v>
      </c>
      <c r="M427" s="250"/>
      <c r="N427" s="239">
        <v>43203</v>
      </c>
      <c r="O427" s="210" t="s">
        <v>294</v>
      </c>
      <c r="P427" s="210" t="s">
        <v>1088</v>
      </c>
      <c r="Q427" s="210" t="s">
        <v>1089</v>
      </c>
      <c r="R427" s="210" t="s">
        <v>1084</v>
      </c>
      <c r="S427" s="210" t="s">
        <v>1078</v>
      </c>
      <c r="T427" s="210" t="s">
        <v>1082</v>
      </c>
      <c r="U427" s="210" t="s">
        <v>958</v>
      </c>
      <c r="V427" s="210" t="s">
        <v>25</v>
      </c>
      <c r="W427" s="211" t="s">
        <v>1016</v>
      </c>
      <c r="X427" s="211">
        <v>1000</v>
      </c>
      <c r="Y427" s="211">
        <v>1000</v>
      </c>
      <c r="Z427" s="212">
        <v>1000</v>
      </c>
      <c r="AA427" s="240">
        <v>15</v>
      </c>
      <c r="AB427" s="213">
        <v>0.02</v>
      </c>
      <c r="AC427" s="213">
        <v>0.2</v>
      </c>
      <c r="AD427" s="213" t="s">
        <v>109</v>
      </c>
      <c r="AE427" s="213">
        <v>4.0000000000000001E-3</v>
      </c>
      <c r="AF427" s="241">
        <v>212748309.41</v>
      </c>
      <c r="AG427" s="241">
        <v>212748309.41</v>
      </c>
      <c r="AH427" s="213">
        <v>0.11559999999999999</v>
      </c>
      <c r="AI427" s="352">
        <v>1.7806999999999999</v>
      </c>
      <c r="AJ427" s="213">
        <v>0.1825</v>
      </c>
      <c r="AK427" s="352">
        <v>1.9394</v>
      </c>
      <c r="AL427" s="213">
        <v>0.2959</v>
      </c>
      <c r="AM427" s="352">
        <v>2.4496000000000002</v>
      </c>
      <c r="AN427" s="213">
        <v>0.46279999999999999</v>
      </c>
      <c r="AO427" s="352">
        <v>2.7465999999999999</v>
      </c>
      <c r="AP427" s="213">
        <v>5.3199999999999997E-2</v>
      </c>
      <c r="AQ427" s="219">
        <v>1.4883871193234908</v>
      </c>
      <c r="AR427" s="213" t="s">
        <v>1827</v>
      </c>
      <c r="AU427" s="343"/>
      <c r="AV427" s="343"/>
      <c r="AW427" s="328"/>
      <c r="AX427" s="329"/>
      <c r="AY427" s="328"/>
      <c r="AZ427" s="328"/>
      <c r="BA427" s="330"/>
      <c r="BB427" s="328"/>
      <c r="BC427" s="328"/>
      <c r="BD427" s="328"/>
      <c r="BE427" s="330"/>
      <c r="BF427" s="330"/>
      <c r="BG427" s="344"/>
      <c r="BH427" s="330"/>
      <c r="BI427" s="330"/>
      <c r="BJ427" s="330"/>
      <c r="BK427" s="330"/>
      <c r="BL427" s="330"/>
      <c r="BM427" s="330"/>
      <c r="BN427" s="330"/>
      <c r="BO427" s="330"/>
      <c r="BP427" s="331"/>
      <c r="BQ427" s="332"/>
      <c r="BR427" s="333"/>
    </row>
    <row r="428" spans="2:70" ht="15.75" customHeight="1">
      <c r="B428" s="216" t="s">
        <v>1310</v>
      </c>
      <c r="C428" s="212">
        <v>2853218</v>
      </c>
      <c r="D428" s="223">
        <v>11182064000177</v>
      </c>
      <c r="E428" s="217" t="s">
        <v>28</v>
      </c>
      <c r="F428" s="217" t="s">
        <v>950</v>
      </c>
      <c r="G428" s="217"/>
      <c r="H428" s="218"/>
      <c r="I428" s="217" t="s">
        <v>66</v>
      </c>
      <c r="J428" s="217" t="s">
        <v>66</v>
      </c>
      <c r="K428" s="218" t="s">
        <v>951</v>
      </c>
      <c r="L428" s="212" t="s">
        <v>87</v>
      </c>
      <c r="M428" s="250"/>
      <c r="N428" s="239">
        <v>40102</v>
      </c>
      <c r="O428" s="210" t="s">
        <v>294</v>
      </c>
      <c r="P428" s="210" t="s">
        <v>1088</v>
      </c>
      <c r="Q428" s="210" t="s">
        <v>1089</v>
      </c>
      <c r="R428" s="210" t="s">
        <v>1084</v>
      </c>
      <c r="S428" s="210" t="s">
        <v>1078</v>
      </c>
      <c r="T428" s="210" t="s">
        <v>1079</v>
      </c>
      <c r="U428" s="210" t="s">
        <v>950</v>
      </c>
      <c r="V428" s="210" t="s">
        <v>1080</v>
      </c>
      <c r="W428" s="211" t="s">
        <v>1007</v>
      </c>
      <c r="X428" s="211">
        <v>1000</v>
      </c>
      <c r="Y428" s="211">
        <v>1000</v>
      </c>
      <c r="Z428" s="212">
        <v>1000</v>
      </c>
      <c r="AA428" s="240">
        <v>15</v>
      </c>
      <c r="AB428" s="213">
        <v>0.02</v>
      </c>
      <c r="AC428" s="213">
        <v>0.2</v>
      </c>
      <c r="AD428" s="213" t="s">
        <v>1014</v>
      </c>
      <c r="AE428" s="213">
        <v>4.0000000000000001E-3</v>
      </c>
      <c r="AF428" s="241">
        <v>1188455182.4000001</v>
      </c>
      <c r="AG428" s="241">
        <v>1188455182.4000001</v>
      </c>
      <c r="AH428" s="213">
        <v>2.12E-2</v>
      </c>
      <c r="AI428" s="352">
        <v>0.32650000000000001</v>
      </c>
      <c r="AJ428" s="213">
        <v>-0.12239999999999999</v>
      </c>
      <c r="AK428" s="352">
        <v>-1.3008</v>
      </c>
      <c r="AL428" s="213">
        <v>3.7100000000000001E-2</v>
      </c>
      <c r="AM428" s="352">
        <v>0.307</v>
      </c>
      <c r="AN428" s="213">
        <v>9.5200000000000007E-2</v>
      </c>
      <c r="AO428" s="352">
        <v>0.56489999999999996</v>
      </c>
      <c r="AP428" s="213">
        <v>0.1827</v>
      </c>
      <c r="AQ428" s="219">
        <v>-1.1157541831797377</v>
      </c>
      <c r="AR428" s="213" t="s">
        <v>1824</v>
      </c>
      <c r="AU428" s="343"/>
      <c r="AV428" s="343"/>
      <c r="AW428" s="328"/>
      <c r="AX428" s="329"/>
      <c r="AY428" s="328"/>
      <c r="AZ428" s="328"/>
      <c r="BA428" s="330"/>
      <c r="BB428" s="328"/>
      <c r="BC428" s="328"/>
      <c r="BD428" s="328"/>
      <c r="BE428" s="330"/>
      <c r="BF428" s="330"/>
      <c r="BG428" s="344"/>
      <c r="BH428" s="330"/>
      <c r="BI428" s="330"/>
      <c r="BJ428" s="330"/>
      <c r="BK428" s="330"/>
      <c r="BL428" s="330"/>
      <c r="BM428" s="330"/>
      <c r="BN428" s="330"/>
      <c r="BO428" s="330"/>
      <c r="BP428" s="331"/>
      <c r="BQ428" s="332"/>
      <c r="BR428" s="333"/>
    </row>
    <row r="429" spans="2:70" ht="15.75" customHeight="1">
      <c r="B429" s="216" t="s">
        <v>1311</v>
      </c>
      <c r="C429" s="212">
        <v>944383</v>
      </c>
      <c r="D429" s="223">
        <v>41707420000190</v>
      </c>
      <c r="E429" s="217" t="s">
        <v>19</v>
      </c>
      <c r="F429" s="217" t="s">
        <v>963</v>
      </c>
      <c r="G429" s="217" t="s">
        <v>1011</v>
      </c>
      <c r="H429" s="218" t="s">
        <v>1113</v>
      </c>
      <c r="I429" s="217" t="s">
        <v>66</v>
      </c>
      <c r="J429" s="217"/>
      <c r="K429" s="218"/>
      <c r="L429" s="212" t="s">
        <v>87</v>
      </c>
      <c r="M429" s="250"/>
      <c r="N429" s="239">
        <v>44482</v>
      </c>
      <c r="O429" s="210" t="s">
        <v>323</v>
      </c>
      <c r="P429" s="210" t="s">
        <v>1075</v>
      </c>
      <c r="Q429" s="210" t="s">
        <v>1076</v>
      </c>
      <c r="R429" s="210" t="s">
        <v>1084</v>
      </c>
      <c r="S429" s="210" t="s">
        <v>1078</v>
      </c>
      <c r="T429" s="210" t="s">
        <v>1275</v>
      </c>
      <c r="U429" s="210" t="s">
        <v>1114</v>
      </c>
      <c r="V429" s="210" t="s">
        <v>25</v>
      </c>
      <c r="W429" s="211" t="s">
        <v>1016</v>
      </c>
      <c r="X429" s="211">
        <v>0</v>
      </c>
      <c r="Y429" s="211">
        <v>0</v>
      </c>
      <c r="Z429" s="212">
        <v>0</v>
      </c>
      <c r="AA429" s="240">
        <v>30</v>
      </c>
      <c r="AB429" s="213">
        <v>5.0000000000000001E-3</v>
      </c>
      <c r="AC429" s="213">
        <v>0.15</v>
      </c>
      <c r="AD429" s="213" t="s">
        <v>1100</v>
      </c>
      <c r="AE429" s="213">
        <v>6.6666666666666664E-4</v>
      </c>
      <c r="AF429" s="241">
        <v>106823904.44</v>
      </c>
      <c r="AG429" s="241">
        <v>106823904.44</v>
      </c>
      <c r="AH429" s="213">
        <v>7.3800000000000004E-2</v>
      </c>
      <c r="AI429" s="352">
        <v>1.1372</v>
      </c>
      <c r="AJ429" s="213" t="s">
        <v>66</v>
      </c>
      <c r="AK429" s="352" t="s">
        <v>66</v>
      </c>
      <c r="AL429" s="213" t="s">
        <v>66</v>
      </c>
      <c r="AM429" s="352" t="s">
        <v>66</v>
      </c>
      <c r="AN429" s="213" t="s">
        <v>66</v>
      </c>
      <c r="AO429" s="352" t="s">
        <v>66</v>
      </c>
      <c r="AP429" s="213" t="s">
        <v>66</v>
      </c>
      <c r="AQ429" s="219" t="s">
        <v>66</v>
      </c>
      <c r="AR429" s="213" t="s">
        <v>1824</v>
      </c>
      <c r="AU429" s="343"/>
      <c r="AV429" s="343"/>
      <c r="AW429" s="328"/>
      <c r="AX429" s="329"/>
      <c r="AY429" s="328"/>
      <c r="AZ429" s="328"/>
      <c r="BA429" s="330"/>
      <c r="BB429" s="328"/>
      <c r="BC429" s="328"/>
      <c r="BD429" s="328"/>
      <c r="BE429" s="330"/>
      <c r="BF429" s="330"/>
      <c r="BG429" s="344"/>
      <c r="BH429" s="330"/>
      <c r="BI429" s="330"/>
      <c r="BJ429" s="330"/>
      <c r="BK429" s="330"/>
      <c r="BL429" s="330"/>
      <c r="BM429" s="330"/>
      <c r="BN429" s="330"/>
      <c r="BO429" s="330"/>
      <c r="BP429" s="331"/>
      <c r="BQ429" s="332"/>
      <c r="BR429" s="333"/>
    </row>
    <row r="430" spans="2:70" ht="15.75" customHeight="1">
      <c r="B430" s="216" t="s">
        <v>1312</v>
      </c>
      <c r="C430" s="212">
        <v>1221129</v>
      </c>
      <c r="D430" s="223">
        <v>11977572000141</v>
      </c>
      <c r="E430" s="217" t="s">
        <v>28</v>
      </c>
      <c r="F430" s="217" t="s">
        <v>950</v>
      </c>
      <c r="G430" s="217"/>
      <c r="H430" s="218"/>
      <c r="I430" s="217" t="s">
        <v>66</v>
      </c>
      <c r="J430" s="217" t="s">
        <v>66</v>
      </c>
      <c r="K430" s="218" t="s">
        <v>951</v>
      </c>
      <c r="L430" s="212" t="s">
        <v>87</v>
      </c>
      <c r="M430" s="250"/>
      <c r="N430" s="239">
        <v>40534</v>
      </c>
      <c r="O430" s="210" t="s">
        <v>295</v>
      </c>
      <c r="P430" s="210" t="s">
        <v>1090</v>
      </c>
      <c r="Q430" s="210" t="s">
        <v>1091</v>
      </c>
      <c r="R430" s="210" t="s">
        <v>1077</v>
      </c>
      <c r="S430" s="210" t="s">
        <v>1085</v>
      </c>
      <c r="T430" s="210" t="s">
        <v>1079</v>
      </c>
      <c r="U430" s="210" t="s">
        <v>950</v>
      </c>
      <c r="V430" s="210" t="s">
        <v>1080</v>
      </c>
      <c r="W430" s="211" t="s">
        <v>1013</v>
      </c>
      <c r="X430" s="211">
        <v>50000</v>
      </c>
      <c r="Y430" s="211">
        <v>5000</v>
      </c>
      <c r="Z430" s="212">
        <v>5000</v>
      </c>
      <c r="AA430" s="240">
        <v>62</v>
      </c>
      <c r="AB430" s="213">
        <v>0.02</v>
      </c>
      <c r="AC430" s="213">
        <v>0.2</v>
      </c>
      <c r="AD430" s="213" t="s">
        <v>203</v>
      </c>
      <c r="AE430" s="213">
        <v>5.3333333333333332E-3</v>
      </c>
      <c r="AF430" s="241">
        <v>22305547.109999999</v>
      </c>
      <c r="AG430" s="241">
        <v>22305547.109999999</v>
      </c>
      <c r="AH430" s="213">
        <v>-0.1222</v>
      </c>
      <c r="AI430" s="352">
        <v>-1.8825000000000001</v>
      </c>
      <c r="AJ430" s="213">
        <v>-0.37530000000000002</v>
      </c>
      <c r="AK430" s="352">
        <v>-3.9891999999999999</v>
      </c>
      <c r="AL430" s="213">
        <v>-0.28889999999999999</v>
      </c>
      <c r="AM430" s="352">
        <v>-2.3913000000000002</v>
      </c>
      <c r="AN430" s="213">
        <v>-0.12180000000000001</v>
      </c>
      <c r="AO430" s="352">
        <v>-0.72289999999999999</v>
      </c>
      <c r="AP430" s="213">
        <v>0.26350000000000001</v>
      </c>
      <c r="AQ430" s="219">
        <v>-1.9935493488857796</v>
      </c>
      <c r="AR430" s="213" t="s">
        <v>1827</v>
      </c>
      <c r="AU430" s="343"/>
      <c r="AV430" s="343"/>
      <c r="AW430" s="328"/>
      <c r="AX430" s="329"/>
      <c r="AY430" s="328"/>
      <c r="AZ430" s="328"/>
      <c r="BA430" s="330"/>
      <c r="BB430" s="328"/>
      <c r="BC430" s="328"/>
      <c r="BD430" s="328"/>
      <c r="BE430" s="330"/>
      <c r="BF430" s="330"/>
      <c r="BG430" s="344"/>
      <c r="BH430" s="330"/>
      <c r="BI430" s="330"/>
      <c r="BJ430" s="330"/>
      <c r="BK430" s="330"/>
      <c r="BL430" s="330"/>
      <c r="BM430" s="330"/>
      <c r="BN430" s="330"/>
      <c r="BO430" s="330"/>
      <c r="BP430" s="331"/>
      <c r="BQ430" s="332"/>
      <c r="BR430" s="333"/>
    </row>
    <row r="431" spans="2:70" ht="15.75" customHeight="1">
      <c r="B431" s="216" t="s">
        <v>1313</v>
      </c>
      <c r="C431" s="212">
        <v>1590861</v>
      </c>
      <c r="D431" s="223">
        <v>38948507000144</v>
      </c>
      <c r="E431" s="217" t="s">
        <v>28</v>
      </c>
      <c r="F431" s="217" t="s">
        <v>950</v>
      </c>
      <c r="G431" s="217"/>
      <c r="H431" s="218"/>
      <c r="I431" s="217" t="s">
        <v>66</v>
      </c>
      <c r="J431" s="217" t="s">
        <v>66</v>
      </c>
      <c r="K431" s="218" t="s">
        <v>951</v>
      </c>
      <c r="L431" s="212" t="s">
        <v>87</v>
      </c>
      <c r="M431" s="250"/>
      <c r="N431" s="239">
        <v>44134</v>
      </c>
      <c r="O431" s="210" t="s">
        <v>114</v>
      </c>
      <c r="P431" s="210" t="s">
        <v>1075</v>
      </c>
      <c r="Q431" s="210" t="s">
        <v>1076</v>
      </c>
      <c r="R431" s="210" t="s">
        <v>1077</v>
      </c>
      <c r="S431" s="210" t="s">
        <v>1078</v>
      </c>
      <c r="T431" s="210" t="s">
        <v>1079</v>
      </c>
      <c r="U431" s="210" t="s">
        <v>950</v>
      </c>
      <c r="V431" s="210" t="s">
        <v>1080</v>
      </c>
      <c r="W431" s="211" t="s">
        <v>1007</v>
      </c>
      <c r="X431" s="211">
        <v>0</v>
      </c>
      <c r="Y431" s="211">
        <v>0</v>
      </c>
      <c r="Z431" s="212">
        <v>0</v>
      </c>
      <c r="AA431" s="240">
        <v>122</v>
      </c>
      <c r="AB431" s="213">
        <v>5.0000000000000001E-3</v>
      </c>
      <c r="AC431" s="213">
        <v>0.05</v>
      </c>
      <c r="AD431" s="213" t="s">
        <v>113</v>
      </c>
      <c r="AE431" s="213">
        <v>3.3333333333333331E-3</v>
      </c>
      <c r="AF431" s="241">
        <v>8984745.1300000008</v>
      </c>
      <c r="AG431" s="241">
        <v>8984745.1300000008</v>
      </c>
      <c r="AH431" s="213">
        <v>-0.1356</v>
      </c>
      <c r="AI431" s="352">
        <v>-2.0884999999999998</v>
      </c>
      <c r="AJ431" s="213">
        <v>-0.3533</v>
      </c>
      <c r="AK431" s="352">
        <v>-3.7553000000000001</v>
      </c>
      <c r="AL431" s="213" t="s">
        <v>66</v>
      </c>
      <c r="AM431" s="352" t="s">
        <v>66</v>
      </c>
      <c r="AN431" s="213" t="s">
        <v>66</v>
      </c>
      <c r="AO431" s="352" t="s">
        <v>66</v>
      </c>
      <c r="AP431" s="213">
        <v>0.26350000000000001</v>
      </c>
      <c r="AQ431" s="219">
        <v>-1.8624840760890176</v>
      </c>
      <c r="AR431" s="213" t="s">
        <v>1827</v>
      </c>
      <c r="AU431" s="343"/>
      <c r="AV431" s="343"/>
      <c r="AW431" s="328"/>
      <c r="AX431" s="329"/>
      <c r="AY431" s="328"/>
      <c r="AZ431" s="328"/>
      <c r="BA431" s="330"/>
      <c r="BB431" s="328"/>
      <c r="BC431" s="328"/>
      <c r="BD431" s="328"/>
      <c r="BE431" s="330"/>
      <c r="BF431" s="330"/>
      <c r="BG431" s="344"/>
      <c r="BH431" s="330"/>
      <c r="BI431" s="330"/>
      <c r="BJ431" s="330"/>
      <c r="BK431" s="330"/>
      <c r="BL431" s="330"/>
      <c r="BM431" s="330"/>
      <c r="BN431" s="330"/>
      <c r="BO431" s="330"/>
      <c r="BP431" s="331"/>
      <c r="BQ431" s="332"/>
      <c r="BR431" s="333"/>
    </row>
    <row r="432" spans="2:70" ht="15.75" customHeight="1">
      <c r="B432" s="216" t="s">
        <v>1314</v>
      </c>
      <c r="C432" s="212">
        <v>1590849</v>
      </c>
      <c r="D432" s="223">
        <v>27717327000135</v>
      </c>
      <c r="E432" s="217" t="s">
        <v>28</v>
      </c>
      <c r="F432" s="217" t="s">
        <v>950</v>
      </c>
      <c r="G432" s="217"/>
      <c r="H432" s="218"/>
      <c r="I432" s="217" t="s">
        <v>66</v>
      </c>
      <c r="J432" s="217" t="s">
        <v>66</v>
      </c>
      <c r="K432" s="218" t="s">
        <v>951</v>
      </c>
      <c r="L432" s="212" t="s">
        <v>87</v>
      </c>
      <c r="M432" s="250"/>
      <c r="N432" s="239">
        <v>42982</v>
      </c>
      <c r="O432" s="210" t="s">
        <v>114</v>
      </c>
      <c r="P432" s="210" t="s">
        <v>1075</v>
      </c>
      <c r="Q432" s="210" t="s">
        <v>1076</v>
      </c>
      <c r="R432" s="210" t="s">
        <v>1084</v>
      </c>
      <c r="S432" s="210" t="s">
        <v>1085</v>
      </c>
      <c r="T432" s="210" t="s">
        <v>1079</v>
      </c>
      <c r="U432" s="210" t="s">
        <v>950</v>
      </c>
      <c r="V432" s="210" t="s">
        <v>1080</v>
      </c>
      <c r="W432" s="211" t="s">
        <v>1013</v>
      </c>
      <c r="X432" s="211">
        <v>5000</v>
      </c>
      <c r="Y432" s="211">
        <v>1000</v>
      </c>
      <c r="Z432" s="212">
        <v>5000</v>
      </c>
      <c r="AA432" s="240">
        <v>62</v>
      </c>
      <c r="AB432" s="213">
        <v>0.02</v>
      </c>
      <c r="AC432" s="213">
        <v>0.2</v>
      </c>
      <c r="AD432" s="213" t="s">
        <v>113</v>
      </c>
      <c r="AE432" s="213">
        <v>5.3333333333333332E-3</v>
      </c>
      <c r="AF432" s="241">
        <v>77849063.189999998</v>
      </c>
      <c r="AG432" s="241">
        <v>77849063.189999998</v>
      </c>
      <c r="AH432" s="213">
        <v>-0.1169</v>
      </c>
      <c r="AI432" s="352">
        <v>-1.8008999999999999</v>
      </c>
      <c r="AJ432" s="213">
        <v>-0.36770000000000003</v>
      </c>
      <c r="AK432" s="352">
        <v>-3.9083000000000001</v>
      </c>
      <c r="AL432" s="213">
        <v>-0.27600000000000002</v>
      </c>
      <c r="AM432" s="352">
        <v>-2.2848000000000002</v>
      </c>
      <c r="AN432" s="213">
        <v>-0.10100000000000001</v>
      </c>
      <c r="AO432" s="352">
        <v>-0.59919999999999995</v>
      </c>
      <c r="AP432" s="213">
        <v>0.2586</v>
      </c>
      <c r="AQ432" s="219">
        <v>-1.9893431191196835</v>
      </c>
      <c r="AR432" s="213" t="s">
        <v>1827</v>
      </c>
      <c r="AU432" s="343"/>
      <c r="AV432" s="343"/>
      <c r="AW432" s="328"/>
      <c r="AX432" s="329"/>
      <c r="AY432" s="328"/>
      <c r="AZ432" s="328"/>
      <c r="BA432" s="330"/>
      <c r="BB432" s="328"/>
      <c r="BC432" s="328"/>
      <c r="BD432" s="328"/>
      <c r="BE432" s="330"/>
      <c r="BF432" s="330"/>
      <c r="BG432" s="344"/>
      <c r="BH432" s="330"/>
      <c r="BI432" s="330"/>
      <c r="BJ432" s="330"/>
      <c r="BK432" s="330"/>
      <c r="BL432" s="330"/>
      <c r="BM432" s="330"/>
      <c r="BN432" s="330"/>
      <c r="BO432" s="330"/>
      <c r="BP432" s="331"/>
      <c r="BQ432" s="332"/>
      <c r="BR432" s="333"/>
    </row>
    <row r="433" spans="2:70" ht="15.75" customHeight="1">
      <c r="B433" s="216" t="s">
        <v>1315</v>
      </c>
      <c r="C433" s="212">
        <v>1217771</v>
      </c>
      <c r="D433" s="223">
        <v>36352596000136</v>
      </c>
      <c r="E433" s="217" t="s">
        <v>28</v>
      </c>
      <c r="F433" s="217" t="s">
        <v>950</v>
      </c>
      <c r="G433" s="217"/>
      <c r="H433" s="218"/>
      <c r="I433" s="217" t="s">
        <v>66</v>
      </c>
      <c r="J433" s="217" t="s">
        <v>66</v>
      </c>
      <c r="K433" s="218" t="s">
        <v>951</v>
      </c>
      <c r="L433" s="212" t="s">
        <v>87</v>
      </c>
      <c r="M433" s="250"/>
      <c r="N433" s="239">
        <v>43990</v>
      </c>
      <c r="O433" s="210" t="s">
        <v>295</v>
      </c>
      <c r="P433" s="210" t="s">
        <v>1090</v>
      </c>
      <c r="Q433" s="210" t="s">
        <v>1091</v>
      </c>
      <c r="R433" s="210" t="s">
        <v>1077</v>
      </c>
      <c r="S433" s="210" t="s">
        <v>1078</v>
      </c>
      <c r="T433" s="210" t="s">
        <v>1079</v>
      </c>
      <c r="U433" s="210" t="s">
        <v>950</v>
      </c>
      <c r="V433" s="210" t="s">
        <v>1080</v>
      </c>
      <c r="W433" s="211" t="s">
        <v>1007</v>
      </c>
      <c r="X433" s="211">
        <v>5000</v>
      </c>
      <c r="Y433" s="211">
        <v>1000</v>
      </c>
      <c r="Z433" s="212">
        <v>5000</v>
      </c>
      <c r="AA433" s="240">
        <v>62</v>
      </c>
      <c r="AB433" s="213">
        <v>0.02</v>
      </c>
      <c r="AC433" s="213">
        <v>0.2</v>
      </c>
      <c r="AD433" s="213" t="s">
        <v>113</v>
      </c>
      <c r="AE433" s="213">
        <v>2E-3</v>
      </c>
      <c r="AF433" s="241">
        <v>30936323.780000001</v>
      </c>
      <c r="AG433" s="241">
        <v>30936323.780000001</v>
      </c>
      <c r="AH433" s="213">
        <v>-0.2697</v>
      </c>
      <c r="AI433" s="352">
        <v>-4.1538000000000004</v>
      </c>
      <c r="AJ433" s="213">
        <v>-0.4501</v>
      </c>
      <c r="AK433" s="352">
        <v>-4.7840999999999996</v>
      </c>
      <c r="AL433" s="213">
        <v>-0.1542</v>
      </c>
      <c r="AM433" s="352">
        <v>-1.2762</v>
      </c>
      <c r="AN433" s="213" t="s">
        <v>66</v>
      </c>
      <c r="AO433" s="352" t="s">
        <v>66</v>
      </c>
      <c r="AP433" s="213">
        <v>0.32190000000000002</v>
      </c>
      <c r="AQ433" s="219">
        <v>-1.9736315940774583</v>
      </c>
      <c r="AR433" s="213" t="s">
        <v>1827</v>
      </c>
      <c r="AU433" s="343"/>
      <c r="AV433" s="343"/>
      <c r="AW433" s="328"/>
      <c r="AX433" s="329"/>
      <c r="AY433" s="328"/>
      <c r="AZ433" s="328"/>
      <c r="BA433" s="330"/>
      <c r="BB433" s="328"/>
      <c r="BC433" s="328"/>
      <c r="BD433" s="328"/>
      <c r="BE433" s="330"/>
      <c r="BF433" s="330"/>
      <c r="BG433" s="344"/>
      <c r="BH433" s="330"/>
      <c r="BI433" s="330"/>
      <c r="BJ433" s="330"/>
      <c r="BK433" s="330"/>
      <c r="BL433" s="330"/>
      <c r="BM433" s="330"/>
      <c r="BN433" s="330"/>
      <c r="BO433" s="330"/>
      <c r="BP433" s="331"/>
      <c r="BQ433" s="332"/>
      <c r="BR433" s="333"/>
    </row>
    <row r="434" spans="2:70" ht="15.75" customHeight="1">
      <c r="B434" s="216" t="s">
        <v>296</v>
      </c>
      <c r="C434" s="212">
        <v>1179593</v>
      </c>
      <c r="D434" s="223">
        <v>16948298000104</v>
      </c>
      <c r="E434" s="217" t="s">
        <v>28</v>
      </c>
      <c r="F434" s="217" t="s">
        <v>950</v>
      </c>
      <c r="G434" s="217"/>
      <c r="H434" s="218"/>
      <c r="I434" s="217" t="s">
        <v>66</v>
      </c>
      <c r="J434" s="217" t="s">
        <v>66</v>
      </c>
      <c r="K434" s="218" t="s">
        <v>951</v>
      </c>
      <c r="L434" s="212" t="s">
        <v>87</v>
      </c>
      <c r="M434" s="250"/>
      <c r="N434" s="239">
        <v>41249</v>
      </c>
      <c r="O434" s="210" t="s">
        <v>295</v>
      </c>
      <c r="P434" s="210" t="s">
        <v>1090</v>
      </c>
      <c r="Q434" s="210" t="s">
        <v>1091</v>
      </c>
      <c r="R434" s="210" t="s">
        <v>1084</v>
      </c>
      <c r="S434" s="210" t="s">
        <v>1085</v>
      </c>
      <c r="T434" s="210" t="s">
        <v>1079</v>
      </c>
      <c r="U434" s="210" t="s">
        <v>950</v>
      </c>
      <c r="V434" s="210" t="s">
        <v>1080</v>
      </c>
      <c r="W434" s="211" t="s">
        <v>1013</v>
      </c>
      <c r="X434" s="211">
        <v>5000</v>
      </c>
      <c r="Y434" s="211">
        <v>1000</v>
      </c>
      <c r="Z434" s="212">
        <v>1000</v>
      </c>
      <c r="AA434" s="240">
        <v>62</v>
      </c>
      <c r="AB434" s="213">
        <v>0.02</v>
      </c>
      <c r="AC434" s="213">
        <v>0.2</v>
      </c>
      <c r="AD434" s="213" t="s">
        <v>113</v>
      </c>
      <c r="AE434" s="213">
        <v>5.3333333333333332E-3</v>
      </c>
      <c r="AF434" s="241">
        <v>438374955.44</v>
      </c>
      <c r="AG434" s="241">
        <v>438374955.44</v>
      </c>
      <c r="AH434" s="213">
        <v>-0.1201</v>
      </c>
      <c r="AI434" s="352">
        <v>-1.8506</v>
      </c>
      <c r="AJ434" s="213">
        <v>-0.37219999999999998</v>
      </c>
      <c r="AK434" s="352">
        <v>-3.9561000000000002</v>
      </c>
      <c r="AL434" s="213">
        <v>-0.27839999999999998</v>
      </c>
      <c r="AM434" s="352">
        <v>-2.3041999999999998</v>
      </c>
      <c r="AN434" s="213">
        <v>-0.1096</v>
      </c>
      <c r="AO434" s="352">
        <v>-0.65069999999999995</v>
      </c>
      <c r="AP434" s="213">
        <v>0.26290000000000002</v>
      </c>
      <c r="AQ434" s="219">
        <v>-1.9795790049117556</v>
      </c>
      <c r="AR434" s="213" t="s">
        <v>1824</v>
      </c>
      <c r="AU434" s="343"/>
      <c r="AV434" s="343"/>
      <c r="AW434" s="328"/>
      <c r="AX434" s="329"/>
      <c r="AY434" s="328"/>
      <c r="AZ434" s="328"/>
      <c r="BA434" s="330"/>
      <c r="BB434" s="328"/>
      <c r="BC434" s="328"/>
      <c r="BD434" s="328"/>
      <c r="BE434" s="330"/>
      <c r="BF434" s="330"/>
      <c r="BG434" s="344"/>
      <c r="BH434" s="330"/>
      <c r="BI434" s="330"/>
      <c r="BJ434" s="330"/>
      <c r="BK434" s="330"/>
      <c r="BL434" s="330"/>
      <c r="BM434" s="330"/>
      <c r="BN434" s="330"/>
      <c r="BO434" s="330"/>
      <c r="BP434" s="331"/>
      <c r="BQ434" s="332"/>
      <c r="BR434" s="333"/>
    </row>
    <row r="435" spans="2:70" ht="15.75" customHeight="1">
      <c r="B435" s="216" t="s">
        <v>871</v>
      </c>
      <c r="C435" s="212">
        <v>558847</v>
      </c>
      <c r="D435" s="223">
        <v>35343074000105</v>
      </c>
      <c r="E435" s="217" t="s">
        <v>28</v>
      </c>
      <c r="F435" s="217" t="s">
        <v>950</v>
      </c>
      <c r="G435" s="217"/>
      <c r="H435" s="218"/>
      <c r="I435" s="217" t="s">
        <v>66</v>
      </c>
      <c r="J435" s="217" t="s">
        <v>66</v>
      </c>
      <c r="K435" s="218" t="s">
        <v>951</v>
      </c>
      <c r="L435" s="212" t="s">
        <v>87</v>
      </c>
      <c r="M435" s="250"/>
      <c r="N435" s="239">
        <v>43941</v>
      </c>
      <c r="O435" s="210" t="s">
        <v>295</v>
      </c>
      <c r="P435" s="210" t="s">
        <v>1075</v>
      </c>
      <c r="Q435" s="210" t="s">
        <v>1076</v>
      </c>
      <c r="R435" s="210" t="s">
        <v>231</v>
      </c>
      <c r="S435" s="210" t="s">
        <v>1085</v>
      </c>
      <c r="T435" s="210" t="s">
        <v>1079</v>
      </c>
      <c r="U435" s="210" t="s">
        <v>950</v>
      </c>
      <c r="V435" s="210" t="s">
        <v>1080</v>
      </c>
      <c r="W435" s="211" t="s">
        <v>1013</v>
      </c>
      <c r="X435" s="211">
        <v>0</v>
      </c>
      <c r="Y435" s="211">
        <v>0</v>
      </c>
      <c r="Z435" s="212">
        <v>0</v>
      </c>
      <c r="AA435" s="240">
        <v>62</v>
      </c>
      <c r="AB435" s="213">
        <v>0.02</v>
      </c>
      <c r="AC435" s="213">
        <v>0.2</v>
      </c>
      <c r="AD435" s="213" t="s">
        <v>113</v>
      </c>
      <c r="AE435" s="213">
        <v>3.3333333333333331E-3</v>
      </c>
      <c r="AF435" s="241">
        <v>22147856.77</v>
      </c>
      <c r="AG435" s="241">
        <v>22147856.77</v>
      </c>
      <c r="AH435" s="213">
        <v>-0.122</v>
      </c>
      <c r="AI435" s="352">
        <v>-1.8788</v>
      </c>
      <c r="AJ435" s="213">
        <v>-0.37469999999999998</v>
      </c>
      <c r="AK435" s="352">
        <v>-3.9828000000000001</v>
      </c>
      <c r="AL435" s="213">
        <v>-0.2782</v>
      </c>
      <c r="AM435" s="352">
        <v>-2.3026</v>
      </c>
      <c r="AN435" s="213" t="s">
        <v>66</v>
      </c>
      <c r="AO435" s="352" t="s">
        <v>66</v>
      </c>
      <c r="AP435" s="213">
        <v>0.26350000000000001</v>
      </c>
      <c r="AQ435" s="219">
        <v>-1.9901635707194083</v>
      </c>
      <c r="AR435" s="213" t="s">
        <v>1827</v>
      </c>
      <c r="AU435" s="343"/>
      <c r="AV435" s="343"/>
      <c r="AW435" s="328"/>
      <c r="AX435" s="329"/>
      <c r="AY435" s="328"/>
      <c r="AZ435" s="328"/>
      <c r="BA435" s="330"/>
      <c r="BB435" s="328"/>
      <c r="BC435" s="328"/>
      <c r="BD435" s="328"/>
      <c r="BE435" s="330"/>
      <c r="BF435" s="330"/>
      <c r="BG435" s="344"/>
      <c r="BH435" s="330"/>
      <c r="BI435" s="330"/>
      <c r="BJ435" s="330"/>
      <c r="BK435" s="330"/>
      <c r="BL435" s="330"/>
      <c r="BM435" s="330"/>
      <c r="BN435" s="330"/>
      <c r="BO435" s="330"/>
      <c r="BP435" s="331"/>
      <c r="BQ435" s="332"/>
      <c r="BR435" s="333"/>
    </row>
    <row r="436" spans="2:70" ht="15.75" customHeight="1">
      <c r="B436" s="216" t="s">
        <v>1316</v>
      </c>
      <c r="C436" s="212">
        <v>2475803</v>
      </c>
      <c r="D436" s="223">
        <v>35136553000150</v>
      </c>
      <c r="E436" s="217" t="s">
        <v>28</v>
      </c>
      <c r="F436" s="217" t="s">
        <v>950</v>
      </c>
      <c r="G436" s="217"/>
      <c r="H436" s="218"/>
      <c r="I436" s="217" t="s">
        <v>66</v>
      </c>
      <c r="J436" s="217" t="s">
        <v>66</v>
      </c>
      <c r="K436" s="218" t="s">
        <v>951</v>
      </c>
      <c r="L436" s="212" t="s">
        <v>87</v>
      </c>
      <c r="M436" s="250"/>
      <c r="N436" s="239">
        <v>44000</v>
      </c>
      <c r="O436" s="210" t="s">
        <v>1317</v>
      </c>
      <c r="P436" s="210" t="s">
        <v>1110</v>
      </c>
      <c r="Q436" s="210" t="s">
        <v>1110</v>
      </c>
      <c r="R436" s="210" t="s">
        <v>1084</v>
      </c>
      <c r="S436" s="210" t="s">
        <v>1078</v>
      </c>
      <c r="T436" s="210" t="s">
        <v>1079</v>
      </c>
      <c r="U436" s="210" t="s">
        <v>950</v>
      </c>
      <c r="V436" s="210" t="s">
        <v>1080</v>
      </c>
      <c r="W436" s="211" t="s">
        <v>1007</v>
      </c>
      <c r="X436" s="211">
        <v>1000</v>
      </c>
      <c r="Y436" s="211">
        <v>1000</v>
      </c>
      <c r="Z436" s="212">
        <v>1000</v>
      </c>
      <c r="AA436" s="240">
        <v>32</v>
      </c>
      <c r="AB436" s="213">
        <v>1.7500000000000002E-2</v>
      </c>
      <c r="AC436" s="213">
        <v>0.2</v>
      </c>
      <c r="AD436" s="213" t="s">
        <v>1014</v>
      </c>
      <c r="AE436" s="213">
        <v>4.6672500000000004E-3</v>
      </c>
      <c r="AF436" s="241">
        <v>21652269.120000001</v>
      </c>
      <c r="AG436" s="241">
        <v>21652269.120000001</v>
      </c>
      <c r="AH436" s="213">
        <v>-2.9399999999999999E-2</v>
      </c>
      <c r="AI436" s="352">
        <v>-0.45250000000000001</v>
      </c>
      <c r="AJ436" s="213">
        <v>-0.24759999999999999</v>
      </c>
      <c r="AK436" s="352">
        <v>-2.6320000000000001</v>
      </c>
      <c r="AL436" s="213">
        <v>-0.22370000000000001</v>
      </c>
      <c r="AM436" s="352">
        <v>-1.8512999999999999</v>
      </c>
      <c r="AN436" s="213" t="s">
        <v>66</v>
      </c>
      <c r="AO436" s="352" t="s">
        <v>66</v>
      </c>
      <c r="AP436" s="213">
        <v>0.24970000000000001</v>
      </c>
      <c r="AQ436" s="219">
        <v>-1.3744234005569371</v>
      </c>
      <c r="AR436" s="213" t="s">
        <v>1827</v>
      </c>
      <c r="AU436" s="343"/>
      <c r="AV436" s="343"/>
      <c r="AW436" s="328"/>
      <c r="AX436" s="329"/>
      <c r="AY436" s="328"/>
      <c r="AZ436" s="328"/>
      <c r="BA436" s="330"/>
      <c r="BB436" s="328"/>
      <c r="BC436" s="328"/>
      <c r="BD436" s="328"/>
      <c r="BE436" s="330"/>
      <c r="BF436" s="330"/>
      <c r="BG436" s="344"/>
      <c r="BH436" s="330"/>
      <c r="BI436" s="330"/>
      <c r="BJ436" s="330"/>
      <c r="BK436" s="330"/>
      <c r="BL436" s="330"/>
      <c r="BM436" s="330"/>
      <c r="BN436" s="330"/>
      <c r="BO436" s="330"/>
      <c r="BP436" s="331"/>
      <c r="BQ436" s="332"/>
      <c r="BR436" s="333"/>
    </row>
    <row r="437" spans="2:70" ht="15.75" customHeight="1">
      <c r="B437" s="216" t="s">
        <v>298</v>
      </c>
      <c r="C437" s="212">
        <v>3147589</v>
      </c>
      <c r="D437" s="223">
        <v>18558694000142</v>
      </c>
      <c r="E437" s="217" t="s">
        <v>28</v>
      </c>
      <c r="F437" s="217" t="s">
        <v>957</v>
      </c>
      <c r="G437" s="217"/>
      <c r="H437" s="218"/>
      <c r="I437" s="217" t="s">
        <v>1842</v>
      </c>
      <c r="J437" s="217" t="s">
        <v>66</v>
      </c>
      <c r="K437" s="218" t="s">
        <v>951</v>
      </c>
      <c r="L437" s="212" t="s">
        <v>87</v>
      </c>
      <c r="M437" s="250"/>
      <c r="N437" s="239">
        <v>41509</v>
      </c>
      <c r="O437" s="210" t="s">
        <v>299</v>
      </c>
      <c r="P437" s="210" t="s">
        <v>1225</v>
      </c>
      <c r="Q437" s="210" t="s">
        <v>1089</v>
      </c>
      <c r="R437" s="210" t="s">
        <v>1084</v>
      </c>
      <c r="S437" s="210" t="s">
        <v>1078</v>
      </c>
      <c r="T437" s="210" t="s">
        <v>1079</v>
      </c>
      <c r="U437" s="210" t="s">
        <v>950</v>
      </c>
      <c r="V437" s="210" t="s">
        <v>1080</v>
      </c>
      <c r="W437" s="211" t="s">
        <v>1007</v>
      </c>
      <c r="X437" s="211">
        <v>1000</v>
      </c>
      <c r="Y437" s="211">
        <v>300</v>
      </c>
      <c r="Z437" s="212">
        <v>1000</v>
      </c>
      <c r="AA437" s="240">
        <v>40</v>
      </c>
      <c r="AB437" s="213">
        <v>0.02</v>
      </c>
      <c r="AC437" s="213">
        <v>0.2</v>
      </c>
      <c r="AD437" s="213" t="s">
        <v>1014</v>
      </c>
      <c r="AE437" s="213">
        <v>4.0000000000000001E-3</v>
      </c>
      <c r="AF437" s="241">
        <v>78163130.349999994</v>
      </c>
      <c r="AG437" s="241">
        <v>78163130.349999994</v>
      </c>
      <c r="AH437" s="213">
        <v>-9.8100000000000007E-2</v>
      </c>
      <c r="AI437" s="352">
        <v>-1.5114000000000001</v>
      </c>
      <c r="AJ437" s="213">
        <v>-0.23</v>
      </c>
      <c r="AK437" s="352">
        <v>-2.4441000000000002</v>
      </c>
      <c r="AL437" s="213">
        <v>-0.104</v>
      </c>
      <c r="AM437" s="352">
        <v>-0.8609</v>
      </c>
      <c r="AN437" s="213">
        <v>0.20319999999999999</v>
      </c>
      <c r="AO437" s="352">
        <v>1.2056</v>
      </c>
      <c r="AP437" s="213">
        <v>0.2092</v>
      </c>
      <c r="AQ437" s="219">
        <v>-1.5739169479218171</v>
      </c>
      <c r="AR437" s="213" t="s">
        <v>1827</v>
      </c>
      <c r="AU437" s="343"/>
      <c r="AV437" s="343"/>
      <c r="AW437" s="328"/>
      <c r="AX437" s="329"/>
      <c r="AY437" s="328"/>
      <c r="AZ437" s="328"/>
      <c r="BA437" s="330"/>
      <c r="BB437" s="328"/>
      <c r="BC437" s="328"/>
      <c r="BD437" s="328"/>
      <c r="BE437" s="330"/>
      <c r="BF437" s="330"/>
      <c r="BG437" s="344"/>
      <c r="BH437" s="330"/>
      <c r="BI437" s="330"/>
      <c r="BJ437" s="330"/>
      <c r="BK437" s="330"/>
      <c r="BL437" s="330"/>
      <c r="BM437" s="330"/>
      <c r="BN437" s="330"/>
      <c r="BO437" s="330"/>
      <c r="BP437" s="331"/>
      <c r="BQ437" s="332"/>
      <c r="BR437" s="333"/>
    </row>
    <row r="438" spans="2:70" ht="15.75" customHeight="1">
      <c r="B438" s="216" t="s">
        <v>1913</v>
      </c>
      <c r="C438" s="212">
        <v>2864945</v>
      </c>
      <c r="D438" s="223">
        <v>18956729000100</v>
      </c>
      <c r="E438" s="217" t="s">
        <v>25</v>
      </c>
      <c r="F438" s="217" t="s">
        <v>959</v>
      </c>
      <c r="G438" s="217" t="s">
        <v>960</v>
      </c>
      <c r="H438" s="218" t="s">
        <v>66</v>
      </c>
      <c r="I438" s="217" t="s">
        <v>1842</v>
      </c>
      <c r="J438" s="217" t="s">
        <v>66</v>
      </c>
      <c r="K438" s="218" t="s">
        <v>951</v>
      </c>
      <c r="L438" s="212" t="s">
        <v>87</v>
      </c>
      <c r="M438" s="250"/>
      <c r="N438" s="239">
        <v>41579</v>
      </c>
      <c r="O438" s="210" t="s">
        <v>299</v>
      </c>
      <c r="P438" s="210" t="s">
        <v>1225</v>
      </c>
      <c r="Q438" s="210" t="s">
        <v>1089</v>
      </c>
      <c r="R438" s="210" t="s">
        <v>1084</v>
      </c>
      <c r="S438" s="210" t="s">
        <v>1078</v>
      </c>
      <c r="T438" s="210" t="s">
        <v>1082</v>
      </c>
      <c r="U438" s="210" t="s">
        <v>958</v>
      </c>
      <c r="V438" s="210" t="s">
        <v>25</v>
      </c>
      <c r="W438" s="211" t="s">
        <v>1016</v>
      </c>
      <c r="X438" s="211">
        <v>5000</v>
      </c>
      <c r="Y438" s="211">
        <v>3000</v>
      </c>
      <c r="Z438" s="212">
        <v>5000</v>
      </c>
      <c r="AA438" s="240">
        <v>3</v>
      </c>
      <c r="AB438" s="213">
        <v>1.2999999999999999E-2</v>
      </c>
      <c r="AC438" s="213">
        <v>0.2</v>
      </c>
      <c r="AD438" s="213" t="s">
        <v>1157</v>
      </c>
      <c r="AE438" s="213">
        <v>2.5999999999999999E-3</v>
      </c>
      <c r="AF438" s="241">
        <v>173281170.91999999</v>
      </c>
      <c r="AG438" s="241">
        <v>173281170.91999999</v>
      </c>
      <c r="AH438" s="213">
        <v>9.9599999999999994E-2</v>
      </c>
      <c r="AI438" s="352">
        <v>1.5338000000000001</v>
      </c>
      <c r="AJ438" s="213">
        <v>7.1999999999999995E-2</v>
      </c>
      <c r="AK438" s="352">
        <v>0.76570000000000005</v>
      </c>
      <c r="AL438" s="213">
        <v>0.216</v>
      </c>
      <c r="AM438" s="352">
        <v>1.788</v>
      </c>
      <c r="AN438" s="213">
        <v>0.38890000000000002</v>
      </c>
      <c r="AO438" s="352">
        <v>2.3079000000000001</v>
      </c>
      <c r="AP438" s="213">
        <v>0.1017</v>
      </c>
      <c r="AQ438" s="219">
        <v>-0.14955707887896957</v>
      </c>
      <c r="AR438" s="213" t="s">
        <v>1827</v>
      </c>
      <c r="AU438" s="343"/>
      <c r="AV438" s="343"/>
      <c r="AW438" s="328"/>
      <c r="AX438" s="329"/>
      <c r="AY438" s="328"/>
      <c r="AZ438" s="328"/>
      <c r="BA438" s="330"/>
      <c r="BB438" s="328"/>
      <c r="BC438" s="328"/>
      <c r="BD438" s="328"/>
      <c r="BE438" s="330"/>
      <c r="BF438" s="330"/>
      <c r="BG438" s="344"/>
      <c r="BH438" s="330"/>
      <c r="BI438" s="330"/>
      <c r="BJ438" s="330"/>
      <c r="BK438" s="330"/>
      <c r="BL438" s="330"/>
      <c r="BM438" s="330"/>
      <c r="BN438" s="330"/>
      <c r="BO438" s="330"/>
      <c r="BP438" s="331"/>
      <c r="BQ438" s="332"/>
      <c r="BR438" s="333"/>
    </row>
    <row r="439" spans="2:70" ht="15.75" customHeight="1">
      <c r="B439" s="216" t="s">
        <v>302</v>
      </c>
      <c r="C439" s="212">
        <v>1243000</v>
      </c>
      <c r="D439" s="223">
        <v>30858733000122</v>
      </c>
      <c r="E439" s="217" t="s">
        <v>28</v>
      </c>
      <c r="F439" s="217" t="s">
        <v>950</v>
      </c>
      <c r="G439" s="217"/>
      <c r="H439" s="218"/>
      <c r="I439" s="217" t="s">
        <v>66</v>
      </c>
      <c r="J439" s="217" t="s">
        <v>66</v>
      </c>
      <c r="K439" s="218" t="s">
        <v>951</v>
      </c>
      <c r="L439" s="212" t="s">
        <v>87</v>
      </c>
      <c r="M439" s="250"/>
      <c r="N439" s="239">
        <v>43621</v>
      </c>
      <c r="O439" s="210" t="s">
        <v>303</v>
      </c>
      <c r="P439" s="210" t="s">
        <v>1090</v>
      </c>
      <c r="Q439" s="210" t="s">
        <v>1091</v>
      </c>
      <c r="R439" s="210" t="s">
        <v>1084</v>
      </c>
      <c r="S439" s="210" t="s">
        <v>1078</v>
      </c>
      <c r="T439" s="210" t="s">
        <v>1079</v>
      </c>
      <c r="U439" s="210" t="s">
        <v>950</v>
      </c>
      <c r="V439" s="210" t="s">
        <v>1080</v>
      </c>
      <c r="W439" s="211" t="s">
        <v>1018</v>
      </c>
      <c r="X439" s="211">
        <v>500</v>
      </c>
      <c r="Y439" s="211">
        <v>100</v>
      </c>
      <c r="Z439" s="212">
        <v>100</v>
      </c>
      <c r="AA439" s="240">
        <v>17</v>
      </c>
      <c r="AB439" s="213">
        <v>1.8499999999999999E-2</v>
      </c>
      <c r="AC439" s="213">
        <v>0.2</v>
      </c>
      <c r="AD439" s="213" t="s">
        <v>1170</v>
      </c>
      <c r="AE439" s="213">
        <v>4.3166666666666657E-3</v>
      </c>
      <c r="AF439" s="241">
        <v>165972415.36000001</v>
      </c>
      <c r="AG439" s="241">
        <v>165972415.36000001</v>
      </c>
      <c r="AH439" s="213">
        <v>-1.8E-3</v>
      </c>
      <c r="AI439" s="352">
        <v>-2.7099999999999999E-2</v>
      </c>
      <c r="AJ439" s="213">
        <v>-0.24160000000000001</v>
      </c>
      <c r="AK439" s="352">
        <v>-2.5674999999999999</v>
      </c>
      <c r="AL439" s="213">
        <v>-7.9000000000000001E-2</v>
      </c>
      <c r="AM439" s="352">
        <v>-0.65369999999999995</v>
      </c>
      <c r="AN439" s="213">
        <v>1.72E-2</v>
      </c>
      <c r="AO439" s="352">
        <v>0.1022</v>
      </c>
      <c r="AP439" s="213">
        <v>0.2198</v>
      </c>
      <c r="AQ439" s="219">
        <v>-1.5567910943987675</v>
      </c>
      <c r="AR439" s="213" t="s">
        <v>1824</v>
      </c>
      <c r="AU439" s="343"/>
      <c r="AV439" s="343"/>
      <c r="AW439" s="328"/>
      <c r="AX439" s="329"/>
      <c r="AY439" s="328"/>
      <c r="AZ439" s="328"/>
      <c r="BA439" s="330"/>
      <c r="BB439" s="328"/>
      <c r="BC439" s="328"/>
      <c r="BD439" s="328"/>
      <c r="BE439" s="330"/>
      <c r="BF439" s="330"/>
      <c r="BG439" s="344"/>
      <c r="BH439" s="330"/>
      <c r="BI439" s="330"/>
      <c r="BJ439" s="330"/>
      <c r="BK439" s="330"/>
      <c r="BL439" s="330"/>
      <c r="BM439" s="330"/>
      <c r="BN439" s="330"/>
      <c r="BO439" s="330"/>
      <c r="BP439" s="331"/>
      <c r="BQ439" s="332"/>
      <c r="BR439" s="333"/>
    </row>
    <row r="440" spans="2:70" ht="15.75" customHeight="1">
      <c r="B440" s="216" t="s">
        <v>77</v>
      </c>
      <c r="C440" s="212">
        <v>537097</v>
      </c>
      <c r="D440" s="223">
        <v>35432385000140</v>
      </c>
      <c r="E440" s="217" t="s">
        <v>25</v>
      </c>
      <c r="F440" s="217" t="s">
        <v>959</v>
      </c>
      <c r="G440" s="217" t="s">
        <v>962</v>
      </c>
      <c r="H440" s="218" t="s">
        <v>66</v>
      </c>
      <c r="I440" s="217" t="s">
        <v>1259</v>
      </c>
      <c r="J440" s="217" t="s">
        <v>66</v>
      </c>
      <c r="K440" s="218" t="s">
        <v>954</v>
      </c>
      <c r="L440" s="212" t="s">
        <v>87</v>
      </c>
      <c r="M440" s="250"/>
      <c r="N440" s="239">
        <v>43812</v>
      </c>
      <c r="O440" s="210" t="s">
        <v>303</v>
      </c>
      <c r="P440" s="210" t="s">
        <v>1090</v>
      </c>
      <c r="Q440" s="210" t="s">
        <v>1091</v>
      </c>
      <c r="R440" s="210" t="s">
        <v>1077</v>
      </c>
      <c r="S440" s="210" t="s">
        <v>1078</v>
      </c>
      <c r="T440" s="210" t="s">
        <v>1082</v>
      </c>
      <c r="U440" s="210" t="s">
        <v>65</v>
      </c>
      <c r="V440" s="210" t="s">
        <v>25</v>
      </c>
      <c r="W440" s="211" t="s">
        <v>1016</v>
      </c>
      <c r="X440" s="211">
        <v>500</v>
      </c>
      <c r="Y440" s="211">
        <v>100</v>
      </c>
      <c r="Z440" s="212">
        <v>100</v>
      </c>
      <c r="AA440" s="240">
        <v>32</v>
      </c>
      <c r="AB440" s="213">
        <v>1.35E-2</v>
      </c>
      <c r="AC440" s="213">
        <v>0.15</v>
      </c>
      <c r="AD440" s="213" t="s">
        <v>113</v>
      </c>
      <c r="AE440" s="213">
        <v>3.1499999999999996E-3</v>
      </c>
      <c r="AF440" s="241">
        <v>300141038.20999998</v>
      </c>
      <c r="AG440" s="241">
        <v>300141038.20999998</v>
      </c>
      <c r="AH440" s="213">
        <v>-0.03</v>
      </c>
      <c r="AI440" s="352">
        <v>-0.46210000000000001</v>
      </c>
      <c r="AJ440" s="213">
        <v>-1.9599999999999999E-2</v>
      </c>
      <c r="AK440" s="352">
        <v>-0.2079</v>
      </c>
      <c r="AL440" s="213">
        <v>0.1051</v>
      </c>
      <c r="AM440" s="352">
        <v>0.86990000000000001</v>
      </c>
      <c r="AN440" s="213" t="s">
        <v>66</v>
      </c>
      <c r="AO440" s="352" t="s">
        <v>66</v>
      </c>
      <c r="AP440" s="213">
        <v>5.5500000000000001E-2</v>
      </c>
      <c r="AQ440" s="219">
        <v>-1.9494163460445122</v>
      </c>
      <c r="AR440" s="213" t="s">
        <v>1827</v>
      </c>
      <c r="AU440" s="343"/>
      <c r="AV440" s="343"/>
      <c r="AW440" s="328"/>
      <c r="AX440" s="329"/>
      <c r="AY440" s="328"/>
      <c r="AZ440" s="328"/>
      <c r="BA440" s="330"/>
      <c r="BB440" s="328"/>
      <c r="BC440" s="328"/>
      <c r="BD440" s="328"/>
      <c r="BE440" s="330"/>
      <c r="BF440" s="330"/>
      <c r="BG440" s="344"/>
      <c r="BH440" s="330"/>
      <c r="BI440" s="330"/>
      <c r="BJ440" s="330"/>
      <c r="BK440" s="330"/>
      <c r="BL440" s="330"/>
      <c r="BM440" s="330"/>
      <c r="BN440" s="330"/>
      <c r="BO440" s="330"/>
      <c r="BP440" s="331"/>
      <c r="BQ440" s="332"/>
      <c r="BR440" s="333"/>
    </row>
    <row r="441" spans="2:70" ht="15.75" customHeight="1">
      <c r="B441" s="216" t="s">
        <v>779</v>
      </c>
      <c r="C441" s="212">
        <v>849888</v>
      </c>
      <c r="D441" s="223">
        <v>29250121000173</v>
      </c>
      <c r="E441" s="217" t="s">
        <v>19</v>
      </c>
      <c r="F441" s="217" t="s">
        <v>963</v>
      </c>
      <c r="G441" s="217" t="s">
        <v>1011</v>
      </c>
      <c r="H441" s="218" t="s">
        <v>1113</v>
      </c>
      <c r="I441" s="217" t="s">
        <v>66</v>
      </c>
      <c r="J441" s="217"/>
      <c r="K441" s="218" t="s">
        <v>951</v>
      </c>
      <c r="L441" s="212" t="s">
        <v>87</v>
      </c>
      <c r="M441" s="250"/>
      <c r="N441" s="239">
        <v>43283</v>
      </c>
      <c r="O441" s="210" t="s">
        <v>307</v>
      </c>
      <c r="P441" s="210" t="s">
        <v>1117</v>
      </c>
      <c r="Q441" s="210" t="s">
        <v>1117</v>
      </c>
      <c r="R441" s="210" t="s">
        <v>1084</v>
      </c>
      <c r="S441" s="210" t="s">
        <v>1078</v>
      </c>
      <c r="T441" s="210" t="s">
        <v>1275</v>
      </c>
      <c r="U441" s="210" t="s">
        <v>1114</v>
      </c>
      <c r="V441" s="210" t="s">
        <v>19</v>
      </c>
      <c r="W441" s="211" t="s">
        <v>1010</v>
      </c>
      <c r="X441" s="211">
        <v>500</v>
      </c>
      <c r="Y441" s="211">
        <v>500</v>
      </c>
      <c r="Z441" s="212">
        <v>500</v>
      </c>
      <c r="AA441" s="240">
        <v>30</v>
      </c>
      <c r="AB441" s="213">
        <v>4.0000000000000001E-3</v>
      </c>
      <c r="AC441" s="213">
        <v>0.1</v>
      </c>
      <c r="AD441" s="213" t="s">
        <v>109</v>
      </c>
      <c r="AE441" s="213">
        <v>5.3333333333333336E-4</v>
      </c>
      <c r="AF441" s="241">
        <v>286101452.23000002</v>
      </c>
      <c r="AG441" s="241">
        <v>286101452.23000002</v>
      </c>
      <c r="AH441" s="213">
        <v>7.7799999999999994E-2</v>
      </c>
      <c r="AI441" s="352">
        <v>1.1976</v>
      </c>
      <c r="AJ441" s="213">
        <v>0.1197</v>
      </c>
      <c r="AK441" s="352">
        <v>1.2719</v>
      </c>
      <c r="AL441" s="213">
        <v>0.18229999999999999</v>
      </c>
      <c r="AM441" s="352">
        <v>1.5092000000000001</v>
      </c>
      <c r="AN441" s="213">
        <v>0.21010000000000001</v>
      </c>
      <c r="AO441" s="352">
        <v>1.2468999999999999</v>
      </c>
      <c r="AP441" s="213">
        <v>2.8E-3</v>
      </c>
      <c r="AQ441" s="219">
        <v>8.2163008102699244</v>
      </c>
      <c r="AR441" s="213" t="s">
        <v>1827</v>
      </c>
      <c r="AU441" s="343"/>
      <c r="AV441" s="343"/>
      <c r="AW441" s="328"/>
      <c r="AX441" s="329"/>
      <c r="AY441" s="328"/>
      <c r="AZ441" s="328"/>
      <c r="BA441" s="330"/>
      <c r="BB441" s="328"/>
      <c r="BC441" s="328"/>
      <c r="BD441" s="328"/>
      <c r="BE441" s="330"/>
      <c r="BF441" s="330"/>
      <c r="BG441" s="344"/>
      <c r="BH441" s="330"/>
      <c r="BI441" s="330"/>
      <c r="BJ441" s="330"/>
      <c r="BK441" s="330"/>
      <c r="BL441" s="330"/>
      <c r="BM441" s="330"/>
      <c r="BN441" s="330"/>
      <c r="BO441" s="330"/>
      <c r="BP441" s="331"/>
      <c r="BQ441" s="332"/>
      <c r="BR441" s="333"/>
    </row>
    <row r="442" spans="2:70" ht="15.75" customHeight="1">
      <c r="B442" s="216" t="s">
        <v>306</v>
      </c>
      <c r="C442" s="212">
        <v>849892</v>
      </c>
      <c r="D442" s="223">
        <v>10783480000168</v>
      </c>
      <c r="E442" s="217" t="s">
        <v>19</v>
      </c>
      <c r="F442" s="217" t="s">
        <v>963</v>
      </c>
      <c r="G442" s="217" t="s">
        <v>1011</v>
      </c>
      <c r="H442" s="218" t="s">
        <v>1113</v>
      </c>
      <c r="I442" s="217" t="s">
        <v>66</v>
      </c>
      <c r="J442" s="217"/>
      <c r="K442" s="218" t="s">
        <v>951</v>
      </c>
      <c r="L442" s="212" t="s">
        <v>87</v>
      </c>
      <c r="M442" s="250"/>
      <c r="N442" s="239">
        <v>39931</v>
      </c>
      <c r="O442" s="210" t="s">
        <v>307</v>
      </c>
      <c r="P442" s="210" t="s">
        <v>1117</v>
      </c>
      <c r="Q442" s="210" t="s">
        <v>1117</v>
      </c>
      <c r="R442" s="210" t="s">
        <v>1084</v>
      </c>
      <c r="S442" s="210" t="s">
        <v>1078</v>
      </c>
      <c r="T442" s="210" t="s">
        <v>1275</v>
      </c>
      <c r="U442" s="210" t="s">
        <v>1114</v>
      </c>
      <c r="V442" s="210" t="s">
        <v>19</v>
      </c>
      <c r="W442" s="211" t="s">
        <v>1010</v>
      </c>
      <c r="X442" s="211">
        <v>500</v>
      </c>
      <c r="Y442" s="211">
        <v>500</v>
      </c>
      <c r="Z442" s="212">
        <v>500</v>
      </c>
      <c r="AA442" s="240">
        <v>5</v>
      </c>
      <c r="AB442" s="213">
        <v>3.5000000000000001E-3</v>
      </c>
      <c r="AC442" s="213">
        <v>0</v>
      </c>
      <c r="AD442" s="213" t="s">
        <v>109</v>
      </c>
      <c r="AE442" s="213">
        <v>7.000000000000001E-4</v>
      </c>
      <c r="AF442" s="241">
        <v>1366864742.0899999</v>
      </c>
      <c r="AG442" s="241">
        <v>1366864742.0899999</v>
      </c>
      <c r="AH442" s="213">
        <v>7.2999999999999995E-2</v>
      </c>
      <c r="AI442" s="352">
        <v>1.1242000000000001</v>
      </c>
      <c r="AJ442" s="213">
        <v>0.115</v>
      </c>
      <c r="AK442" s="352">
        <v>1.2219</v>
      </c>
      <c r="AL442" s="213">
        <v>0.1633</v>
      </c>
      <c r="AM442" s="352">
        <v>1.3516999999999999</v>
      </c>
      <c r="AN442" s="213">
        <v>0.18809999999999999</v>
      </c>
      <c r="AO442" s="352">
        <v>1.1160000000000001</v>
      </c>
      <c r="AP442" s="213">
        <v>3.8E-3</v>
      </c>
      <c r="AQ442" s="219">
        <v>4.9704500677000256</v>
      </c>
      <c r="AR442" s="213" t="s">
        <v>1824</v>
      </c>
      <c r="AU442" s="343"/>
      <c r="AV442" s="343"/>
      <c r="AW442" s="328"/>
      <c r="AX442" s="329"/>
      <c r="AY442" s="328"/>
      <c r="AZ442" s="328"/>
      <c r="BA442" s="330"/>
      <c r="BB442" s="328"/>
      <c r="BC442" s="328"/>
      <c r="BD442" s="328"/>
      <c r="BE442" s="330"/>
      <c r="BF442" s="330"/>
      <c r="BG442" s="344"/>
      <c r="BH442" s="330"/>
      <c r="BI442" s="330"/>
      <c r="BJ442" s="330"/>
      <c r="BK442" s="330"/>
      <c r="BL442" s="330"/>
      <c r="BM442" s="330"/>
      <c r="BN442" s="330"/>
      <c r="BO442" s="330"/>
      <c r="BP442" s="331"/>
      <c r="BQ442" s="332"/>
      <c r="BR442" s="333"/>
    </row>
    <row r="443" spans="2:70" ht="15.75" customHeight="1">
      <c r="B443" s="216" t="s">
        <v>1318</v>
      </c>
      <c r="C443" s="212">
        <v>1827794</v>
      </c>
      <c r="D443" s="223">
        <v>26142614000100</v>
      </c>
      <c r="E443" s="217" t="s">
        <v>19</v>
      </c>
      <c r="F443" s="217" t="s">
        <v>964</v>
      </c>
      <c r="G443" s="217" t="s">
        <v>1042</v>
      </c>
      <c r="H443" s="218" t="s">
        <v>1113</v>
      </c>
      <c r="I443" s="217" t="s">
        <v>66</v>
      </c>
      <c r="J443" s="217"/>
      <c r="K443" s="218" t="s">
        <v>951</v>
      </c>
      <c r="L443" s="212" t="s">
        <v>87</v>
      </c>
      <c r="M443" s="250"/>
      <c r="N443" s="239">
        <v>42675</v>
      </c>
      <c r="O443" s="210" t="s">
        <v>307</v>
      </c>
      <c r="P443" s="210" t="s">
        <v>1117</v>
      </c>
      <c r="Q443" s="210" t="s">
        <v>1117</v>
      </c>
      <c r="R443" s="210" t="s">
        <v>1084</v>
      </c>
      <c r="S443" s="210" t="s">
        <v>1078</v>
      </c>
      <c r="T443" s="210" t="s">
        <v>1275</v>
      </c>
      <c r="U443" s="210" t="s">
        <v>964</v>
      </c>
      <c r="V443" s="210" t="s">
        <v>25</v>
      </c>
      <c r="W443" s="211" t="s">
        <v>1019</v>
      </c>
      <c r="X443" s="211">
        <v>100</v>
      </c>
      <c r="Y443" s="211">
        <v>100</v>
      </c>
      <c r="Z443" s="212">
        <v>100</v>
      </c>
      <c r="AA443" s="240">
        <v>15</v>
      </c>
      <c r="AB443" s="213">
        <v>7.4999999999999997E-3</v>
      </c>
      <c r="AC443" s="213">
        <v>0</v>
      </c>
      <c r="AD443" s="213" t="s">
        <v>1157</v>
      </c>
      <c r="AE443" s="213">
        <v>1E-3</v>
      </c>
      <c r="AF443" s="241">
        <v>87806984.420000002</v>
      </c>
      <c r="AG443" s="241">
        <v>87806984.420000002</v>
      </c>
      <c r="AH443" s="213">
        <v>5.2200000000000003E-2</v>
      </c>
      <c r="AI443" s="352">
        <v>0.80379999999999996</v>
      </c>
      <c r="AJ443" s="213">
        <v>8.5000000000000006E-2</v>
      </c>
      <c r="AK443" s="352">
        <v>0.90310000000000001</v>
      </c>
      <c r="AL443" s="213">
        <v>0.1673</v>
      </c>
      <c r="AM443" s="352">
        <v>1.3849</v>
      </c>
      <c r="AN443" s="213">
        <v>0.2056</v>
      </c>
      <c r="AO443" s="352">
        <v>1.2199</v>
      </c>
      <c r="AP443" s="213">
        <v>2.5899999999999999E-2</v>
      </c>
      <c r="AQ443" s="219">
        <v>-0.31091426322638588</v>
      </c>
      <c r="AR443" s="213" t="s">
        <v>1827</v>
      </c>
      <c r="AU443" s="343"/>
      <c r="AV443" s="343"/>
      <c r="AW443" s="328"/>
      <c r="AX443" s="329"/>
      <c r="AY443" s="328"/>
      <c r="AZ443" s="328"/>
      <c r="BA443" s="330"/>
      <c r="BB443" s="328"/>
      <c r="BC443" s="328"/>
      <c r="BD443" s="328"/>
      <c r="BE443" s="330"/>
      <c r="BF443" s="330"/>
      <c r="BG443" s="344"/>
      <c r="BH443" s="330"/>
      <c r="BI443" s="330"/>
      <c r="BJ443" s="330"/>
      <c r="BK443" s="330"/>
      <c r="BL443" s="330"/>
      <c r="BM443" s="330"/>
      <c r="BN443" s="330"/>
      <c r="BO443" s="330"/>
      <c r="BP443" s="331"/>
      <c r="BQ443" s="332"/>
      <c r="BR443" s="333"/>
    </row>
    <row r="444" spans="2:70" ht="15.75" customHeight="1">
      <c r="B444" s="216" t="s">
        <v>774</v>
      </c>
      <c r="C444" s="212">
        <v>782512</v>
      </c>
      <c r="D444" s="223">
        <v>807777000162</v>
      </c>
      <c r="E444" s="217" t="s">
        <v>19</v>
      </c>
      <c r="F444" s="217" t="s">
        <v>963</v>
      </c>
      <c r="G444" s="217" t="s">
        <v>1011</v>
      </c>
      <c r="H444" s="218" t="s">
        <v>1113</v>
      </c>
      <c r="I444" s="217" t="s">
        <v>66</v>
      </c>
      <c r="J444" s="217" t="s">
        <v>1794</v>
      </c>
      <c r="K444" s="218" t="s">
        <v>951</v>
      </c>
      <c r="L444" s="212" t="s">
        <v>87</v>
      </c>
      <c r="M444" s="250"/>
      <c r="N444" s="239">
        <v>34974</v>
      </c>
      <c r="O444" s="210" t="s">
        <v>307</v>
      </c>
      <c r="P444" s="210" t="s">
        <v>1117</v>
      </c>
      <c r="Q444" s="210" t="s">
        <v>1117</v>
      </c>
      <c r="R444" s="210" t="s">
        <v>1084</v>
      </c>
      <c r="S444" s="210" t="s">
        <v>1078</v>
      </c>
      <c r="T444" s="210" t="s">
        <v>1275</v>
      </c>
      <c r="U444" s="210" t="s">
        <v>1114</v>
      </c>
      <c r="V444" s="210" t="s">
        <v>19</v>
      </c>
      <c r="W444" s="211" t="s">
        <v>1010</v>
      </c>
      <c r="X444" s="211">
        <v>1</v>
      </c>
      <c r="Y444" s="211">
        <v>0</v>
      </c>
      <c r="Z444" s="212">
        <v>1</v>
      </c>
      <c r="AA444" s="240">
        <v>0</v>
      </c>
      <c r="AB444" s="213">
        <v>2.5000000000000001E-3</v>
      </c>
      <c r="AC444" s="213">
        <v>0</v>
      </c>
      <c r="AD444" s="213" t="s">
        <v>109</v>
      </c>
      <c r="AE444" s="213">
        <v>3.3333333333333332E-4</v>
      </c>
      <c r="AF444" s="241">
        <v>459220631.24000001</v>
      </c>
      <c r="AG444" s="241">
        <v>459220631.24000001</v>
      </c>
      <c r="AH444" s="213">
        <v>6.6000000000000003E-2</v>
      </c>
      <c r="AI444" s="352">
        <v>1.0163</v>
      </c>
      <c r="AJ444" s="213">
        <v>9.7199999999999995E-2</v>
      </c>
      <c r="AK444" s="352">
        <v>1.0329999999999999</v>
      </c>
      <c r="AL444" s="213">
        <v>0.1258</v>
      </c>
      <c r="AM444" s="352">
        <v>1.0417000000000001</v>
      </c>
      <c r="AN444" s="213">
        <v>0.16569999999999999</v>
      </c>
      <c r="AO444" s="352">
        <v>0.98340000000000005</v>
      </c>
      <c r="AP444" s="213">
        <v>1.6000000000000001E-3</v>
      </c>
      <c r="AQ444" s="219">
        <v>1.7422060137850524</v>
      </c>
      <c r="AR444" s="213" t="s">
        <v>1824</v>
      </c>
      <c r="AU444" s="343"/>
      <c r="AV444" s="343"/>
      <c r="AW444" s="328"/>
      <c r="AX444" s="329"/>
      <c r="AY444" s="328"/>
      <c r="AZ444" s="328"/>
      <c r="BA444" s="330"/>
      <c r="BB444" s="328"/>
      <c r="BC444" s="328"/>
      <c r="BD444" s="328"/>
      <c r="BE444" s="330"/>
      <c r="BF444" s="330"/>
      <c r="BG444" s="344"/>
      <c r="BH444" s="330"/>
      <c r="BI444" s="330"/>
      <c r="BJ444" s="330"/>
      <c r="BK444" s="330"/>
      <c r="BL444" s="330"/>
      <c r="BM444" s="330"/>
      <c r="BN444" s="330"/>
      <c r="BO444" s="330"/>
      <c r="BP444" s="331"/>
      <c r="BQ444" s="332"/>
      <c r="BR444" s="333"/>
    </row>
    <row r="445" spans="2:70" ht="15.75" customHeight="1">
      <c r="B445" s="216" t="s">
        <v>1319</v>
      </c>
      <c r="C445" s="212">
        <v>963316</v>
      </c>
      <c r="D445" s="223">
        <v>34658753000100</v>
      </c>
      <c r="E445" s="217" t="s">
        <v>28</v>
      </c>
      <c r="F445" s="217" t="s">
        <v>950</v>
      </c>
      <c r="G445" s="217"/>
      <c r="H445" s="218"/>
      <c r="I445" s="217" t="s">
        <v>66</v>
      </c>
      <c r="J445" s="217" t="s">
        <v>66</v>
      </c>
      <c r="K445" s="218" t="s">
        <v>954</v>
      </c>
      <c r="L445" s="212"/>
      <c r="M445" s="250"/>
      <c r="N445" s="239">
        <v>43857</v>
      </c>
      <c r="O445" s="210" t="s">
        <v>307</v>
      </c>
      <c r="P445" s="210" t="s">
        <v>1117</v>
      </c>
      <c r="Q445" s="210" t="s">
        <v>1117</v>
      </c>
      <c r="R445" s="210" t="s">
        <v>1084</v>
      </c>
      <c r="S445" s="210" t="s">
        <v>1078</v>
      </c>
      <c r="T445" s="210" t="s">
        <v>1079</v>
      </c>
      <c r="U445" s="210" t="s">
        <v>65</v>
      </c>
      <c r="V445" s="210" t="s">
        <v>1080</v>
      </c>
      <c r="W445" s="211" t="s">
        <v>1007</v>
      </c>
      <c r="X445" s="211">
        <v>0</v>
      </c>
      <c r="Y445" s="211">
        <v>0</v>
      </c>
      <c r="Z445" s="212">
        <v>0</v>
      </c>
      <c r="AA445" s="240">
        <v>3</v>
      </c>
      <c r="AB445" s="213">
        <v>0.01</v>
      </c>
      <c r="AC445" s="213">
        <v>0</v>
      </c>
      <c r="AD445" s="213" t="s">
        <v>1157</v>
      </c>
      <c r="AE445" s="213">
        <v>1.333E-3</v>
      </c>
      <c r="AF445" s="241">
        <v>29728142.719999999</v>
      </c>
      <c r="AG445" s="241">
        <v>29728142.719999999</v>
      </c>
      <c r="AH445" s="213">
        <v>-0.2165</v>
      </c>
      <c r="AI445" s="352">
        <v>-3.3344</v>
      </c>
      <c r="AJ445" s="213">
        <v>-8.5500000000000007E-2</v>
      </c>
      <c r="AK445" s="352">
        <v>-0.9093</v>
      </c>
      <c r="AL445" s="213">
        <v>0.1961</v>
      </c>
      <c r="AM445" s="352">
        <v>1.6233</v>
      </c>
      <c r="AN445" s="213" t="s">
        <v>66</v>
      </c>
      <c r="AO445" s="352" t="s">
        <v>66</v>
      </c>
      <c r="AP445" s="213">
        <v>0.21310000000000001</v>
      </c>
      <c r="AQ445" s="219">
        <v>-0.73553366257140362</v>
      </c>
      <c r="AR445" s="213" t="s">
        <v>1824</v>
      </c>
      <c r="AU445" s="343"/>
      <c r="AV445" s="343"/>
      <c r="AW445" s="328"/>
      <c r="AX445" s="329"/>
      <c r="AY445" s="328"/>
      <c r="AZ445" s="328"/>
      <c r="BA445" s="330"/>
      <c r="BB445" s="328"/>
      <c r="BC445" s="328"/>
      <c r="BD445" s="328"/>
      <c r="BE445" s="330"/>
      <c r="BF445" s="330"/>
      <c r="BG445" s="344"/>
      <c r="BH445" s="330"/>
      <c r="BI445" s="330"/>
      <c r="BJ445" s="330"/>
      <c r="BK445" s="330"/>
      <c r="BL445" s="330"/>
      <c r="BM445" s="330"/>
      <c r="BN445" s="330"/>
      <c r="BO445" s="330"/>
      <c r="BP445" s="331"/>
      <c r="BQ445" s="332"/>
      <c r="BR445" s="333"/>
    </row>
    <row r="446" spans="2:70" ht="15.75" customHeight="1">
      <c r="B446" s="216" t="s">
        <v>819</v>
      </c>
      <c r="C446" s="212">
        <v>564021</v>
      </c>
      <c r="D446" s="223">
        <v>12672120000114</v>
      </c>
      <c r="E446" s="217" t="s">
        <v>25</v>
      </c>
      <c r="F446" s="217" t="s">
        <v>958</v>
      </c>
      <c r="G446" s="217" t="s">
        <v>962</v>
      </c>
      <c r="H446" s="218" t="s">
        <v>66</v>
      </c>
      <c r="I446" s="217" t="s">
        <v>1841</v>
      </c>
      <c r="J446" s="217" t="s">
        <v>66</v>
      </c>
      <c r="K446" s="218"/>
      <c r="L446" s="212" t="s">
        <v>87</v>
      </c>
      <c r="M446" s="250"/>
      <c r="N446" s="239">
        <v>42199</v>
      </c>
      <c r="O446" s="210" t="s">
        <v>307</v>
      </c>
      <c r="P446" s="210" t="s">
        <v>1117</v>
      </c>
      <c r="Q446" s="210" t="s">
        <v>1117</v>
      </c>
      <c r="R446" s="210" t="s">
        <v>1084</v>
      </c>
      <c r="S446" s="210" t="s">
        <v>1078</v>
      </c>
      <c r="T446" s="210" t="s">
        <v>1082</v>
      </c>
      <c r="U446" s="210" t="s">
        <v>958</v>
      </c>
      <c r="V446" s="210" t="s">
        <v>19</v>
      </c>
      <c r="W446" s="211" t="s">
        <v>1025</v>
      </c>
      <c r="X446" s="211">
        <v>500</v>
      </c>
      <c r="Y446" s="211">
        <v>500</v>
      </c>
      <c r="Z446" s="212">
        <v>500</v>
      </c>
      <c r="AA446" s="240">
        <v>3</v>
      </c>
      <c r="AB446" s="213">
        <v>5.0000000000000001E-3</v>
      </c>
      <c r="AC446" s="213">
        <v>0</v>
      </c>
      <c r="AD446" s="213" t="s">
        <v>981</v>
      </c>
      <c r="AE446" s="213">
        <v>6.6666666666666664E-4</v>
      </c>
      <c r="AF446" s="241">
        <v>168597663.16999999</v>
      </c>
      <c r="AG446" s="241">
        <v>168597663.16999999</v>
      </c>
      <c r="AH446" s="213">
        <v>6.0600000000000001E-2</v>
      </c>
      <c r="AI446" s="352">
        <v>0.93279999999999996</v>
      </c>
      <c r="AJ446" s="213">
        <v>8.6699999999999999E-2</v>
      </c>
      <c r="AK446" s="352">
        <v>0.92130000000000001</v>
      </c>
      <c r="AL446" s="213">
        <v>0.13589999999999999</v>
      </c>
      <c r="AM446" s="352">
        <v>1.1247</v>
      </c>
      <c r="AN446" s="213">
        <v>0.22489999999999999</v>
      </c>
      <c r="AO446" s="352">
        <v>1.3344</v>
      </c>
      <c r="AP446" s="213">
        <v>2.7199999999999998E-2</v>
      </c>
      <c r="AQ446" s="219">
        <v>-0.23651109146686566</v>
      </c>
      <c r="AR446" s="213" t="s">
        <v>1824</v>
      </c>
      <c r="AU446" s="343"/>
      <c r="AV446" s="343"/>
      <c r="AW446" s="328"/>
      <c r="AX446" s="329"/>
      <c r="AY446" s="328"/>
      <c r="AZ446" s="328"/>
      <c r="BA446" s="330"/>
      <c r="BB446" s="328"/>
      <c r="BC446" s="328"/>
      <c r="BD446" s="328"/>
      <c r="BE446" s="330"/>
      <c r="BF446" s="330"/>
      <c r="BG446" s="344"/>
      <c r="BH446" s="330"/>
      <c r="BI446" s="330"/>
      <c r="BJ446" s="330"/>
      <c r="BK446" s="330"/>
      <c r="BL446" s="330"/>
      <c r="BM446" s="330"/>
      <c r="BN446" s="330"/>
      <c r="BO446" s="330"/>
      <c r="BP446" s="331"/>
      <c r="BQ446" s="332"/>
      <c r="BR446" s="333"/>
    </row>
    <row r="447" spans="2:70" ht="15.75" customHeight="1">
      <c r="B447" s="216" t="s">
        <v>1320</v>
      </c>
      <c r="C447" s="212">
        <v>1605009</v>
      </c>
      <c r="D447" s="223">
        <v>12265822000183</v>
      </c>
      <c r="E447" s="217" t="s">
        <v>19</v>
      </c>
      <c r="F447" s="217" t="s">
        <v>1009</v>
      </c>
      <c r="G447" s="217" t="s">
        <v>1021</v>
      </c>
      <c r="H447" s="218" t="s">
        <v>1113</v>
      </c>
      <c r="I447" s="217" t="s">
        <v>66</v>
      </c>
      <c r="J447" s="217" t="s">
        <v>1794</v>
      </c>
      <c r="K447" s="218" t="s">
        <v>951</v>
      </c>
      <c r="L447" s="212" t="s">
        <v>87</v>
      </c>
      <c r="M447" s="250"/>
      <c r="N447" s="239">
        <v>40389</v>
      </c>
      <c r="O447" s="210" t="s">
        <v>307</v>
      </c>
      <c r="P447" s="210" t="s">
        <v>1117</v>
      </c>
      <c r="Q447" s="210" t="s">
        <v>1117</v>
      </c>
      <c r="R447" s="210" t="s">
        <v>1084</v>
      </c>
      <c r="S447" s="210" t="s">
        <v>1078</v>
      </c>
      <c r="T447" s="210" t="s">
        <v>1275</v>
      </c>
      <c r="U447" s="210" t="s">
        <v>1262</v>
      </c>
      <c r="V447" s="210" t="s">
        <v>19</v>
      </c>
      <c r="W447" s="211" t="s">
        <v>1025</v>
      </c>
      <c r="X447" s="211">
        <v>500</v>
      </c>
      <c r="Y447" s="211">
        <v>500</v>
      </c>
      <c r="Z447" s="212">
        <v>500</v>
      </c>
      <c r="AA447" s="240">
        <v>0</v>
      </c>
      <c r="AB447" s="213">
        <v>3.5000000000000001E-3</v>
      </c>
      <c r="AC447" s="213">
        <v>0</v>
      </c>
      <c r="AD447" s="213" t="s">
        <v>109</v>
      </c>
      <c r="AE447" s="213">
        <v>4.6666666666666666E-4</v>
      </c>
      <c r="AF447" s="241">
        <v>49101796.359999999</v>
      </c>
      <c r="AG447" s="241">
        <v>49101796.359999999</v>
      </c>
      <c r="AH447" s="213">
        <v>6.0199999999999997E-2</v>
      </c>
      <c r="AI447" s="352">
        <v>0.92679999999999996</v>
      </c>
      <c r="AJ447" s="213">
        <v>7.9500000000000001E-2</v>
      </c>
      <c r="AK447" s="352">
        <v>0.8448</v>
      </c>
      <c r="AL447" s="213">
        <v>9.5899999999999999E-2</v>
      </c>
      <c r="AM447" s="352">
        <v>0.79420000000000002</v>
      </c>
      <c r="AN447" s="213">
        <v>0.14990000000000001</v>
      </c>
      <c r="AO447" s="352">
        <v>0.88929999999999998</v>
      </c>
      <c r="AP447" s="213">
        <v>7.3000000000000001E-3</v>
      </c>
      <c r="AQ447" s="219">
        <v>-1.8372075578370084</v>
      </c>
      <c r="AR447" s="213" t="s">
        <v>1824</v>
      </c>
      <c r="AU447" s="343"/>
      <c r="AV447" s="343"/>
      <c r="AW447" s="328"/>
      <c r="AX447" s="329"/>
      <c r="AY447" s="328"/>
      <c r="AZ447" s="328"/>
      <c r="BA447" s="330"/>
      <c r="BB447" s="328"/>
      <c r="BC447" s="328"/>
      <c r="BD447" s="328"/>
      <c r="BE447" s="330"/>
      <c r="BF447" s="330"/>
      <c r="BG447" s="344"/>
      <c r="BH447" s="330"/>
      <c r="BI447" s="330"/>
      <c r="BJ447" s="330"/>
      <c r="BK447" s="330"/>
      <c r="BL447" s="330"/>
      <c r="BM447" s="330"/>
      <c r="BN447" s="330"/>
      <c r="BO447" s="330"/>
      <c r="BP447" s="331"/>
      <c r="BQ447" s="332"/>
      <c r="BR447" s="333"/>
    </row>
    <row r="448" spans="2:70" ht="15.75" customHeight="1">
      <c r="B448" s="216" t="s">
        <v>308</v>
      </c>
      <c r="C448" s="212">
        <v>2166547</v>
      </c>
      <c r="D448" s="223">
        <v>13155995000101</v>
      </c>
      <c r="E448" s="217" t="s">
        <v>28</v>
      </c>
      <c r="F448" s="217" t="s">
        <v>950</v>
      </c>
      <c r="G448" s="217"/>
      <c r="H448" s="218"/>
      <c r="I448" s="217" t="s">
        <v>66</v>
      </c>
      <c r="J448" s="217" t="s">
        <v>66</v>
      </c>
      <c r="K448" s="218" t="s">
        <v>951</v>
      </c>
      <c r="L448" s="212" t="s">
        <v>87</v>
      </c>
      <c r="M448" s="250"/>
      <c r="N448" s="239">
        <v>40802</v>
      </c>
      <c r="O448" s="210" t="s">
        <v>307</v>
      </c>
      <c r="P448" s="210" t="s">
        <v>1117</v>
      </c>
      <c r="Q448" s="210" t="s">
        <v>1117</v>
      </c>
      <c r="R448" s="210" t="s">
        <v>1084</v>
      </c>
      <c r="S448" s="210" t="s">
        <v>1078</v>
      </c>
      <c r="T448" s="210" t="s">
        <v>1079</v>
      </c>
      <c r="U448" s="210" t="s">
        <v>950</v>
      </c>
      <c r="V448" s="210" t="s">
        <v>1080</v>
      </c>
      <c r="W448" s="211" t="s">
        <v>1018</v>
      </c>
      <c r="X448" s="211">
        <v>500</v>
      </c>
      <c r="Y448" s="211">
        <v>500</v>
      </c>
      <c r="Z448" s="212">
        <v>500</v>
      </c>
      <c r="AA448" s="240">
        <v>14</v>
      </c>
      <c r="AB448" s="213">
        <v>2.5000000000000001E-2</v>
      </c>
      <c r="AC448" s="213">
        <v>0.2</v>
      </c>
      <c r="AD448" s="213" t="s">
        <v>1014</v>
      </c>
      <c r="AE448" s="213">
        <v>3.3333333333333335E-3</v>
      </c>
      <c r="AF448" s="241">
        <v>130772922.45999999</v>
      </c>
      <c r="AG448" s="241">
        <v>130772922.45999999</v>
      </c>
      <c r="AH448" s="213">
        <v>-1.49E-2</v>
      </c>
      <c r="AI448" s="352">
        <v>-0.2296</v>
      </c>
      <c r="AJ448" s="213">
        <v>-0.2341</v>
      </c>
      <c r="AK448" s="352">
        <v>-2.4883999999999999</v>
      </c>
      <c r="AL448" s="213">
        <v>-8.2799999999999999E-2</v>
      </c>
      <c r="AM448" s="352">
        <v>-0.6855</v>
      </c>
      <c r="AN448" s="213">
        <v>-8.2900000000000001E-2</v>
      </c>
      <c r="AO448" s="352">
        <v>-0.49220000000000003</v>
      </c>
      <c r="AP448" s="213">
        <v>0.2157</v>
      </c>
      <c r="AQ448" s="219">
        <v>-1.5453292597054966</v>
      </c>
      <c r="AR448" s="213" t="s">
        <v>1824</v>
      </c>
      <c r="AU448" s="343"/>
      <c r="AV448" s="343"/>
      <c r="AW448" s="328"/>
      <c r="AX448" s="329"/>
      <c r="AY448" s="328"/>
      <c r="AZ448" s="328"/>
      <c r="BA448" s="330"/>
      <c r="BB448" s="328"/>
      <c r="BC448" s="328"/>
      <c r="BD448" s="328"/>
      <c r="BE448" s="330"/>
      <c r="BF448" s="330"/>
      <c r="BG448" s="344"/>
      <c r="BH448" s="330"/>
      <c r="BI448" s="330"/>
      <c r="BJ448" s="330"/>
      <c r="BK448" s="330"/>
      <c r="BL448" s="330"/>
      <c r="BM448" s="330"/>
      <c r="BN448" s="330"/>
      <c r="BO448" s="330"/>
      <c r="BP448" s="331"/>
      <c r="BQ448" s="332"/>
      <c r="BR448" s="333"/>
    </row>
    <row r="449" spans="2:70" ht="15.75" customHeight="1">
      <c r="B449" s="216" t="s">
        <v>309</v>
      </c>
      <c r="C449" s="212">
        <v>534914</v>
      </c>
      <c r="D449" s="223">
        <v>9274058000106</v>
      </c>
      <c r="E449" s="217" t="s">
        <v>25</v>
      </c>
      <c r="F449" s="217" t="s">
        <v>958</v>
      </c>
      <c r="G449" s="217" t="s">
        <v>962</v>
      </c>
      <c r="H449" s="218" t="s">
        <v>66</v>
      </c>
      <c r="I449" s="217" t="s">
        <v>1841</v>
      </c>
      <c r="J449" s="217" t="s">
        <v>66</v>
      </c>
      <c r="K449" s="218"/>
      <c r="L449" s="212" t="s">
        <v>87</v>
      </c>
      <c r="M449" s="250"/>
      <c r="N449" s="239">
        <v>39538</v>
      </c>
      <c r="O449" s="210" t="s">
        <v>307</v>
      </c>
      <c r="P449" s="210" t="s">
        <v>1117</v>
      </c>
      <c r="Q449" s="210" t="s">
        <v>1117</v>
      </c>
      <c r="R449" s="210" t="s">
        <v>1084</v>
      </c>
      <c r="S449" s="210" t="s">
        <v>1078</v>
      </c>
      <c r="T449" s="210" t="s">
        <v>1082</v>
      </c>
      <c r="U449" s="210" t="s">
        <v>958</v>
      </c>
      <c r="V449" s="210" t="s">
        <v>25</v>
      </c>
      <c r="W449" s="211" t="s">
        <v>1027</v>
      </c>
      <c r="X449" s="211">
        <v>500</v>
      </c>
      <c r="Y449" s="211">
        <v>500</v>
      </c>
      <c r="Z449" s="212">
        <v>500</v>
      </c>
      <c r="AA449" s="240">
        <v>1</v>
      </c>
      <c r="AB449" s="213">
        <v>0.01</v>
      </c>
      <c r="AC449" s="213">
        <v>0.2</v>
      </c>
      <c r="AD449" s="213" t="s">
        <v>109</v>
      </c>
      <c r="AE449" s="213">
        <v>1.3333333333333333E-3</v>
      </c>
      <c r="AF449" s="241">
        <v>97475193.450000003</v>
      </c>
      <c r="AG449" s="241">
        <v>97475193.450000003</v>
      </c>
      <c r="AH449" s="213">
        <v>5.8200000000000002E-2</v>
      </c>
      <c r="AI449" s="352">
        <v>0.89580000000000004</v>
      </c>
      <c r="AJ449" s="213">
        <v>6.8400000000000002E-2</v>
      </c>
      <c r="AK449" s="352">
        <v>0.7268</v>
      </c>
      <c r="AL449" s="213">
        <v>8.2600000000000007E-2</v>
      </c>
      <c r="AM449" s="352">
        <v>0.68369999999999997</v>
      </c>
      <c r="AN449" s="213">
        <v>0.14549999999999999</v>
      </c>
      <c r="AO449" s="352">
        <v>0.86329999999999996</v>
      </c>
      <c r="AP449" s="213">
        <v>1.49E-2</v>
      </c>
      <c r="AQ449" s="219">
        <v>-1.5879359582222305</v>
      </c>
      <c r="AR449" s="213" t="s">
        <v>1824</v>
      </c>
      <c r="AU449" s="343"/>
      <c r="AV449" s="343"/>
      <c r="AW449" s="328"/>
      <c r="AX449" s="329"/>
      <c r="AY449" s="328"/>
      <c r="AZ449" s="328"/>
      <c r="BA449" s="330"/>
      <c r="BB449" s="328"/>
      <c r="BC449" s="328"/>
      <c r="BD449" s="328"/>
      <c r="BE449" s="330"/>
      <c r="BF449" s="330"/>
      <c r="BG449" s="344"/>
      <c r="BH449" s="330"/>
      <c r="BI449" s="330"/>
      <c r="BJ449" s="330"/>
      <c r="BK449" s="330"/>
      <c r="BL449" s="330"/>
      <c r="BM449" s="330"/>
      <c r="BN449" s="330"/>
      <c r="BO449" s="330"/>
      <c r="BP449" s="331"/>
      <c r="BQ449" s="332"/>
      <c r="BR449" s="333"/>
    </row>
    <row r="450" spans="2:70" ht="15.75" customHeight="1">
      <c r="B450" s="216" t="s">
        <v>1321</v>
      </c>
      <c r="C450" s="212">
        <v>545442</v>
      </c>
      <c r="D450" s="223">
        <v>6092123000186</v>
      </c>
      <c r="E450" s="217" t="s">
        <v>25</v>
      </c>
      <c r="F450" s="217" t="s">
        <v>958</v>
      </c>
      <c r="G450" s="217" t="s">
        <v>962</v>
      </c>
      <c r="H450" s="218" t="s">
        <v>66</v>
      </c>
      <c r="I450" s="217" t="s">
        <v>1841</v>
      </c>
      <c r="J450" s="217" t="s">
        <v>66</v>
      </c>
      <c r="K450" s="218"/>
      <c r="L450" s="212" t="s">
        <v>87</v>
      </c>
      <c r="M450" s="250"/>
      <c r="N450" s="239">
        <v>38034</v>
      </c>
      <c r="O450" s="210" t="s">
        <v>307</v>
      </c>
      <c r="P450" s="210" t="s">
        <v>1117</v>
      </c>
      <c r="Q450" s="210" t="s">
        <v>1117</v>
      </c>
      <c r="R450" s="210" t="s">
        <v>1084</v>
      </c>
      <c r="S450" s="210" t="s">
        <v>1078</v>
      </c>
      <c r="T450" s="210" t="s">
        <v>1082</v>
      </c>
      <c r="U450" s="210" t="s">
        <v>958</v>
      </c>
      <c r="V450" s="210" t="s">
        <v>25</v>
      </c>
      <c r="W450" s="211" t="s">
        <v>1035</v>
      </c>
      <c r="X450" s="211">
        <v>0</v>
      </c>
      <c r="Y450" s="211">
        <v>0</v>
      </c>
      <c r="Z450" s="212">
        <v>0</v>
      </c>
      <c r="AA450" s="240">
        <v>15</v>
      </c>
      <c r="AB450" s="213">
        <v>6.0000000000000001E-3</v>
      </c>
      <c r="AC450" s="213">
        <v>0.1</v>
      </c>
      <c r="AD450" s="213" t="s">
        <v>109</v>
      </c>
      <c r="AE450" s="213">
        <v>8.0000000000000004E-4</v>
      </c>
      <c r="AF450" s="241">
        <v>53151963.409999996</v>
      </c>
      <c r="AG450" s="241">
        <v>53151963.409999996</v>
      </c>
      <c r="AH450" s="213">
        <v>7.5800000000000006E-2</v>
      </c>
      <c r="AI450" s="352">
        <v>1.1677</v>
      </c>
      <c r="AJ450" s="213">
        <v>8.2799999999999999E-2</v>
      </c>
      <c r="AK450" s="352">
        <v>0.88049999999999995</v>
      </c>
      <c r="AL450" s="213">
        <v>0.1479</v>
      </c>
      <c r="AM450" s="352">
        <v>1.2242999999999999</v>
      </c>
      <c r="AN450" s="213">
        <v>0.20810000000000001</v>
      </c>
      <c r="AO450" s="352">
        <v>1.2350000000000001</v>
      </c>
      <c r="AP450" s="213">
        <v>2.7300000000000001E-2</v>
      </c>
      <c r="AQ450" s="219">
        <v>-0.36450175475150193</v>
      </c>
      <c r="AR450" s="213" t="s">
        <v>1827</v>
      </c>
      <c r="AU450" s="343"/>
      <c r="AV450" s="343"/>
      <c r="AW450" s="328"/>
      <c r="AX450" s="329"/>
      <c r="AY450" s="328"/>
      <c r="AZ450" s="328"/>
      <c r="BA450" s="330"/>
      <c r="BB450" s="328"/>
      <c r="BC450" s="328"/>
      <c r="BD450" s="328"/>
      <c r="BE450" s="330"/>
      <c r="BF450" s="330"/>
      <c r="BG450" s="344"/>
      <c r="BH450" s="330"/>
      <c r="BI450" s="330"/>
      <c r="BJ450" s="330"/>
      <c r="BK450" s="330"/>
      <c r="BL450" s="330"/>
      <c r="BM450" s="330"/>
      <c r="BN450" s="330"/>
      <c r="BO450" s="330"/>
      <c r="BP450" s="331"/>
      <c r="BQ450" s="332"/>
      <c r="BR450" s="333"/>
    </row>
    <row r="451" spans="2:70" ht="15.75" customHeight="1">
      <c r="B451" s="216" t="s">
        <v>310</v>
      </c>
      <c r="C451" s="212">
        <v>2153711</v>
      </c>
      <c r="D451" s="223">
        <v>37681308000150</v>
      </c>
      <c r="E451" s="217" t="s">
        <v>28</v>
      </c>
      <c r="F451" s="217" t="s">
        <v>950</v>
      </c>
      <c r="G451" s="217"/>
      <c r="H451" s="218"/>
      <c r="I451" s="217" t="s">
        <v>66</v>
      </c>
      <c r="J451" s="217" t="s">
        <v>66</v>
      </c>
      <c r="K451" s="218" t="s">
        <v>951</v>
      </c>
      <c r="L451" s="212" t="s">
        <v>87</v>
      </c>
      <c r="M451" s="250"/>
      <c r="N451" s="239">
        <v>44103</v>
      </c>
      <c r="O451" s="210" t="s">
        <v>311</v>
      </c>
      <c r="P451" s="210" t="s">
        <v>1075</v>
      </c>
      <c r="Q451" s="210" t="s">
        <v>1076</v>
      </c>
      <c r="R451" s="210" t="s">
        <v>1084</v>
      </c>
      <c r="S451" s="210" t="s">
        <v>1078</v>
      </c>
      <c r="T451" s="210" t="s">
        <v>1079</v>
      </c>
      <c r="U451" s="210" t="s">
        <v>950</v>
      </c>
      <c r="V451" s="210" t="s">
        <v>1080</v>
      </c>
      <c r="W451" s="211" t="s">
        <v>1007</v>
      </c>
      <c r="X451" s="211">
        <v>5000</v>
      </c>
      <c r="Y451" s="211">
        <v>1000</v>
      </c>
      <c r="Z451" s="212">
        <v>1000</v>
      </c>
      <c r="AA451" s="240">
        <v>32</v>
      </c>
      <c r="AB451" s="213">
        <v>0.02</v>
      </c>
      <c r="AC451" s="213">
        <v>0.2</v>
      </c>
      <c r="AD451" s="213" t="s">
        <v>113</v>
      </c>
      <c r="AE451" s="213">
        <v>3.3333333333333331E-3</v>
      </c>
      <c r="AF451" s="241">
        <v>22477843.539999999</v>
      </c>
      <c r="AG451" s="241">
        <v>22477843.539999999</v>
      </c>
      <c r="AH451" s="213">
        <v>-7.8299999999999995E-2</v>
      </c>
      <c r="AI451" s="352">
        <v>-1.2054</v>
      </c>
      <c r="AJ451" s="213">
        <v>-0.28349999999999997</v>
      </c>
      <c r="AK451" s="352">
        <v>-3.0135000000000001</v>
      </c>
      <c r="AL451" s="213" t="s">
        <v>66</v>
      </c>
      <c r="AM451" s="352" t="s">
        <v>66</v>
      </c>
      <c r="AN451" s="213" t="s">
        <v>66</v>
      </c>
      <c r="AO451" s="352" t="s">
        <v>66</v>
      </c>
      <c r="AP451" s="213">
        <v>0.23449999999999999</v>
      </c>
      <c r="AQ451" s="219">
        <v>-1.6873664307168785</v>
      </c>
      <c r="AR451" s="213" t="s">
        <v>1827</v>
      </c>
      <c r="AU451" s="343"/>
      <c r="AV451" s="343"/>
      <c r="AW451" s="328"/>
      <c r="AX451" s="329"/>
      <c r="AY451" s="328"/>
      <c r="AZ451" s="328"/>
      <c r="BA451" s="330"/>
      <c r="BB451" s="328"/>
      <c r="BC451" s="328"/>
      <c r="BD451" s="328"/>
      <c r="BE451" s="330"/>
      <c r="BF451" s="330"/>
      <c r="BG451" s="344"/>
      <c r="BH451" s="330"/>
      <c r="BI451" s="330"/>
      <c r="BJ451" s="330"/>
      <c r="BK451" s="330"/>
      <c r="BL451" s="330"/>
      <c r="BM451" s="330"/>
      <c r="BN451" s="330"/>
      <c r="BO451" s="330"/>
      <c r="BP451" s="331"/>
      <c r="BQ451" s="332"/>
      <c r="BR451" s="333"/>
    </row>
    <row r="452" spans="2:70" ht="15.75" customHeight="1">
      <c r="B452" s="216" t="s">
        <v>313</v>
      </c>
      <c r="C452" s="212">
        <v>3506390</v>
      </c>
      <c r="D452" s="223">
        <v>27011904000179</v>
      </c>
      <c r="E452" s="217" t="s">
        <v>25</v>
      </c>
      <c r="F452" s="217" t="s">
        <v>958</v>
      </c>
      <c r="G452" s="217" t="s">
        <v>962</v>
      </c>
      <c r="H452" s="218" t="s">
        <v>66</v>
      </c>
      <c r="I452" s="217" t="s">
        <v>1841</v>
      </c>
      <c r="J452" s="217" t="s">
        <v>66</v>
      </c>
      <c r="K452" s="218"/>
      <c r="L452" s="212" t="s">
        <v>87</v>
      </c>
      <c r="M452" s="250"/>
      <c r="N452" s="239">
        <v>42893</v>
      </c>
      <c r="O452" s="210" t="s">
        <v>314</v>
      </c>
      <c r="P452" s="210" t="s">
        <v>1322</v>
      </c>
      <c r="Q452" s="210" t="s">
        <v>1148</v>
      </c>
      <c r="R452" s="210" t="s">
        <v>1077</v>
      </c>
      <c r="S452" s="210" t="s">
        <v>1078</v>
      </c>
      <c r="T452" s="210" t="s">
        <v>1082</v>
      </c>
      <c r="U452" s="210" t="s">
        <v>958</v>
      </c>
      <c r="V452" s="210" t="s">
        <v>25</v>
      </c>
      <c r="W452" s="211" t="s">
        <v>1016</v>
      </c>
      <c r="X452" s="211">
        <v>50000</v>
      </c>
      <c r="Y452" s="211">
        <v>1000</v>
      </c>
      <c r="Z452" s="212">
        <v>50000</v>
      </c>
      <c r="AA452" s="240">
        <v>5</v>
      </c>
      <c r="AB452" s="213">
        <v>1.4999999999999999E-2</v>
      </c>
      <c r="AC452" s="213">
        <v>0.5</v>
      </c>
      <c r="AD452" s="213" t="s">
        <v>1157</v>
      </c>
      <c r="AE452" s="213">
        <v>2.9999999999999996E-3</v>
      </c>
      <c r="AF452" s="241">
        <v>59692623.640000001</v>
      </c>
      <c r="AG452" s="241">
        <v>59692623.640000001</v>
      </c>
      <c r="AH452" s="213">
        <v>7.1499999999999994E-2</v>
      </c>
      <c r="AI452" s="352">
        <v>1.1011</v>
      </c>
      <c r="AJ452" s="213">
        <v>0.1109</v>
      </c>
      <c r="AK452" s="352">
        <v>1.1788000000000001</v>
      </c>
      <c r="AL452" s="213">
        <v>0.17100000000000001</v>
      </c>
      <c r="AM452" s="352">
        <v>1.4155</v>
      </c>
      <c r="AN452" s="213">
        <v>0.47939999999999999</v>
      </c>
      <c r="AO452" s="352">
        <v>2.8449</v>
      </c>
      <c r="AP452" s="213">
        <v>3.6299999999999999E-2</v>
      </c>
      <c r="AQ452" s="219">
        <v>0.43819668597671163</v>
      </c>
      <c r="AR452" s="213" t="s">
        <v>1827</v>
      </c>
      <c r="AU452" s="343"/>
      <c r="AV452" s="343"/>
      <c r="AW452" s="328"/>
      <c r="AX452" s="329"/>
      <c r="AY452" s="328"/>
      <c r="AZ452" s="328"/>
      <c r="BA452" s="330"/>
      <c r="BB452" s="328"/>
      <c r="BC452" s="328"/>
      <c r="BD452" s="328"/>
      <c r="BE452" s="330"/>
      <c r="BF452" s="330"/>
      <c r="BG452" s="344"/>
      <c r="BH452" s="330"/>
      <c r="BI452" s="330"/>
      <c r="BJ452" s="330"/>
      <c r="BK452" s="330"/>
      <c r="BL452" s="330"/>
      <c r="BM452" s="330"/>
      <c r="BN452" s="330"/>
      <c r="BO452" s="330"/>
      <c r="BP452" s="331"/>
      <c r="BQ452" s="332"/>
      <c r="BR452" s="333"/>
    </row>
    <row r="453" spans="2:70" ht="15.75" customHeight="1">
      <c r="B453" s="216" t="s">
        <v>315</v>
      </c>
      <c r="C453" s="212">
        <v>2153731</v>
      </c>
      <c r="D453" s="223">
        <v>12813445000170</v>
      </c>
      <c r="E453" s="217" t="s">
        <v>25</v>
      </c>
      <c r="F453" s="217" t="s">
        <v>958</v>
      </c>
      <c r="G453" s="217" t="s">
        <v>962</v>
      </c>
      <c r="H453" s="218" t="s">
        <v>66</v>
      </c>
      <c r="I453" s="217" t="s">
        <v>1841</v>
      </c>
      <c r="J453" s="217" t="s">
        <v>66</v>
      </c>
      <c r="K453" s="218"/>
      <c r="L453" s="212" t="s">
        <v>87</v>
      </c>
      <c r="M453" s="250"/>
      <c r="N453" s="239">
        <v>40519</v>
      </c>
      <c r="O453" s="210" t="s">
        <v>314</v>
      </c>
      <c r="P453" s="210" t="s">
        <v>1322</v>
      </c>
      <c r="Q453" s="210" t="s">
        <v>1148</v>
      </c>
      <c r="R453" s="210" t="s">
        <v>1084</v>
      </c>
      <c r="S453" s="210" t="s">
        <v>1078</v>
      </c>
      <c r="T453" s="210" t="s">
        <v>1082</v>
      </c>
      <c r="U453" s="210" t="s">
        <v>958</v>
      </c>
      <c r="V453" s="210" t="s">
        <v>25</v>
      </c>
      <c r="W453" s="211" t="s">
        <v>1016</v>
      </c>
      <c r="X453" s="211">
        <v>20000</v>
      </c>
      <c r="Y453" s="211">
        <v>5000</v>
      </c>
      <c r="Z453" s="212">
        <v>20000</v>
      </c>
      <c r="AA453" s="240">
        <v>5</v>
      </c>
      <c r="AB453" s="213">
        <v>1.2E-2</v>
      </c>
      <c r="AC453" s="213">
        <v>0.2</v>
      </c>
      <c r="AD453" s="213" t="s">
        <v>1100</v>
      </c>
      <c r="AE453" s="213">
        <v>2.3999999999999998E-3</v>
      </c>
      <c r="AF453" s="241">
        <v>28487402.859999999</v>
      </c>
      <c r="AG453" s="241">
        <v>28487402.859999999</v>
      </c>
      <c r="AH453" s="213">
        <v>5.8299999999999998E-2</v>
      </c>
      <c r="AI453" s="352">
        <v>0.89849999999999997</v>
      </c>
      <c r="AJ453" s="213">
        <v>9.0899999999999995E-2</v>
      </c>
      <c r="AK453" s="352">
        <v>0.96619999999999995</v>
      </c>
      <c r="AL453" s="213">
        <v>0.1143</v>
      </c>
      <c r="AM453" s="352">
        <v>0.94599999999999995</v>
      </c>
      <c r="AN453" s="213">
        <v>0.17130000000000001</v>
      </c>
      <c r="AO453" s="352">
        <v>1.0165</v>
      </c>
      <c r="AP453" s="213">
        <v>1.7500000000000002E-2</v>
      </c>
      <c r="AQ453" s="219">
        <v>-0.15786022131502644</v>
      </c>
      <c r="AR453" s="213" t="s">
        <v>1827</v>
      </c>
      <c r="AU453" s="343"/>
      <c r="AV453" s="343"/>
      <c r="AW453" s="328"/>
      <c r="AX453" s="329"/>
      <c r="AY453" s="328"/>
      <c r="AZ453" s="328"/>
      <c r="BA453" s="330"/>
      <c r="BB453" s="328"/>
      <c r="BC453" s="328"/>
      <c r="BD453" s="328"/>
      <c r="BE453" s="330"/>
      <c r="BF453" s="330"/>
      <c r="BG453" s="344"/>
      <c r="BH453" s="330"/>
      <c r="BI453" s="330"/>
      <c r="BJ453" s="330"/>
      <c r="BK453" s="330"/>
      <c r="BL453" s="330"/>
      <c r="BM453" s="330"/>
      <c r="BN453" s="330"/>
      <c r="BO453" s="330"/>
      <c r="BP453" s="331"/>
      <c r="BQ453" s="332"/>
      <c r="BR453" s="333"/>
    </row>
    <row r="454" spans="2:70" ht="15.75" customHeight="1">
      <c r="B454" s="216" t="s">
        <v>1323</v>
      </c>
      <c r="C454" s="212">
        <v>3138257</v>
      </c>
      <c r="D454" s="223">
        <v>7195440000190</v>
      </c>
      <c r="E454" s="217" t="s">
        <v>28</v>
      </c>
      <c r="F454" s="217" t="s">
        <v>950</v>
      </c>
      <c r="G454" s="217"/>
      <c r="H454" s="218"/>
      <c r="I454" s="217" t="s">
        <v>66</v>
      </c>
      <c r="J454" s="217" t="s">
        <v>66</v>
      </c>
      <c r="K454" s="218" t="s">
        <v>951</v>
      </c>
      <c r="L454" s="212" t="s">
        <v>87</v>
      </c>
      <c r="M454" s="250"/>
      <c r="N454" s="239">
        <v>40809</v>
      </c>
      <c r="O454" s="210" t="s">
        <v>314</v>
      </c>
      <c r="P454" s="210" t="s">
        <v>1322</v>
      </c>
      <c r="Q454" s="210" t="s">
        <v>1148</v>
      </c>
      <c r="R454" s="210" t="s">
        <v>1084</v>
      </c>
      <c r="S454" s="210" t="s">
        <v>1078</v>
      </c>
      <c r="T454" s="210" t="s">
        <v>1079</v>
      </c>
      <c r="U454" s="210" t="s">
        <v>950</v>
      </c>
      <c r="V454" s="210" t="s">
        <v>1080</v>
      </c>
      <c r="W454" s="211" t="s">
        <v>1007</v>
      </c>
      <c r="X454" s="211">
        <v>25000</v>
      </c>
      <c r="Y454" s="211">
        <v>5000</v>
      </c>
      <c r="Z454" s="212">
        <v>5000</v>
      </c>
      <c r="AA454" s="240">
        <v>5</v>
      </c>
      <c r="AB454" s="213">
        <v>1.2E-2</v>
      </c>
      <c r="AC454" s="213">
        <v>0.2</v>
      </c>
      <c r="AD454" s="213" t="s">
        <v>1014</v>
      </c>
      <c r="AE454" s="213">
        <v>2.3999999999999998E-3</v>
      </c>
      <c r="AF454" s="241">
        <v>41873919.039999999</v>
      </c>
      <c r="AG454" s="241">
        <v>41873919.039999999</v>
      </c>
      <c r="AH454" s="213">
        <v>3.0200000000000001E-2</v>
      </c>
      <c r="AI454" s="352">
        <v>0.46460000000000001</v>
      </c>
      <c r="AJ454" s="213">
        <v>-0.10730000000000001</v>
      </c>
      <c r="AK454" s="352">
        <v>-1.1402000000000001</v>
      </c>
      <c r="AL454" s="213">
        <v>6.1000000000000004E-3</v>
      </c>
      <c r="AM454" s="352">
        <v>5.0599999999999999E-2</v>
      </c>
      <c r="AN454" s="213">
        <v>0.1464</v>
      </c>
      <c r="AO454" s="352">
        <v>0.86870000000000003</v>
      </c>
      <c r="AP454" s="213">
        <v>0.1681</v>
      </c>
      <c r="AQ454" s="219">
        <v>-1.126037754586483</v>
      </c>
      <c r="AR454" s="213" t="s">
        <v>1827</v>
      </c>
      <c r="AU454" s="343"/>
      <c r="AV454" s="343"/>
      <c r="AW454" s="328"/>
      <c r="AX454" s="329"/>
      <c r="AY454" s="328"/>
      <c r="AZ454" s="328"/>
      <c r="BA454" s="330"/>
      <c r="BB454" s="328"/>
      <c r="BC454" s="328"/>
      <c r="BD454" s="328"/>
      <c r="BE454" s="330"/>
      <c r="BF454" s="330"/>
      <c r="BG454" s="344"/>
      <c r="BH454" s="330"/>
      <c r="BI454" s="330"/>
      <c r="BJ454" s="330"/>
      <c r="BK454" s="330"/>
      <c r="BL454" s="330"/>
      <c r="BM454" s="330"/>
      <c r="BN454" s="330"/>
      <c r="BO454" s="330"/>
      <c r="BP454" s="331"/>
      <c r="BQ454" s="332"/>
      <c r="BR454" s="333"/>
    </row>
    <row r="455" spans="2:70" ht="15.75" customHeight="1">
      <c r="B455" s="216" t="s">
        <v>1324</v>
      </c>
      <c r="C455" s="212">
        <v>937040</v>
      </c>
      <c r="D455" s="223">
        <v>44614202000107</v>
      </c>
      <c r="E455" s="217" t="s">
        <v>19</v>
      </c>
      <c r="F455" s="217" t="s">
        <v>1009</v>
      </c>
      <c r="G455" s="217"/>
      <c r="H455" s="218"/>
      <c r="I455" s="217" t="s">
        <v>66</v>
      </c>
      <c r="J455" s="217"/>
      <c r="K455" s="218" t="s">
        <v>954</v>
      </c>
      <c r="L455" s="212" t="s">
        <v>87</v>
      </c>
      <c r="M455" s="250"/>
      <c r="N455" s="239">
        <v>44650</v>
      </c>
      <c r="O455" s="210" t="s">
        <v>249</v>
      </c>
      <c r="P455" s="210" t="s">
        <v>1075</v>
      </c>
      <c r="Q455" s="210" t="s">
        <v>1076</v>
      </c>
      <c r="R455" s="210" t="s">
        <v>480</v>
      </c>
      <c r="S455" s="210" t="s">
        <v>1078</v>
      </c>
      <c r="T455" s="210" t="s">
        <v>349</v>
      </c>
      <c r="U455" s="210" t="s">
        <v>65</v>
      </c>
      <c r="V455" s="210" t="s">
        <v>25</v>
      </c>
      <c r="W455" s="211" t="s">
        <v>1028</v>
      </c>
      <c r="X455" s="211">
        <v>5000</v>
      </c>
      <c r="Y455" s="211">
        <v>5000</v>
      </c>
      <c r="Z455" s="212">
        <v>5000</v>
      </c>
      <c r="AA455" s="240">
        <v>6</v>
      </c>
      <c r="AB455" s="213">
        <v>0.01</v>
      </c>
      <c r="AC455" s="213">
        <v>0</v>
      </c>
      <c r="AD455" s="213" t="s">
        <v>1100</v>
      </c>
      <c r="AE455" s="213" t="s">
        <v>66</v>
      </c>
      <c r="AF455" s="241">
        <v>3724105.99</v>
      </c>
      <c r="AG455" s="241">
        <v>3724105.99</v>
      </c>
      <c r="AH455" s="213" t="s">
        <v>66</v>
      </c>
      <c r="AI455" s="352" t="s">
        <v>66</v>
      </c>
      <c r="AJ455" s="213" t="s">
        <v>66</v>
      </c>
      <c r="AK455" s="352" t="s">
        <v>66</v>
      </c>
      <c r="AL455" s="213" t="s">
        <v>66</v>
      </c>
      <c r="AM455" s="352" t="s">
        <v>66</v>
      </c>
      <c r="AN455" s="213" t="s">
        <v>66</v>
      </c>
      <c r="AO455" s="352" t="s">
        <v>66</v>
      </c>
      <c r="AP455" s="213" t="s">
        <v>66</v>
      </c>
      <c r="AQ455" s="219" t="s">
        <v>66</v>
      </c>
      <c r="AR455" s="213" t="s">
        <v>1824</v>
      </c>
      <c r="AU455" s="343"/>
      <c r="AV455" s="343"/>
      <c r="AW455" s="328"/>
      <c r="AX455" s="329"/>
      <c r="AY455" s="328"/>
      <c r="AZ455" s="328"/>
      <c r="BA455" s="330"/>
      <c r="BB455" s="328"/>
      <c r="BC455" s="328"/>
      <c r="BD455" s="328"/>
      <c r="BE455" s="330"/>
      <c r="BF455" s="330"/>
      <c r="BG455" s="344"/>
      <c r="BH455" s="330"/>
      <c r="BI455" s="330"/>
      <c r="BJ455" s="330"/>
      <c r="BK455" s="330"/>
      <c r="BL455" s="330"/>
      <c r="BM455" s="330"/>
      <c r="BN455" s="330"/>
      <c r="BO455" s="330"/>
      <c r="BP455" s="331"/>
      <c r="BQ455" s="332"/>
      <c r="BR455" s="333"/>
    </row>
    <row r="456" spans="2:70" ht="15.75" customHeight="1">
      <c r="B456" s="216" t="s">
        <v>1325</v>
      </c>
      <c r="C456" s="212">
        <v>937039</v>
      </c>
      <c r="D456" s="223">
        <v>17251743000137</v>
      </c>
      <c r="E456" s="217" t="s">
        <v>19</v>
      </c>
      <c r="F456" s="217" t="s">
        <v>963</v>
      </c>
      <c r="G456" s="217" t="s">
        <v>1011</v>
      </c>
      <c r="H456" s="218" t="s">
        <v>1113</v>
      </c>
      <c r="I456" s="217" t="s">
        <v>66</v>
      </c>
      <c r="J456" s="217"/>
      <c r="K456" s="218" t="s">
        <v>951</v>
      </c>
      <c r="L456" s="212" t="s">
        <v>87</v>
      </c>
      <c r="M456" s="250"/>
      <c r="N456" s="239">
        <v>41578</v>
      </c>
      <c r="O456" s="210" t="s">
        <v>316</v>
      </c>
      <c r="P456" s="210" t="s">
        <v>1075</v>
      </c>
      <c r="Q456" s="210" t="s">
        <v>1076</v>
      </c>
      <c r="R456" s="210" t="s">
        <v>1077</v>
      </c>
      <c r="S456" s="210" t="s">
        <v>1078</v>
      </c>
      <c r="T456" s="210" t="s">
        <v>1275</v>
      </c>
      <c r="U456" s="210" t="s">
        <v>1114</v>
      </c>
      <c r="V456" s="210" t="s">
        <v>25</v>
      </c>
      <c r="W456" s="211" t="s">
        <v>1019</v>
      </c>
      <c r="X456" s="211">
        <v>25000</v>
      </c>
      <c r="Y456" s="211">
        <v>1000</v>
      </c>
      <c r="Z456" s="212">
        <v>1000</v>
      </c>
      <c r="AA456" s="240">
        <v>91</v>
      </c>
      <c r="AB456" s="213">
        <v>8.0000000000000002E-3</v>
      </c>
      <c r="AC456" s="213">
        <v>0.2</v>
      </c>
      <c r="AD456" s="213" t="s">
        <v>109</v>
      </c>
      <c r="AE456" s="213">
        <v>2.3466666666666666E-3</v>
      </c>
      <c r="AF456" s="241">
        <v>708812407.88</v>
      </c>
      <c r="AG456" s="241">
        <v>708812407.88</v>
      </c>
      <c r="AH456" s="213">
        <v>7.8100000000000003E-2</v>
      </c>
      <c r="AI456" s="352">
        <v>1.2036</v>
      </c>
      <c r="AJ456" s="213">
        <v>0.1192</v>
      </c>
      <c r="AK456" s="352">
        <v>1.2666999999999999</v>
      </c>
      <c r="AL456" s="213">
        <v>0.16900000000000001</v>
      </c>
      <c r="AM456" s="352">
        <v>1.3987000000000001</v>
      </c>
      <c r="AN456" s="213">
        <v>0.24079999999999999</v>
      </c>
      <c r="AO456" s="352">
        <v>1.4287000000000001</v>
      </c>
      <c r="AP456" s="213">
        <v>2.0999999999999999E-3</v>
      </c>
      <c r="AQ456" s="219">
        <v>10.999104435469157</v>
      </c>
      <c r="AR456" s="213" t="s">
        <v>1827</v>
      </c>
      <c r="AU456" s="343"/>
      <c r="AV456" s="343"/>
      <c r="AW456" s="328"/>
      <c r="AX456" s="329"/>
      <c r="AY456" s="328"/>
      <c r="AZ456" s="328"/>
      <c r="BA456" s="330"/>
      <c r="BB456" s="328"/>
      <c r="BC456" s="328"/>
      <c r="BD456" s="328"/>
      <c r="BE456" s="330"/>
      <c r="BF456" s="330"/>
      <c r="BG456" s="344"/>
      <c r="BH456" s="330"/>
      <c r="BI456" s="330"/>
      <c r="BJ456" s="330"/>
      <c r="BK456" s="330"/>
      <c r="BL456" s="330"/>
      <c r="BM456" s="330"/>
      <c r="BN456" s="330"/>
      <c r="BO456" s="330"/>
      <c r="BP456" s="331"/>
      <c r="BQ456" s="332"/>
      <c r="BR456" s="333"/>
    </row>
    <row r="457" spans="2:70" ht="15.75" customHeight="1">
      <c r="B457" s="216" t="s">
        <v>780</v>
      </c>
      <c r="C457" s="212">
        <v>65382</v>
      </c>
      <c r="D457" s="223">
        <v>40905548000103</v>
      </c>
      <c r="E457" s="217" t="s">
        <v>19</v>
      </c>
      <c r="F457" s="217" t="s">
        <v>963</v>
      </c>
      <c r="G457" s="217" t="s">
        <v>1034</v>
      </c>
      <c r="H457" s="218" t="s">
        <v>1113</v>
      </c>
      <c r="I457" s="217" t="s">
        <v>66</v>
      </c>
      <c r="J457" s="217" t="s">
        <v>1822</v>
      </c>
      <c r="K457" s="218" t="s">
        <v>951</v>
      </c>
      <c r="L457" s="212" t="s">
        <v>87</v>
      </c>
      <c r="M457" s="250"/>
      <c r="N457" s="239">
        <v>44280</v>
      </c>
      <c r="O457" s="210" t="s">
        <v>316</v>
      </c>
      <c r="P457" s="210" t="s">
        <v>1075</v>
      </c>
      <c r="Q457" s="210" t="s">
        <v>1076</v>
      </c>
      <c r="R457" s="210" t="s">
        <v>1077</v>
      </c>
      <c r="S457" s="210" t="s">
        <v>1078</v>
      </c>
      <c r="T457" s="210" t="s">
        <v>32</v>
      </c>
      <c r="U457" s="210" t="s">
        <v>1150</v>
      </c>
      <c r="V457" s="210" t="s">
        <v>25</v>
      </c>
      <c r="W457" s="211" t="s">
        <v>1019</v>
      </c>
      <c r="X457" s="211">
        <v>1000</v>
      </c>
      <c r="Y457" s="211">
        <v>100</v>
      </c>
      <c r="Z457" s="212">
        <v>1000</v>
      </c>
      <c r="AA457" s="240">
        <v>181</v>
      </c>
      <c r="AB457" s="213">
        <v>0.01</v>
      </c>
      <c r="AC457" s="213">
        <v>0.15</v>
      </c>
      <c r="AD457" s="213" t="s">
        <v>113</v>
      </c>
      <c r="AE457" s="213">
        <v>2.1333333333333334E-3</v>
      </c>
      <c r="AF457" s="241">
        <v>41352917.920000002</v>
      </c>
      <c r="AG457" s="241">
        <v>41352917.920000002</v>
      </c>
      <c r="AH457" s="213">
        <v>9.3600000000000003E-2</v>
      </c>
      <c r="AI457" s="352">
        <v>1.4419999999999999</v>
      </c>
      <c r="AJ457" s="213">
        <v>0.1532</v>
      </c>
      <c r="AK457" s="352">
        <v>1.6285000000000001</v>
      </c>
      <c r="AL457" s="213" t="s">
        <v>66</v>
      </c>
      <c r="AM457" s="352" t="s">
        <v>66</v>
      </c>
      <c r="AN457" s="213" t="s">
        <v>66</v>
      </c>
      <c r="AO457" s="352" t="s">
        <v>66</v>
      </c>
      <c r="AP457" s="213">
        <v>2.3E-3</v>
      </c>
      <c r="AQ457" s="219">
        <v>23.28222862824806</v>
      </c>
      <c r="AR457" s="213" t="s">
        <v>1827</v>
      </c>
      <c r="AU457" s="343"/>
      <c r="AV457" s="343"/>
      <c r="AW457" s="328"/>
      <c r="AX457" s="329"/>
      <c r="AY457" s="328"/>
      <c r="AZ457" s="328"/>
      <c r="BA457" s="330"/>
      <c r="BB457" s="328"/>
      <c r="BC457" s="328"/>
      <c r="BD457" s="328"/>
      <c r="BE457" s="330"/>
      <c r="BF457" s="330"/>
      <c r="BG457" s="344"/>
      <c r="BH457" s="330"/>
      <c r="BI457" s="330"/>
      <c r="BJ457" s="330"/>
      <c r="BK457" s="330"/>
      <c r="BL457" s="330"/>
      <c r="BM457" s="330"/>
      <c r="BN457" s="330"/>
      <c r="BO457" s="330"/>
      <c r="BP457" s="331"/>
      <c r="BQ457" s="332"/>
      <c r="BR457" s="333"/>
    </row>
    <row r="458" spans="2:70" ht="15.75" customHeight="1">
      <c r="B458" s="216" t="s">
        <v>1326</v>
      </c>
      <c r="C458" s="212">
        <v>1122826</v>
      </c>
      <c r="D458" s="223">
        <v>22652091000182</v>
      </c>
      <c r="E458" s="217" t="s">
        <v>19</v>
      </c>
      <c r="F458" s="217" t="s">
        <v>963</v>
      </c>
      <c r="G458" s="217" t="s">
        <v>1021</v>
      </c>
      <c r="H458" s="218" t="s">
        <v>1113</v>
      </c>
      <c r="I458" s="217" t="s">
        <v>66</v>
      </c>
      <c r="J458" s="217" t="s">
        <v>1794</v>
      </c>
      <c r="K458" s="218" t="s">
        <v>951</v>
      </c>
      <c r="L458" s="212" t="s">
        <v>87</v>
      </c>
      <c r="M458" s="250"/>
      <c r="N458" s="239">
        <v>42354</v>
      </c>
      <c r="O458" s="210" t="s">
        <v>316</v>
      </c>
      <c r="P458" s="210" t="s">
        <v>1075</v>
      </c>
      <c r="Q458" s="210" t="s">
        <v>1076</v>
      </c>
      <c r="R458" s="210" t="s">
        <v>1077</v>
      </c>
      <c r="S458" s="210" t="s">
        <v>1078</v>
      </c>
      <c r="T458" s="210" t="s">
        <v>1275</v>
      </c>
      <c r="U458" s="210" t="s">
        <v>964</v>
      </c>
      <c r="V458" s="210" t="s">
        <v>25</v>
      </c>
      <c r="W458" s="211" t="s">
        <v>1019</v>
      </c>
      <c r="X458" s="211">
        <v>1000</v>
      </c>
      <c r="Y458" s="211">
        <v>100</v>
      </c>
      <c r="Z458" s="212">
        <v>100</v>
      </c>
      <c r="AA458" s="240">
        <v>121</v>
      </c>
      <c r="AB458" s="213">
        <v>0.01</v>
      </c>
      <c r="AC458" s="213">
        <v>0</v>
      </c>
      <c r="AD458" s="213" t="s">
        <v>203</v>
      </c>
      <c r="AE458" s="213">
        <v>3.0000000000000001E-3</v>
      </c>
      <c r="AF458" s="241">
        <v>1532433183.1800001</v>
      </c>
      <c r="AG458" s="241">
        <v>1532433183.1800001</v>
      </c>
      <c r="AH458" s="213">
        <v>9.0499999999999997E-2</v>
      </c>
      <c r="AI458" s="352">
        <v>1.3937999999999999</v>
      </c>
      <c r="AJ458" s="213">
        <v>0.15479999999999999</v>
      </c>
      <c r="AK458" s="352">
        <v>1.6451</v>
      </c>
      <c r="AL458" s="213">
        <v>0.28339999999999999</v>
      </c>
      <c r="AM458" s="352">
        <v>2.3456999999999999</v>
      </c>
      <c r="AN458" s="213">
        <v>0.39510000000000001</v>
      </c>
      <c r="AO458" s="352">
        <v>2.3445</v>
      </c>
      <c r="AP458" s="213">
        <v>2.7000000000000001E-3</v>
      </c>
      <c r="AQ458" s="219">
        <v>19.643420939487687</v>
      </c>
      <c r="AR458" s="213" t="s">
        <v>1827</v>
      </c>
      <c r="AU458" s="343"/>
      <c r="AV458" s="343"/>
      <c r="AW458" s="328"/>
      <c r="AX458" s="329"/>
      <c r="AY458" s="328"/>
      <c r="AZ458" s="328"/>
      <c r="BA458" s="330"/>
      <c r="BB458" s="328"/>
      <c r="BC458" s="328"/>
      <c r="BD458" s="328"/>
      <c r="BE458" s="330"/>
      <c r="BF458" s="330"/>
      <c r="BG458" s="344"/>
      <c r="BH458" s="330"/>
      <c r="BI458" s="330"/>
      <c r="BJ458" s="330"/>
      <c r="BK458" s="330"/>
      <c r="BL458" s="330"/>
      <c r="BM458" s="330"/>
      <c r="BN458" s="330"/>
      <c r="BO458" s="330"/>
      <c r="BP458" s="331"/>
      <c r="BQ458" s="332"/>
      <c r="BR458" s="333"/>
    </row>
    <row r="459" spans="2:70" ht="15.75" customHeight="1">
      <c r="B459" s="216" t="s">
        <v>781</v>
      </c>
      <c r="C459" s="212">
        <v>956854</v>
      </c>
      <c r="D459" s="223">
        <v>31353316000190</v>
      </c>
      <c r="E459" s="217" t="s">
        <v>19</v>
      </c>
      <c r="F459" s="217" t="s">
        <v>963</v>
      </c>
      <c r="G459" s="217" t="s">
        <v>1011</v>
      </c>
      <c r="H459" s="218" t="s">
        <v>1113</v>
      </c>
      <c r="I459" s="217" t="s">
        <v>66</v>
      </c>
      <c r="J459" s="217"/>
      <c r="K459" s="218" t="s">
        <v>951</v>
      </c>
      <c r="L459" s="212" t="s">
        <v>87</v>
      </c>
      <c r="M459" s="250"/>
      <c r="N459" s="239">
        <v>43524</v>
      </c>
      <c r="O459" s="210" t="s">
        <v>316</v>
      </c>
      <c r="P459" s="210" t="s">
        <v>1075</v>
      </c>
      <c r="Q459" s="210" t="s">
        <v>1076</v>
      </c>
      <c r="R459" s="210" t="s">
        <v>1077</v>
      </c>
      <c r="S459" s="210" t="s">
        <v>1078</v>
      </c>
      <c r="T459" s="210" t="s">
        <v>1275</v>
      </c>
      <c r="U459" s="210" t="s">
        <v>1114</v>
      </c>
      <c r="V459" s="210" t="s">
        <v>25</v>
      </c>
      <c r="W459" s="211" t="s">
        <v>1019</v>
      </c>
      <c r="X459" s="211">
        <v>5000</v>
      </c>
      <c r="Y459" s="211">
        <v>1000</v>
      </c>
      <c r="Z459" s="212">
        <v>1000</v>
      </c>
      <c r="AA459" s="240">
        <v>121</v>
      </c>
      <c r="AB459" s="213">
        <v>9.1999999999999998E-3</v>
      </c>
      <c r="AC459" s="213">
        <v>0.2</v>
      </c>
      <c r="AD459" s="213" t="s">
        <v>109</v>
      </c>
      <c r="AE459" s="213">
        <v>1.3493333333333332E-3</v>
      </c>
      <c r="AF459" s="241">
        <v>10229917.92</v>
      </c>
      <c r="AG459" s="241">
        <v>10229917.92</v>
      </c>
      <c r="AH459" s="213">
        <v>7.7499999999999999E-2</v>
      </c>
      <c r="AI459" s="352">
        <v>1.1934</v>
      </c>
      <c r="AJ459" s="213">
        <v>0.1174</v>
      </c>
      <c r="AK459" s="352">
        <v>1.2474000000000001</v>
      </c>
      <c r="AL459" s="213">
        <v>0.1651</v>
      </c>
      <c r="AM459" s="352">
        <v>1.3667</v>
      </c>
      <c r="AN459" s="213">
        <v>0.2195</v>
      </c>
      <c r="AO459" s="352">
        <v>1.3025</v>
      </c>
      <c r="AP459" s="213">
        <v>1.6999999999999999E-3</v>
      </c>
      <c r="AQ459" s="219">
        <v>12.683266554500186</v>
      </c>
      <c r="AR459" s="213" t="s">
        <v>1827</v>
      </c>
      <c r="AU459" s="343"/>
      <c r="AV459" s="343"/>
      <c r="AW459" s="328"/>
      <c r="AX459" s="329"/>
      <c r="AY459" s="328"/>
      <c r="AZ459" s="328"/>
      <c r="BA459" s="330"/>
      <c r="BB459" s="328"/>
      <c r="BC459" s="328"/>
      <c r="BD459" s="328"/>
      <c r="BE459" s="330"/>
      <c r="BF459" s="330"/>
      <c r="BG459" s="344"/>
      <c r="BH459" s="330"/>
      <c r="BI459" s="330"/>
      <c r="BJ459" s="330"/>
      <c r="BK459" s="330"/>
      <c r="BL459" s="330"/>
      <c r="BM459" s="330"/>
      <c r="BN459" s="330"/>
      <c r="BO459" s="330"/>
      <c r="BP459" s="331"/>
      <c r="BQ459" s="332"/>
      <c r="BR459" s="333"/>
    </row>
    <row r="460" spans="2:70" ht="15.75" customHeight="1">
      <c r="B460" s="216" t="s">
        <v>1760</v>
      </c>
      <c r="C460" s="212">
        <v>4170275</v>
      </c>
      <c r="D460" s="223">
        <v>46420448000165</v>
      </c>
      <c r="E460" s="217" t="s">
        <v>25</v>
      </c>
      <c r="F460" s="217" t="s">
        <v>959</v>
      </c>
      <c r="G460" s="217" t="s">
        <v>962</v>
      </c>
      <c r="H460" s="218" t="s">
        <v>66</v>
      </c>
      <c r="I460" s="217" t="s">
        <v>1842</v>
      </c>
      <c r="J460" s="217" t="s">
        <v>66</v>
      </c>
      <c r="K460" s="218" t="s">
        <v>954</v>
      </c>
      <c r="L460" s="212" t="s">
        <v>87</v>
      </c>
      <c r="M460" s="250"/>
      <c r="N460" s="239">
        <v>44722</v>
      </c>
      <c r="O460" s="210" t="s">
        <v>802</v>
      </c>
      <c r="P460" s="210" t="s">
        <v>1736</v>
      </c>
      <c r="Q460" s="210" t="s">
        <v>1737</v>
      </c>
      <c r="R460" s="210" t="s">
        <v>1761</v>
      </c>
      <c r="S460" s="210" t="s">
        <v>1085</v>
      </c>
      <c r="T460" s="210" t="s">
        <v>32</v>
      </c>
      <c r="U460" s="210" t="s">
        <v>1254</v>
      </c>
      <c r="V460" s="210" t="s">
        <v>25</v>
      </c>
      <c r="W460" s="211" t="s">
        <v>1762</v>
      </c>
      <c r="X460" s="211">
        <v>50000</v>
      </c>
      <c r="Y460" s="211">
        <v>50000</v>
      </c>
      <c r="Z460" s="212">
        <v>50000</v>
      </c>
      <c r="AA460" s="240">
        <v>182</v>
      </c>
      <c r="AB460" s="213">
        <v>0.02</v>
      </c>
      <c r="AC460" s="213">
        <v>0.2</v>
      </c>
      <c r="AD460" s="213" t="s">
        <v>1100</v>
      </c>
      <c r="AE460" s="213">
        <v>6.6666666666666662E-3</v>
      </c>
      <c r="AF460" s="241">
        <v>48827.45</v>
      </c>
      <c r="AG460" s="241">
        <v>48827.45</v>
      </c>
      <c r="AH460" s="213" t="s">
        <v>66</v>
      </c>
      <c r="AI460" s="352" t="s">
        <v>66</v>
      </c>
      <c r="AJ460" s="213" t="s">
        <v>66</v>
      </c>
      <c r="AK460" s="352" t="s">
        <v>66</v>
      </c>
      <c r="AL460" s="213" t="s">
        <v>66</v>
      </c>
      <c r="AM460" s="352" t="s">
        <v>66</v>
      </c>
      <c r="AN460" s="213" t="s">
        <v>66</v>
      </c>
      <c r="AO460" s="352" t="s">
        <v>66</v>
      </c>
      <c r="AP460" s="213" t="s">
        <v>66</v>
      </c>
      <c r="AQ460" s="219" t="s">
        <v>66</v>
      </c>
      <c r="AR460" s="213" t="s">
        <v>1827</v>
      </c>
      <c r="AU460" s="343"/>
      <c r="AV460" s="343"/>
      <c r="AW460" s="328"/>
      <c r="AX460" s="329"/>
      <c r="AY460" s="328"/>
      <c r="AZ460" s="328"/>
      <c r="BA460" s="330"/>
      <c r="BB460" s="328"/>
      <c r="BC460" s="328"/>
      <c r="BD460" s="328"/>
      <c r="BE460" s="330"/>
      <c r="BF460" s="330"/>
      <c r="BG460" s="344"/>
      <c r="BH460" s="330"/>
      <c r="BI460" s="330"/>
      <c r="BJ460" s="330"/>
      <c r="BK460" s="330"/>
      <c r="BL460" s="330"/>
      <c r="BM460" s="330"/>
      <c r="BN460" s="330"/>
      <c r="BO460" s="330"/>
      <c r="BP460" s="331"/>
      <c r="BQ460" s="332"/>
      <c r="BR460" s="333"/>
    </row>
    <row r="461" spans="2:70" ht="15.75" customHeight="1">
      <c r="B461" s="216" t="s">
        <v>1763</v>
      </c>
      <c r="C461" s="212">
        <v>4248155</v>
      </c>
      <c r="D461" s="223">
        <v>37751366000102</v>
      </c>
      <c r="E461" s="217" t="s">
        <v>28</v>
      </c>
      <c r="F461" s="217" t="s">
        <v>950</v>
      </c>
      <c r="G461" s="217"/>
      <c r="H461" s="218"/>
      <c r="I461" s="217" t="s">
        <v>66</v>
      </c>
      <c r="J461" s="217" t="s">
        <v>66</v>
      </c>
      <c r="K461" s="218" t="s">
        <v>951</v>
      </c>
      <c r="L461" s="212" t="s">
        <v>87</v>
      </c>
      <c r="M461" s="250"/>
      <c r="N461" s="239">
        <v>44225</v>
      </c>
      <c r="O461" s="210" t="s">
        <v>1764</v>
      </c>
      <c r="P461" s="210" t="s">
        <v>1765</v>
      </c>
      <c r="Q461" s="210" t="s">
        <v>1765</v>
      </c>
      <c r="R461" s="210" t="s">
        <v>1745</v>
      </c>
      <c r="S461" s="210" t="s">
        <v>1078</v>
      </c>
      <c r="T461" s="210" t="s">
        <v>1079</v>
      </c>
      <c r="U461" s="210" t="s">
        <v>1739</v>
      </c>
      <c r="V461" s="210" t="s">
        <v>1080</v>
      </c>
      <c r="W461" s="211" t="s">
        <v>1740</v>
      </c>
      <c r="X461" s="211">
        <v>500</v>
      </c>
      <c r="Y461" s="211">
        <v>100</v>
      </c>
      <c r="Z461" s="212">
        <v>100</v>
      </c>
      <c r="AA461" s="240">
        <v>32</v>
      </c>
      <c r="AB461" s="213">
        <v>1.8800000000000001E-2</v>
      </c>
      <c r="AC461" s="213">
        <v>0.2</v>
      </c>
      <c r="AD461" s="213" t="s">
        <v>1014</v>
      </c>
      <c r="AE461" s="213" t="s">
        <v>66</v>
      </c>
      <c r="AF461" s="241">
        <v>8433409.6600000001</v>
      </c>
      <c r="AG461" s="241">
        <v>8433409.6600000001</v>
      </c>
      <c r="AH461" s="213">
        <v>-4.65E-2</v>
      </c>
      <c r="AI461" s="352">
        <v>-0.71650000000000003</v>
      </c>
      <c r="AJ461" s="213">
        <v>-0.23480000000000001</v>
      </c>
      <c r="AK461" s="352">
        <v>-2.4950999999999999</v>
      </c>
      <c r="AL461" s="213" t="s">
        <v>66</v>
      </c>
      <c r="AM461" s="352" t="s">
        <v>66</v>
      </c>
      <c r="AN461" s="213" t="s">
        <v>66</v>
      </c>
      <c r="AO461" s="352" t="s">
        <v>66</v>
      </c>
      <c r="AP461" s="213">
        <v>0.23019999999999999</v>
      </c>
      <c r="AQ461" s="219">
        <v>-1.4372498619016962</v>
      </c>
      <c r="AR461" s="213" t="s">
        <v>1824</v>
      </c>
      <c r="AU461" s="343"/>
      <c r="AV461" s="343"/>
      <c r="AW461" s="328"/>
      <c r="AX461" s="329"/>
      <c r="AY461" s="328"/>
      <c r="AZ461" s="328"/>
      <c r="BA461" s="330"/>
      <c r="BB461" s="328"/>
      <c r="BC461" s="328"/>
      <c r="BD461" s="328"/>
      <c r="BE461" s="330"/>
      <c r="BF461" s="330"/>
      <c r="BG461" s="344"/>
      <c r="BH461" s="383"/>
      <c r="BI461" s="330"/>
      <c r="BJ461" s="330"/>
      <c r="BK461" s="330"/>
      <c r="BL461" s="330"/>
      <c r="BM461" s="330"/>
      <c r="BN461" s="330"/>
      <c r="BO461" s="330"/>
      <c r="BP461" s="331"/>
      <c r="BQ461" s="332"/>
      <c r="BR461" s="333"/>
    </row>
    <row r="462" spans="2:70" ht="15.75" customHeight="1">
      <c r="B462" s="216" t="s">
        <v>1766</v>
      </c>
      <c r="C462" s="212">
        <v>4248162</v>
      </c>
      <c r="D462" s="223">
        <v>37487351000189</v>
      </c>
      <c r="E462" s="217" t="s">
        <v>28</v>
      </c>
      <c r="F462" s="217" t="s">
        <v>957</v>
      </c>
      <c r="G462" s="217"/>
      <c r="H462" s="218"/>
      <c r="I462" s="217" t="s">
        <v>1842</v>
      </c>
      <c r="J462" s="217" t="s">
        <v>66</v>
      </c>
      <c r="K462" s="218" t="s">
        <v>951</v>
      </c>
      <c r="L462" s="212" t="s">
        <v>87</v>
      </c>
      <c r="M462" s="250"/>
      <c r="N462" s="239">
        <v>44225</v>
      </c>
      <c r="O462" s="210" t="s">
        <v>1764</v>
      </c>
      <c r="P462" s="210" t="s">
        <v>1765</v>
      </c>
      <c r="Q462" s="210" t="s">
        <v>1765</v>
      </c>
      <c r="R462" s="210" t="s">
        <v>1745</v>
      </c>
      <c r="S462" s="210" t="s">
        <v>1078</v>
      </c>
      <c r="T462" s="210" t="s">
        <v>1079</v>
      </c>
      <c r="U462" s="210" t="s">
        <v>1767</v>
      </c>
      <c r="V462" s="210" t="s">
        <v>25</v>
      </c>
      <c r="W462" s="211" t="s">
        <v>1768</v>
      </c>
      <c r="X462" s="211">
        <v>500</v>
      </c>
      <c r="Y462" s="211">
        <v>100</v>
      </c>
      <c r="Z462" s="212">
        <v>100</v>
      </c>
      <c r="AA462" s="240">
        <v>32</v>
      </c>
      <c r="AB462" s="213">
        <v>1.8800000000000001E-2</v>
      </c>
      <c r="AC462" s="213">
        <v>0.2</v>
      </c>
      <c r="AD462" s="213" t="s">
        <v>109</v>
      </c>
      <c r="AE462" s="213" t="s">
        <v>66</v>
      </c>
      <c r="AF462" s="241">
        <v>36543397.079999998</v>
      </c>
      <c r="AG462" s="241">
        <v>36543397.079999998</v>
      </c>
      <c r="AH462" s="213">
        <v>-1.66E-2</v>
      </c>
      <c r="AI462" s="352">
        <v>-0.25509999999999999</v>
      </c>
      <c r="AJ462" s="213">
        <v>-0.22439999999999999</v>
      </c>
      <c r="AK462" s="352">
        <v>-2.3853</v>
      </c>
      <c r="AL462" s="213" t="s">
        <v>66</v>
      </c>
      <c r="AM462" s="352" t="s">
        <v>66</v>
      </c>
      <c r="AN462" s="213" t="s">
        <v>66</v>
      </c>
      <c r="AO462" s="352" t="s">
        <v>66</v>
      </c>
      <c r="AP462" s="213">
        <v>0.2442</v>
      </c>
      <c r="AQ462" s="219">
        <v>-1.2861688048150377</v>
      </c>
      <c r="AR462" s="213" t="s">
        <v>1827</v>
      </c>
      <c r="AU462" s="343"/>
      <c r="AV462" s="343"/>
      <c r="AW462" s="328"/>
      <c r="AX462" s="329"/>
      <c r="AY462" s="328"/>
      <c r="AZ462" s="328"/>
      <c r="BA462" s="330"/>
      <c r="BB462" s="328"/>
      <c r="BC462" s="328"/>
      <c r="BD462" s="328"/>
      <c r="BE462" s="330"/>
      <c r="BF462" s="330"/>
      <c r="BG462" s="344"/>
      <c r="BH462" s="330"/>
      <c r="BI462" s="330"/>
      <c r="BJ462" s="330"/>
      <c r="BK462" s="330"/>
      <c r="BL462" s="330"/>
      <c r="BM462" s="330"/>
      <c r="BN462" s="330"/>
      <c r="BO462" s="330"/>
      <c r="BP462" s="331"/>
      <c r="BQ462" s="332"/>
      <c r="BR462" s="333"/>
    </row>
    <row r="463" spans="2:70" ht="15.75" customHeight="1">
      <c r="B463" s="216" t="s">
        <v>317</v>
      </c>
      <c r="C463" s="212">
        <v>956856</v>
      </c>
      <c r="D463" s="223">
        <v>34626199000180</v>
      </c>
      <c r="E463" s="217" t="s">
        <v>25</v>
      </c>
      <c r="F463" s="217" t="s">
        <v>959</v>
      </c>
      <c r="G463" s="217" t="s">
        <v>953</v>
      </c>
      <c r="H463" s="218" t="s">
        <v>66</v>
      </c>
      <c r="I463" s="217" t="s">
        <v>1841</v>
      </c>
      <c r="J463" s="217" t="s">
        <v>66</v>
      </c>
      <c r="K463" s="218"/>
      <c r="L463" s="212" t="s">
        <v>87</v>
      </c>
      <c r="M463" s="250"/>
      <c r="N463" s="239">
        <v>43760</v>
      </c>
      <c r="O463" s="210" t="s">
        <v>318</v>
      </c>
      <c r="P463" s="210" t="s">
        <v>1088</v>
      </c>
      <c r="Q463" s="210" t="s">
        <v>1089</v>
      </c>
      <c r="R463" s="210" t="s">
        <v>1084</v>
      </c>
      <c r="S463" s="210" t="s">
        <v>1078</v>
      </c>
      <c r="T463" s="210" t="s">
        <v>1082</v>
      </c>
      <c r="U463" s="210" t="s">
        <v>1086</v>
      </c>
      <c r="V463" s="210" t="s">
        <v>25</v>
      </c>
      <c r="W463" s="211" t="s">
        <v>1016</v>
      </c>
      <c r="X463" s="211">
        <v>100</v>
      </c>
      <c r="Y463" s="211">
        <v>100</v>
      </c>
      <c r="Z463" s="212">
        <v>100</v>
      </c>
      <c r="AA463" s="240">
        <v>16</v>
      </c>
      <c r="AB463" s="213">
        <v>1.9900000000000001E-2</v>
      </c>
      <c r="AC463" s="213">
        <v>0.2</v>
      </c>
      <c r="AD463" s="213" t="s">
        <v>109</v>
      </c>
      <c r="AE463" s="213">
        <v>5.306666666666667E-3</v>
      </c>
      <c r="AF463" s="241">
        <v>115667598.13</v>
      </c>
      <c r="AG463" s="241">
        <v>115667598.13</v>
      </c>
      <c r="AH463" s="213">
        <v>3.78E-2</v>
      </c>
      <c r="AI463" s="352">
        <v>0.58209999999999995</v>
      </c>
      <c r="AJ463" s="213">
        <v>6.3700000000000007E-2</v>
      </c>
      <c r="AK463" s="352">
        <v>0.6774</v>
      </c>
      <c r="AL463" s="213">
        <v>0.1719</v>
      </c>
      <c r="AM463" s="352">
        <v>1.4228000000000001</v>
      </c>
      <c r="AN463" s="213" t="s">
        <v>66</v>
      </c>
      <c r="AO463" s="352" t="s">
        <v>66</v>
      </c>
      <c r="AP463" s="213">
        <v>4.4900000000000002E-2</v>
      </c>
      <c r="AQ463" s="219">
        <v>-0.6040379618834365</v>
      </c>
      <c r="AR463" s="213" t="s">
        <v>1827</v>
      </c>
      <c r="AU463" s="343"/>
      <c r="AV463" s="343"/>
      <c r="AW463" s="328"/>
      <c r="AX463" s="329"/>
      <c r="AY463" s="328"/>
      <c r="AZ463" s="328"/>
      <c r="BA463" s="330"/>
      <c r="BB463" s="328"/>
      <c r="BC463" s="328"/>
      <c r="BD463" s="328"/>
      <c r="BE463" s="330"/>
      <c r="BF463" s="330"/>
      <c r="BG463" s="344"/>
      <c r="BH463" s="330"/>
      <c r="BI463" s="330"/>
      <c r="BJ463" s="330"/>
      <c r="BK463" s="330"/>
      <c r="BL463" s="330"/>
      <c r="BM463" s="330"/>
      <c r="BN463" s="330"/>
      <c r="BO463" s="330"/>
      <c r="BP463" s="331"/>
      <c r="BQ463" s="332"/>
      <c r="BR463" s="333"/>
    </row>
    <row r="464" spans="2:70" ht="15.75" customHeight="1">
      <c r="B464" s="216" t="s">
        <v>1327</v>
      </c>
      <c r="C464" s="212">
        <v>1319407</v>
      </c>
      <c r="D464" s="223">
        <v>44489239000142</v>
      </c>
      <c r="E464" s="217" t="s">
        <v>25</v>
      </c>
      <c r="F464" s="217" t="s">
        <v>958</v>
      </c>
      <c r="G464" s="217" t="s">
        <v>962</v>
      </c>
      <c r="H464" s="218" t="s">
        <v>66</v>
      </c>
      <c r="I464" s="217" t="s">
        <v>1842</v>
      </c>
      <c r="J464" s="217" t="s">
        <v>66</v>
      </c>
      <c r="K464" s="218"/>
      <c r="L464" s="212" t="s">
        <v>87</v>
      </c>
      <c r="M464" s="250"/>
      <c r="N464" s="239">
        <v>44651</v>
      </c>
      <c r="O464" s="210" t="s">
        <v>320</v>
      </c>
      <c r="P464" s="210" t="s">
        <v>1090</v>
      </c>
      <c r="Q464" s="210" t="s">
        <v>1091</v>
      </c>
      <c r="R464" s="210" t="s">
        <v>1084</v>
      </c>
      <c r="S464" s="210" t="s">
        <v>1078</v>
      </c>
      <c r="T464" s="210" t="s">
        <v>1082</v>
      </c>
      <c r="U464" s="210" t="s">
        <v>958</v>
      </c>
      <c r="V464" s="210" t="s">
        <v>25</v>
      </c>
      <c r="W464" s="211" t="s">
        <v>1016</v>
      </c>
      <c r="X464" s="211">
        <v>5000</v>
      </c>
      <c r="Y464" s="211">
        <v>0</v>
      </c>
      <c r="Z464" s="212">
        <v>5000</v>
      </c>
      <c r="AA464" s="240">
        <v>32</v>
      </c>
      <c r="AB464" s="213">
        <v>0.02</v>
      </c>
      <c r="AC464" s="213">
        <v>0.2</v>
      </c>
      <c r="AD464" s="213" t="s">
        <v>109</v>
      </c>
      <c r="AE464" s="213">
        <v>3.3333333333333331E-3</v>
      </c>
      <c r="AF464" s="241">
        <v>11700851.49</v>
      </c>
      <c r="AG464" s="241">
        <v>11700851.49</v>
      </c>
      <c r="AH464" s="213" t="s">
        <v>66</v>
      </c>
      <c r="AI464" s="352" t="s">
        <v>66</v>
      </c>
      <c r="AJ464" s="213" t="s">
        <v>66</v>
      </c>
      <c r="AK464" s="352" t="s">
        <v>66</v>
      </c>
      <c r="AL464" s="213" t="s">
        <v>66</v>
      </c>
      <c r="AM464" s="352" t="s">
        <v>66</v>
      </c>
      <c r="AN464" s="213" t="s">
        <v>66</v>
      </c>
      <c r="AO464" s="352" t="s">
        <v>66</v>
      </c>
      <c r="AP464" s="213" t="s">
        <v>66</v>
      </c>
      <c r="AQ464" s="219" t="s">
        <v>66</v>
      </c>
      <c r="AR464" s="213" t="s">
        <v>1827</v>
      </c>
      <c r="AU464" s="343"/>
      <c r="AV464" s="343"/>
      <c r="AW464" s="328"/>
      <c r="AX464" s="329"/>
      <c r="AY464" s="328"/>
      <c r="AZ464" s="328"/>
      <c r="BA464" s="330"/>
      <c r="BB464" s="328"/>
      <c r="BC464" s="328"/>
      <c r="BD464" s="328"/>
      <c r="BE464" s="330"/>
      <c r="BF464" s="330"/>
      <c r="BG464" s="344"/>
      <c r="BH464" s="330"/>
      <c r="BI464" s="330"/>
      <c r="BJ464" s="330"/>
      <c r="BK464" s="330"/>
      <c r="BL464" s="330"/>
      <c r="BM464" s="330"/>
      <c r="BN464" s="330"/>
      <c r="BO464" s="330"/>
      <c r="BP464" s="331"/>
      <c r="BQ464" s="332"/>
      <c r="BR464" s="333"/>
    </row>
    <row r="465" spans="2:70" ht="15.75" customHeight="1">
      <c r="B465" s="216" t="s">
        <v>319</v>
      </c>
      <c r="C465" s="212">
        <v>3944775</v>
      </c>
      <c r="D465" s="223">
        <v>14122398000143</v>
      </c>
      <c r="E465" s="217" t="s">
        <v>25</v>
      </c>
      <c r="F465" s="217" t="s">
        <v>958</v>
      </c>
      <c r="G465" s="217" t="s">
        <v>962</v>
      </c>
      <c r="H465" s="218" t="s">
        <v>66</v>
      </c>
      <c r="I465" s="217" t="s">
        <v>1842</v>
      </c>
      <c r="J465" s="217" t="s">
        <v>66</v>
      </c>
      <c r="K465" s="218"/>
      <c r="L465" s="212" t="s">
        <v>87</v>
      </c>
      <c r="M465" s="250"/>
      <c r="N465" s="239">
        <v>40939</v>
      </c>
      <c r="O465" s="210" t="s">
        <v>320</v>
      </c>
      <c r="P465" s="210" t="s">
        <v>1090</v>
      </c>
      <c r="Q465" s="210" t="s">
        <v>1091</v>
      </c>
      <c r="R465" s="210" t="s">
        <v>1084</v>
      </c>
      <c r="S465" s="210" t="s">
        <v>1078</v>
      </c>
      <c r="T465" s="210" t="s">
        <v>1082</v>
      </c>
      <c r="U465" s="210" t="s">
        <v>958</v>
      </c>
      <c r="V465" s="210" t="s">
        <v>25</v>
      </c>
      <c r="W465" s="211" t="s">
        <v>1016</v>
      </c>
      <c r="X465" s="211">
        <v>5000</v>
      </c>
      <c r="Y465" s="211">
        <v>0</v>
      </c>
      <c r="Z465" s="212">
        <v>5000</v>
      </c>
      <c r="AA465" s="240">
        <v>31</v>
      </c>
      <c r="AB465" s="213">
        <v>0.02</v>
      </c>
      <c r="AC465" s="213">
        <v>0.2</v>
      </c>
      <c r="AD465" s="213" t="s">
        <v>109</v>
      </c>
      <c r="AE465" s="213">
        <v>3.3333333333333331E-3</v>
      </c>
      <c r="AF465" s="241" t="s">
        <v>66</v>
      </c>
      <c r="AG465" s="241" t="s">
        <v>66</v>
      </c>
      <c r="AH465" s="213" t="s">
        <v>66</v>
      </c>
      <c r="AI465" s="352" t="s">
        <v>66</v>
      </c>
      <c r="AJ465" s="213" t="s">
        <v>66</v>
      </c>
      <c r="AK465" s="352" t="s">
        <v>66</v>
      </c>
      <c r="AL465" s="213" t="s">
        <v>66</v>
      </c>
      <c r="AM465" s="352" t="s">
        <v>66</v>
      </c>
      <c r="AN465" s="213" t="s">
        <v>66</v>
      </c>
      <c r="AO465" s="352" t="s">
        <v>66</v>
      </c>
      <c r="AP465" s="213" t="s">
        <v>66</v>
      </c>
      <c r="AQ465" s="219" t="s">
        <v>66</v>
      </c>
      <c r="AR465" s="213" t="s">
        <v>1827</v>
      </c>
      <c r="AU465" s="343"/>
      <c r="AV465" s="343"/>
      <c r="AW465" s="328"/>
      <c r="AX465" s="329"/>
      <c r="AY465" s="328"/>
      <c r="AZ465" s="328"/>
      <c r="BA465" s="330"/>
      <c r="BB465" s="328"/>
      <c r="BC465" s="328"/>
      <c r="BD465" s="328"/>
      <c r="BE465" s="330"/>
      <c r="BF465" s="330"/>
      <c r="BG465" s="344"/>
      <c r="BH465" s="330"/>
      <c r="BI465" s="330"/>
      <c r="BJ465" s="330"/>
      <c r="BK465" s="330"/>
      <c r="BL465" s="330"/>
      <c r="BM465" s="330"/>
      <c r="BN465" s="330"/>
      <c r="BO465" s="330"/>
      <c r="BP465" s="331"/>
      <c r="BQ465" s="332"/>
      <c r="BR465" s="333"/>
    </row>
    <row r="466" spans="2:70" ht="15.75" customHeight="1">
      <c r="B466" s="216" t="s">
        <v>321</v>
      </c>
      <c r="C466" s="212">
        <v>537716</v>
      </c>
      <c r="D466" s="223">
        <v>37532896000160</v>
      </c>
      <c r="E466" s="217" t="s">
        <v>28</v>
      </c>
      <c r="F466" s="217" t="s">
        <v>950</v>
      </c>
      <c r="G466" s="217"/>
      <c r="H466" s="218"/>
      <c r="I466" s="217" t="s">
        <v>66</v>
      </c>
      <c r="J466" s="217" t="s">
        <v>66</v>
      </c>
      <c r="K466" s="218" t="s">
        <v>951</v>
      </c>
      <c r="L466" s="212" t="s">
        <v>87</v>
      </c>
      <c r="M466" s="250"/>
      <c r="N466" s="239">
        <v>44050</v>
      </c>
      <c r="O466" s="210" t="s">
        <v>320</v>
      </c>
      <c r="P466" s="210" t="s">
        <v>1090</v>
      </c>
      <c r="Q466" s="210" t="s">
        <v>1091</v>
      </c>
      <c r="R466" s="210" t="s">
        <v>1077</v>
      </c>
      <c r="S466" s="210" t="s">
        <v>1078</v>
      </c>
      <c r="T466" s="210" t="s">
        <v>1079</v>
      </c>
      <c r="U466" s="210" t="s">
        <v>950</v>
      </c>
      <c r="V466" s="210" t="s">
        <v>1080</v>
      </c>
      <c r="W466" s="211" t="s">
        <v>1013</v>
      </c>
      <c r="X466" s="211">
        <v>5000</v>
      </c>
      <c r="Y466" s="211">
        <v>1000</v>
      </c>
      <c r="Z466" s="212">
        <v>5000</v>
      </c>
      <c r="AA466" s="240">
        <v>32</v>
      </c>
      <c r="AB466" s="213">
        <v>0.02</v>
      </c>
      <c r="AC466" s="213">
        <v>0.2</v>
      </c>
      <c r="AD466" s="213" t="s">
        <v>113</v>
      </c>
      <c r="AE466" s="213">
        <v>2.6666666666666666E-3</v>
      </c>
      <c r="AF466" s="241">
        <v>10034599.720000001</v>
      </c>
      <c r="AG466" s="241">
        <v>10034599.720000001</v>
      </c>
      <c r="AH466" s="213">
        <v>-0.20150000000000001</v>
      </c>
      <c r="AI466" s="352">
        <v>-3.1036000000000001</v>
      </c>
      <c r="AJ466" s="213">
        <v>-0.46899999999999997</v>
      </c>
      <c r="AK466" s="352">
        <v>-4.9848999999999997</v>
      </c>
      <c r="AL466" s="213" t="s">
        <v>66</v>
      </c>
      <c r="AM466" s="352" t="s">
        <v>66</v>
      </c>
      <c r="AN466" s="213" t="s">
        <v>66</v>
      </c>
      <c r="AO466" s="352" t="s">
        <v>66</v>
      </c>
      <c r="AP466" s="213">
        <v>0.27439999999999998</v>
      </c>
      <c r="AQ466" s="219">
        <v>-2.4948641509586111</v>
      </c>
      <c r="AR466" s="213" t="s">
        <v>1827</v>
      </c>
      <c r="AU466" s="343"/>
      <c r="AV466" s="343"/>
      <c r="AW466" s="328"/>
      <c r="AX466" s="329"/>
      <c r="AY466" s="328"/>
      <c r="AZ466" s="328"/>
      <c r="BA466" s="330"/>
      <c r="BB466" s="328"/>
      <c r="BC466" s="328"/>
      <c r="BD466" s="328"/>
      <c r="BE466" s="330"/>
      <c r="BF466" s="330"/>
      <c r="BG466" s="344"/>
      <c r="BH466" s="330"/>
      <c r="BI466" s="330"/>
      <c r="BJ466" s="330"/>
      <c r="BK466" s="330"/>
      <c r="BL466" s="330"/>
      <c r="BM466" s="330"/>
      <c r="BN466" s="330"/>
      <c r="BO466" s="330"/>
      <c r="BP466" s="331"/>
      <c r="BQ466" s="332"/>
      <c r="BR466" s="333"/>
    </row>
    <row r="467" spans="2:70" ht="15.75" customHeight="1">
      <c r="B467" s="216" t="s">
        <v>322</v>
      </c>
      <c r="C467" s="212">
        <v>2509280</v>
      </c>
      <c r="D467" s="223">
        <v>40141528000103</v>
      </c>
      <c r="E467" s="217" t="s">
        <v>28</v>
      </c>
      <c r="F467" s="217" t="s">
        <v>950</v>
      </c>
      <c r="G467" s="217"/>
      <c r="H467" s="218"/>
      <c r="I467" s="217" t="s">
        <v>66</v>
      </c>
      <c r="J467" s="217" t="s">
        <v>66</v>
      </c>
      <c r="K467" s="218" t="s">
        <v>951</v>
      </c>
      <c r="L467" s="212" t="s">
        <v>87</v>
      </c>
      <c r="M467" s="250"/>
      <c r="N467" s="239">
        <v>44195</v>
      </c>
      <c r="O467" s="210" t="s">
        <v>323</v>
      </c>
      <c r="P467" s="210" t="s">
        <v>1075</v>
      </c>
      <c r="Q467" s="210" t="s">
        <v>1076</v>
      </c>
      <c r="R467" s="210" t="s">
        <v>1084</v>
      </c>
      <c r="S467" s="210" t="s">
        <v>1078</v>
      </c>
      <c r="T467" s="210" t="s">
        <v>1079</v>
      </c>
      <c r="U467" s="210" t="s">
        <v>950</v>
      </c>
      <c r="V467" s="210" t="s">
        <v>1080</v>
      </c>
      <c r="W467" s="211" t="s">
        <v>1007</v>
      </c>
      <c r="X467" s="211">
        <v>500</v>
      </c>
      <c r="Y467" s="211">
        <v>100</v>
      </c>
      <c r="Z467" s="212">
        <v>500</v>
      </c>
      <c r="AA467" s="240">
        <v>3</v>
      </c>
      <c r="AB467" s="213">
        <v>1.9199999999999998E-2</v>
      </c>
      <c r="AC467" s="213">
        <v>0.2</v>
      </c>
      <c r="AD467" s="213" t="s">
        <v>113</v>
      </c>
      <c r="AE467" s="213">
        <v>6.3999999999999994E-3</v>
      </c>
      <c r="AF467" s="241">
        <v>1894492.66</v>
      </c>
      <c r="AG467" s="241">
        <v>1894492.66</v>
      </c>
      <c r="AH467" s="213">
        <v>-0.17599999999999999</v>
      </c>
      <c r="AI467" s="352">
        <v>-2.7105000000000001</v>
      </c>
      <c r="AJ467" s="213">
        <v>-0.30349999999999999</v>
      </c>
      <c r="AK467" s="352">
        <v>-3.226</v>
      </c>
      <c r="AL467" s="213" t="s">
        <v>66</v>
      </c>
      <c r="AM467" s="352" t="s">
        <v>66</v>
      </c>
      <c r="AN467" s="213" t="s">
        <v>66</v>
      </c>
      <c r="AO467" s="352" t="s">
        <v>66</v>
      </c>
      <c r="AP467" s="213">
        <v>0.26040000000000002</v>
      </c>
      <c r="AQ467" s="219">
        <v>-1.6035794766763474</v>
      </c>
      <c r="AR467" s="213" t="s">
        <v>1824</v>
      </c>
      <c r="AU467" s="343"/>
      <c r="AV467" s="343"/>
      <c r="AW467" s="328"/>
      <c r="AX467" s="329"/>
      <c r="AY467" s="328"/>
      <c r="AZ467" s="328"/>
      <c r="BA467" s="330"/>
      <c r="BB467" s="328"/>
      <c r="BC467" s="328"/>
      <c r="BD467" s="328"/>
      <c r="BE467" s="330"/>
      <c r="BF467" s="330"/>
      <c r="BG467" s="344"/>
      <c r="BH467" s="383"/>
      <c r="BI467" s="330"/>
      <c r="BJ467" s="330"/>
      <c r="BK467" s="330"/>
      <c r="BL467" s="330"/>
      <c r="BM467" s="330"/>
      <c r="BN467" s="330"/>
      <c r="BO467" s="330"/>
      <c r="BP467" s="331"/>
      <c r="BQ467" s="332"/>
      <c r="BR467" s="333"/>
    </row>
    <row r="468" spans="2:70" ht="15.75" customHeight="1">
      <c r="B468" s="216" t="s">
        <v>324</v>
      </c>
      <c r="C468" s="212">
        <v>561977</v>
      </c>
      <c r="D468" s="223">
        <v>40054275000122</v>
      </c>
      <c r="E468" s="217" t="s">
        <v>19</v>
      </c>
      <c r="F468" s="217" t="s">
        <v>963</v>
      </c>
      <c r="G468" s="217" t="s">
        <v>1011</v>
      </c>
      <c r="H468" s="218" t="s">
        <v>1113</v>
      </c>
      <c r="I468" s="217" t="s">
        <v>66</v>
      </c>
      <c r="J468" s="217" t="s">
        <v>1794</v>
      </c>
      <c r="K468" s="218" t="s">
        <v>951</v>
      </c>
      <c r="L468" s="212" t="s">
        <v>87</v>
      </c>
      <c r="M468" s="250"/>
      <c r="N468" s="239">
        <v>44193</v>
      </c>
      <c r="O468" s="210" t="s">
        <v>323</v>
      </c>
      <c r="P468" s="210" t="s">
        <v>1075</v>
      </c>
      <c r="Q468" s="210" t="s">
        <v>1076</v>
      </c>
      <c r="R468" s="210" t="s">
        <v>1084</v>
      </c>
      <c r="S468" s="210" t="s">
        <v>1078</v>
      </c>
      <c r="T468" s="210" t="s">
        <v>1275</v>
      </c>
      <c r="U468" s="210" t="s">
        <v>1114</v>
      </c>
      <c r="V468" s="210" t="s">
        <v>19</v>
      </c>
      <c r="W468" s="211" t="s">
        <v>1017</v>
      </c>
      <c r="X468" s="211">
        <v>100</v>
      </c>
      <c r="Y468" s="211">
        <v>100</v>
      </c>
      <c r="Z468" s="212">
        <v>100</v>
      </c>
      <c r="AA468" s="240">
        <v>0</v>
      </c>
      <c r="AB468" s="213">
        <v>2.5000000000000001E-3</v>
      </c>
      <c r="AC468" s="213">
        <v>0</v>
      </c>
      <c r="AD468" s="213" t="s">
        <v>113</v>
      </c>
      <c r="AE468" s="213">
        <v>3.3333333333333332E-4</v>
      </c>
      <c r="AF468" s="241">
        <v>519948791.39999998</v>
      </c>
      <c r="AG468" s="241">
        <v>519948791.39999998</v>
      </c>
      <c r="AH468" s="213">
        <v>6.7100000000000007E-2</v>
      </c>
      <c r="AI468" s="352">
        <v>1.0331999999999999</v>
      </c>
      <c r="AJ468" s="213">
        <v>9.7000000000000003E-2</v>
      </c>
      <c r="AK468" s="352">
        <v>1.0308999999999999</v>
      </c>
      <c r="AL468" s="213" t="s">
        <v>66</v>
      </c>
      <c r="AM468" s="352" t="s">
        <v>66</v>
      </c>
      <c r="AN468" s="213" t="s">
        <v>66</v>
      </c>
      <c r="AO468" s="352" t="s">
        <v>66</v>
      </c>
      <c r="AP468" s="213">
        <v>1.8E-3</v>
      </c>
      <c r="AQ468" s="219">
        <v>1.4905461236989981</v>
      </c>
      <c r="AR468" s="213" t="s">
        <v>1827</v>
      </c>
      <c r="AU468" s="343"/>
      <c r="AV468" s="343"/>
      <c r="AW468" s="328"/>
      <c r="AX468" s="329"/>
      <c r="AY468" s="328"/>
      <c r="AZ468" s="328"/>
      <c r="BA468" s="330"/>
      <c r="BB468" s="328"/>
      <c r="BC468" s="328"/>
      <c r="BD468" s="328"/>
      <c r="BE468" s="330"/>
      <c r="BF468" s="330"/>
      <c r="BG468" s="344"/>
      <c r="BH468" s="383"/>
      <c r="BI468" s="330"/>
      <c r="BJ468" s="330"/>
      <c r="BK468" s="330"/>
      <c r="BL468" s="330"/>
      <c r="BM468" s="330"/>
      <c r="BN468" s="330"/>
      <c r="BO468" s="330"/>
      <c r="BP468" s="331"/>
      <c r="BQ468" s="332"/>
      <c r="BR468" s="333"/>
    </row>
    <row r="469" spans="2:70" ht="15.75" customHeight="1">
      <c r="B469" s="216" t="s">
        <v>325</v>
      </c>
      <c r="C469" s="212">
        <v>2509277</v>
      </c>
      <c r="D469" s="223">
        <v>40102191000117</v>
      </c>
      <c r="E469" s="217" t="s">
        <v>28</v>
      </c>
      <c r="F469" s="217" t="s">
        <v>957</v>
      </c>
      <c r="G469" s="217"/>
      <c r="H469" s="218"/>
      <c r="I469" s="217" t="s">
        <v>1842</v>
      </c>
      <c r="J469" s="217" t="s">
        <v>66</v>
      </c>
      <c r="K469" s="218" t="s">
        <v>951</v>
      </c>
      <c r="L469" s="212" t="s">
        <v>87</v>
      </c>
      <c r="M469" s="250"/>
      <c r="N469" s="239">
        <v>44193</v>
      </c>
      <c r="O469" s="210" t="s">
        <v>323</v>
      </c>
      <c r="P469" s="210" t="s">
        <v>1075</v>
      </c>
      <c r="Q469" s="210" t="s">
        <v>1076</v>
      </c>
      <c r="R469" s="210" t="s">
        <v>1084</v>
      </c>
      <c r="S469" s="210" t="s">
        <v>1078</v>
      </c>
      <c r="T469" s="210" t="s">
        <v>1079</v>
      </c>
      <c r="U469" s="210" t="s">
        <v>957</v>
      </c>
      <c r="V469" s="210" t="s">
        <v>25</v>
      </c>
      <c r="W469" s="211" t="s">
        <v>1016</v>
      </c>
      <c r="X469" s="211">
        <v>500</v>
      </c>
      <c r="Y469" s="211">
        <v>100</v>
      </c>
      <c r="Z469" s="212">
        <v>500</v>
      </c>
      <c r="AA469" s="240">
        <v>32</v>
      </c>
      <c r="AB469" s="213">
        <v>1.9199999999999998E-2</v>
      </c>
      <c r="AC469" s="213">
        <v>0.2</v>
      </c>
      <c r="AD469" s="213" t="s">
        <v>113</v>
      </c>
      <c r="AE469" s="213">
        <v>6.3999999999999994E-3</v>
      </c>
      <c r="AF469" s="241">
        <v>31968555.120000001</v>
      </c>
      <c r="AG469" s="241">
        <v>31968555.120000001</v>
      </c>
      <c r="AH469" s="213">
        <v>-0.11550000000000001</v>
      </c>
      <c r="AI469" s="352">
        <v>-1.7794000000000001</v>
      </c>
      <c r="AJ469" s="213">
        <v>-0.19750000000000001</v>
      </c>
      <c r="AK469" s="352">
        <v>-2.0987</v>
      </c>
      <c r="AL469" s="213" t="s">
        <v>66</v>
      </c>
      <c r="AM469" s="352" t="s">
        <v>66</v>
      </c>
      <c r="AN469" s="213" t="s">
        <v>66</v>
      </c>
      <c r="AO469" s="352" t="s">
        <v>66</v>
      </c>
      <c r="AP469" s="213">
        <v>0.1835</v>
      </c>
      <c r="AQ469" s="219">
        <v>-1.5970217880278643</v>
      </c>
      <c r="AR469" s="213" t="s">
        <v>1827</v>
      </c>
      <c r="AU469" s="343"/>
      <c r="AV469" s="343"/>
      <c r="AW469" s="328"/>
      <c r="AX469" s="329"/>
      <c r="AY469" s="328"/>
      <c r="AZ469" s="328"/>
      <c r="BA469" s="330"/>
      <c r="BB469" s="328"/>
      <c r="BC469" s="328"/>
      <c r="BD469" s="328"/>
      <c r="BE469" s="330"/>
      <c r="BF469" s="330"/>
      <c r="BG469" s="344"/>
      <c r="BH469" s="383"/>
      <c r="BI469" s="330"/>
      <c r="BJ469" s="330"/>
      <c r="BK469" s="330"/>
      <c r="BL469" s="330"/>
      <c r="BM469" s="330"/>
      <c r="BN469" s="330"/>
      <c r="BO469" s="330"/>
      <c r="BP469" s="331"/>
      <c r="BQ469" s="332"/>
      <c r="BR469" s="333"/>
    </row>
    <row r="470" spans="2:70" ht="15.75" customHeight="1">
      <c r="B470" s="216" t="s">
        <v>1328</v>
      </c>
      <c r="C470" s="212">
        <v>4170275</v>
      </c>
      <c r="D470" s="223">
        <v>26406529000101</v>
      </c>
      <c r="E470" s="217" t="s">
        <v>28</v>
      </c>
      <c r="F470" s="217" t="s">
        <v>957</v>
      </c>
      <c r="G470" s="217"/>
      <c r="H470" s="218"/>
      <c r="I470" s="217" t="s">
        <v>1842</v>
      </c>
      <c r="J470" s="217" t="s">
        <v>66</v>
      </c>
      <c r="K470" s="218" t="s">
        <v>951</v>
      </c>
      <c r="L470" s="212" t="s">
        <v>87</v>
      </c>
      <c r="M470" s="250"/>
      <c r="N470" s="239">
        <v>43188</v>
      </c>
      <c r="O470" s="210" t="s">
        <v>323</v>
      </c>
      <c r="P470" s="210" t="s">
        <v>1075</v>
      </c>
      <c r="Q470" s="210" t="s">
        <v>1076</v>
      </c>
      <c r="R470" s="210" t="s">
        <v>1077</v>
      </c>
      <c r="S470" s="210" t="s">
        <v>1078</v>
      </c>
      <c r="T470" s="210" t="s">
        <v>1079</v>
      </c>
      <c r="U470" s="210" t="s">
        <v>957</v>
      </c>
      <c r="V470" s="210" t="s">
        <v>1080</v>
      </c>
      <c r="W470" s="211" t="s">
        <v>1007</v>
      </c>
      <c r="X470" s="211">
        <v>500</v>
      </c>
      <c r="Y470" s="211">
        <v>2000</v>
      </c>
      <c r="Z470" s="212">
        <v>20000</v>
      </c>
      <c r="AA470" s="240">
        <v>32</v>
      </c>
      <c r="AB470" s="213">
        <v>1.9199999999999998E-2</v>
      </c>
      <c r="AC470" s="213">
        <v>0.2</v>
      </c>
      <c r="AD470" s="213" t="s">
        <v>113</v>
      </c>
      <c r="AE470" s="213">
        <v>6.3999999999999994E-3</v>
      </c>
      <c r="AF470" s="241">
        <v>23866012.149999999</v>
      </c>
      <c r="AG470" s="241">
        <v>23866012.149999999</v>
      </c>
      <c r="AH470" s="213">
        <v>-0.1198</v>
      </c>
      <c r="AI470" s="352">
        <v>-1.8446</v>
      </c>
      <c r="AJ470" s="213">
        <v>-0.1996</v>
      </c>
      <c r="AK470" s="352">
        <v>-2.121</v>
      </c>
      <c r="AL470" s="213">
        <v>-0.11550000000000001</v>
      </c>
      <c r="AM470" s="352">
        <v>-0.95630000000000004</v>
      </c>
      <c r="AN470" s="213">
        <v>8.2799999999999999E-2</v>
      </c>
      <c r="AO470" s="352">
        <v>0.49130000000000001</v>
      </c>
      <c r="AP470" s="213">
        <v>0.18609999999999999</v>
      </c>
      <c r="AQ470" s="219">
        <v>-1.5862634481457925</v>
      </c>
      <c r="AR470" s="213" t="s">
        <v>1824</v>
      </c>
      <c r="AU470" s="343"/>
      <c r="AV470" s="343"/>
      <c r="AW470" s="328"/>
      <c r="AX470" s="329"/>
      <c r="AY470" s="328"/>
      <c r="AZ470" s="328"/>
      <c r="BA470" s="330"/>
      <c r="BB470" s="328"/>
      <c r="BC470" s="328"/>
      <c r="BD470" s="328"/>
      <c r="BE470" s="330"/>
      <c r="BF470" s="330"/>
      <c r="BG470" s="344"/>
      <c r="BH470" s="330"/>
      <c r="BI470" s="330"/>
      <c r="BJ470" s="330"/>
      <c r="BK470" s="330"/>
      <c r="BL470" s="330"/>
      <c r="BM470" s="330"/>
      <c r="BN470" s="330"/>
      <c r="BO470" s="330"/>
      <c r="BP470" s="331"/>
      <c r="BQ470" s="332"/>
      <c r="BR470" s="333"/>
    </row>
    <row r="471" spans="2:70" ht="15.75" customHeight="1">
      <c r="B471" s="216" t="s">
        <v>326</v>
      </c>
      <c r="C471" s="212">
        <v>4248155</v>
      </c>
      <c r="D471" s="223">
        <v>40102324000155</v>
      </c>
      <c r="E471" s="217" t="s">
        <v>25</v>
      </c>
      <c r="F471" s="217" t="s">
        <v>958</v>
      </c>
      <c r="G471" s="217" t="s">
        <v>962</v>
      </c>
      <c r="H471" s="218" t="s">
        <v>66</v>
      </c>
      <c r="I471" s="217" t="s">
        <v>1842</v>
      </c>
      <c r="J471" s="217" t="s">
        <v>66</v>
      </c>
      <c r="K471" s="218"/>
      <c r="L471" s="212" t="s">
        <v>87</v>
      </c>
      <c r="M471" s="250"/>
      <c r="N471" s="239">
        <v>44195</v>
      </c>
      <c r="O471" s="210" t="s">
        <v>323</v>
      </c>
      <c r="P471" s="210" t="s">
        <v>1075</v>
      </c>
      <c r="Q471" s="210" t="s">
        <v>1076</v>
      </c>
      <c r="R471" s="210" t="s">
        <v>1084</v>
      </c>
      <c r="S471" s="210" t="s">
        <v>1078</v>
      </c>
      <c r="T471" s="210" t="s">
        <v>1082</v>
      </c>
      <c r="U471" s="210" t="s">
        <v>958</v>
      </c>
      <c r="V471" s="210" t="s">
        <v>25</v>
      </c>
      <c r="W471" s="211" t="s">
        <v>1012</v>
      </c>
      <c r="X471" s="211">
        <v>500</v>
      </c>
      <c r="Y471" s="211">
        <v>100</v>
      </c>
      <c r="Z471" s="212">
        <v>100</v>
      </c>
      <c r="AA471" s="240">
        <v>31</v>
      </c>
      <c r="AB471" s="213">
        <v>1.4200000000000001E-2</v>
      </c>
      <c r="AC471" s="213">
        <v>0.25</v>
      </c>
      <c r="AD471" s="213" t="s">
        <v>113</v>
      </c>
      <c r="AE471" s="213">
        <v>4.7333333333333333E-3</v>
      </c>
      <c r="AF471" s="241">
        <v>39858340.340000004</v>
      </c>
      <c r="AG471" s="241">
        <v>39858340.340000004</v>
      </c>
      <c r="AH471" s="213">
        <v>4.2900000000000001E-2</v>
      </c>
      <c r="AI471" s="352">
        <v>0.66100000000000003</v>
      </c>
      <c r="AJ471" s="213">
        <v>-4.1999999999999997E-3</v>
      </c>
      <c r="AK471" s="352">
        <v>-4.48E-2</v>
      </c>
      <c r="AL471" s="213" t="s">
        <v>66</v>
      </c>
      <c r="AM471" s="352" t="s">
        <v>66</v>
      </c>
      <c r="AN471" s="213" t="s">
        <v>66</v>
      </c>
      <c r="AO471" s="352" t="s">
        <v>66</v>
      </c>
      <c r="AP471" s="213">
        <v>8.0500000000000002E-2</v>
      </c>
      <c r="AQ471" s="219">
        <v>-1.1288461904555551</v>
      </c>
      <c r="AR471" s="213" t="s">
        <v>1827</v>
      </c>
      <c r="AU471" s="343"/>
      <c r="AV471" s="343"/>
      <c r="AW471" s="328"/>
      <c r="AX471" s="329"/>
      <c r="AY471" s="328"/>
      <c r="AZ471" s="328"/>
      <c r="BA471" s="330"/>
      <c r="BB471" s="328"/>
      <c r="BC471" s="328"/>
      <c r="BD471" s="328"/>
      <c r="BE471" s="330"/>
      <c r="BF471" s="330"/>
      <c r="BG471" s="344"/>
      <c r="BH471" s="330"/>
      <c r="BI471" s="330"/>
      <c r="BJ471" s="330"/>
      <c r="BK471" s="330"/>
      <c r="BL471" s="330"/>
      <c r="BM471" s="330"/>
      <c r="BN471" s="330"/>
      <c r="BO471" s="330"/>
      <c r="BP471" s="331"/>
      <c r="BQ471" s="332"/>
      <c r="BR471" s="333"/>
    </row>
    <row r="472" spans="2:70" ht="15.75" customHeight="1">
      <c r="B472" s="216" t="s">
        <v>1329</v>
      </c>
      <c r="C472" s="212">
        <v>4248162</v>
      </c>
      <c r="D472" s="223">
        <v>12004203000135</v>
      </c>
      <c r="E472" s="217" t="s">
        <v>28</v>
      </c>
      <c r="F472" s="217" t="s">
        <v>950</v>
      </c>
      <c r="G472" s="217"/>
      <c r="H472" s="218"/>
      <c r="I472" s="217" t="s">
        <v>66</v>
      </c>
      <c r="J472" s="217" t="s">
        <v>66</v>
      </c>
      <c r="K472" s="218" t="s">
        <v>951</v>
      </c>
      <c r="L472" s="212" t="s">
        <v>87</v>
      </c>
      <c r="M472" s="250"/>
      <c r="N472" s="239">
        <v>40365</v>
      </c>
      <c r="O472" s="210" t="s">
        <v>327</v>
      </c>
      <c r="P472" s="210" t="s">
        <v>1090</v>
      </c>
      <c r="Q472" s="210" t="s">
        <v>1091</v>
      </c>
      <c r="R472" s="210" t="s">
        <v>1084</v>
      </c>
      <c r="S472" s="210" t="s">
        <v>1078</v>
      </c>
      <c r="T472" s="210" t="s">
        <v>1079</v>
      </c>
      <c r="U472" s="210" t="s">
        <v>950</v>
      </c>
      <c r="V472" s="210" t="s">
        <v>1080</v>
      </c>
      <c r="W472" s="211" t="s">
        <v>1013</v>
      </c>
      <c r="X472" s="211">
        <v>5000</v>
      </c>
      <c r="Y472" s="211">
        <v>1000</v>
      </c>
      <c r="Z472" s="212">
        <v>1000</v>
      </c>
      <c r="AA472" s="240">
        <v>32</v>
      </c>
      <c r="AB472" s="213">
        <v>0.02</v>
      </c>
      <c r="AC472" s="213">
        <v>0.2</v>
      </c>
      <c r="AD472" s="213" t="s">
        <v>1014</v>
      </c>
      <c r="AE472" s="213">
        <v>6.0000000000000001E-3</v>
      </c>
      <c r="AF472" s="241">
        <v>609953886.62</v>
      </c>
      <c r="AG472" s="241">
        <v>609953886.62</v>
      </c>
      <c r="AH472" s="213">
        <v>-0.1855</v>
      </c>
      <c r="AI472" s="352">
        <v>-2.8573</v>
      </c>
      <c r="AJ472" s="213">
        <v>-0.46700000000000003</v>
      </c>
      <c r="AK472" s="352">
        <v>-4.9641000000000002</v>
      </c>
      <c r="AL472" s="213">
        <v>-0.39389999999999997</v>
      </c>
      <c r="AM472" s="352">
        <v>-3.2605</v>
      </c>
      <c r="AN472" s="213">
        <v>-0.40839999999999999</v>
      </c>
      <c r="AO472" s="352">
        <v>-2.4237000000000002</v>
      </c>
      <c r="AP472" s="213">
        <v>0.32440000000000002</v>
      </c>
      <c r="AQ472" s="219">
        <v>-2.0522321666675261</v>
      </c>
      <c r="AR472" s="213" t="s">
        <v>1827</v>
      </c>
      <c r="AU472" s="343"/>
      <c r="AV472" s="343"/>
      <c r="AW472" s="328"/>
      <c r="AX472" s="329"/>
      <c r="AY472" s="328"/>
      <c r="AZ472" s="328"/>
      <c r="BA472" s="330"/>
      <c r="BB472" s="328"/>
      <c r="BC472" s="328"/>
      <c r="BD472" s="328"/>
      <c r="BE472" s="330"/>
      <c r="BF472" s="330"/>
      <c r="BG472" s="344"/>
      <c r="BH472" s="330"/>
      <c r="BI472" s="330"/>
      <c r="BJ472" s="330"/>
      <c r="BK472" s="330"/>
      <c r="BL472" s="330"/>
      <c r="BM472" s="330"/>
      <c r="BN472" s="330"/>
      <c r="BO472" s="330"/>
      <c r="BP472" s="331"/>
      <c r="BQ472" s="332"/>
      <c r="BR472" s="333"/>
    </row>
    <row r="473" spans="2:70" ht="15.75" customHeight="1">
      <c r="B473" s="216" t="s">
        <v>328</v>
      </c>
      <c r="C473" s="212">
        <v>819430</v>
      </c>
      <c r="D473" s="223">
        <v>15569128000148</v>
      </c>
      <c r="E473" s="217" t="s">
        <v>28</v>
      </c>
      <c r="F473" s="217" t="s">
        <v>950</v>
      </c>
      <c r="G473" s="217"/>
      <c r="H473" s="218"/>
      <c r="I473" s="217" t="s">
        <v>66</v>
      </c>
      <c r="J473" s="217" t="s">
        <v>66</v>
      </c>
      <c r="K473" s="218" t="s">
        <v>951</v>
      </c>
      <c r="L473" s="212" t="s">
        <v>87</v>
      </c>
      <c r="M473" s="250"/>
      <c r="N473" s="239">
        <v>41103</v>
      </c>
      <c r="O473" s="210" t="s">
        <v>327</v>
      </c>
      <c r="P473" s="210" t="s">
        <v>1083</v>
      </c>
      <c r="Q473" s="210" t="s">
        <v>102</v>
      </c>
      <c r="R473" s="210" t="s">
        <v>1084</v>
      </c>
      <c r="S473" s="210" t="s">
        <v>1078</v>
      </c>
      <c r="T473" s="210" t="s">
        <v>1079</v>
      </c>
      <c r="U473" s="210" t="s">
        <v>950</v>
      </c>
      <c r="V473" s="210" t="s">
        <v>1080</v>
      </c>
      <c r="W473" s="211" t="s">
        <v>1007</v>
      </c>
      <c r="X473" s="211">
        <v>25000</v>
      </c>
      <c r="Y473" s="211">
        <v>5000</v>
      </c>
      <c r="Z473" s="212">
        <v>10000</v>
      </c>
      <c r="AA473" s="240">
        <v>32</v>
      </c>
      <c r="AB473" s="213">
        <v>0.03</v>
      </c>
      <c r="AC473" s="213">
        <v>0</v>
      </c>
      <c r="AD473" s="213" t="s">
        <v>1014</v>
      </c>
      <c r="AE473" s="213">
        <v>8.0000000000000002E-3</v>
      </c>
      <c r="AF473" s="241">
        <v>177113829</v>
      </c>
      <c r="AG473" s="241">
        <v>177113829</v>
      </c>
      <c r="AH473" s="213">
        <v>-0.1361</v>
      </c>
      <c r="AI473" s="352">
        <v>-2.0968</v>
      </c>
      <c r="AJ473" s="213">
        <v>-0.40989999999999999</v>
      </c>
      <c r="AK473" s="352">
        <v>-4.3567999999999998</v>
      </c>
      <c r="AL473" s="213">
        <v>-0.3211</v>
      </c>
      <c r="AM473" s="352">
        <v>-2.6579000000000002</v>
      </c>
      <c r="AN473" s="213">
        <v>-0.315</v>
      </c>
      <c r="AO473" s="352">
        <v>-1.8694999999999999</v>
      </c>
      <c r="AP473" s="213">
        <v>0.29699999999999999</v>
      </c>
      <c r="AQ473" s="219">
        <v>-1.9281339958347508</v>
      </c>
      <c r="AR473" s="213" t="s">
        <v>1824</v>
      </c>
      <c r="AU473" s="343"/>
      <c r="AV473" s="343"/>
      <c r="AW473" s="328"/>
      <c r="AX473" s="329"/>
      <c r="AY473" s="328"/>
      <c r="AZ473" s="328"/>
      <c r="BA473" s="330"/>
      <c r="BB473" s="328"/>
      <c r="BC473" s="328"/>
      <c r="BD473" s="328"/>
      <c r="BE473" s="330"/>
      <c r="BF473" s="330"/>
      <c r="BG473" s="344"/>
      <c r="BH473" s="383"/>
      <c r="BI473" s="330"/>
      <c r="BJ473" s="330"/>
      <c r="BK473" s="330"/>
      <c r="BL473" s="330"/>
      <c r="BM473" s="330"/>
      <c r="BN473" s="330"/>
      <c r="BO473" s="330"/>
      <c r="BP473" s="331"/>
      <c r="BQ473" s="332"/>
      <c r="BR473" s="333"/>
    </row>
    <row r="474" spans="2:70" ht="15.75" customHeight="1">
      <c r="B474" s="216" t="s">
        <v>329</v>
      </c>
      <c r="C474" s="212">
        <v>3798810</v>
      </c>
      <c r="D474" s="223">
        <v>32893639000130</v>
      </c>
      <c r="E474" s="217" t="s">
        <v>28</v>
      </c>
      <c r="F474" s="217" t="s">
        <v>950</v>
      </c>
      <c r="G474" s="217"/>
      <c r="H474" s="218"/>
      <c r="I474" s="217" t="s">
        <v>66</v>
      </c>
      <c r="J474" s="217" t="s">
        <v>66</v>
      </c>
      <c r="K474" s="218" t="s">
        <v>951</v>
      </c>
      <c r="L474" s="212" t="s">
        <v>87</v>
      </c>
      <c r="M474" s="250"/>
      <c r="N474" s="239">
        <v>43615</v>
      </c>
      <c r="O474" s="210" t="s">
        <v>327</v>
      </c>
      <c r="P474" s="210" t="s">
        <v>1083</v>
      </c>
      <c r="Q474" s="210" t="s">
        <v>1091</v>
      </c>
      <c r="R474" s="210" t="s">
        <v>1084</v>
      </c>
      <c r="S474" s="210" t="s">
        <v>1078</v>
      </c>
      <c r="T474" s="210" t="s">
        <v>1079</v>
      </c>
      <c r="U474" s="210" t="s">
        <v>950</v>
      </c>
      <c r="V474" s="210" t="s">
        <v>1080</v>
      </c>
      <c r="W474" s="211" t="s">
        <v>1013</v>
      </c>
      <c r="X474" s="211">
        <v>5000</v>
      </c>
      <c r="Y474" s="211">
        <v>1000</v>
      </c>
      <c r="Z474" s="212">
        <v>1000</v>
      </c>
      <c r="AA474" s="240">
        <v>32</v>
      </c>
      <c r="AB474" s="213">
        <v>1.6E-2</v>
      </c>
      <c r="AC474" s="213">
        <v>0.2</v>
      </c>
      <c r="AD474" s="213" t="s">
        <v>1014</v>
      </c>
      <c r="AE474" s="213" t="s">
        <v>66</v>
      </c>
      <c r="AF474" s="241">
        <v>26210249.199999999</v>
      </c>
      <c r="AG474" s="241">
        <v>26210249.199999999</v>
      </c>
      <c r="AH474" s="213">
        <v>-0.1827</v>
      </c>
      <c r="AI474" s="352">
        <v>-2.8136000000000001</v>
      </c>
      <c r="AJ474" s="213">
        <v>-0.46679999999999999</v>
      </c>
      <c r="AK474" s="352">
        <v>-4.9617000000000004</v>
      </c>
      <c r="AL474" s="213">
        <v>-0.39129999999999998</v>
      </c>
      <c r="AM474" s="352">
        <v>-3.2391999999999999</v>
      </c>
      <c r="AN474" s="213">
        <v>-0.40620000000000001</v>
      </c>
      <c r="AO474" s="352">
        <v>-2.4106999999999998</v>
      </c>
      <c r="AP474" s="213">
        <v>0.32400000000000001</v>
      </c>
      <c r="AQ474" s="219">
        <v>-2.0534367337142791</v>
      </c>
      <c r="AR474" s="213" t="s">
        <v>1827</v>
      </c>
      <c r="AU474" s="343"/>
      <c r="AV474" s="343"/>
      <c r="AW474" s="328"/>
      <c r="AX474" s="329"/>
      <c r="AY474" s="328"/>
      <c r="AZ474" s="328"/>
      <c r="BA474" s="330"/>
      <c r="BB474" s="328"/>
      <c r="BC474" s="328"/>
      <c r="BD474" s="328"/>
      <c r="BE474" s="330"/>
      <c r="BF474" s="330"/>
      <c r="BG474" s="344"/>
      <c r="BH474" s="383"/>
      <c r="BI474" s="330"/>
      <c r="BJ474" s="330"/>
      <c r="BK474" s="330"/>
      <c r="BL474" s="330"/>
      <c r="BM474" s="330"/>
      <c r="BN474" s="330"/>
      <c r="BO474" s="330"/>
      <c r="BP474" s="331"/>
      <c r="BQ474" s="332"/>
      <c r="BR474" s="333"/>
    </row>
    <row r="475" spans="2:70" ht="15.75" customHeight="1">
      <c r="B475" s="216" t="s">
        <v>872</v>
      </c>
      <c r="C475" s="212">
        <v>584112</v>
      </c>
      <c r="D475" s="223">
        <v>35502496000186</v>
      </c>
      <c r="E475" s="217" t="s">
        <v>28</v>
      </c>
      <c r="F475" s="217" t="s">
        <v>950</v>
      </c>
      <c r="G475" s="217"/>
      <c r="H475" s="218"/>
      <c r="I475" s="217" t="s">
        <v>66</v>
      </c>
      <c r="J475" s="217" t="s">
        <v>66</v>
      </c>
      <c r="K475" s="218" t="s">
        <v>951</v>
      </c>
      <c r="L475" s="212" t="s">
        <v>87</v>
      </c>
      <c r="M475" s="250"/>
      <c r="N475" s="239">
        <v>44410</v>
      </c>
      <c r="O475" s="210" t="s">
        <v>873</v>
      </c>
      <c r="P475" s="210" t="s">
        <v>1083</v>
      </c>
      <c r="Q475" s="210" t="s">
        <v>102</v>
      </c>
      <c r="R475" s="210" t="s">
        <v>1084</v>
      </c>
      <c r="S475" s="210" t="s">
        <v>1078</v>
      </c>
      <c r="T475" s="210" t="s">
        <v>1079</v>
      </c>
      <c r="U475" s="210" t="s">
        <v>950</v>
      </c>
      <c r="V475" s="210" t="s">
        <v>1080</v>
      </c>
      <c r="W475" s="211" t="s">
        <v>1007</v>
      </c>
      <c r="X475" s="211">
        <v>1000</v>
      </c>
      <c r="Y475" s="211">
        <v>1000</v>
      </c>
      <c r="Z475" s="212">
        <v>1000</v>
      </c>
      <c r="AA475" s="240">
        <v>32</v>
      </c>
      <c r="AB475" s="213">
        <v>0.02</v>
      </c>
      <c r="AC475" s="213">
        <v>0.2</v>
      </c>
      <c r="AD475" s="213" t="s">
        <v>1014</v>
      </c>
      <c r="AE475" s="213">
        <v>4.0000000000000001E-3</v>
      </c>
      <c r="AF475" s="241">
        <v>41629396.259999998</v>
      </c>
      <c r="AG475" s="241">
        <v>41629396.259999998</v>
      </c>
      <c r="AH475" s="213">
        <v>-7.8899999999999998E-2</v>
      </c>
      <c r="AI475" s="352">
        <v>-1.216</v>
      </c>
      <c r="AJ475" s="213" t="s">
        <v>66</v>
      </c>
      <c r="AK475" s="352" t="s">
        <v>66</v>
      </c>
      <c r="AL475" s="213" t="s">
        <v>66</v>
      </c>
      <c r="AM475" s="352" t="s">
        <v>66</v>
      </c>
      <c r="AN475" s="213" t="s">
        <v>66</v>
      </c>
      <c r="AO475" s="352" t="s">
        <v>66</v>
      </c>
      <c r="AP475" s="213" t="s">
        <v>66</v>
      </c>
      <c r="AQ475" s="219" t="s">
        <v>66</v>
      </c>
      <c r="AR475" s="213" t="s">
        <v>1827</v>
      </c>
      <c r="AU475" s="343"/>
      <c r="AV475" s="343"/>
      <c r="AW475" s="328"/>
      <c r="AX475" s="329"/>
      <c r="AY475" s="328"/>
      <c r="AZ475" s="328"/>
      <c r="BA475" s="330"/>
      <c r="BB475" s="328"/>
      <c r="BC475" s="328"/>
      <c r="BD475" s="328"/>
      <c r="BE475" s="330"/>
      <c r="BF475" s="330"/>
      <c r="BG475" s="344"/>
      <c r="BH475" s="330"/>
      <c r="BI475" s="330"/>
      <c r="BJ475" s="330"/>
      <c r="BK475" s="330"/>
      <c r="BL475" s="330"/>
      <c r="BM475" s="330"/>
      <c r="BN475" s="330"/>
      <c r="BO475" s="330"/>
      <c r="BP475" s="331"/>
      <c r="BQ475" s="332"/>
      <c r="BR475" s="333"/>
    </row>
    <row r="476" spans="2:70" ht="15.75" customHeight="1">
      <c r="B476" s="216" t="s">
        <v>1330</v>
      </c>
      <c r="C476" s="212">
        <v>1722222</v>
      </c>
      <c r="D476" s="223">
        <v>23799268000130</v>
      </c>
      <c r="E476" s="217" t="s">
        <v>25</v>
      </c>
      <c r="F476" s="217" t="s">
        <v>958</v>
      </c>
      <c r="G476" s="217" t="s">
        <v>962</v>
      </c>
      <c r="H476" s="218" t="s">
        <v>66</v>
      </c>
      <c r="I476" s="217" t="s">
        <v>1842</v>
      </c>
      <c r="J476" s="217" t="s">
        <v>66</v>
      </c>
      <c r="K476" s="218"/>
      <c r="L476" s="212" t="s">
        <v>87</v>
      </c>
      <c r="M476" s="250"/>
      <c r="N476" s="239">
        <v>42607</v>
      </c>
      <c r="O476" s="210" t="s">
        <v>873</v>
      </c>
      <c r="P476" s="210" t="s">
        <v>1083</v>
      </c>
      <c r="Q476" s="210" t="s">
        <v>102</v>
      </c>
      <c r="R476" s="210" t="s">
        <v>1084</v>
      </c>
      <c r="S476" s="210" t="s">
        <v>1078</v>
      </c>
      <c r="T476" s="210" t="s">
        <v>1082</v>
      </c>
      <c r="U476" s="210" t="s">
        <v>958</v>
      </c>
      <c r="V476" s="210" t="s">
        <v>25</v>
      </c>
      <c r="W476" s="211" t="s">
        <v>1016</v>
      </c>
      <c r="X476" s="211">
        <v>5000</v>
      </c>
      <c r="Y476" s="211">
        <v>1000</v>
      </c>
      <c r="Z476" s="212">
        <v>5000</v>
      </c>
      <c r="AA476" s="240">
        <v>18</v>
      </c>
      <c r="AB476" s="213">
        <v>0.02</v>
      </c>
      <c r="AC476" s="213">
        <v>0.2</v>
      </c>
      <c r="AD476" s="213" t="s">
        <v>109</v>
      </c>
      <c r="AE476" s="213">
        <v>4.0000000000000001E-3</v>
      </c>
      <c r="AF476" s="241">
        <v>130419949.17</v>
      </c>
      <c r="AG476" s="241">
        <v>130419949.17</v>
      </c>
      <c r="AH476" s="213">
        <v>0.2321</v>
      </c>
      <c r="AI476" s="352">
        <v>3.5746000000000002</v>
      </c>
      <c r="AJ476" s="213">
        <v>0.31669999999999998</v>
      </c>
      <c r="AK476" s="352">
        <v>3.3658000000000001</v>
      </c>
      <c r="AL476" s="213">
        <v>1.6543000000000001</v>
      </c>
      <c r="AM476" s="352">
        <v>13.6934</v>
      </c>
      <c r="AN476" s="213">
        <v>1.9452</v>
      </c>
      <c r="AO476" s="352">
        <v>11.543200000000001</v>
      </c>
      <c r="AP476" s="213">
        <v>0.27989999999999998</v>
      </c>
      <c r="AQ476" s="219">
        <v>0.80102354470214443</v>
      </c>
      <c r="AR476" s="213" t="s">
        <v>1827</v>
      </c>
      <c r="AU476" s="343"/>
      <c r="AV476" s="343"/>
      <c r="AW476" s="328"/>
      <c r="AX476" s="329"/>
      <c r="AY476" s="328"/>
      <c r="AZ476" s="328"/>
      <c r="BA476" s="330"/>
      <c r="BB476" s="328"/>
      <c r="BC476" s="328"/>
      <c r="BD476" s="328"/>
      <c r="BE476" s="330"/>
      <c r="BF476" s="330"/>
      <c r="BG476" s="344"/>
      <c r="BH476" s="330"/>
      <c r="BI476" s="330"/>
      <c r="BJ476" s="330"/>
      <c r="BK476" s="330"/>
      <c r="BL476" s="330"/>
      <c r="BM476" s="330"/>
      <c r="BN476" s="330"/>
      <c r="BO476" s="330"/>
      <c r="BP476" s="331"/>
      <c r="BQ476" s="332"/>
      <c r="BR476" s="333"/>
    </row>
    <row r="477" spans="2:70" ht="15.75" customHeight="1">
      <c r="B477" s="216" t="s">
        <v>1332</v>
      </c>
      <c r="C477" s="212">
        <v>1247391</v>
      </c>
      <c r="D477" s="223">
        <v>37979878000120</v>
      </c>
      <c r="E477" s="217" t="s">
        <v>19</v>
      </c>
      <c r="F477" s="217" t="s">
        <v>963</v>
      </c>
      <c r="G477" s="217" t="s">
        <v>1034</v>
      </c>
      <c r="H477" s="218" t="s">
        <v>1113</v>
      </c>
      <c r="I477" s="217" t="s">
        <v>66</v>
      </c>
      <c r="J477" s="217" t="s">
        <v>1822</v>
      </c>
      <c r="K477" s="218" t="s">
        <v>951</v>
      </c>
      <c r="L477" s="212" t="s">
        <v>87</v>
      </c>
      <c r="M477" s="250"/>
      <c r="N477" s="239">
        <v>44064</v>
      </c>
      <c r="O477" s="210" t="s">
        <v>828</v>
      </c>
      <c r="P477" s="210" t="s">
        <v>1331</v>
      </c>
      <c r="Q477" s="210" t="s">
        <v>1331</v>
      </c>
      <c r="R477" s="210" t="s">
        <v>1077</v>
      </c>
      <c r="S477" s="210" t="s">
        <v>1078</v>
      </c>
      <c r="T477" s="210" t="s">
        <v>1275</v>
      </c>
      <c r="U477" s="210" t="s">
        <v>1114</v>
      </c>
      <c r="V477" s="210" t="s">
        <v>25</v>
      </c>
      <c r="W477" s="211" t="s">
        <v>1016</v>
      </c>
      <c r="X477" s="211">
        <v>50000</v>
      </c>
      <c r="Y477" s="211">
        <v>25000</v>
      </c>
      <c r="Z477" s="212">
        <v>25000</v>
      </c>
      <c r="AA477" s="240">
        <v>367</v>
      </c>
      <c r="AB477" s="213">
        <v>1.95E-2</v>
      </c>
      <c r="AC477" s="213">
        <v>0.2</v>
      </c>
      <c r="AD477" s="213" t="s">
        <v>113</v>
      </c>
      <c r="AE477" s="213">
        <v>6.4999999999999997E-3</v>
      </c>
      <c r="AF477" s="241">
        <v>89894667.560000002</v>
      </c>
      <c r="AG477" s="241">
        <v>89894667.560000002</v>
      </c>
      <c r="AH477" s="213">
        <v>5.9499999999999997E-2</v>
      </c>
      <c r="AI477" s="352">
        <v>0.9163</v>
      </c>
      <c r="AJ477" s="213">
        <v>0.112</v>
      </c>
      <c r="AK477" s="352">
        <v>1.1899</v>
      </c>
      <c r="AL477" s="213" t="s">
        <v>66</v>
      </c>
      <c r="AM477" s="352" t="s">
        <v>66</v>
      </c>
      <c r="AN477" s="213" t="s">
        <v>66</v>
      </c>
      <c r="AO477" s="352" t="s">
        <v>66</v>
      </c>
      <c r="AP477" s="213">
        <v>1.3100000000000001E-2</v>
      </c>
      <c r="AQ477" s="219">
        <v>1.238916378570917</v>
      </c>
      <c r="AR477" s="213" t="s">
        <v>1827</v>
      </c>
      <c r="AU477" s="343"/>
      <c r="AV477" s="343"/>
      <c r="AW477" s="328"/>
      <c r="AX477" s="329"/>
      <c r="AY477" s="328"/>
      <c r="AZ477" s="328"/>
      <c r="BA477" s="330"/>
      <c r="BB477" s="328"/>
      <c r="BC477" s="328"/>
      <c r="BD477" s="328"/>
      <c r="BE477" s="330"/>
      <c r="BF477" s="330"/>
      <c r="BG477" s="344"/>
      <c r="BH477" s="330"/>
      <c r="BI477" s="330"/>
      <c r="BJ477" s="330"/>
      <c r="BK477" s="330"/>
      <c r="BL477" s="330"/>
      <c r="BM477" s="330"/>
      <c r="BN477" s="330"/>
      <c r="BO477" s="330"/>
      <c r="BP477" s="331"/>
      <c r="BQ477" s="332"/>
      <c r="BR477" s="333"/>
    </row>
    <row r="478" spans="2:70" ht="15.75" customHeight="1">
      <c r="B478" s="216" t="s">
        <v>331</v>
      </c>
      <c r="C478" s="212">
        <v>1248136</v>
      </c>
      <c r="D478" s="223">
        <v>38065069000176</v>
      </c>
      <c r="E478" s="217" t="s">
        <v>19</v>
      </c>
      <c r="F478" s="217" t="s">
        <v>963</v>
      </c>
      <c r="G478" s="217" t="s">
        <v>1034</v>
      </c>
      <c r="H478" s="218" t="s">
        <v>1113</v>
      </c>
      <c r="I478" s="217" t="s">
        <v>66</v>
      </c>
      <c r="J478" s="217" t="s">
        <v>1822</v>
      </c>
      <c r="K478" s="218" t="s">
        <v>951</v>
      </c>
      <c r="L478" s="212" t="s">
        <v>87</v>
      </c>
      <c r="M478" s="250"/>
      <c r="N478" s="239">
        <v>44147</v>
      </c>
      <c r="O478" s="210" t="s">
        <v>1333</v>
      </c>
      <c r="P478" s="210" t="s">
        <v>1075</v>
      </c>
      <c r="Q478" s="210" t="s">
        <v>1076</v>
      </c>
      <c r="R478" s="210" t="s">
        <v>1077</v>
      </c>
      <c r="S478" s="210" t="s">
        <v>1078</v>
      </c>
      <c r="T478" s="210" t="s">
        <v>1082</v>
      </c>
      <c r="U478" s="210" t="s">
        <v>958</v>
      </c>
      <c r="V478" s="210" t="s">
        <v>25</v>
      </c>
      <c r="W478" s="211" t="s">
        <v>1016</v>
      </c>
      <c r="X478" s="211">
        <v>5000</v>
      </c>
      <c r="Y478" s="211">
        <v>1000</v>
      </c>
      <c r="Z478" s="212">
        <v>1000</v>
      </c>
      <c r="AA478" s="240">
        <v>91</v>
      </c>
      <c r="AB478" s="213">
        <v>0.01</v>
      </c>
      <c r="AC478" s="213">
        <v>0</v>
      </c>
      <c r="AD478" s="213" t="s">
        <v>113</v>
      </c>
      <c r="AE478" s="213">
        <v>3.3333333333333331E-3</v>
      </c>
      <c r="AF478" s="241">
        <v>12817401.869999999</v>
      </c>
      <c r="AG478" s="241">
        <v>12817401.869999999</v>
      </c>
      <c r="AH478" s="213">
        <v>8.3900000000000002E-2</v>
      </c>
      <c r="AI478" s="352">
        <v>1.2922</v>
      </c>
      <c r="AJ478" s="213">
        <v>0.12620000000000001</v>
      </c>
      <c r="AK478" s="352">
        <v>1.3414999999999999</v>
      </c>
      <c r="AL478" s="213" t="s">
        <v>66</v>
      </c>
      <c r="AM478" s="352" t="s">
        <v>66</v>
      </c>
      <c r="AN478" s="213" t="s">
        <v>66</v>
      </c>
      <c r="AO478" s="352" t="s">
        <v>66</v>
      </c>
      <c r="AP478" s="213">
        <v>4.1000000000000003E-3</v>
      </c>
      <c r="AQ478" s="219">
        <v>7.0326215191986803</v>
      </c>
      <c r="AR478" s="213" t="s">
        <v>1827</v>
      </c>
      <c r="AU478" s="343"/>
      <c r="AV478" s="343"/>
      <c r="AW478" s="328"/>
      <c r="AX478" s="329"/>
      <c r="AY478" s="328"/>
      <c r="AZ478" s="328"/>
      <c r="BA478" s="330"/>
      <c r="BB478" s="328"/>
      <c r="BC478" s="328"/>
      <c r="BD478" s="328"/>
      <c r="BE478" s="330"/>
      <c r="BF478" s="330"/>
      <c r="BG478" s="344"/>
      <c r="BH478" s="330"/>
      <c r="BI478" s="330"/>
      <c r="BJ478" s="330"/>
      <c r="BK478" s="330"/>
      <c r="BL478" s="330"/>
      <c r="BM478" s="330"/>
      <c r="BN478" s="330"/>
      <c r="BO478" s="330"/>
      <c r="BP478" s="331"/>
      <c r="BQ478" s="332"/>
      <c r="BR478" s="333"/>
    </row>
    <row r="479" spans="2:70" ht="15.75" customHeight="1">
      <c r="B479" s="216" t="s">
        <v>1334</v>
      </c>
      <c r="C479" s="212">
        <v>548088</v>
      </c>
      <c r="D479" s="223">
        <v>27751295000194</v>
      </c>
      <c r="E479" s="217" t="s">
        <v>25</v>
      </c>
      <c r="F479" s="217" t="s">
        <v>958</v>
      </c>
      <c r="G479" s="217" t="s">
        <v>962</v>
      </c>
      <c r="H479" s="218" t="s">
        <v>66</v>
      </c>
      <c r="I479" s="217" t="s">
        <v>1842</v>
      </c>
      <c r="J479" s="217" t="s">
        <v>66</v>
      </c>
      <c r="K479" s="218"/>
      <c r="L479" s="212" t="s">
        <v>87</v>
      </c>
      <c r="M479" s="250"/>
      <c r="N479" s="239">
        <v>42964</v>
      </c>
      <c r="O479" s="210" t="s">
        <v>114</v>
      </c>
      <c r="P479" s="210" t="s">
        <v>1075</v>
      </c>
      <c r="Q479" s="210" t="s">
        <v>1076</v>
      </c>
      <c r="R479" s="210" t="s">
        <v>1084</v>
      </c>
      <c r="S479" s="210" t="s">
        <v>1078</v>
      </c>
      <c r="T479" s="210" t="s">
        <v>1082</v>
      </c>
      <c r="U479" s="210" t="s">
        <v>958</v>
      </c>
      <c r="V479" s="210" t="s">
        <v>25</v>
      </c>
      <c r="W479" s="211" t="s">
        <v>1016</v>
      </c>
      <c r="X479" s="211">
        <v>5000</v>
      </c>
      <c r="Y479" s="211">
        <v>5000</v>
      </c>
      <c r="Z479" s="212">
        <v>5000</v>
      </c>
      <c r="AA479" s="240">
        <v>33</v>
      </c>
      <c r="AB479" s="213">
        <v>0.02</v>
      </c>
      <c r="AC479" s="213">
        <v>0.2</v>
      </c>
      <c r="AD479" s="213" t="s">
        <v>113</v>
      </c>
      <c r="AE479" s="213">
        <v>4.1999999999999997E-3</v>
      </c>
      <c r="AF479" s="241">
        <v>4122904.3</v>
      </c>
      <c r="AG479" s="241">
        <v>4122904.3</v>
      </c>
      <c r="AH479" s="213">
        <v>9.4200000000000006E-2</v>
      </c>
      <c r="AI479" s="352">
        <v>1.4510000000000001</v>
      </c>
      <c r="AJ479" s="213">
        <v>0.1026</v>
      </c>
      <c r="AK479" s="352">
        <v>1.0903</v>
      </c>
      <c r="AL479" s="213">
        <v>0.23519999999999999</v>
      </c>
      <c r="AM479" s="352">
        <v>1.9473</v>
      </c>
      <c r="AN479" s="213">
        <v>-0.1701</v>
      </c>
      <c r="AO479" s="352">
        <v>-1.0092000000000001</v>
      </c>
      <c r="AP479" s="213">
        <v>0.25090000000000001</v>
      </c>
      <c r="AQ479" s="219">
        <v>0.15618776690632835</v>
      </c>
      <c r="AR479" s="213" t="s">
        <v>1827</v>
      </c>
      <c r="AU479" s="343"/>
      <c r="AV479" s="343"/>
      <c r="AW479" s="328"/>
      <c r="AX479" s="329"/>
      <c r="AY479" s="328"/>
      <c r="AZ479" s="328"/>
      <c r="BA479" s="330"/>
      <c r="BB479" s="328"/>
      <c r="BC479" s="328"/>
      <c r="BD479" s="328"/>
      <c r="BE479" s="330"/>
      <c r="BF479" s="330"/>
      <c r="BG479" s="344"/>
      <c r="BH479" s="330"/>
      <c r="BI479" s="330"/>
      <c r="BJ479" s="330"/>
      <c r="BK479" s="330"/>
      <c r="BL479" s="330"/>
      <c r="BM479" s="330"/>
      <c r="BN479" s="330"/>
      <c r="BO479" s="330"/>
      <c r="BP479" s="331"/>
      <c r="BQ479" s="332"/>
      <c r="BR479" s="333"/>
    </row>
    <row r="480" spans="2:70" ht="15.75" customHeight="1">
      <c r="B480" s="216" t="s">
        <v>1335</v>
      </c>
      <c r="C480" s="212">
        <v>1250770</v>
      </c>
      <c r="D480" s="223">
        <v>19628666000117</v>
      </c>
      <c r="E480" s="217" t="s">
        <v>25</v>
      </c>
      <c r="F480" s="217" t="s">
        <v>958</v>
      </c>
      <c r="G480" s="217" t="s">
        <v>962</v>
      </c>
      <c r="H480" s="218" t="s">
        <v>66</v>
      </c>
      <c r="I480" s="217" t="s">
        <v>1842</v>
      </c>
      <c r="J480" s="217" t="s">
        <v>66</v>
      </c>
      <c r="K480" s="218"/>
      <c r="L480" s="212" t="s">
        <v>87</v>
      </c>
      <c r="M480" s="250"/>
      <c r="N480" s="239">
        <v>41759</v>
      </c>
      <c r="O480" s="210" t="s">
        <v>332</v>
      </c>
      <c r="P480" s="210" t="s">
        <v>1075</v>
      </c>
      <c r="Q480" s="210" t="s">
        <v>1076</v>
      </c>
      <c r="R480" s="210" t="s">
        <v>1084</v>
      </c>
      <c r="S480" s="210" t="s">
        <v>1078</v>
      </c>
      <c r="T480" s="210" t="s">
        <v>1082</v>
      </c>
      <c r="U480" s="210" t="s">
        <v>958</v>
      </c>
      <c r="V480" s="210" t="s">
        <v>25</v>
      </c>
      <c r="W480" s="211" t="s">
        <v>1023</v>
      </c>
      <c r="X480" s="211">
        <v>5000</v>
      </c>
      <c r="Y480" s="211">
        <v>1000</v>
      </c>
      <c r="Z480" s="212">
        <v>5000</v>
      </c>
      <c r="AA480" s="240">
        <v>33</v>
      </c>
      <c r="AB480" s="213">
        <v>0.02</v>
      </c>
      <c r="AC480" s="213">
        <v>0.2</v>
      </c>
      <c r="AD480" s="213" t="s">
        <v>113</v>
      </c>
      <c r="AE480" s="213">
        <v>4.1999999999999997E-3</v>
      </c>
      <c r="AF480" s="241">
        <v>181290304.63</v>
      </c>
      <c r="AG480" s="241">
        <v>181290304.63</v>
      </c>
      <c r="AH480" s="213">
        <v>9.3399999999999997E-2</v>
      </c>
      <c r="AI480" s="352">
        <v>1.4391</v>
      </c>
      <c r="AJ480" s="213">
        <v>0.1031</v>
      </c>
      <c r="AK480" s="352">
        <v>1.0962000000000001</v>
      </c>
      <c r="AL480" s="213">
        <v>0.23949999999999999</v>
      </c>
      <c r="AM480" s="352">
        <v>1.9823999999999999</v>
      </c>
      <c r="AN480" s="213">
        <v>-0.1721</v>
      </c>
      <c r="AO480" s="352">
        <v>-1.0213000000000001</v>
      </c>
      <c r="AP480" s="213">
        <v>0.255</v>
      </c>
      <c r="AQ480" s="219">
        <v>0.15973193173461256</v>
      </c>
      <c r="AR480" s="213" t="s">
        <v>1827</v>
      </c>
      <c r="AU480" s="343"/>
      <c r="AV480" s="343"/>
      <c r="AW480" s="328"/>
      <c r="AX480" s="329"/>
      <c r="AY480" s="328"/>
      <c r="AZ480" s="328"/>
      <c r="BA480" s="330"/>
      <c r="BB480" s="328"/>
      <c r="BC480" s="328"/>
      <c r="BD480" s="328"/>
      <c r="BE480" s="330"/>
      <c r="BF480" s="330"/>
      <c r="BG480" s="344"/>
      <c r="BH480" s="330"/>
      <c r="BI480" s="330"/>
      <c r="BJ480" s="330"/>
      <c r="BK480" s="330"/>
      <c r="BL480" s="330"/>
      <c r="BM480" s="330"/>
      <c r="BN480" s="330"/>
      <c r="BO480" s="330"/>
      <c r="BP480" s="331"/>
      <c r="BQ480" s="332"/>
      <c r="BR480" s="333"/>
    </row>
    <row r="481" spans="2:70" ht="15.75" customHeight="1">
      <c r="B481" s="216" t="s">
        <v>90</v>
      </c>
      <c r="C481" s="212">
        <v>525885</v>
      </c>
      <c r="D481" s="223">
        <v>35725802000143</v>
      </c>
      <c r="E481" s="217" t="s">
        <v>28</v>
      </c>
      <c r="F481" s="217" t="s">
        <v>950</v>
      </c>
      <c r="G481" s="217"/>
      <c r="H481" s="218"/>
      <c r="I481" s="217" t="s">
        <v>66</v>
      </c>
      <c r="J481" s="217" t="s">
        <v>66</v>
      </c>
      <c r="K481" s="218" t="s">
        <v>1050</v>
      </c>
      <c r="L481" s="212"/>
      <c r="M481" s="250"/>
      <c r="N481" s="239">
        <v>43873</v>
      </c>
      <c r="O481" s="210" t="s">
        <v>332</v>
      </c>
      <c r="P481" s="210" t="s">
        <v>1075</v>
      </c>
      <c r="Q481" s="210" t="s">
        <v>1076</v>
      </c>
      <c r="R481" s="210" t="s">
        <v>1084</v>
      </c>
      <c r="S481" s="210" t="s">
        <v>1078</v>
      </c>
      <c r="T481" s="210" t="s">
        <v>1079</v>
      </c>
      <c r="U481" s="210" t="s">
        <v>65</v>
      </c>
      <c r="V481" s="210" t="s">
        <v>1080</v>
      </c>
      <c r="W481" s="211" t="s">
        <v>1007</v>
      </c>
      <c r="X481" s="211">
        <v>5000</v>
      </c>
      <c r="Y481" s="211">
        <v>1000</v>
      </c>
      <c r="Z481" s="212">
        <v>5000</v>
      </c>
      <c r="AA481" s="240">
        <v>32</v>
      </c>
      <c r="AB481" s="213">
        <v>0.02</v>
      </c>
      <c r="AC481" s="213">
        <v>0.2</v>
      </c>
      <c r="AD481" s="213" t="s">
        <v>113</v>
      </c>
      <c r="AE481" s="213">
        <v>4.0000000000000001E-3</v>
      </c>
      <c r="AF481" s="241">
        <v>11306864.140000001</v>
      </c>
      <c r="AG481" s="241">
        <v>11306864.140000001</v>
      </c>
      <c r="AH481" s="213">
        <v>-9.8100000000000007E-2</v>
      </c>
      <c r="AI481" s="352">
        <v>-1.5105999999999999</v>
      </c>
      <c r="AJ481" s="213">
        <v>-9.5899999999999999E-2</v>
      </c>
      <c r="AK481" s="352">
        <v>-1.0189999999999999</v>
      </c>
      <c r="AL481" s="213">
        <v>0.46560000000000001</v>
      </c>
      <c r="AM481" s="352">
        <v>3.8540000000000001</v>
      </c>
      <c r="AN481" s="213" t="s">
        <v>66</v>
      </c>
      <c r="AO481" s="352" t="s">
        <v>66</v>
      </c>
      <c r="AP481" s="213">
        <v>0.2417</v>
      </c>
      <c r="AQ481" s="219">
        <v>-0.66822798667841909</v>
      </c>
      <c r="AR481" s="213" t="s">
        <v>1827</v>
      </c>
      <c r="AU481" s="343"/>
      <c r="AV481" s="343"/>
      <c r="AW481" s="328"/>
      <c r="AX481" s="329"/>
      <c r="AY481" s="328"/>
      <c r="AZ481" s="328"/>
      <c r="BA481" s="330"/>
      <c r="BB481" s="328"/>
      <c r="BC481" s="328"/>
      <c r="BD481" s="328"/>
      <c r="BE481" s="330"/>
      <c r="BF481" s="330"/>
      <c r="BG481" s="344"/>
      <c r="BH481" s="383"/>
      <c r="BI481" s="330"/>
      <c r="BJ481" s="330"/>
      <c r="BK481" s="330"/>
      <c r="BL481" s="330"/>
      <c r="BM481" s="330"/>
      <c r="BN481" s="330"/>
      <c r="BO481" s="330"/>
      <c r="BP481" s="331"/>
      <c r="BQ481" s="332"/>
      <c r="BR481" s="333"/>
    </row>
    <row r="482" spans="2:70" ht="15.75" customHeight="1">
      <c r="B482" s="216" t="s">
        <v>1336</v>
      </c>
      <c r="C482" s="212">
        <v>920528</v>
      </c>
      <c r="D482" s="223">
        <v>42773832000190</v>
      </c>
      <c r="E482" s="217" t="s">
        <v>28</v>
      </c>
      <c r="F482" s="217" t="s">
        <v>950</v>
      </c>
      <c r="G482" s="217"/>
      <c r="H482" s="218"/>
      <c r="I482" s="217" t="s">
        <v>66</v>
      </c>
      <c r="J482" s="217" t="s">
        <v>66</v>
      </c>
      <c r="K482" s="218" t="s">
        <v>951</v>
      </c>
      <c r="L482" s="212" t="s">
        <v>87</v>
      </c>
      <c r="M482" s="250"/>
      <c r="N482" s="239">
        <v>44529</v>
      </c>
      <c r="O482" s="210" t="s">
        <v>1337</v>
      </c>
      <c r="P482" s="210" t="s">
        <v>1075</v>
      </c>
      <c r="Q482" s="210" t="s">
        <v>1076</v>
      </c>
      <c r="R482" s="210" t="s">
        <v>1077</v>
      </c>
      <c r="S482" s="210" t="s">
        <v>1078</v>
      </c>
      <c r="T482" s="210" t="s">
        <v>1079</v>
      </c>
      <c r="U482" s="210" t="s">
        <v>950</v>
      </c>
      <c r="V482" s="210" t="s">
        <v>1080</v>
      </c>
      <c r="W482" s="211" t="s">
        <v>1007</v>
      </c>
      <c r="X482" s="211">
        <v>5000</v>
      </c>
      <c r="Y482" s="211">
        <v>1000</v>
      </c>
      <c r="Z482" s="212">
        <v>5000</v>
      </c>
      <c r="AA482" s="240">
        <v>32</v>
      </c>
      <c r="AB482" s="213">
        <v>1.9E-2</v>
      </c>
      <c r="AC482" s="213">
        <v>0.2</v>
      </c>
      <c r="AD482" s="213" t="s">
        <v>1100</v>
      </c>
      <c r="AE482" s="213">
        <v>5.0672999999999994E-3</v>
      </c>
      <c r="AF482" s="241">
        <v>3796346.95</v>
      </c>
      <c r="AG482" s="241">
        <v>3796346.95</v>
      </c>
      <c r="AH482" s="213">
        <v>-0.1835</v>
      </c>
      <c r="AI482" s="352">
        <v>-2.8271999999999999</v>
      </c>
      <c r="AJ482" s="213" t="s">
        <v>66</v>
      </c>
      <c r="AK482" s="352" t="s">
        <v>66</v>
      </c>
      <c r="AL482" s="213" t="s">
        <v>66</v>
      </c>
      <c r="AM482" s="352" t="s">
        <v>66</v>
      </c>
      <c r="AN482" s="213" t="s">
        <v>66</v>
      </c>
      <c r="AO482" s="352" t="s">
        <v>66</v>
      </c>
      <c r="AP482" s="213" t="s">
        <v>66</v>
      </c>
      <c r="AQ482" s="219" t="s">
        <v>66</v>
      </c>
      <c r="AR482" s="213" t="s">
        <v>1827</v>
      </c>
      <c r="AU482" s="343"/>
      <c r="AV482" s="343"/>
      <c r="AW482" s="328"/>
      <c r="AX482" s="329"/>
      <c r="AY482" s="328"/>
      <c r="AZ482" s="328"/>
      <c r="BA482" s="330"/>
      <c r="BB482" s="328"/>
      <c r="BC482" s="328"/>
      <c r="BD482" s="328"/>
      <c r="BE482" s="330"/>
      <c r="BF482" s="330"/>
      <c r="BG482" s="344"/>
      <c r="BH482" s="383"/>
      <c r="BI482" s="330"/>
      <c r="BJ482" s="330"/>
      <c r="BK482" s="330"/>
      <c r="BL482" s="330"/>
      <c r="BM482" s="330"/>
      <c r="BN482" s="330"/>
      <c r="BO482" s="330"/>
      <c r="BP482" s="331"/>
      <c r="BQ482" s="332"/>
      <c r="BR482" s="333"/>
    </row>
    <row r="483" spans="2:70" ht="15.75" customHeight="1">
      <c r="B483" s="216" t="s">
        <v>333</v>
      </c>
      <c r="C483" s="212">
        <v>663394</v>
      </c>
      <c r="D483" s="223">
        <v>32320740000100</v>
      </c>
      <c r="E483" s="217" t="s">
        <v>25</v>
      </c>
      <c r="F483" s="217" t="s">
        <v>958</v>
      </c>
      <c r="G483" s="217" t="s">
        <v>962</v>
      </c>
      <c r="H483" s="218" t="s">
        <v>66</v>
      </c>
      <c r="I483" s="217" t="s">
        <v>1842</v>
      </c>
      <c r="J483" s="217" t="s">
        <v>66</v>
      </c>
      <c r="K483" s="218"/>
      <c r="L483" s="212" t="s">
        <v>87</v>
      </c>
      <c r="M483" s="250"/>
      <c r="N483" s="239">
        <v>43677</v>
      </c>
      <c r="O483" s="210" t="s">
        <v>334</v>
      </c>
      <c r="P483" s="210" t="s">
        <v>1083</v>
      </c>
      <c r="Q483" s="210" t="s">
        <v>102</v>
      </c>
      <c r="R483" s="210" t="s">
        <v>1084</v>
      </c>
      <c r="S483" s="210" t="s">
        <v>1078</v>
      </c>
      <c r="T483" s="210" t="s">
        <v>1082</v>
      </c>
      <c r="U483" s="210" t="s">
        <v>958</v>
      </c>
      <c r="V483" s="210" t="s">
        <v>25</v>
      </c>
      <c r="W483" s="211" t="s">
        <v>1012</v>
      </c>
      <c r="X483" s="211">
        <v>1000</v>
      </c>
      <c r="Y483" s="211">
        <v>1000</v>
      </c>
      <c r="Z483" s="212">
        <v>1000</v>
      </c>
      <c r="AA483" s="240">
        <v>31</v>
      </c>
      <c r="AB483" s="213">
        <v>0.02</v>
      </c>
      <c r="AC483" s="213">
        <v>0.2</v>
      </c>
      <c r="AD483" s="213" t="s">
        <v>109</v>
      </c>
      <c r="AE483" s="213">
        <v>4.0000000000000001E-3</v>
      </c>
      <c r="AF483" s="241">
        <v>7583575.8499999996</v>
      </c>
      <c r="AG483" s="241">
        <v>7583575.8499999996</v>
      </c>
      <c r="AH483" s="213">
        <v>5.3199999999999997E-2</v>
      </c>
      <c r="AI483" s="352">
        <v>0.82020000000000004</v>
      </c>
      <c r="AJ483" s="213">
        <v>-2.6100000000000002E-2</v>
      </c>
      <c r="AK483" s="352">
        <v>-0.27779999999999999</v>
      </c>
      <c r="AL483" s="213">
        <v>3.5700000000000003E-2</v>
      </c>
      <c r="AM483" s="352">
        <v>0.29580000000000001</v>
      </c>
      <c r="AN483" s="213" t="s">
        <v>66</v>
      </c>
      <c r="AO483" s="352" t="s">
        <v>66</v>
      </c>
      <c r="AP483" s="213">
        <v>8.4500000000000006E-2</v>
      </c>
      <c r="AQ483" s="219">
        <v>-1.3351349994192789</v>
      </c>
      <c r="AR483" s="213" t="s">
        <v>1827</v>
      </c>
      <c r="AU483" s="343"/>
      <c r="AV483" s="343"/>
      <c r="AW483" s="328"/>
      <c r="AX483" s="329"/>
      <c r="AY483" s="328"/>
      <c r="AZ483" s="328"/>
      <c r="BA483" s="330"/>
      <c r="BB483" s="328"/>
      <c r="BC483" s="328"/>
      <c r="BD483" s="328"/>
      <c r="BE483" s="330"/>
      <c r="BF483" s="330"/>
      <c r="BG483" s="344"/>
      <c r="BH483" s="330"/>
      <c r="BI483" s="330"/>
      <c r="BJ483" s="330"/>
      <c r="BK483" s="330"/>
      <c r="BL483" s="330"/>
      <c r="BM483" s="330"/>
      <c r="BN483" s="330"/>
      <c r="BO483" s="330"/>
      <c r="BP483" s="331"/>
      <c r="BQ483" s="332"/>
      <c r="BR483" s="333"/>
    </row>
    <row r="484" spans="2:70" ht="15.75" customHeight="1">
      <c r="B484" s="216" t="s">
        <v>335</v>
      </c>
      <c r="C484" s="212">
        <v>2245634</v>
      </c>
      <c r="D484" s="223">
        <v>601692000123</v>
      </c>
      <c r="E484" s="217" t="s">
        <v>28</v>
      </c>
      <c r="F484" s="217" t="s">
        <v>950</v>
      </c>
      <c r="G484" s="217"/>
      <c r="H484" s="218"/>
      <c r="I484" s="217" t="s">
        <v>66</v>
      </c>
      <c r="J484" s="217" t="s">
        <v>66</v>
      </c>
      <c r="K484" s="218" t="s">
        <v>951</v>
      </c>
      <c r="L484" s="212" t="s">
        <v>87</v>
      </c>
      <c r="M484" s="250"/>
      <c r="N484" s="239">
        <v>34851</v>
      </c>
      <c r="O484" s="210" t="s">
        <v>336</v>
      </c>
      <c r="P484" s="210" t="s">
        <v>1090</v>
      </c>
      <c r="Q484" s="210" t="s">
        <v>1091</v>
      </c>
      <c r="R484" s="210" t="s">
        <v>1084</v>
      </c>
      <c r="S484" s="210" t="s">
        <v>1078</v>
      </c>
      <c r="T484" s="210" t="s">
        <v>1079</v>
      </c>
      <c r="U484" s="210" t="s">
        <v>950</v>
      </c>
      <c r="V484" s="210" t="s">
        <v>1080</v>
      </c>
      <c r="W484" s="211" t="s">
        <v>1013</v>
      </c>
      <c r="X484" s="211">
        <v>1000</v>
      </c>
      <c r="Y484" s="211">
        <v>1000</v>
      </c>
      <c r="Z484" s="212">
        <v>1000</v>
      </c>
      <c r="AA484" s="240">
        <v>59</v>
      </c>
      <c r="AB484" s="213">
        <v>0.02</v>
      </c>
      <c r="AC484" s="213">
        <v>0.2</v>
      </c>
      <c r="AD484" s="213" t="s">
        <v>113</v>
      </c>
      <c r="AE484" s="213">
        <v>5.0000000000000001E-3</v>
      </c>
      <c r="AF484" s="241">
        <v>142447220.84</v>
      </c>
      <c r="AG484" s="241">
        <v>142447220.84</v>
      </c>
      <c r="AH484" s="213">
        <v>-0.14630000000000001</v>
      </c>
      <c r="AI484" s="352">
        <v>-2.2536999999999998</v>
      </c>
      <c r="AJ484" s="213">
        <v>-0.33450000000000002</v>
      </c>
      <c r="AK484" s="352">
        <v>-3.5558000000000001</v>
      </c>
      <c r="AL484" s="213">
        <v>-0.22989999999999999</v>
      </c>
      <c r="AM484" s="352">
        <v>-1.9028</v>
      </c>
      <c r="AN484" s="213">
        <v>-0.18260000000000001</v>
      </c>
      <c r="AO484" s="352">
        <v>-1.0839000000000001</v>
      </c>
      <c r="AP484" s="213">
        <v>0.28289999999999998</v>
      </c>
      <c r="AQ484" s="219">
        <v>-1.6155675427838398</v>
      </c>
      <c r="AR484" s="213" t="s">
        <v>1824</v>
      </c>
      <c r="AU484" s="343"/>
      <c r="AV484" s="343"/>
      <c r="AW484" s="328"/>
      <c r="AX484" s="329"/>
      <c r="AY484" s="328"/>
      <c r="AZ484" s="328"/>
      <c r="BA484" s="330"/>
      <c r="BB484" s="328"/>
      <c r="BC484" s="328"/>
      <c r="BD484" s="328"/>
      <c r="BE484" s="330"/>
      <c r="BF484" s="330"/>
      <c r="BG484" s="344"/>
      <c r="BH484" s="330"/>
      <c r="BI484" s="330"/>
      <c r="BJ484" s="330"/>
      <c r="BK484" s="330"/>
      <c r="BL484" s="330"/>
      <c r="BM484" s="330"/>
      <c r="BN484" s="330"/>
      <c r="BO484" s="330"/>
      <c r="BP484" s="331"/>
      <c r="BQ484" s="332"/>
      <c r="BR484" s="333"/>
    </row>
    <row r="485" spans="2:70" ht="15.75" customHeight="1">
      <c r="B485" s="216" t="s">
        <v>337</v>
      </c>
      <c r="C485" s="212">
        <v>1459381</v>
      </c>
      <c r="D485" s="223">
        <v>11186674000149</v>
      </c>
      <c r="E485" s="217" t="s">
        <v>28</v>
      </c>
      <c r="F485" s="217" t="s">
        <v>950</v>
      </c>
      <c r="G485" s="217"/>
      <c r="H485" s="218"/>
      <c r="I485" s="217" t="s">
        <v>66</v>
      </c>
      <c r="J485" s="217" t="s">
        <v>66</v>
      </c>
      <c r="K485" s="218" t="s">
        <v>951</v>
      </c>
      <c r="L485" s="212" t="s">
        <v>87</v>
      </c>
      <c r="M485" s="250"/>
      <c r="N485" s="239">
        <v>40113</v>
      </c>
      <c r="O485" s="210" t="s">
        <v>338</v>
      </c>
      <c r="P485" s="210" t="s">
        <v>1083</v>
      </c>
      <c r="Q485" s="210" t="s">
        <v>102</v>
      </c>
      <c r="R485" s="210" t="s">
        <v>1084</v>
      </c>
      <c r="S485" s="210" t="s">
        <v>1078</v>
      </c>
      <c r="T485" s="210" t="s">
        <v>1079</v>
      </c>
      <c r="U485" s="210" t="s">
        <v>950</v>
      </c>
      <c r="V485" s="210" t="s">
        <v>1080</v>
      </c>
      <c r="W485" s="211" t="s">
        <v>1007</v>
      </c>
      <c r="X485" s="211">
        <v>1000</v>
      </c>
      <c r="Y485" s="211">
        <v>1000</v>
      </c>
      <c r="Z485" s="212">
        <v>1000</v>
      </c>
      <c r="AA485" s="240">
        <v>3</v>
      </c>
      <c r="AB485" s="213">
        <v>1.9E-2</v>
      </c>
      <c r="AC485" s="213">
        <v>0.2</v>
      </c>
      <c r="AD485" s="213" t="s">
        <v>1014</v>
      </c>
      <c r="AE485" s="213">
        <v>5.0666666666666664E-3</v>
      </c>
      <c r="AF485" s="241">
        <v>63459156.859999999</v>
      </c>
      <c r="AG485" s="241">
        <v>63459156.859999999</v>
      </c>
      <c r="AH485" s="213">
        <v>-0.1203</v>
      </c>
      <c r="AI485" s="352">
        <v>-1.8529</v>
      </c>
      <c r="AJ485" s="213">
        <v>-0.30020000000000002</v>
      </c>
      <c r="AK485" s="352">
        <v>-3.1909000000000001</v>
      </c>
      <c r="AL485" s="213">
        <v>-0.15110000000000001</v>
      </c>
      <c r="AM485" s="352">
        <v>-1.2505999999999999</v>
      </c>
      <c r="AN485" s="213">
        <v>-2.4400000000000002E-2</v>
      </c>
      <c r="AO485" s="352">
        <v>-0.14480000000000001</v>
      </c>
      <c r="AP485" s="213">
        <v>0.22969999999999999</v>
      </c>
      <c r="AQ485" s="219">
        <v>-1.8299009743554808</v>
      </c>
      <c r="AR485" s="213" t="s">
        <v>1827</v>
      </c>
      <c r="AU485" s="343"/>
      <c r="AV485" s="343"/>
      <c r="AW485" s="328"/>
      <c r="AX485" s="329"/>
      <c r="AY485" s="328"/>
      <c r="AZ485" s="328"/>
      <c r="BA485" s="330"/>
      <c r="BB485" s="328"/>
      <c r="BC485" s="328"/>
      <c r="BD485" s="328"/>
      <c r="BE485" s="330"/>
      <c r="BF485" s="330"/>
      <c r="BG485" s="344"/>
      <c r="BH485" s="383"/>
      <c r="BI485" s="330"/>
      <c r="BJ485" s="330"/>
      <c r="BK485" s="330"/>
      <c r="BL485" s="330"/>
      <c r="BM485" s="330"/>
      <c r="BN485" s="330"/>
      <c r="BO485" s="330"/>
      <c r="BP485" s="331"/>
      <c r="BQ485" s="332"/>
      <c r="BR485" s="333"/>
    </row>
    <row r="486" spans="2:70" ht="15.75" customHeight="1">
      <c r="B486" s="216" t="s">
        <v>1338</v>
      </c>
      <c r="C486" s="212">
        <v>1254308</v>
      </c>
      <c r="D486" s="223">
        <v>20584638000124</v>
      </c>
      <c r="E486" s="217" t="s">
        <v>19</v>
      </c>
      <c r="F486" s="217" t="s">
        <v>963</v>
      </c>
      <c r="G486" s="217" t="s">
        <v>1042</v>
      </c>
      <c r="H486" s="218" t="s">
        <v>1113</v>
      </c>
      <c r="I486" s="217" t="s">
        <v>66</v>
      </c>
      <c r="J486" s="217" t="s">
        <v>1794</v>
      </c>
      <c r="K486" s="218" t="s">
        <v>951</v>
      </c>
      <c r="L486" s="212" t="s">
        <v>87</v>
      </c>
      <c r="M486" s="250"/>
      <c r="N486" s="239">
        <v>42319</v>
      </c>
      <c r="O486" s="210" t="s">
        <v>338</v>
      </c>
      <c r="P486" s="210" t="s">
        <v>1075</v>
      </c>
      <c r="Q486" s="210" t="s">
        <v>102</v>
      </c>
      <c r="R486" s="210" t="s">
        <v>1084</v>
      </c>
      <c r="S486" s="210" t="s">
        <v>1078</v>
      </c>
      <c r="T486" s="210" t="s">
        <v>1275</v>
      </c>
      <c r="U486" s="210" t="s">
        <v>964</v>
      </c>
      <c r="V486" s="210" t="s">
        <v>19</v>
      </c>
      <c r="W486" s="211" t="s">
        <v>1024</v>
      </c>
      <c r="X486" s="211">
        <v>1000</v>
      </c>
      <c r="Y486" s="211">
        <v>1000</v>
      </c>
      <c r="Z486" s="212">
        <v>1000</v>
      </c>
      <c r="AA486" s="240">
        <v>31</v>
      </c>
      <c r="AB486" s="213">
        <v>7.4999999999999997E-3</v>
      </c>
      <c r="AC486" s="213">
        <v>0</v>
      </c>
      <c r="AD486" s="213" t="s">
        <v>109</v>
      </c>
      <c r="AE486" s="213">
        <v>2E-3</v>
      </c>
      <c r="AF486" s="241">
        <v>16849936.350000001</v>
      </c>
      <c r="AG486" s="241">
        <v>16849936.350000001</v>
      </c>
      <c r="AH486" s="213">
        <v>6.5799999999999997E-2</v>
      </c>
      <c r="AI486" s="352">
        <v>1.0138</v>
      </c>
      <c r="AJ486" s="213">
        <v>0.1024</v>
      </c>
      <c r="AK486" s="352">
        <v>1.0881000000000001</v>
      </c>
      <c r="AL486" s="213">
        <v>0.15129999999999999</v>
      </c>
      <c r="AM486" s="352">
        <v>1.2526999999999999</v>
      </c>
      <c r="AN486" s="213">
        <v>0.1179</v>
      </c>
      <c r="AO486" s="352">
        <v>0.6996</v>
      </c>
      <c r="AP486" s="213">
        <v>7.6E-3</v>
      </c>
      <c r="AQ486" s="219">
        <v>0.99500163082408888</v>
      </c>
      <c r="AR486" s="213" t="s">
        <v>1827</v>
      </c>
      <c r="AU486" s="343"/>
      <c r="AV486" s="343"/>
      <c r="AW486" s="328"/>
      <c r="AX486" s="329"/>
      <c r="AY486" s="328"/>
      <c r="AZ486" s="328"/>
      <c r="BA486" s="330"/>
      <c r="BB486" s="328"/>
      <c r="BC486" s="328"/>
      <c r="BD486" s="328"/>
      <c r="BE486" s="330"/>
      <c r="BF486" s="330"/>
      <c r="BG486" s="344"/>
      <c r="BH486" s="330"/>
      <c r="BI486" s="330"/>
      <c r="BJ486" s="330"/>
      <c r="BK486" s="330"/>
      <c r="BL486" s="330"/>
      <c r="BM486" s="330"/>
      <c r="BN486" s="330"/>
      <c r="BO486" s="330"/>
      <c r="BP486" s="331"/>
      <c r="BQ486" s="332"/>
      <c r="BR486" s="333"/>
    </row>
    <row r="487" spans="2:70" ht="15.75" customHeight="1">
      <c r="B487" s="216" t="s">
        <v>1769</v>
      </c>
      <c r="C487" s="212">
        <v>4070890</v>
      </c>
      <c r="D487" s="223">
        <v>41978598000175</v>
      </c>
      <c r="E487" s="217" t="s">
        <v>25</v>
      </c>
      <c r="F487" s="217" t="s">
        <v>958</v>
      </c>
      <c r="G487" s="217" t="s">
        <v>962</v>
      </c>
      <c r="H487" s="218" t="s">
        <v>66</v>
      </c>
      <c r="I487" s="217" t="s">
        <v>1842</v>
      </c>
      <c r="J487" s="217" t="s">
        <v>66</v>
      </c>
      <c r="K487" s="218" t="s">
        <v>951</v>
      </c>
      <c r="L487" s="212" t="s">
        <v>87</v>
      </c>
      <c r="M487" s="250"/>
      <c r="N487" s="239">
        <v>44439</v>
      </c>
      <c r="O487" s="210" t="s">
        <v>1770</v>
      </c>
      <c r="P487" s="210" t="s">
        <v>1736</v>
      </c>
      <c r="Q487" s="210" t="s">
        <v>1737</v>
      </c>
      <c r="R487" s="210" t="s">
        <v>1745</v>
      </c>
      <c r="S487" s="210" t="s">
        <v>1078</v>
      </c>
      <c r="T487" s="210" t="s">
        <v>1082</v>
      </c>
      <c r="U487" s="210" t="s">
        <v>958</v>
      </c>
      <c r="V487" s="210" t="s">
        <v>25</v>
      </c>
      <c r="W487" s="211" t="s">
        <v>1771</v>
      </c>
      <c r="X487" s="211">
        <v>1000</v>
      </c>
      <c r="Y487" s="211">
        <v>1000</v>
      </c>
      <c r="Z487" s="212">
        <v>1000</v>
      </c>
      <c r="AA487" s="240">
        <v>31</v>
      </c>
      <c r="AB487" s="213">
        <v>1.8700000000000001E-2</v>
      </c>
      <c r="AC487" s="213">
        <v>0.2</v>
      </c>
      <c r="AD487" s="213" t="s">
        <v>109</v>
      </c>
      <c r="AE487" s="213">
        <v>4.986666666666667E-3</v>
      </c>
      <c r="AF487" s="241" t="s">
        <v>66</v>
      </c>
      <c r="AG487" s="241" t="s">
        <v>66</v>
      </c>
      <c r="AH487" s="213" t="s">
        <v>66</v>
      </c>
      <c r="AI487" s="352" t="s">
        <v>66</v>
      </c>
      <c r="AJ487" s="213" t="s">
        <v>66</v>
      </c>
      <c r="AK487" s="352" t="s">
        <v>66</v>
      </c>
      <c r="AL487" s="213" t="s">
        <v>66</v>
      </c>
      <c r="AM487" s="352" t="s">
        <v>66</v>
      </c>
      <c r="AN487" s="213" t="s">
        <v>66</v>
      </c>
      <c r="AO487" s="352" t="s">
        <v>66</v>
      </c>
      <c r="AP487" s="213" t="s">
        <v>66</v>
      </c>
      <c r="AQ487" s="219" t="s">
        <v>66</v>
      </c>
      <c r="AR487" s="213" t="s">
        <v>1827</v>
      </c>
      <c r="AU487" s="343"/>
      <c r="AV487" s="343"/>
      <c r="AW487" s="328"/>
      <c r="AX487" s="329"/>
      <c r="AY487" s="328"/>
      <c r="AZ487" s="328"/>
      <c r="BA487" s="330"/>
      <c r="BB487" s="328"/>
      <c r="BC487" s="328"/>
      <c r="BD487" s="328"/>
      <c r="BE487" s="330"/>
      <c r="BF487" s="330"/>
      <c r="BG487" s="344"/>
      <c r="BH487" s="330"/>
      <c r="BI487" s="330"/>
      <c r="BJ487" s="330"/>
      <c r="BK487" s="330"/>
      <c r="BL487" s="330"/>
      <c r="BM487" s="330"/>
      <c r="BN487" s="330"/>
      <c r="BO487" s="330"/>
      <c r="BP487" s="331"/>
      <c r="BQ487" s="332"/>
      <c r="BR487" s="333"/>
    </row>
    <row r="488" spans="2:70" ht="15.75" customHeight="1">
      <c r="B488" s="216" t="s">
        <v>339</v>
      </c>
      <c r="C488" s="212">
        <v>1254311</v>
      </c>
      <c r="D488" s="223">
        <v>828035000113</v>
      </c>
      <c r="E488" s="217" t="s">
        <v>19</v>
      </c>
      <c r="F488" s="217" t="s">
        <v>963</v>
      </c>
      <c r="G488" s="217" t="s">
        <v>1011</v>
      </c>
      <c r="H488" s="218" t="s">
        <v>1113</v>
      </c>
      <c r="I488" s="217" t="s">
        <v>66</v>
      </c>
      <c r="J488" s="217"/>
      <c r="K488" s="218"/>
      <c r="L488" s="212" t="s">
        <v>87</v>
      </c>
      <c r="M488" s="250"/>
      <c r="N488" s="239">
        <v>34978</v>
      </c>
      <c r="O488" s="210" t="s">
        <v>338</v>
      </c>
      <c r="P488" s="210" t="s">
        <v>1075</v>
      </c>
      <c r="Q488" s="210" t="s">
        <v>102</v>
      </c>
      <c r="R488" s="210" t="s">
        <v>1084</v>
      </c>
      <c r="S488" s="210" t="s">
        <v>1078</v>
      </c>
      <c r="T488" s="210" t="s">
        <v>1275</v>
      </c>
      <c r="U488" s="210" t="s">
        <v>1114</v>
      </c>
      <c r="V488" s="210" t="s">
        <v>25</v>
      </c>
      <c r="W488" s="211" t="s">
        <v>1012</v>
      </c>
      <c r="X488" s="211">
        <v>1000</v>
      </c>
      <c r="Y488" s="211">
        <v>1000</v>
      </c>
      <c r="Z488" s="212">
        <v>1000</v>
      </c>
      <c r="AA488" s="240">
        <v>31</v>
      </c>
      <c r="AB488" s="213">
        <v>4.0000000000000001E-3</v>
      </c>
      <c r="AC488" s="213">
        <v>0</v>
      </c>
      <c r="AD488" s="213" t="s">
        <v>1100</v>
      </c>
      <c r="AE488" s="213">
        <v>1.0666666666666667E-3</v>
      </c>
      <c r="AF488" s="241" t="s">
        <v>66</v>
      </c>
      <c r="AG488" s="241" t="s">
        <v>66</v>
      </c>
      <c r="AH488" s="213" t="s">
        <v>66</v>
      </c>
      <c r="AI488" s="352" t="s">
        <v>66</v>
      </c>
      <c r="AJ488" s="213" t="s">
        <v>66</v>
      </c>
      <c r="AK488" s="352" t="s">
        <v>66</v>
      </c>
      <c r="AL488" s="213" t="s">
        <v>66</v>
      </c>
      <c r="AM488" s="352" t="s">
        <v>66</v>
      </c>
      <c r="AN488" s="213" t="s">
        <v>66</v>
      </c>
      <c r="AO488" s="352" t="s">
        <v>66</v>
      </c>
      <c r="AP488" s="213" t="s">
        <v>66</v>
      </c>
      <c r="AQ488" s="219" t="s">
        <v>66</v>
      </c>
      <c r="AR488" s="213" t="s">
        <v>1827</v>
      </c>
      <c r="AU488" s="343"/>
      <c r="AV488" s="343"/>
      <c r="AW488" s="328"/>
      <c r="AX488" s="329"/>
      <c r="AY488" s="328"/>
      <c r="AZ488" s="328"/>
      <c r="BA488" s="330"/>
      <c r="BB488" s="328"/>
      <c r="BC488" s="328"/>
      <c r="BD488" s="328"/>
      <c r="BE488" s="330"/>
      <c r="BF488" s="330"/>
      <c r="BG488" s="344"/>
      <c r="BH488" s="330"/>
      <c r="BI488" s="330"/>
      <c r="BJ488" s="330"/>
      <c r="BK488" s="330"/>
      <c r="BL488" s="330"/>
      <c r="BM488" s="330"/>
      <c r="BN488" s="330"/>
      <c r="BO488" s="330"/>
      <c r="BP488" s="331"/>
      <c r="BQ488" s="332"/>
      <c r="BR488" s="333"/>
    </row>
    <row r="489" spans="2:70" ht="15.75" customHeight="1">
      <c r="B489" s="216" t="s">
        <v>820</v>
      </c>
      <c r="C489" s="212">
        <v>1122827</v>
      </c>
      <c r="D489" s="223">
        <v>9394243000126</v>
      </c>
      <c r="E489" s="217" t="s">
        <v>25</v>
      </c>
      <c r="F489" s="217" t="s">
        <v>958</v>
      </c>
      <c r="G489" s="217" t="s">
        <v>962</v>
      </c>
      <c r="H489" s="218" t="s">
        <v>66</v>
      </c>
      <c r="I489" s="217" t="s">
        <v>1841</v>
      </c>
      <c r="J489" s="217" t="s">
        <v>66</v>
      </c>
      <c r="K489" s="218"/>
      <c r="L489" s="212" t="s">
        <v>87</v>
      </c>
      <c r="M489" s="250"/>
      <c r="N489" s="239">
        <v>40086</v>
      </c>
      <c r="O489" s="210" t="s">
        <v>338</v>
      </c>
      <c r="P489" s="210" t="s">
        <v>1083</v>
      </c>
      <c r="Q489" s="210" t="s">
        <v>102</v>
      </c>
      <c r="R489" s="210" t="s">
        <v>1084</v>
      </c>
      <c r="S489" s="210" t="s">
        <v>1078</v>
      </c>
      <c r="T489" s="210" t="s">
        <v>1082</v>
      </c>
      <c r="U489" s="210" t="s">
        <v>958</v>
      </c>
      <c r="V489" s="210" t="s">
        <v>25</v>
      </c>
      <c r="W489" s="211" t="s">
        <v>1035</v>
      </c>
      <c r="X489" s="211">
        <v>1000</v>
      </c>
      <c r="Y489" s="211">
        <v>1000</v>
      </c>
      <c r="Z489" s="212">
        <v>1000</v>
      </c>
      <c r="AA489" s="240">
        <v>31</v>
      </c>
      <c r="AB489" s="213">
        <v>1.15E-2</v>
      </c>
      <c r="AC489" s="213">
        <v>0</v>
      </c>
      <c r="AD489" s="213" t="s">
        <v>109</v>
      </c>
      <c r="AE489" s="213">
        <v>3.0666666666666668E-3</v>
      </c>
      <c r="AF489" s="241">
        <v>23066507.190000001</v>
      </c>
      <c r="AG489" s="241">
        <v>23066507.190000001</v>
      </c>
      <c r="AH489" s="213">
        <v>9.1499999999999998E-2</v>
      </c>
      <c r="AI489" s="352">
        <v>1.4091</v>
      </c>
      <c r="AJ489" s="213">
        <v>6.5600000000000006E-2</v>
      </c>
      <c r="AK489" s="352">
        <v>0.69730000000000003</v>
      </c>
      <c r="AL489" s="213">
        <v>0.12720000000000001</v>
      </c>
      <c r="AM489" s="352">
        <v>1.0526</v>
      </c>
      <c r="AN489" s="213">
        <v>0.1704</v>
      </c>
      <c r="AO489" s="352">
        <v>1.0112000000000001</v>
      </c>
      <c r="AP489" s="213">
        <v>4.2599999999999999E-2</v>
      </c>
      <c r="AQ489" s="219">
        <v>-0.59753057996364678</v>
      </c>
      <c r="AR489" s="213" t="s">
        <v>1827</v>
      </c>
      <c r="AU489" s="343"/>
      <c r="AV489" s="343"/>
      <c r="AW489" s="328"/>
      <c r="AX489" s="329"/>
      <c r="AY489" s="328"/>
      <c r="AZ489" s="328"/>
      <c r="BA489" s="330"/>
      <c r="BB489" s="328"/>
      <c r="BC489" s="328"/>
      <c r="BD489" s="328"/>
      <c r="BE489" s="330"/>
      <c r="BF489" s="330"/>
      <c r="BG489" s="344"/>
      <c r="BH489" s="330"/>
      <c r="BI489" s="330"/>
      <c r="BJ489" s="330"/>
      <c r="BK489" s="330"/>
      <c r="BL489" s="330"/>
      <c r="BM489" s="330"/>
      <c r="BN489" s="330"/>
      <c r="BO489" s="330"/>
      <c r="BP489" s="331"/>
      <c r="BQ489" s="332"/>
      <c r="BR489" s="333"/>
    </row>
    <row r="490" spans="2:70" ht="15.75" customHeight="1">
      <c r="B490" s="216" t="s">
        <v>874</v>
      </c>
      <c r="C490" s="212">
        <v>1178948</v>
      </c>
      <c r="D490" s="223">
        <v>13476201000101</v>
      </c>
      <c r="E490" s="217" t="s">
        <v>28</v>
      </c>
      <c r="F490" s="217" t="s">
        <v>950</v>
      </c>
      <c r="G490" s="217"/>
      <c r="H490" s="218"/>
      <c r="I490" s="217" t="s">
        <v>66</v>
      </c>
      <c r="J490" s="217" t="s">
        <v>66</v>
      </c>
      <c r="K490" s="218" t="s">
        <v>951</v>
      </c>
      <c r="L490" s="212" t="s">
        <v>87</v>
      </c>
      <c r="M490" s="250"/>
      <c r="N490" s="239">
        <v>40700</v>
      </c>
      <c r="O490" s="210" t="s">
        <v>338</v>
      </c>
      <c r="P490" s="210" t="s">
        <v>1083</v>
      </c>
      <c r="Q490" s="210" t="s">
        <v>102</v>
      </c>
      <c r="R490" s="210" t="s">
        <v>1084</v>
      </c>
      <c r="S490" s="210" t="s">
        <v>1078</v>
      </c>
      <c r="T490" s="210" t="s">
        <v>1079</v>
      </c>
      <c r="U490" s="210" t="s">
        <v>950</v>
      </c>
      <c r="V490" s="210" t="s">
        <v>1080</v>
      </c>
      <c r="W490" s="211" t="s">
        <v>1007</v>
      </c>
      <c r="X490" s="211">
        <v>1000</v>
      </c>
      <c r="Y490" s="211">
        <v>1000</v>
      </c>
      <c r="Z490" s="212">
        <v>1000</v>
      </c>
      <c r="AA490" s="240">
        <v>32</v>
      </c>
      <c r="AB490" s="213">
        <v>1.4999999999999999E-2</v>
      </c>
      <c r="AC490" s="213">
        <v>0.2</v>
      </c>
      <c r="AD490" s="213" t="s">
        <v>1157</v>
      </c>
      <c r="AE490" s="213">
        <v>4.0000000000000001E-3</v>
      </c>
      <c r="AF490" s="241">
        <v>14570347.32</v>
      </c>
      <c r="AG490" s="241">
        <v>14570347.32</v>
      </c>
      <c r="AH490" s="213">
        <v>-0.40770000000000001</v>
      </c>
      <c r="AI490" s="352">
        <v>-6.2798999999999996</v>
      </c>
      <c r="AJ490" s="213">
        <v>-0.65490000000000004</v>
      </c>
      <c r="AK490" s="352">
        <v>-6.9610000000000003</v>
      </c>
      <c r="AL490" s="213">
        <v>-0.66059999999999997</v>
      </c>
      <c r="AM490" s="352">
        <v>-5.4678000000000004</v>
      </c>
      <c r="AN490" s="213">
        <v>-0.51570000000000005</v>
      </c>
      <c r="AO490" s="352">
        <v>-3.0602999999999998</v>
      </c>
      <c r="AP490" s="213">
        <v>0.42909999999999998</v>
      </c>
      <c r="AQ490" s="219">
        <v>-2.4692423991926074</v>
      </c>
      <c r="AR490" s="213" t="s">
        <v>1827</v>
      </c>
      <c r="AU490" s="343"/>
      <c r="AV490" s="343"/>
      <c r="AW490" s="328"/>
      <c r="AX490" s="329"/>
      <c r="AY490" s="328"/>
      <c r="AZ490" s="328"/>
      <c r="BA490" s="330"/>
      <c r="BB490" s="328"/>
      <c r="BC490" s="328"/>
      <c r="BD490" s="328"/>
      <c r="BE490" s="330"/>
      <c r="BF490" s="330"/>
      <c r="BG490" s="344"/>
      <c r="BH490" s="330"/>
      <c r="BI490" s="330"/>
      <c r="BJ490" s="330"/>
      <c r="BK490" s="330"/>
      <c r="BL490" s="330"/>
      <c r="BM490" s="330"/>
      <c r="BN490" s="330"/>
      <c r="BO490" s="330"/>
      <c r="BP490" s="331"/>
      <c r="BQ490" s="332"/>
      <c r="BR490" s="333"/>
    </row>
    <row r="491" spans="2:70" ht="15.75" customHeight="1">
      <c r="B491" s="216" t="s">
        <v>782</v>
      </c>
      <c r="C491" s="212">
        <v>566205</v>
      </c>
      <c r="D491" s="223">
        <v>29613915000154</v>
      </c>
      <c r="E491" s="217" t="s">
        <v>19</v>
      </c>
      <c r="F491" s="217" t="s">
        <v>963</v>
      </c>
      <c r="G491" s="217" t="s">
        <v>1011</v>
      </c>
      <c r="H491" s="218" t="s">
        <v>1113</v>
      </c>
      <c r="I491" s="217" t="s">
        <v>66</v>
      </c>
      <c r="J491" s="217"/>
      <c r="K491" s="218" t="s">
        <v>951</v>
      </c>
      <c r="L491" s="212" t="s">
        <v>87</v>
      </c>
      <c r="M491" s="250"/>
      <c r="N491" s="239">
        <v>43448</v>
      </c>
      <c r="O491" s="210" t="s">
        <v>338</v>
      </c>
      <c r="P491" s="210" t="s">
        <v>1075</v>
      </c>
      <c r="Q491" s="210" t="s">
        <v>102</v>
      </c>
      <c r="R491" s="210" t="s">
        <v>1084</v>
      </c>
      <c r="S491" s="210" t="s">
        <v>1078</v>
      </c>
      <c r="T491" s="210" t="s">
        <v>1275</v>
      </c>
      <c r="U491" s="210" t="s">
        <v>1114</v>
      </c>
      <c r="V491" s="210" t="s">
        <v>25</v>
      </c>
      <c r="W491" s="211" t="s">
        <v>1012</v>
      </c>
      <c r="X491" s="211">
        <v>1000</v>
      </c>
      <c r="Y491" s="211">
        <v>1000</v>
      </c>
      <c r="Z491" s="212">
        <v>1000</v>
      </c>
      <c r="AA491" s="240">
        <v>31</v>
      </c>
      <c r="AB491" s="213">
        <v>6.4999999999999997E-3</v>
      </c>
      <c r="AC491" s="213">
        <v>0.2</v>
      </c>
      <c r="AD491" s="213" t="s">
        <v>1100</v>
      </c>
      <c r="AE491" s="213">
        <v>4.986666666666667E-3</v>
      </c>
      <c r="AF491" s="241">
        <v>43776650.670000002</v>
      </c>
      <c r="AG491" s="241">
        <v>43776650.670000002</v>
      </c>
      <c r="AH491" s="213">
        <v>4.2099999999999999E-2</v>
      </c>
      <c r="AI491" s="352">
        <v>0.64870000000000005</v>
      </c>
      <c r="AJ491" s="213">
        <v>7.7100000000000002E-2</v>
      </c>
      <c r="AK491" s="352">
        <v>0.81969999999999998</v>
      </c>
      <c r="AL491" s="213">
        <v>0.14069999999999999</v>
      </c>
      <c r="AM491" s="352">
        <v>1.1644000000000001</v>
      </c>
      <c r="AN491" s="213">
        <v>0.17199999999999999</v>
      </c>
      <c r="AO491" s="352">
        <v>1.0208999999999999</v>
      </c>
      <c r="AP491" s="213">
        <v>1.6199999999999999E-2</v>
      </c>
      <c r="AQ491" s="219">
        <v>-0.9567661591788702</v>
      </c>
      <c r="AR491" s="213" t="s">
        <v>1827</v>
      </c>
      <c r="AU491" s="343"/>
      <c r="AV491" s="343"/>
      <c r="AW491" s="328"/>
      <c r="AX491" s="329"/>
      <c r="AY491" s="328"/>
      <c r="AZ491" s="328"/>
      <c r="BA491" s="330"/>
      <c r="BB491" s="328"/>
      <c r="BC491" s="328"/>
      <c r="BD491" s="328"/>
      <c r="BE491" s="330"/>
      <c r="BF491" s="330"/>
      <c r="BG491" s="344"/>
      <c r="BH491" s="330"/>
      <c r="BI491" s="330"/>
      <c r="BJ491" s="330"/>
      <c r="BK491" s="330"/>
      <c r="BL491" s="330"/>
      <c r="BM491" s="330"/>
      <c r="BN491" s="330"/>
      <c r="BO491" s="330"/>
      <c r="BP491" s="331"/>
      <c r="BQ491" s="332"/>
      <c r="BR491" s="333"/>
    </row>
    <row r="492" spans="2:70" ht="15.75" customHeight="1">
      <c r="B492" s="216" t="s">
        <v>340</v>
      </c>
      <c r="C492" s="212">
        <v>942440</v>
      </c>
      <c r="D492" s="223">
        <v>26846429000198</v>
      </c>
      <c r="E492" s="217" t="s">
        <v>28</v>
      </c>
      <c r="F492" s="217" t="s">
        <v>950</v>
      </c>
      <c r="G492" s="217"/>
      <c r="H492" s="218"/>
      <c r="I492" s="217" t="s">
        <v>66</v>
      </c>
      <c r="J492" s="217" t="s">
        <v>66</v>
      </c>
      <c r="K492" s="218" t="s">
        <v>951</v>
      </c>
      <c r="L492" s="212" t="s">
        <v>87</v>
      </c>
      <c r="M492" s="250"/>
      <c r="N492" s="239">
        <v>42765</v>
      </c>
      <c r="O492" s="210" t="s">
        <v>341</v>
      </c>
      <c r="P492" s="210" t="s">
        <v>1140</v>
      </c>
      <c r="Q492" s="210" t="s">
        <v>1148</v>
      </c>
      <c r="R492" s="210" t="s">
        <v>1077</v>
      </c>
      <c r="S492" s="210" t="s">
        <v>1078</v>
      </c>
      <c r="T492" s="210" t="s">
        <v>1079</v>
      </c>
      <c r="U492" s="210" t="s">
        <v>950</v>
      </c>
      <c r="V492" s="210" t="s">
        <v>1080</v>
      </c>
      <c r="W492" s="211" t="s">
        <v>1036</v>
      </c>
      <c r="X492" s="211">
        <v>10000</v>
      </c>
      <c r="Y492" s="211">
        <v>5000</v>
      </c>
      <c r="Z492" s="212">
        <v>5000</v>
      </c>
      <c r="AA492" s="240">
        <v>21</v>
      </c>
      <c r="AB492" s="213">
        <v>0.02</v>
      </c>
      <c r="AC492" s="213">
        <v>0.2</v>
      </c>
      <c r="AD492" s="213" t="s">
        <v>113</v>
      </c>
      <c r="AE492" s="213">
        <v>4.0000000000000001E-3</v>
      </c>
      <c r="AF492" s="241">
        <v>28849997.600000001</v>
      </c>
      <c r="AG492" s="241">
        <v>28849997.600000001</v>
      </c>
      <c r="AH492" s="213">
        <v>-0.28079999999999999</v>
      </c>
      <c r="AI492" s="352">
        <v>-4.3251999999999997</v>
      </c>
      <c r="AJ492" s="213">
        <v>-0.31759999999999999</v>
      </c>
      <c r="AK492" s="352">
        <v>-3.3757999999999999</v>
      </c>
      <c r="AL492" s="213">
        <v>-0.1145</v>
      </c>
      <c r="AM492" s="352">
        <v>-0.94740000000000002</v>
      </c>
      <c r="AN492" s="213">
        <v>0.1691</v>
      </c>
      <c r="AO492" s="352">
        <v>1.0036</v>
      </c>
      <c r="AP492" s="213">
        <v>0.25080000000000002</v>
      </c>
      <c r="AQ492" s="219">
        <v>-1.7558973345358888</v>
      </c>
      <c r="AR492" s="213" t="s">
        <v>1827</v>
      </c>
      <c r="AU492" s="343"/>
      <c r="AV492" s="343"/>
      <c r="AW492" s="328"/>
      <c r="AX492" s="329"/>
      <c r="AY492" s="328"/>
      <c r="AZ492" s="328"/>
      <c r="BA492" s="330"/>
      <c r="BB492" s="328"/>
      <c r="BC492" s="328"/>
      <c r="BD492" s="328"/>
      <c r="BE492" s="330"/>
      <c r="BF492" s="330"/>
      <c r="BG492" s="344"/>
      <c r="BH492" s="330"/>
      <c r="BI492" s="330"/>
      <c r="BJ492" s="330"/>
      <c r="BK492" s="330"/>
      <c r="BL492" s="330"/>
      <c r="BM492" s="330"/>
      <c r="BN492" s="330"/>
      <c r="BO492" s="330"/>
      <c r="BP492" s="331"/>
      <c r="BQ492" s="332"/>
      <c r="BR492" s="333"/>
    </row>
    <row r="493" spans="2:70" ht="15.75" customHeight="1">
      <c r="B493" s="216" t="s">
        <v>1339</v>
      </c>
      <c r="C493" s="212">
        <v>2552952</v>
      </c>
      <c r="D493" s="223">
        <v>43584074000125</v>
      </c>
      <c r="E493" s="217" t="s">
        <v>28</v>
      </c>
      <c r="F493" s="217" t="s">
        <v>950</v>
      </c>
      <c r="G493" s="217"/>
      <c r="H493" s="218"/>
      <c r="I493" s="217" t="s">
        <v>66</v>
      </c>
      <c r="J493" s="217" t="s">
        <v>66</v>
      </c>
      <c r="K493" s="218" t="s">
        <v>951</v>
      </c>
      <c r="L493" s="212" t="s">
        <v>87</v>
      </c>
      <c r="M493" s="250"/>
      <c r="N493" s="239">
        <v>44508</v>
      </c>
      <c r="O493" s="210" t="s">
        <v>636</v>
      </c>
      <c r="P493" s="210" t="s">
        <v>1075</v>
      </c>
      <c r="Q493" s="210" t="s">
        <v>1076</v>
      </c>
      <c r="R493" s="210" t="s">
        <v>1084</v>
      </c>
      <c r="S493" s="210" t="s">
        <v>1078</v>
      </c>
      <c r="T493" s="210" t="s">
        <v>1079</v>
      </c>
      <c r="U493" s="210" t="s">
        <v>950</v>
      </c>
      <c r="V493" s="210" t="s">
        <v>1080</v>
      </c>
      <c r="W493" s="211" t="s">
        <v>1007</v>
      </c>
      <c r="X493" s="211">
        <v>1000</v>
      </c>
      <c r="Y493" s="211">
        <v>1000</v>
      </c>
      <c r="Z493" s="212">
        <v>0</v>
      </c>
      <c r="AA493" s="240">
        <v>5</v>
      </c>
      <c r="AB493" s="213">
        <v>2.5000000000000001E-2</v>
      </c>
      <c r="AC493" s="213">
        <v>0</v>
      </c>
      <c r="AD493" s="213" t="s">
        <v>1100</v>
      </c>
      <c r="AE493" s="213">
        <v>5.3333333333333332E-3</v>
      </c>
      <c r="AF493" s="241">
        <v>1323430.55</v>
      </c>
      <c r="AG493" s="241">
        <v>1323430.55</v>
      </c>
      <c r="AH493" s="213">
        <v>0.1045</v>
      </c>
      <c r="AI493" s="352">
        <v>1.6089</v>
      </c>
      <c r="AJ493" s="213" t="s">
        <v>66</v>
      </c>
      <c r="AK493" s="352" t="s">
        <v>66</v>
      </c>
      <c r="AL493" s="213" t="s">
        <v>66</v>
      </c>
      <c r="AM493" s="352" t="s">
        <v>66</v>
      </c>
      <c r="AN493" s="213" t="s">
        <v>66</v>
      </c>
      <c r="AO493" s="352" t="s">
        <v>66</v>
      </c>
      <c r="AP493" s="213" t="s">
        <v>66</v>
      </c>
      <c r="AQ493" s="219" t="s">
        <v>66</v>
      </c>
      <c r="AR493" s="213" t="s">
        <v>1827</v>
      </c>
      <c r="AU493" s="343"/>
      <c r="AV493" s="343"/>
      <c r="AW493" s="328"/>
      <c r="AX493" s="329"/>
      <c r="AY493" s="328"/>
      <c r="AZ493" s="328"/>
      <c r="BA493" s="330"/>
      <c r="BB493" s="328"/>
      <c r="BC493" s="328"/>
      <c r="BD493" s="328"/>
      <c r="BE493" s="330"/>
      <c r="BF493" s="330"/>
      <c r="BG493" s="344"/>
      <c r="BH493" s="330"/>
      <c r="BI493" s="330"/>
      <c r="BJ493" s="330"/>
      <c r="BK493" s="330"/>
      <c r="BL493" s="330"/>
      <c r="BM493" s="330"/>
      <c r="BN493" s="330"/>
      <c r="BO493" s="330"/>
      <c r="BP493" s="331"/>
      <c r="BQ493" s="332"/>
      <c r="BR493" s="333"/>
    </row>
    <row r="494" spans="2:70" ht="15.75" customHeight="1">
      <c r="B494" s="216" t="s">
        <v>821</v>
      </c>
      <c r="C494" s="212">
        <v>937041</v>
      </c>
      <c r="D494" s="223">
        <v>37284388000100</v>
      </c>
      <c r="E494" s="217" t="s">
        <v>19</v>
      </c>
      <c r="F494" s="217" t="s">
        <v>963</v>
      </c>
      <c r="G494" s="217" t="s">
        <v>1011</v>
      </c>
      <c r="H494" s="218" t="s">
        <v>1113</v>
      </c>
      <c r="I494" s="217" t="s">
        <v>66</v>
      </c>
      <c r="J494" s="217"/>
      <c r="K494" s="218" t="s">
        <v>951</v>
      </c>
      <c r="L494" s="212" t="s">
        <v>87</v>
      </c>
      <c r="M494" s="250"/>
      <c r="N494" s="239">
        <v>44138</v>
      </c>
      <c r="O494" s="210" t="s">
        <v>636</v>
      </c>
      <c r="P494" s="210" t="s">
        <v>1075</v>
      </c>
      <c r="Q494" s="210" t="s">
        <v>1076</v>
      </c>
      <c r="R494" s="210" t="s">
        <v>1077</v>
      </c>
      <c r="S494" s="210" t="s">
        <v>1078</v>
      </c>
      <c r="T494" s="210" t="s">
        <v>1275</v>
      </c>
      <c r="U494" s="210" t="s">
        <v>1114</v>
      </c>
      <c r="V494" s="210" t="s">
        <v>25</v>
      </c>
      <c r="W494" s="211" t="s">
        <v>1016</v>
      </c>
      <c r="X494" s="211">
        <v>25000</v>
      </c>
      <c r="Y494" s="211">
        <v>0</v>
      </c>
      <c r="Z494" s="212">
        <v>25000</v>
      </c>
      <c r="AA494" s="240">
        <v>181</v>
      </c>
      <c r="AB494" s="213">
        <v>1.2500000000000001E-2</v>
      </c>
      <c r="AC494" s="213">
        <v>0.2</v>
      </c>
      <c r="AD494" s="213" t="s">
        <v>1100</v>
      </c>
      <c r="AE494" s="213">
        <v>4.1662499999999998E-3</v>
      </c>
      <c r="AF494" s="241">
        <v>6744514.7699999996</v>
      </c>
      <c r="AG494" s="241">
        <v>6744514.7699999996</v>
      </c>
      <c r="AH494" s="213">
        <v>6.83E-2</v>
      </c>
      <c r="AI494" s="352">
        <v>1.0521</v>
      </c>
      <c r="AJ494" s="213">
        <v>0.1031</v>
      </c>
      <c r="AK494" s="352">
        <v>1.0963000000000001</v>
      </c>
      <c r="AL494" s="213" t="s">
        <v>66</v>
      </c>
      <c r="AM494" s="352" t="s">
        <v>66</v>
      </c>
      <c r="AN494" s="213" t="s">
        <v>66</v>
      </c>
      <c r="AO494" s="352" t="s">
        <v>66</v>
      </c>
      <c r="AP494" s="213">
        <v>7.7000000000000002E-3</v>
      </c>
      <c r="AQ494" s="219">
        <v>1.0758867944691592</v>
      </c>
      <c r="AR494" s="213" t="s">
        <v>1827</v>
      </c>
      <c r="AU494" s="343"/>
      <c r="AV494" s="343"/>
      <c r="AW494" s="328"/>
      <c r="AX494" s="329"/>
      <c r="AY494" s="328"/>
      <c r="AZ494" s="328"/>
      <c r="BA494" s="330"/>
      <c r="BB494" s="328"/>
      <c r="BC494" s="328"/>
      <c r="BD494" s="328"/>
      <c r="BE494" s="330"/>
      <c r="BF494" s="330"/>
      <c r="BG494" s="344"/>
      <c r="BH494" s="330"/>
      <c r="BI494" s="330"/>
      <c r="BJ494" s="330"/>
      <c r="BK494" s="330"/>
      <c r="BL494" s="330"/>
      <c r="BM494" s="330"/>
      <c r="BN494" s="330"/>
      <c r="BO494" s="330"/>
      <c r="BP494" s="331"/>
      <c r="BQ494" s="332"/>
      <c r="BR494" s="333"/>
    </row>
    <row r="495" spans="2:70" ht="15.75" customHeight="1">
      <c r="B495" s="216" t="s">
        <v>1340</v>
      </c>
      <c r="C495" s="212">
        <v>532500</v>
      </c>
      <c r="D495" s="223">
        <v>14115121000193</v>
      </c>
      <c r="E495" s="217" t="s">
        <v>19</v>
      </c>
      <c r="F495" s="217" t="s">
        <v>963</v>
      </c>
      <c r="G495" s="217" t="s">
        <v>1011</v>
      </c>
      <c r="H495" s="218" t="s">
        <v>1113</v>
      </c>
      <c r="I495" s="217" t="s">
        <v>66</v>
      </c>
      <c r="J495" s="217" t="s">
        <v>1794</v>
      </c>
      <c r="K495" s="218" t="s">
        <v>951</v>
      </c>
      <c r="L495" s="212" t="s">
        <v>87</v>
      </c>
      <c r="M495" s="250"/>
      <c r="N495" s="239">
        <v>40924</v>
      </c>
      <c r="O495" s="210" t="s">
        <v>701</v>
      </c>
      <c r="P495" s="210" t="s">
        <v>1075</v>
      </c>
      <c r="Q495" s="210" t="s">
        <v>1076</v>
      </c>
      <c r="R495" s="210" t="s">
        <v>231</v>
      </c>
      <c r="S495" s="210" t="s">
        <v>1078</v>
      </c>
      <c r="T495" s="210" t="s">
        <v>1275</v>
      </c>
      <c r="U495" s="210" t="s">
        <v>1114</v>
      </c>
      <c r="V495" s="210" t="s">
        <v>25</v>
      </c>
      <c r="W495" s="211" t="s">
        <v>1035</v>
      </c>
      <c r="X495" s="211">
        <v>10000</v>
      </c>
      <c r="Y495" s="211">
        <v>0</v>
      </c>
      <c r="Z495" s="212">
        <v>0</v>
      </c>
      <c r="AA495" s="240">
        <v>92</v>
      </c>
      <c r="AB495" s="213">
        <v>1.0999999999999999E-2</v>
      </c>
      <c r="AC495" s="213">
        <v>0.15</v>
      </c>
      <c r="AD495" s="213" t="s">
        <v>109</v>
      </c>
      <c r="AE495" s="213">
        <v>3.6666666666666662E-3</v>
      </c>
      <c r="AF495" s="241">
        <v>287988592.5</v>
      </c>
      <c r="AG495" s="241">
        <v>287988592.5</v>
      </c>
      <c r="AH495" s="213">
        <v>8.3799999999999999E-2</v>
      </c>
      <c r="AI495" s="352">
        <v>1.2907999999999999</v>
      </c>
      <c r="AJ495" s="213">
        <v>0.13220000000000001</v>
      </c>
      <c r="AK495" s="352">
        <v>1.405</v>
      </c>
      <c r="AL495" s="213">
        <v>0.18720000000000001</v>
      </c>
      <c r="AM495" s="352">
        <v>1.5497000000000001</v>
      </c>
      <c r="AN495" s="213">
        <v>0.25080000000000002</v>
      </c>
      <c r="AO495" s="352">
        <v>1.4885999999999999</v>
      </c>
      <c r="AP495" s="213">
        <v>2.2000000000000001E-3</v>
      </c>
      <c r="AQ495" s="219">
        <v>15.456450101127771</v>
      </c>
      <c r="AR495" s="213" t="s">
        <v>1824</v>
      </c>
      <c r="AU495" s="343"/>
      <c r="AV495" s="343"/>
      <c r="AW495" s="328"/>
      <c r="AX495" s="329"/>
      <c r="AY495" s="328"/>
      <c r="AZ495" s="328"/>
      <c r="BA495" s="330"/>
      <c r="BB495" s="328"/>
      <c r="BC495" s="328"/>
      <c r="BD495" s="328"/>
      <c r="BE495" s="330"/>
      <c r="BF495" s="330"/>
      <c r="BG495" s="344"/>
      <c r="BH495" s="330"/>
      <c r="BI495" s="330"/>
      <c r="BJ495" s="330"/>
      <c r="BK495" s="330"/>
      <c r="BL495" s="330"/>
      <c r="BM495" s="330"/>
      <c r="BN495" s="330"/>
      <c r="BO495" s="330"/>
      <c r="BP495" s="331"/>
      <c r="BQ495" s="332"/>
      <c r="BR495" s="333"/>
    </row>
    <row r="496" spans="2:70" ht="15.75" customHeight="1">
      <c r="B496" s="216" t="s">
        <v>1341</v>
      </c>
      <c r="C496" s="212">
        <v>1919277</v>
      </c>
      <c r="D496" s="223">
        <v>10459361000154</v>
      </c>
      <c r="E496" s="217" t="s">
        <v>25</v>
      </c>
      <c r="F496" s="217" t="s">
        <v>959</v>
      </c>
      <c r="G496" s="217" t="s">
        <v>960</v>
      </c>
      <c r="H496" s="218" t="s">
        <v>66</v>
      </c>
      <c r="I496" s="217" t="s">
        <v>1259</v>
      </c>
      <c r="J496" s="217" t="s">
        <v>66</v>
      </c>
      <c r="K496" s="218" t="s">
        <v>951</v>
      </c>
      <c r="L496" s="212" t="s">
        <v>87</v>
      </c>
      <c r="M496" s="250"/>
      <c r="N496" s="239">
        <v>40627</v>
      </c>
      <c r="O496" s="210" t="s">
        <v>767</v>
      </c>
      <c r="P496" s="210" t="s">
        <v>767</v>
      </c>
      <c r="Q496" s="210" t="s">
        <v>767</v>
      </c>
      <c r="R496" s="210" t="s">
        <v>1077</v>
      </c>
      <c r="S496" s="210" t="s">
        <v>1078</v>
      </c>
      <c r="T496" s="210" t="s">
        <v>1082</v>
      </c>
      <c r="U496" s="210" t="s">
        <v>1086</v>
      </c>
      <c r="V496" s="210" t="s">
        <v>25</v>
      </c>
      <c r="W496" s="211" t="s">
        <v>1016</v>
      </c>
      <c r="X496" s="211">
        <v>1000</v>
      </c>
      <c r="Y496" s="211">
        <v>1000</v>
      </c>
      <c r="Z496" s="212">
        <v>1000</v>
      </c>
      <c r="AA496" s="240">
        <v>33</v>
      </c>
      <c r="AB496" s="213">
        <v>0.01</v>
      </c>
      <c r="AC496" s="213">
        <v>0</v>
      </c>
      <c r="AD496" s="213" t="s">
        <v>109</v>
      </c>
      <c r="AE496" s="213">
        <v>2.6666666666666666E-3</v>
      </c>
      <c r="AF496" s="241">
        <v>153936775.41999999</v>
      </c>
      <c r="AG496" s="241">
        <v>153936775.41999999</v>
      </c>
      <c r="AH496" s="213">
        <v>5.1900000000000002E-2</v>
      </c>
      <c r="AI496" s="352">
        <v>0.79920000000000002</v>
      </c>
      <c r="AJ496" s="213">
        <v>-1.41E-2</v>
      </c>
      <c r="AK496" s="352">
        <v>-0.1497</v>
      </c>
      <c r="AL496" s="213">
        <v>5.3499999999999999E-2</v>
      </c>
      <c r="AM496" s="352">
        <v>0.44319999999999998</v>
      </c>
      <c r="AN496" s="213">
        <v>0.14219999999999999</v>
      </c>
      <c r="AO496" s="352">
        <v>0.84389999999999998</v>
      </c>
      <c r="AP496" s="213">
        <v>5.9499999999999997E-2</v>
      </c>
      <c r="AQ496" s="219">
        <v>-1.7214777338741425</v>
      </c>
      <c r="AR496" s="213" t="s">
        <v>1827</v>
      </c>
      <c r="AU496" s="343"/>
      <c r="AV496" s="343"/>
      <c r="AW496" s="328"/>
      <c r="AX496" s="329"/>
      <c r="AY496" s="328"/>
      <c r="AZ496" s="328"/>
      <c r="BA496" s="330"/>
      <c r="BB496" s="328"/>
      <c r="BC496" s="328"/>
      <c r="BD496" s="328"/>
      <c r="BE496" s="330"/>
      <c r="BF496" s="330"/>
      <c r="BG496" s="344"/>
      <c r="BH496" s="330"/>
      <c r="BI496" s="330"/>
      <c r="BJ496" s="330"/>
      <c r="BK496" s="330"/>
      <c r="BL496" s="330"/>
      <c r="BM496" s="330"/>
      <c r="BN496" s="330"/>
      <c r="BO496" s="330"/>
      <c r="BP496" s="331"/>
      <c r="BQ496" s="332"/>
      <c r="BR496" s="333"/>
    </row>
    <row r="497" spans="2:70" ht="15.75" customHeight="1">
      <c r="B497" s="216" t="s">
        <v>1342</v>
      </c>
      <c r="C497" s="212">
        <v>1919259</v>
      </c>
      <c r="D497" s="223">
        <v>10941848000179</v>
      </c>
      <c r="E497" s="217" t="s">
        <v>25</v>
      </c>
      <c r="F497" s="217" t="s">
        <v>958</v>
      </c>
      <c r="G497" s="217" t="s">
        <v>962</v>
      </c>
      <c r="H497" s="218" t="s">
        <v>66</v>
      </c>
      <c r="I497" s="217" t="s">
        <v>1841</v>
      </c>
      <c r="J497" s="217" t="s">
        <v>66</v>
      </c>
      <c r="K497" s="218"/>
      <c r="L497" s="212" t="s">
        <v>87</v>
      </c>
      <c r="M497" s="250"/>
      <c r="N497" s="239">
        <v>40604</v>
      </c>
      <c r="O497" s="210" t="s">
        <v>767</v>
      </c>
      <c r="P497" s="210" t="s">
        <v>767</v>
      </c>
      <c r="Q497" s="210" t="s">
        <v>767</v>
      </c>
      <c r="R497" s="210" t="s">
        <v>1084</v>
      </c>
      <c r="S497" s="210" t="s">
        <v>1078</v>
      </c>
      <c r="T497" s="210" t="s">
        <v>1082</v>
      </c>
      <c r="U497" s="210" t="s">
        <v>958</v>
      </c>
      <c r="V497" s="210" t="s">
        <v>25</v>
      </c>
      <c r="W497" s="211" t="s">
        <v>1016</v>
      </c>
      <c r="X497" s="211">
        <v>1000</v>
      </c>
      <c r="Y497" s="211">
        <v>1000</v>
      </c>
      <c r="Z497" s="212">
        <v>1000</v>
      </c>
      <c r="AA497" s="240">
        <v>31</v>
      </c>
      <c r="AB497" s="213">
        <v>0.01</v>
      </c>
      <c r="AC497" s="213">
        <v>0</v>
      </c>
      <c r="AD497" s="213" t="s">
        <v>109</v>
      </c>
      <c r="AE497" s="213">
        <v>2.6666666666666666E-3</v>
      </c>
      <c r="AF497" s="241">
        <v>299312982.13999999</v>
      </c>
      <c r="AG497" s="241">
        <v>299312982.13999999</v>
      </c>
      <c r="AH497" s="213">
        <v>0.1138</v>
      </c>
      <c r="AI497" s="352">
        <v>1.7533000000000001</v>
      </c>
      <c r="AJ497" s="213">
        <v>0.1406</v>
      </c>
      <c r="AK497" s="352">
        <v>1.4946999999999999</v>
      </c>
      <c r="AL497" s="213">
        <v>0.19040000000000001</v>
      </c>
      <c r="AM497" s="352">
        <v>1.5763</v>
      </c>
      <c r="AN497" s="213">
        <v>0.2495</v>
      </c>
      <c r="AO497" s="352">
        <v>1.4807999999999999</v>
      </c>
      <c r="AP497" s="213">
        <v>2.92E-2</v>
      </c>
      <c r="AQ497" s="219">
        <v>1.4425716179373422</v>
      </c>
      <c r="AR497" s="213" t="s">
        <v>1827</v>
      </c>
      <c r="AU497" s="343"/>
      <c r="AV497" s="343"/>
      <c r="AW497" s="328"/>
      <c r="AX497" s="329"/>
      <c r="AY497" s="328"/>
      <c r="AZ497" s="328"/>
      <c r="BA497" s="330"/>
      <c r="BB497" s="328"/>
      <c r="BC497" s="328"/>
      <c r="BD497" s="328"/>
      <c r="BE497" s="330"/>
      <c r="BF497" s="330"/>
      <c r="BG497" s="344"/>
      <c r="BH497" s="330"/>
      <c r="BI497" s="330"/>
      <c r="BJ497" s="330"/>
      <c r="BK497" s="330"/>
      <c r="BL497" s="330"/>
      <c r="BM497" s="330"/>
      <c r="BN497" s="330"/>
      <c r="BO497" s="330"/>
      <c r="BP497" s="331"/>
      <c r="BQ497" s="332"/>
      <c r="BR497" s="333"/>
    </row>
    <row r="498" spans="2:70" ht="15.75" customHeight="1">
      <c r="B498" s="216" t="s">
        <v>1343</v>
      </c>
      <c r="C498" s="212">
        <v>4070890</v>
      </c>
      <c r="D498" s="223">
        <v>19038997000105</v>
      </c>
      <c r="E498" s="217" t="s">
        <v>25</v>
      </c>
      <c r="F498" s="217" t="s">
        <v>958</v>
      </c>
      <c r="G498" s="217" t="s">
        <v>962</v>
      </c>
      <c r="H498" s="218" t="s">
        <v>66</v>
      </c>
      <c r="I498" s="217" t="s">
        <v>1841</v>
      </c>
      <c r="J498" s="217" t="s">
        <v>66</v>
      </c>
      <c r="K498" s="218"/>
      <c r="L498" s="212" t="s">
        <v>87</v>
      </c>
      <c r="M498" s="250"/>
      <c r="N498" s="239">
        <v>41600</v>
      </c>
      <c r="O498" s="210" t="s">
        <v>1344</v>
      </c>
      <c r="P498" s="210" t="s">
        <v>1088</v>
      </c>
      <c r="Q498" s="210" t="s">
        <v>1089</v>
      </c>
      <c r="R498" s="210" t="s">
        <v>1084</v>
      </c>
      <c r="S498" s="210" t="s">
        <v>1078</v>
      </c>
      <c r="T498" s="210" t="s">
        <v>1082</v>
      </c>
      <c r="U498" s="210" t="s">
        <v>958</v>
      </c>
      <c r="V498" s="210" t="s">
        <v>25</v>
      </c>
      <c r="W498" s="211" t="s">
        <v>1035</v>
      </c>
      <c r="X498" s="211">
        <v>1000</v>
      </c>
      <c r="Y498" s="211">
        <v>500</v>
      </c>
      <c r="Z498" s="212">
        <v>500</v>
      </c>
      <c r="AA498" s="240">
        <v>4</v>
      </c>
      <c r="AB498" s="213">
        <v>8.5000000000000006E-3</v>
      </c>
      <c r="AC498" s="213">
        <v>0.2</v>
      </c>
      <c r="AD498" s="213" t="s">
        <v>109</v>
      </c>
      <c r="AE498" s="213">
        <v>2.6503E-3</v>
      </c>
      <c r="AF498" s="241">
        <v>57233763.670000002</v>
      </c>
      <c r="AG498" s="241">
        <v>57233763.670000002</v>
      </c>
      <c r="AH498" s="213">
        <v>2.93E-2</v>
      </c>
      <c r="AI498" s="352">
        <v>0.45079999999999998</v>
      </c>
      <c r="AJ498" s="213">
        <v>2.07E-2</v>
      </c>
      <c r="AK498" s="352">
        <v>0.21990000000000001</v>
      </c>
      <c r="AL498" s="213">
        <v>8.43E-2</v>
      </c>
      <c r="AM498" s="352">
        <v>0.69779999999999998</v>
      </c>
      <c r="AN498" s="213">
        <v>0.12709999999999999</v>
      </c>
      <c r="AO498" s="352">
        <v>0.754</v>
      </c>
      <c r="AP498" s="213">
        <v>4.19E-2</v>
      </c>
      <c r="AQ498" s="219">
        <v>-1.6360818542235258</v>
      </c>
      <c r="AR498" s="213" t="s">
        <v>1827</v>
      </c>
      <c r="AU498" s="343"/>
      <c r="AV498" s="343"/>
      <c r="AW498" s="328"/>
      <c r="AX498" s="329"/>
      <c r="AY498" s="328"/>
      <c r="AZ498" s="328"/>
      <c r="BA498" s="330"/>
      <c r="BB498" s="328"/>
      <c r="BC498" s="328"/>
      <c r="BD498" s="328"/>
      <c r="BE498" s="330"/>
      <c r="BF498" s="330"/>
      <c r="BG498" s="344"/>
      <c r="BH498" s="330"/>
      <c r="BI498" s="330"/>
      <c r="BJ498" s="330"/>
      <c r="BK498" s="330"/>
      <c r="BL498" s="330"/>
      <c r="BM498" s="330"/>
      <c r="BN498" s="330"/>
      <c r="BO498" s="330"/>
      <c r="BP498" s="331"/>
      <c r="BQ498" s="332"/>
      <c r="BR498" s="333"/>
    </row>
    <row r="499" spans="2:70" ht="15.75" customHeight="1">
      <c r="B499" s="216" t="s">
        <v>342</v>
      </c>
      <c r="C499" s="212">
        <v>1919245</v>
      </c>
      <c r="D499" s="223">
        <v>5964067000160</v>
      </c>
      <c r="E499" s="217" t="s">
        <v>28</v>
      </c>
      <c r="F499" s="217" t="s">
        <v>950</v>
      </c>
      <c r="G499" s="217"/>
      <c r="H499" s="218"/>
      <c r="I499" s="217" t="s">
        <v>66</v>
      </c>
      <c r="J499" s="217" t="s">
        <v>66</v>
      </c>
      <c r="K499" s="218" t="s">
        <v>951</v>
      </c>
      <c r="L499" s="212" t="s">
        <v>87</v>
      </c>
      <c r="M499" s="250"/>
      <c r="N499" s="239">
        <v>39692</v>
      </c>
      <c r="O499" s="210" t="s">
        <v>1344</v>
      </c>
      <c r="P499" s="210" t="s">
        <v>1088</v>
      </c>
      <c r="Q499" s="210" t="s">
        <v>1089</v>
      </c>
      <c r="R499" s="210" t="s">
        <v>1084</v>
      </c>
      <c r="S499" s="210" t="s">
        <v>1078</v>
      </c>
      <c r="T499" s="210" t="s">
        <v>1079</v>
      </c>
      <c r="U499" s="210" t="s">
        <v>950</v>
      </c>
      <c r="V499" s="210" t="s">
        <v>1080</v>
      </c>
      <c r="W499" s="211" t="s">
        <v>1013</v>
      </c>
      <c r="X499" s="211">
        <v>10000</v>
      </c>
      <c r="Y499" s="211">
        <v>1000</v>
      </c>
      <c r="Z499" s="212">
        <v>1000</v>
      </c>
      <c r="AA499" s="240">
        <v>3</v>
      </c>
      <c r="AB499" s="213">
        <v>0.02</v>
      </c>
      <c r="AC499" s="213">
        <v>0.2</v>
      </c>
      <c r="AD499" s="213" t="s">
        <v>1014</v>
      </c>
      <c r="AE499" s="213">
        <v>6.4840000000000002E-3</v>
      </c>
      <c r="AF499" s="241">
        <v>187719722.12</v>
      </c>
      <c r="AG499" s="241">
        <v>187719722.12</v>
      </c>
      <c r="AH499" s="213">
        <v>-1.4800000000000001E-2</v>
      </c>
      <c r="AI499" s="352">
        <v>-0.22739999999999999</v>
      </c>
      <c r="AJ499" s="213">
        <v>-9.9599999999999994E-2</v>
      </c>
      <c r="AK499" s="352">
        <v>-1.0588</v>
      </c>
      <c r="AL499" s="213">
        <v>0.1191</v>
      </c>
      <c r="AM499" s="352">
        <v>0.98570000000000002</v>
      </c>
      <c r="AN499" s="213">
        <v>0.28139999999999998</v>
      </c>
      <c r="AO499" s="352">
        <v>1.6696</v>
      </c>
      <c r="AP499" s="213">
        <v>0.18679999999999999</v>
      </c>
      <c r="AQ499" s="219">
        <v>-0.94991412505933226</v>
      </c>
      <c r="AR499" s="213" t="s">
        <v>1824</v>
      </c>
      <c r="AU499" s="343"/>
      <c r="AV499" s="343"/>
      <c r="AW499" s="328"/>
      <c r="AX499" s="329"/>
      <c r="AY499" s="328"/>
      <c r="AZ499" s="328"/>
      <c r="BA499" s="330"/>
      <c r="BB499" s="328"/>
      <c r="BC499" s="328"/>
      <c r="BD499" s="328"/>
      <c r="BE499" s="330"/>
      <c r="BF499" s="330"/>
      <c r="BG499" s="344"/>
      <c r="BH499" s="330"/>
      <c r="BI499" s="330"/>
      <c r="BJ499" s="330"/>
      <c r="BK499" s="330"/>
      <c r="BL499" s="330"/>
      <c r="BM499" s="330"/>
      <c r="BN499" s="330"/>
      <c r="BO499" s="330"/>
      <c r="BP499" s="331"/>
      <c r="BQ499" s="332"/>
      <c r="BR499" s="333"/>
    </row>
    <row r="500" spans="2:70" ht="15.75" customHeight="1">
      <c r="B500" s="216" t="s">
        <v>343</v>
      </c>
      <c r="C500" s="212">
        <v>1919288</v>
      </c>
      <c r="D500" s="223">
        <v>21917184000129</v>
      </c>
      <c r="E500" s="217" t="s">
        <v>28</v>
      </c>
      <c r="F500" s="217" t="s">
        <v>950</v>
      </c>
      <c r="G500" s="217" t="s">
        <v>1038</v>
      </c>
      <c r="H500" s="218"/>
      <c r="I500" s="217" t="s">
        <v>66</v>
      </c>
      <c r="J500" s="217" t="s">
        <v>66</v>
      </c>
      <c r="K500" s="218" t="s">
        <v>951</v>
      </c>
      <c r="L500" s="212" t="s">
        <v>87</v>
      </c>
      <c r="M500" s="250"/>
      <c r="N500" s="239">
        <v>42073</v>
      </c>
      <c r="O500" s="210" t="s">
        <v>344</v>
      </c>
      <c r="P500" s="210" t="s">
        <v>1090</v>
      </c>
      <c r="Q500" s="210" t="s">
        <v>1091</v>
      </c>
      <c r="R500" s="210" t="s">
        <v>1084</v>
      </c>
      <c r="S500" s="210" t="s">
        <v>1085</v>
      </c>
      <c r="T500" s="210" t="s">
        <v>1079</v>
      </c>
      <c r="U500" s="210" t="s">
        <v>950</v>
      </c>
      <c r="V500" s="210" t="s">
        <v>1080</v>
      </c>
      <c r="W500" s="211" t="s">
        <v>1018</v>
      </c>
      <c r="X500" s="211">
        <v>1000</v>
      </c>
      <c r="Y500" s="211">
        <v>100</v>
      </c>
      <c r="Z500" s="212">
        <v>100</v>
      </c>
      <c r="AA500" s="240">
        <v>32</v>
      </c>
      <c r="AB500" s="213">
        <v>2.2499999999999999E-2</v>
      </c>
      <c r="AC500" s="213">
        <v>0.2</v>
      </c>
      <c r="AD500" s="213" t="s">
        <v>1014</v>
      </c>
      <c r="AE500" s="213">
        <v>4.4999999999999997E-3</v>
      </c>
      <c r="AF500" s="241">
        <v>613092265.24000001</v>
      </c>
      <c r="AG500" s="241">
        <v>613092265.24000001</v>
      </c>
      <c r="AH500" s="213">
        <v>0.1022</v>
      </c>
      <c r="AI500" s="352">
        <v>1.5742</v>
      </c>
      <c r="AJ500" s="213">
        <v>-0.31159999999999999</v>
      </c>
      <c r="AK500" s="352">
        <v>-3.3115000000000001</v>
      </c>
      <c r="AL500" s="213">
        <v>-0.2011</v>
      </c>
      <c r="AM500" s="352">
        <v>-1.665</v>
      </c>
      <c r="AN500" s="213">
        <v>0.28570000000000001</v>
      </c>
      <c r="AO500" s="352">
        <v>1.6957</v>
      </c>
      <c r="AP500" s="213">
        <v>0.27660000000000001</v>
      </c>
      <c r="AQ500" s="219">
        <v>-1.5351833555730618</v>
      </c>
      <c r="AR500" s="213" t="s">
        <v>1827</v>
      </c>
      <c r="AU500" s="343"/>
      <c r="AV500" s="343"/>
      <c r="AW500" s="328"/>
      <c r="AX500" s="329"/>
      <c r="AY500" s="328"/>
      <c r="AZ500" s="328"/>
      <c r="BA500" s="330"/>
      <c r="BB500" s="328"/>
      <c r="BC500" s="328"/>
      <c r="BD500" s="328"/>
      <c r="BE500" s="330"/>
      <c r="BF500" s="330"/>
      <c r="BG500" s="344"/>
      <c r="BH500" s="330"/>
      <c r="BI500" s="330"/>
      <c r="BJ500" s="330"/>
      <c r="BK500" s="330"/>
      <c r="BL500" s="330"/>
      <c r="BM500" s="330"/>
      <c r="BN500" s="330"/>
      <c r="BO500" s="330"/>
      <c r="BP500" s="331"/>
      <c r="BQ500" s="332"/>
      <c r="BR500" s="333"/>
    </row>
    <row r="501" spans="2:70" ht="15.75" customHeight="1">
      <c r="B501" s="216" t="s">
        <v>1345</v>
      </c>
      <c r="C501" s="212">
        <v>1919251</v>
      </c>
      <c r="D501" s="223">
        <v>44489711000147</v>
      </c>
      <c r="E501" s="217" t="s">
        <v>28</v>
      </c>
      <c r="F501" s="217" t="s">
        <v>950</v>
      </c>
      <c r="G501" s="217" t="s">
        <v>1038</v>
      </c>
      <c r="H501" s="218"/>
      <c r="I501" s="217" t="s">
        <v>66</v>
      </c>
      <c r="J501" s="217" t="s">
        <v>66</v>
      </c>
      <c r="K501" s="218" t="s">
        <v>951</v>
      </c>
      <c r="L501" s="212" t="s">
        <v>87</v>
      </c>
      <c r="M501" s="250"/>
      <c r="N501" s="239">
        <v>44558</v>
      </c>
      <c r="O501" s="210" t="s">
        <v>344</v>
      </c>
      <c r="P501" s="210" t="s">
        <v>1090</v>
      </c>
      <c r="Q501" s="210" t="s">
        <v>1091</v>
      </c>
      <c r="R501" s="210" t="s">
        <v>1084</v>
      </c>
      <c r="S501" s="210" t="s">
        <v>1078</v>
      </c>
      <c r="T501" s="210" t="s">
        <v>1079</v>
      </c>
      <c r="U501" s="210" t="s">
        <v>950</v>
      </c>
      <c r="V501" s="210" t="s">
        <v>1080</v>
      </c>
      <c r="W501" s="211" t="s">
        <v>1018</v>
      </c>
      <c r="X501" s="211">
        <v>1000</v>
      </c>
      <c r="Y501" s="211">
        <v>100</v>
      </c>
      <c r="Z501" s="212">
        <v>1000</v>
      </c>
      <c r="AA501" s="240">
        <v>32</v>
      </c>
      <c r="AB501" s="213">
        <v>0.02</v>
      </c>
      <c r="AC501" s="213">
        <v>0.2</v>
      </c>
      <c r="AD501" s="213" t="s">
        <v>1014</v>
      </c>
      <c r="AE501" s="213" t="s">
        <v>66</v>
      </c>
      <c r="AF501" s="241" t="s">
        <v>66</v>
      </c>
      <c r="AG501" s="241" t="s">
        <v>66</v>
      </c>
      <c r="AH501" s="213" t="s">
        <v>66</v>
      </c>
      <c r="AI501" s="352" t="s">
        <v>66</v>
      </c>
      <c r="AJ501" s="213" t="s">
        <v>66</v>
      </c>
      <c r="AK501" s="352" t="s">
        <v>66</v>
      </c>
      <c r="AL501" s="213" t="s">
        <v>66</v>
      </c>
      <c r="AM501" s="352" t="s">
        <v>66</v>
      </c>
      <c r="AN501" s="213" t="s">
        <v>66</v>
      </c>
      <c r="AO501" s="352" t="s">
        <v>66</v>
      </c>
      <c r="AP501" s="213" t="s">
        <v>66</v>
      </c>
      <c r="AQ501" s="219" t="s">
        <v>66</v>
      </c>
      <c r="AR501" s="213" t="s">
        <v>66</v>
      </c>
      <c r="AU501" s="343"/>
      <c r="AV501" s="343"/>
      <c r="AW501" s="328"/>
      <c r="AX501" s="329"/>
      <c r="AY501" s="328"/>
      <c r="AZ501" s="328"/>
      <c r="BA501" s="330"/>
      <c r="BB501" s="328"/>
      <c r="BC501" s="328"/>
      <c r="BD501" s="328"/>
      <c r="BE501" s="330"/>
      <c r="BF501" s="330"/>
      <c r="BG501" s="344"/>
      <c r="BH501" s="330"/>
      <c r="BI501" s="330"/>
      <c r="BJ501" s="330"/>
      <c r="BK501" s="330"/>
      <c r="BL501" s="330"/>
      <c r="BM501" s="330"/>
      <c r="BN501" s="330"/>
      <c r="BO501" s="330"/>
      <c r="BP501" s="331"/>
      <c r="BQ501" s="332"/>
      <c r="BR501" s="333"/>
    </row>
    <row r="502" spans="2:70" ht="15.75" customHeight="1">
      <c r="B502" s="216" t="s">
        <v>1346</v>
      </c>
      <c r="C502" s="212">
        <v>1919272</v>
      </c>
      <c r="D502" s="223">
        <v>37887638000104</v>
      </c>
      <c r="E502" s="217" t="s">
        <v>25</v>
      </c>
      <c r="F502" s="217" t="s">
        <v>958</v>
      </c>
      <c r="G502" s="217" t="s">
        <v>962</v>
      </c>
      <c r="H502" s="218" t="s">
        <v>66</v>
      </c>
      <c r="I502" s="217" t="s">
        <v>1842</v>
      </c>
      <c r="J502" s="217" t="s">
        <v>66</v>
      </c>
      <c r="K502" s="218"/>
      <c r="L502" s="212" t="s">
        <v>87</v>
      </c>
      <c r="M502" s="250"/>
      <c r="N502" s="239">
        <v>44077</v>
      </c>
      <c r="O502" s="210" t="s">
        <v>344</v>
      </c>
      <c r="P502" s="210" t="s">
        <v>1090</v>
      </c>
      <c r="Q502" s="210" t="s">
        <v>1091</v>
      </c>
      <c r="R502" s="210" t="s">
        <v>1084</v>
      </c>
      <c r="S502" s="210" t="s">
        <v>1078</v>
      </c>
      <c r="T502" s="210" t="s">
        <v>1082</v>
      </c>
      <c r="U502" s="210" t="s">
        <v>958</v>
      </c>
      <c r="V502" s="210" t="s">
        <v>25</v>
      </c>
      <c r="W502" s="211" t="s">
        <v>1012</v>
      </c>
      <c r="X502" s="211">
        <v>1000</v>
      </c>
      <c r="Y502" s="211">
        <v>100</v>
      </c>
      <c r="Z502" s="212">
        <v>1000</v>
      </c>
      <c r="AA502" s="240">
        <v>16</v>
      </c>
      <c r="AB502" s="213">
        <v>1.7500000000000002E-2</v>
      </c>
      <c r="AC502" s="213">
        <v>0.2</v>
      </c>
      <c r="AD502" s="213" t="s">
        <v>113</v>
      </c>
      <c r="AE502" s="213">
        <v>3.5000000000000001E-3</v>
      </c>
      <c r="AF502" s="241">
        <v>173045969.69999999</v>
      </c>
      <c r="AG502" s="241">
        <v>173045969.69999999</v>
      </c>
      <c r="AH502" s="213">
        <v>0.13639999999999999</v>
      </c>
      <c r="AI502" s="352">
        <v>2.1002999999999998</v>
      </c>
      <c r="AJ502" s="213">
        <v>0.104</v>
      </c>
      <c r="AK502" s="352">
        <v>1.1052</v>
      </c>
      <c r="AL502" s="213" t="s">
        <v>66</v>
      </c>
      <c r="AM502" s="352" t="s">
        <v>66</v>
      </c>
      <c r="AN502" s="213" t="s">
        <v>66</v>
      </c>
      <c r="AO502" s="352" t="s">
        <v>66</v>
      </c>
      <c r="AP502" s="213">
        <v>9.9599999999999994E-2</v>
      </c>
      <c r="AQ502" s="219">
        <v>0.14008487187162627</v>
      </c>
      <c r="AR502" s="213" t="s">
        <v>1827</v>
      </c>
      <c r="AU502" s="343"/>
      <c r="AV502" s="343"/>
      <c r="AW502" s="328"/>
      <c r="AX502" s="329"/>
      <c r="AY502" s="328"/>
      <c r="AZ502" s="328"/>
      <c r="BA502" s="330"/>
      <c r="BB502" s="328"/>
      <c r="BC502" s="328"/>
      <c r="BD502" s="328"/>
      <c r="BE502" s="330"/>
      <c r="BF502" s="330"/>
      <c r="BG502" s="344"/>
      <c r="BH502" s="330"/>
      <c r="BI502" s="330"/>
      <c r="BJ502" s="330"/>
      <c r="BK502" s="330"/>
      <c r="BL502" s="330"/>
      <c r="BM502" s="330"/>
      <c r="BN502" s="330"/>
      <c r="BO502" s="330"/>
      <c r="BP502" s="331"/>
      <c r="BQ502" s="332"/>
      <c r="BR502" s="333"/>
    </row>
    <row r="503" spans="2:70" ht="15.75" customHeight="1">
      <c r="B503" s="216" t="s">
        <v>1347</v>
      </c>
      <c r="C503" s="212">
        <v>1462526</v>
      </c>
      <c r="D503" s="223">
        <v>40212731000115</v>
      </c>
      <c r="E503" s="217" t="s">
        <v>28</v>
      </c>
      <c r="F503" s="217" t="s">
        <v>950</v>
      </c>
      <c r="G503" s="217"/>
      <c r="H503" s="218" t="s">
        <v>1260</v>
      </c>
      <c r="I503" s="217" t="s">
        <v>66</v>
      </c>
      <c r="J503" s="217" t="s">
        <v>66</v>
      </c>
      <c r="K503" s="218" t="s">
        <v>951</v>
      </c>
      <c r="L503" s="212" t="s">
        <v>87</v>
      </c>
      <c r="M503" s="250"/>
      <c r="N503" s="239">
        <v>44263</v>
      </c>
      <c r="O503" s="210" t="s">
        <v>344</v>
      </c>
      <c r="P503" s="210" t="s">
        <v>1090</v>
      </c>
      <c r="Q503" s="210" t="s">
        <v>1091</v>
      </c>
      <c r="R503" s="210" t="s">
        <v>1084</v>
      </c>
      <c r="S503" s="210" t="s">
        <v>1078</v>
      </c>
      <c r="T503" s="210" t="s">
        <v>1079</v>
      </c>
      <c r="U503" s="210" t="s">
        <v>950</v>
      </c>
      <c r="V503" s="210" t="s">
        <v>1080</v>
      </c>
      <c r="W503" s="211" t="s">
        <v>1018</v>
      </c>
      <c r="X503" s="211">
        <v>1000</v>
      </c>
      <c r="Y503" s="211">
        <v>100</v>
      </c>
      <c r="Z503" s="212">
        <v>1000</v>
      </c>
      <c r="AA503" s="240">
        <v>32</v>
      </c>
      <c r="AB503" s="213">
        <v>0.02</v>
      </c>
      <c r="AC503" s="213">
        <v>0.2</v>
      </c>
      <c r="AD503" s="213" t="s">
        <v>113</v>
      </c>
      <c r="AE503" s="213">
        <v>4.0000000000000001E-3</v>
      </c>
      <c r="AF503" s="241">
        <v>51506594.890000001</v>
      </c>
      <c r="AG503" s="241">
        <v>51506594.890000001</v>
      </c>
      <c r="AH503" s="213">
        <v>-0.16289999999999999</v>
      </c>
      <c r="AI503" s="352">
        <v>-2.5085000000000002</v>
      </c>
      <c r="AJ503" s="213">
        <v>-0.3634</v>
      </c>
      <c r="AK503" s="352">
        <v>-3.8628999999999998</v>
      </c>
      <c r="AL503" s="213" t="s">
        <v>66</v>
      </c>
      <c r="AM503" s="352" t="s">
        <v>66</v>
      </c>
      <c r="AN503" s="213" t="s">
        <v>66</v>
      </c>
      <c r="AO503" s="352" t="s">
        <v>66</v>
      </c>
      <c r="AP503" s="213">
        <v>0.22839999999999999</v>
      </c>
      <c r="AQ503" s="219">
        <v>-2.2557288298231448</v>
      </c>
      <c r="AR503" s="213" t="s">
        <v>1827</v>
      </c>
      <c r="AU503" s="343"/>
      <c r="AV503" s="343"/>
      <c r="AW503" s="328"/>
      <c r="AX503" s="329"/>
      <c r="AY503" s="328"/>
      <c r="AZ503" s="328"/>
      <c r="BA503" s="330"/>
      <c r="BB503" s="328"/>
      <c r="BC503" s="328"/>
      <c r="BD503" s="328"/>
      <c r="BE503" s="330"/>
      <c r="BF503" s="330"/>
      <c r="BG503" s="344"/>
      <c r="BH503" s="330"/>
      <c r="BI503" s="330"/>
      <c r="BJ503" s="330"/>
      <c r="BK503" s="330"/>
      <c r="BL503" s="330"/>
      <c r="BM503" s="330"/>
      <c r="BN503" s="330"/>
      <c r="BO503" s="330"/>
      <c r="BP503" s="331"/>
      <c r="BQ503" s="332"/>
      <c r="BR503" s="333"/>
    </row>
    <row r="504" spans="2:70" ht="15.75" customHeight="1">
      <c r="B504" s="216" t="s">
        <v>346</v>
      </c>
      <c r="C504" s="212">
        <v>2919762</v>
      </c>
      <c r="D504" s="223">
        <v>38318005000130</v>
      </c>
      <c r="E504" s="217" t="s">
        <v>28</v>
      </c>
      <c r="F504" s="217" t="s">
        <v>950</v>
      </c>
      <c r="G504" s="217"/>
      <c r="H504" s="218" t="s">
        <v>1260</v>
      </c>
      <c r="I504" s="217" t="s">
        <v>66</v>
      </c>
      <c r="J504" s="217" t="s">
        <v>66</v>
      </c>
      <c r="K504" s="218" t="s">
        <v>1040</v>
      </c>
      <c r="L504" s="212"/>
      <c r="M504" s="250"/>
      <c r="N504" s="239">
        <v>44096</v>
      </c>
      <c r="O504" s="210" t="s">
        <v>345</v>
      </c>
      <c r="P504" s="210" t="s">
        <v>1075</v>
      </c>
      <c r="Q504" s="210" t="s">
        <v>1076</v>
      </c>
      <c r="R504" s="210" t="s">
        <v>1077</v>
      </c>
      <c r="S504" s="210" t="s">
        <v>1078</v>
      </c>
      <c r="T504" s="210" t="s">
        <v>1079</v>
      </c>
      <c r="U504" s="210" t="s">
        <v>65</v>
      </c>
      <c r="V504" s="210" t="s">
        <v>1080</v>
      </c>
      <c r="W504" s="211" t="s">
        <v>1036</v>
      </c>
      <c r="X504" s="211">
        <v>1000</v>
      </c>
      <c r="Y504" s="211">
        <v>500</v>
      </c>
      <c r="Z504" s="212">
        <v>1000</v>
      </c>
      <c r="AA504" s="240">
        <v>5</v>
      </c>
      <c r="AB504" s="213">
        <v>1.2999999999999999E-2</v>
      </c>
      <c r="AC504" s="213">
        <v>0</v>
      </c>
      <c r="AD504" s="213" t="s">
        <v>113</v>
      </c>
      <c r="AE504" s="213">
        <v>7.9993333333333323E-3</v>
      </c>
      <c r="AF504" s="241">
        <v>3232438.77</v>
      </c>
      <c r="AG504" s="241">
        <v>3232438.77</v>
      </c>
      <c r="AH504" s="213">
        <v>-0.2576</v>
      </c>
      <c r="AI504" s="352">
        <v>-3.9678</v>
      </c>
      <c r="AJ504" s="213">
        <v>-0.26050000000000001</v>
      </c>
      <c r="AK504" s="352">
        <v>-2.7692000000000001</v>
      </c>
      <c r="AL504" s="213" t="s">
        <v>66</v>
      </c>
      <c r="AM504" s="352" t="s">
        <v>66</v>
      </c>
      <c r="AN504" s="213" t="s">
        <v>66</v>
      </c>
      <c r="AO504" s="352" t="s">
        <v>66</v>
      </c>
      <c r="AP504" s="213">
        <v>0.35880000000000001</v>
      </c>
      <c r="AQ504" s="219">
        <v>-0.91188940475902736</v>
      </c>
      <c r="AR504" s="213" t="s">
        <v>1824</v>
      </c>
      <c r="AU504" s="343"/>
      <c r="AV504" s="343"/>
      <c r="AW504" s="328"/>
      <c r="AX504" s="329"/>
      <c r="AY504" s="328"/>
      <c r="AZ504" s="328"/>
      <c r="BA504" s="330"/>
      <c r="BB504" s="328"/>
      <c r="BC504" s="328"/>
      <c r="BD504" s="328"/>
      <c r="BE504" s="330"/>
      <c r="BF504" s="330"/>
      <c r="BG504" s="344"/>
      <c r="BH504" s="330"/>
      <c r="BI504" s="330"/>
      <c r="BJ504" s="330"/>
      <c r="BK504" s="330"/>
      <c r="BL504" s="330"/>
      <c r="BM504" s="330"/>
      <c r="BN504" s="330"/>
      <c r="BO504" s="330"/>
      <c r="BP504" s="331"/>
      <c r="BQ504" s="332"/>
      <c r="BR504" s="333"/>
    </row>
    <row r="505" spans="2:70" ht="15.75" customHeight="1">
      <c r="B505" s="216" t="s">
        <v>1348</v>
      </c>
      <c r="C505" s="212">
        <v>2910629</v>
      </c>
      <c r="D505" s="223">
        <v>30294047000176</v>
      </c>
      <c r="E505" s="217" t="s">
        <v>25</v>
      </c>
      <c r="F505" s="217" t="s">
        <v>958</v>
      </c>
      <c r="G505" s="217" t="s">
        <v>962</v>
      </c>
      <c r="H505" s="218" t="s">
        <v>66</v>
      </c>
      <c r="I505" s="217" t="s">
        <v>1841</v>
      </c>
      <c r="J505" s="217" t="s">
        <v>66</v>
      </c>
      <c r="K505" s="218"/>
      <c r="L505" s="212" t="s">
        <v>87</v>
      </c>
      <c r="M505" s="250"/>
      <c r="N505" s="239">
        <v>43292</v>
      </c>
      <c r="O505" s="210" t="s">
        <v>345</v>
      </c>
      <c r="P505" s="210" t="s">
        <v>1090</v>
      </c>
      <c r="Q505" s="210" t="s">
        <v>1091</v>
      </c>
      <c r="R505" s="210" t="s">
        <v>1077</v>
      </c>
      <c r="S505" s="210" t="s">
        <v>1078</v>
      </c>
      <c r="T505" s="210" t="s">
        <v>1082</v>
      </c>
      <c r="U505" s="210" t="s">
        <v>65</v>
      </c>
      <c r="V505" s="210" t="s">
        <v>25</v>
      </c>
      <c r="W505" s="211" t="s">
        <v>1028</v>
      </c>
      <c r="X505" s="211">
        <v>5000</v>
      </c>
      <c r="Y505" s="211">
        <v>0</v>
      </c>
      <c r="Z505" s="212">
        <v>0</v>
      </c>
      <c r="AA505" s="240">
        <v>5</v>
      </c>
      <c r="AB505" s="213">
        <v>9.2999999999999992E-3</v>
      </c>
      <c r="AC505" s="213">
        <v>0</v>
      </c>
      <c r="AD505" s="213" t="s">
        <v>113</v>
      </c>
      <c r="AE505" s="213">
        <v>4.6499999999999996E-3</v>
      </c>
      <c r="AF505" s="241">
        <v>12987713.550000001</v>
      </c>
      <c r="AG505" s="241">
        <v>12987713.550000001</v>
      </c>
      <c r="AH505" s="213">
        <v>-3.4000000000000002E-2</v>
      </c>
      <c r="AI505" s="352">
        <v>-0.52300000000000002</v>
      </c>
      <c r="AJ505" s="213">
        <v>-1.4800000000000001E-2</v>
      </c>
      <c r="AK505" s="352">
        <v>-0.157</v>
      </c>
      <c r="AL505" s="213">
        <v>8.2600000000000007E-2</v>
      </c>
      <c r="AM505" s="352">
        <v>0.68340000000000001</v>
      </c>
      <c r="AN505" s="213">
        <v>8.2699999999999996E-2</v>
      </c>
      <c r="AO505" s="352">
        <v>0.49049999999999999</v>
      </c>
      <c r="AP505" s="213">
        <v>4.58E-2</v>
      </c>
      <c r="AQ505" s="219">
        <v>-2.2650648507835109</v>
      </c>
      <c r="AR505" s="213" t="s">
        <v>1827</v>
      </c>
      <c r="AU505" s="343"/>
      <c r="AV505" s="343"/>
      <c r="AW505" s="328"/>
      <c r="AX505" s="329"/>
      <c r="AY505" s="328"/>
      <c r="AZ505" s="328"/>
      <c r="BA505" s="330"/>
      <c r="BB505" s="328"/>
      <c r="BC505" s="328"/>
      <c r="BD505" s="328"/>
      <c r="BE505" s="330"/>
      <c r="BF505" s="330"/>
      <c r="BG505" s="344"/>
      <c r="BH505" s="330"/>
      <c r="BI505" s="330"/>
      <c r="BJ505" s="330"/>
      <c r="BK505" s="330"/>
      <c r="BL505" s="330"/>
      <c r="BM505" s="330"/>
      <c r="BN505" s="330"/>
      <c r="BO505" s="330"/>
      <c r="BP505" s="331"/>
      <c r="BQ505" s="332"/>
      <c r="BR505" s="333"/>
    </row>
    <row r="506" spans="2:70" ht="15.75" customHeight="1">
      <c r="B506" s="216" t="s">
        <v>1349</v>
      </c>
      <c r="C506" s="212">
        <v>822283</v>
      </c>
      <c r="D506" s="223">
        <v>2895694000106</v>
      </c>
      <c r="E506" s="217" t="s">
        <v>28</v>
      </c>
      <c r="F506" s="217" t="s">
        <v>950</v>
      </c>
      <c r="G506" s="217"/>
      <c r="H506" s="218"/>
      <c r="I506" s="217" t="s">
        <v>66</v>
      </c>
      <c r="J506" s="217" t="s">
        <v>66</v>
      </c>
      <c r="K506" s="218" t="s">
        <v>951</v>
      </c>
      <c r="L506" s="212" t="s">
        <v>87</v>
      </c>
      <c r="M506" s="250"/>
      <c r="N506" s="239">
        <v>36152</v>
      </c>
      <c r="O506" s="210" t="s">
        <v>345</v>
      </c>
      <c r="P506" s="210" t="s">
        <v>1090</v>
      </c>
      <c r="Q506" s="210" t="s">
        <v>1091</v>
      </c>
      <c r="R506" s="210" t="s">
        <v>1084</v>
      </c>
      <c r="S506" s="210" t="s">
        <v>1078</v>
      </c>
      <c r="T506" s="210" t="s">
        <v>1079</v>
      </c>
      <c r="U506" s="210" t="s">
        <v>950</v>
      </c>
      <c r="V506" s="210" t="s">
        <v>1080</v>
      </c>
      <c r="W506" s="211" t="s">
        <v>1007</v>
      </c>
      <c r="X506" s="211">
        <v>5000</v>
      </c>
      <c r="Y506" s="211">
        <v>1000</v>
      </c>
      <c r="Z506" s="212">
        <v>1000</v>
      </c>
      <c r="AA506" s="240">
        <v>3</v>
      </c>
      <c r="AB506" s="213">
        <v>0.02</v>
      </c>
      <c r="AC506" s="213">
        <v>0.2</v>
      </c>
      <c r="AD506" s="213" t="s">
        <v>1014</v>
      </c>
      <c r="AE506" s="213">
        <v>6.9999999999999993E-3</v>
      </c>
      <c r="AF506" s="241">
        <v>108070425.86</v>
      </c>
      <c r="AG506" s="241">
        <v>108070425.86</v>
      </c>
      <c r="AH506" s="213">
        <v>-7.9000000000000008E-3</v>
      </c>
      <c r="AI506" s="352">
        <v>-0.12189999999999999</v>
      </c>
      <c r="AJ506" s="213">
        <v>-0.24010000000000001</v>
      </c>
      <c r="AK506" s="352">
        <v>-2.5518999999999998</v>
      </c>
      <c r="AL506" s="213">
        <v>-8.8400000000000006E-2</v>
      </c>
      <c r="AM506" s="352">
        <v>-0.73140000000000005</v>
      </c>
      <c r="AN506" s="213">
        <v>-9.3299999999999994E-2</v>
      </c>
      <c r="AO506" s="352">
        <v>-0.5534</v>
      </c>
      <c r="AP506" s="213">
        <v>0.21679999999999999</v>
      </c>
      <c r="AQ506" s="219">
        <v>-1.5722181942186588</v>
      </c>
      <c r="AR506" s="213" t="s">
        <v>1824</v>
      </c>
      <c r="AU506" s="343"/>
      <c r="AV506" s="343"/>
      <c r="AW506" s="328"/>
      <c r="AX506" s="329"/>
      <c r="AY506" s="328"/>
      <c r="AZ506" s="328"/>
      <c r="BA506" s="330"/>
      <c r="BB506" s="328"/>
      <c r="BC506" s="328"/>
      <c r="BD506" s="328"/>
      <c r="BE506" s="330"/>
      <c r="BF506" s="330"/>
      <c r="BG506" s="344"/>
      <c r="BH506" s="330"/>
      <c r="BI506" s="330"/>
      <c r="BJ506" s="330"/>
      <c r="BK506" s="330"/>
      <c r="BL506" s="330"/>
      <c r="BM506" s="330"/>
      <c r="BN506" s="330"/>
      <c r="BO506" s="330"/>
      <c r="BP506" s="331"/>
      <c r="BQ506" s="332"/>
      <c r="BR506" s="333"/>
    </row>
    <row r="507" spans="2:70" ht="15.75" customHeight="1">
      <c r="B507" s="216" t="s">
        <v>1350</v>
      </c>
      <c r="C507" s="212">
        <v>663590</v>
      </c>
      <c r="D507" s="223">
        <v>33160049000160</v>
      </c>
      <c r="E507" s="217" t="s">
        <v>25</v>
      </c>
      <c r="F507" s="217" t="s">
        <v>958</v>
      </c>
      <c r="G507" s="217" t="s">
        <v>962</v>
      </c>
      <c r="H507" s="218" t="s">
        <v>66</v>
      </c>
      <c r="I507" s="217" t="s">
        <v>1841</v>
      </c>
      <c r="J507" s="217" t="s">
        <v>66</v>
      </c>
      <c r="K507" s="218"/>
      <c r="L507" s="212" t="s">
        <v>87</v>
      </c>
      <c r="M507" s="250"/>
      <c r="N507" s="239">
        <v>43647</v>
      </c>
      <c r="O507" s="210" t="s">
        <v>198</v>
      </c>
      <c r="P507" s="210" t="s">
        <v>1075</v>
      </c>
      <c r="Q507" s="210" t="s">
        <v>1076</v>
      </c>
      <c r="R507" s="210" t="s">
        <v>1084</v>
      </c>
      <c r="S507" s="210" t="s">
        <v>1078</v>
      </c>
      <c r="T507" s="210" t="s">
        <v>1082</v>
      </c>
      <c r="U507" s="210" t="s">
        <v>958</v>
      </c>
      <c r="V507" s="210" t="s">
        <v>25</v>
      </c>
      <c r="W507" s="211" t="s">
        <v>1035</v>
      </c>
      <c r="X507" s="211">
        <v>1000</v>
      </c>
      <c r="Y507" s="211">
        <v>500</v>
      </c>
      <c r="Z507" s="212">
        <v>1000</v>
      </c>
      <c r="AA507" s="240">
        <v>31</v>
      </c>
      <c r="AB507" s="213">
        <v>1.47E-2</v>
      </c>
      <c r="AC507" s="213">
        <v>0</v>
      </c>
      <c r="AD507" s="213" t="s">
        <v>113</v>
      </c>
      <c r="AE507" s="213">
        <v>4.8999999999999998E-3</v>
      </c>
      <c r="AF507" s="241">
        <v>51880793.68</v>
      </c>
      <c r="AG507" s="241">
        <v>51880793.68</v>
      </c>
      <c r="AH507" s="213">
        <v>7.3700000000000002E-2</v>
      </c>
      <c r="AI507" s="352">
        <v>1.1345000000000001</v>
      </c>
      <c r="AJ507" s="213">
        <v>9.9400000000000002E-2</v>
      </c>
      <c r="AK507" s="352">
        <v>1.0561</v>
      </c>
      <c r="AL507" s="213">
        <v>0.12330000000000001</v>
      </c>
      <c r="AM507" s="352">
        <v>1.0208999999999999</v>
      </c>
      <c r="AN507" s="213">
        <v>0.13150000000000001</v>
      </c>
      <c r="AO507" s="352">
        <v>0.78010000000000002</v>
      </c>
      <c r="AP507" s="213">
        <v>2.2700000000000001E-2</v>
      </c>
      <c r="AQ507" s="219">
        <v>0.22361969234340454</v>
      </c>
      <c r="AR507" s="213" t="s">
        <v>1827</v>
      </c>
      <c r="AU507" s="343"/>
      <c r="AV507" s="343"/>
      <c r="AW507" s="328"/>
      <c r="AX507" s="329"/>
      <c r="AY507" s="328"/>
      <c r="AZ507" s="328"/>
      <c r="BA507" s="330"/>
      <c r="BB507" s="328"/>
      <c r="BC507" s="328"/>
      <c r="BD507" s="328"/>
      <c r="BE507" s="330"/>
      <c r="BF507" s="330"/>
      <c r="BG507" s="344"/>
      <c r="BH507" s="330"/>
      <c r="BI507" s="330"/>
      <c r="BJ507" s="330"/>
      <c r="BK507" s="330"/>
      <c r="BL507" s="330"/>
      <c r="BM507" s="330"/>
      <c r="BN507" s="330"/>
      <c r="BO507" s="330"/>
      <c r="BP507" s="331"/>
      <c r="BQ507" s="332"/>
      <c r="BR507" s="333"/>
    </row>
    <row r="508" spans="2:70" ht="15.75" customHeight="1">
      <c r="B508" s="216" t="s">
        <v>347</v>
      </c>
      <c r="C508" s="212">
        <v>663569</v>
      </c>
      <c r="D508" s="223">
        <v>41065292000128</v>
      </c>
      <c r="E508" s="217" t="s">
        <v>28</v>
      </c>
      <c r="F508" s="217" t="s">
        <v>957</v>
      </c>
      <c r="G508" s="217"/>
      <c r="H508" s="218"/>
      <c r="I508" s="217" t="s">
        <v>1259</v>
      </c>
      <c r="J508" s="217" t="s">
        <v>66</v>
      </c>
      <c r="K508" s="218" t="s">
        <v>951</v>
      </c>
      <c r="L508" s="212" t="s">
        <v>87</v>
      </c>
      <c r="M508" s="250"/>
      <c r="N508" s="239">
        <v>44286</v>
      </c>
      <c r="O508" s="210" t="s">
        <v>348</v>
      </c>
      <c r="P508" s="210" t="s">
        <v>1083</v>
      </c>
      <c r="Q508" s="210" t="s">
        <v>102</v>
      </c>
      <c r="R508" s="210" t="s">
        <v>1077</v>
      </c>
      <c r="S508" s="210" t="s">
        <v>1078</v>
      </c>
      <c r="T508" s="210" t="s">
        <v>1079</v>
      </c>
      <c r="U508" s="210" t="s">
        <v>957</v>
      </c>
      <c r="V508" s="210" t="s">
        <v>1080</v>
      </c>
      <c r="W508" s="211" t="s">
        <v>1007</v>
      </c>
      <c r="X508" s="211">
        <v>5000</v>
      </c>
      <c r="Y508" s="211">
        <v>1000</v>
      </c>
      <c r="Z508" s="212">
        <v>1000</v>
      </c>
      <c r="AA508" s="240">
        <v>32</v>
      </c>
      <c r="AB508" s="213">
        <v>0.02</v>
      </c>
      <c r="AC508" s="213">
        <v>0.2</v>
      </c>
      <c r="AD508" s="213" t="s">
        <v>1157</v>
      </c>
      <c r="AE508" s="213">
        <v>5.3340000000000002E-3</v>
      </c>
      <c r="AF508" s="241">
        <v>14711850.210000001</v>
      </c>
      <c r="AG508" s="241">
        <v>14711850.210000001</v>
      </c>
      <c r="AH508" s="213">
        <v>-3.1899999999999998E-2</v>
      </c>
      <c r="AI508" s="352">
        <v>-0.49099999999999999</v>
      </c>
      <c r="AJ508" s="213">
        <v>-0.16120000000000001</v>
      </c>
      <c r="AK508" s="352">
        <v>-1.7131000000000001</v>
      </c>
      <c r="AL508" s="213" t="s">
        <v>66</v>
      </c>
      <c r="AM508" s="352" t="s">
        <v>66</v>
      </c>
      <c r="AN508" s="213" t="s">
        <v>66</v>
      </c>
      <c r="AO508" s="352" t="s">
        <v>66</v>
      </c>
      <c r="AP508" s="213">
        <v>0.13719999999999999</v>
      </c>
      <c r="AQ508" s="219">
        <v>-1.8678389887027953</v>
      </c>
      <c r="AR508" s="213" t="s">
        <v>1827</v>
      </c>
      <c r="AU508" s="343"/>
      <c r="AV508" s="343"/>
      <c r="AW508" s="328"/>
      <c r="AX508" s="329"/>
      <c r="AY508" s="328"/>
      <c r="AZ508" s="328"/>
      <c r="BA508" s="330"/>
      <c r="BB508" s="328"/>
      <c r="BC508" s="328"/>
      <c r="BD508" s="328"/>
      <c r="BE508" s="330"/>
      <c r="BF508" s="330"/>
      <c r="BG508" s="344"/>
      <c r="BH508" s="330"/>
      <c r="BI508" s="330"/>
      <c r="BJ508" s="330"/>
      <c r="BK508" s="330"/>
      <c r="BL508" s="330"/>
      <c r="BM508" s="330"/>
      <c r="BN508" s="330"/>
      <c r="BO508" s="330"/>
      <c r="BP508" s="331"/>
      <c r="BQ508" s="332"/>
      <c r="BR508" s="333"/>
    </row>
    <row r="509" spans="2:70" ht="15.75" customHeight="1">
      <c r="B509" s="216" t="s">
        <v>875</v>
      </c>
      <c r="C509" s="212">
        <v>950658</v>
      </c>
      <c r="D509" s="223">
        <v>18832871000137</v>
      </c>
      <c r="E509" s="217" t="s">
        <v>28</v>
      </c>
      <c r="F509" s="217" t="s">
        <v>950</v>
      </c>
      <c r="G509" s="217"/>
      <c r="H509" s="218"/>
      <c r="I509" s="217" t="s">
        <v>66</v>
      </c>
      <c r="J509" s="217" t="s">
        <v>66</v>
      </c>
      <c r="K509" s="218" t="s">
        <v>951</v>
      </c>
      <c r="L509" s="212" t="s">
        <v>87</v>
      </c>
      <c r="M509" s="250"/>
      <c r="N509" s="239">
        <v>41551</v>
      </c>
      <c r="O509" s="210" t="s">
        <v>348</v>
      </c>
      <c r="P509" s="210" t="s">
        <v>1083</v>
      </c>
      <c r="Q509" s="210" t="s">
        <v>102</v>
      </c>
      <c r="R509" s="210" t="s">
        <v>1077</v>
      </c>
      <c r="S509" s="210" t="s">
        <v>1078</v>
      </c>
      <c r="T509" s="210" t="s">
        <v>1079</v>
      </c>
      <c r="U509" s="210" t="s">
        <v>950</v>
      </c>
      <c r="V509" s="210" t="s">
        <v>1080</v>
      </c>
      <c r="W509" s="211" t="s">
        <v>1007</v>
      </c>
      <c r="X509" s="211">
        <v>5000</v>
      </c>
      <c r="Y509" s="211">
        <v>1000</v>
      </c>
      <c r="Z509" s="212">
        <v>1000</v>
      </c>
      <c r="AA509" s="240">
        <v>32</v>
      </c>
      <c r="AB509" s="213">
        <v>0.03</v>
      </c>
      <c r="AC509" s="213">
        <v>0.2</v>
      </c>
      <c r="AD509" s="213" t="s">
        <v>1014</v>
      </c>
      <c r="AE509" s="213">
        <v>8.0009999999999994E-3</v>
      </c>
      <c r="AF509" s="241">
        <v>12044825.08</v>
      </c>
      <c r="AG509" s="241">
        <v>12044825.08</v>
      </c>
      <c r="AH509" s="213">
        <v>8.3000000000000001E-3</v>
      </c>
      <c r="AI509" s="352">
        <v>0.1283</v>
      </c>
      <c r="AJ509" s="213">
        <v>-0.20810000000000001</v>
      </c>
      <c r="AK509" s="352">
        <v>-2.2122999999999999</v>
      </c>
      <c r="AL509" s="213">
        <v>-3.39E-2</v>
      </c>
      <c r="AM509" s="352">
        <v>-0.28100000000000003</v>
      </c>
      <c r="AN509" s="213">
        <v>8.9200000000000002E-2</v>
      </c>
      <c r="AO509" s="352">
        <v>0.52959999999999996</v>
      </c>
      <c r="AP509" s="213">
        <v>0.1908</v>
      </c>
      <c r="AQ509" s="219">
        <v>-1.5984528955281538</v>
      </c>
      <c r="AR509" s="213" t="s">
        <v>1827</v>
      </c>
      <c r="AU509" s="343"/>
      <c r="AV509" s="343"/>
      <c r="AW509" s="328"/>
      <c r="AX509" s="329"/>
      <c r="AY509" s="328"/>
      <c r="AZ509" s="328"/>
      <c r="BA509" s="330"/>
      <c r="BB509" s="328"/>
      <c r="BC509" s="328"/>
      <c r="BD509" s="328"/>
      <c r="BE509" s="330"/>
      <c r="BF509" s="330"/>
      <c r="BG509" s="344"/>
      <c r="BH509" s="330"/>
      <c r="BI509" s="330"/>
      <c r="BJ509" s="330"/>
      <c r="BK509" s="330"/>
      <c r="BL509" s="330"/>
      <c r="BM509" s="330"/>
      <c r="BN509" s="330"/>
      <c r="BO509" s="330"/>
      <c r="BP509" s="331"/>
      <c r="BQ509" s="332"/>
      <c r="BR509" s="333"/>
    </row>
    <row r="510" spans="2:70" ht="15.75" customHeight="1">
      <c r="B510" s="216" t="s">
        <v>86</v>
      </c>
      <c r="C510" s="212">
        <v>950660</v>
      </c>
      <c r="D510" s="223">
        <v>41686811000175</v>
      </c>
      <c r="E510" s="217" t="s">
        <v>28</v>
      </c>
      <c r="F510" s="217" t="s">
        <v>950</v>
      </c>
      <c r="G510" s="217"/>
      <c r="H510" s="218"/>
      <c r="I510" s="217" t="s">
        <v>66</v>
      </c>
      <c r="J510" s="217" t="s">
        <v>66</v>
      </c>
      <c r="K510" s="218" t="s">
        <v>954</v>
      </c>
      <c r="L510" s="212" t="s">
        <v>88</v>
      </c>
      <c r="M510" s="250"/>
      <c r="N510" s="239">
        <v>44336</v>
      </c>
      <c r="O510" s="210" t="s">
        <v>114</v>
      </c>
      <c r="P510" s="210" t="s">
        <v>1075</v>
      </c>
      <c r="Q510" s="210" t="s">
        <v>1076</v>
      </c>
      <c r="R510" s="210" t="s">
        <v>1077</v>
      </c>
      <c r="S510" s="210" t="s">
        <v>1078</v>
      </c>
      <c r="T510" s="210" t="s">
        <v>1079</v>
      </c>
      <c r="U510" s="210" t="s">
        <v>65</v>
      </c>
      <c r="V510" s="210" t="s">
        <v>1080</v>
      </c>
      <c r="W510" s="211" t="s">
        <v>1052</v>
      </c>
      <c r="X510" s="211">
        <v>1000</v>
      </c>
      <c r="Y510" s="211">
        <v>1000</v>
      </c>
      <c r="Z510" s="212">
        <v>1000</v>
      </c>
      <c r="AA510" s="240">
        <v>5</v>
      </c>
      <c r="AB510" s="213">
        <v>0.01</v>
      </c>
      <c r="AC510" s="213">
        <v>0</v>
      </c>
      <c r="AD510" s="213" t="s">
        <v>113</v>
      </c>
      <c r="AE510" s="213">
        <v>6.7000000000000002E-3</v>
      </c>
      <c r="AF510" s="241">
        <v>28700139.460000001</v>
      </c>
      <c r="AG510" s="241">
        <v>28700139.460000001</v>
      </c>
      <c r="AH510" s="213">
        <v>-0.24890000000000001</v>
      </c>
      <c r="AI510" s="352">
        <v>-3.8342999999999998</v>
      </c>
      <c r="AJ510" s="213">
        <v>-0.1699</v>
      </c>
      <c r="AK510" s="352">
        <v>-1.8055000000000001</v>
      </c>
      <c r="AL510" s="213" t="s">
        <v>66</v>
      </c>
      <c r="AM510" s="352" t="s">
        <v>66</v>
      </c>
      <c r="AN510" s="213" t="s">
        <v>66</v>
      </c>
      <c r="AO510" s="352" t="s">
        <v>66</v>
      </c>
      <c r="AP510" s="213">
        <v>0.22950000000000001</v>
      </c>
      <c r="AQ510" s="219">
        <v>-1.0882158913289661</v>
      </c>
      <c r="AR510" s="213" t="s">
        <v>1827</v>
      </c>
      <c r="AU510" s="343"/>
      <c r="AV510" s="343"/>
      <c r="AW510" s="328"/>
      <c r="AX510" s="329"/>
      <c r="AY510" s="328"/>
      <c r="AZ510" s="328"/>
      <c r="BA510" s="330"/>
      <c r="BB510" s="328"/>
      <c r="BC510" s="328"/>
      <c r="BD510" s="328"/>
      <c r="BE510" s="330"/>
      <c r="BF510" s="330"/>
      <c r="BG510" s="344"/>
      <c r="BH510" s="330"/>
      <c r="BI510" s="330"/>
      <c r="BJ510" s="330"/>
      <c r="BK510" s="330"/>
      <c r="BL510" s="330"/>
      <c r="BM510" s="330"/>
      <c r="BN510" s="330"/>
      <c r="BO510" s="330"/>
      <c r="BP510" s="331"/>
      <c r="BQ510" s="332"/>
      <c r="BR510" s="333"/>
    </row>
    <row r="511" spans="2:70" ht="15.75" customHeight="1">
      <c r="B511" s="216" t="s">
        <v>1351</v>
      </c>
      <c r="C511" s="212">
        <v>541611</v>
      </c>
      <c r="D511" s="223">
        <v>41373588000106</v>
      </c>
      <c r="E511" s="217" t="s">
        <v>28</v>
      </c>
      <c r="F511" s="217" t="s">
        <v>950</v>
      </c>
      <c r="G511" s="217"/>
      <c r="H511" s="218"/>
      <c r="I511" s="217" t="s">
        <v>66</v>
      </c>
      <c r="J511" s="217" t="s">
        <v>66</v>
      </c>
      <c r="K511" s="218" t="s">
        <v>954</v>
      </c>
      <c r="L511" s="212"/>
      <c r="M511" s="250"/>
      <c r="N511" s="239">
        <v>44314</v>
      </c>
      <c r="O511" s="210" t="s">
        <v>114</v>
      </c>
      <c r="P511" s="210" t="s">
        <v>1075</v>
      </c>
      <c r="Q511" s="210" t="s">
        <v>1076</v>
      </c>
      <c r="R511" s="210" t="s">
        <v>1077</v>
      </c>
      <c r="S511" s="210" t="s">
        <v>1078</v>
      </c>
      <c r="T511" s="210" t="s">
        <v>1079</v>
      </c>
      <c r="U511" s="210" t="s">
        <v>65</v>
      </c>
      <c r="V511" s="210" t="s">
        <v>1080</v>
      </c>
      <c r="W511" s="211" t="s">
        <v>1036</v>
      </c>
      <c r="X511" s="211">
        <v>1000</v>
      </c>
      <c r="Y511" s="211">
        <v>1000</v>
      </c>
      <c r="Z511" s="212">
        <v>1000</v>
      </c>
      <c r="AA511" s="240">
        <v>5</v>
      </c>
      <c r="AB511" s="213">
        <v>0.01</v>
      </c>
      <c r="AC511" s="213">
        <v>0</v>
      </c>
      <c r="AD511" s="213" t="s">
        <v>113</v>
      </c>
      <c r="AE511" s="213">
        <v>6.7000000000000002E-3</v>
      </c>
      <c r="AF511" s="241">
        <v>20307698.210000001</v>
      </c>
      <c r="AG511" s="241">
        <v>20307698.210000001</v>
      </c>
      <c r="AH511" s="213">
        <v>-0.16200000000000001</v>
      </c>
      <c r="AI511" s="352">
        <v>-2.496</v>
      </c>
      <c r="AJ511" s="213">
        <v>-0.13830000000000001</v>
      </c>
      <c r="AK511" s="352">
        <v>-1.4699</v>
      </c>
      <c r="AL511" s="213" t="s">
        <v>66</v>
      </c>
      <c r="AM511" s="352" t="s">
        <v>66</v>
      </c>
      <c r="AN511" s="213" t="s">
        <v>66</v>
      </c>
      <c r="AO511" s="352" t="s">
        <v>66</v>
      </c>
      <c r="AP511" s="213">
        <v>0.19589999999999999</v>
      </c>
      <c r="AQ511" s="219">
        <v>-1.1205623909279134</v>
      </c>
      <c r="AR511" s="213" t="s">
        <v>1827</v>
      </c>
      <c r="AU511" s="343"/>
      <c r="AV511" s="343"/>
      <c r="AW511" s="328"/>
      <c r="AX511" s="329"/>
      <c r="AY511" s="328"/>
      <c r="AZ511" s="328"/>
      <c r="BA511" s="330"/>
      <c r="BB511" s="328"/>
      <c r="BC511" s="328"/>
      <c r="BD511" s="328"/>
      <c r="BE511" s="330"/>
      <c r="BF511" s="330"/>
      <c r="BG511" s="344"/>
      <c r="BH511" s="330"/>
      <c r="BI511" s="330"/>
      <c r="BJ511" s="330"/>
      <c r="BK511" s="330"/>
      <c r="BL511" s="330"/>
      <c r="BM511" s="330"/>
      <c r="BN511" s="330"/>
      <c r="BO511" s="330"/>
      <c r="BP511" s="331"/>
      <c r="BQ511" s="332"/>
      <c r="BR511" s="333"/>
    </row>
    <row r="512" spans="2:70" ht="15.75" customHeight="1">
      <c r="B512" s="216" t="s">
        <v>1352</v>
      </c>
      <c r="C512" s="212" t="s">
        <v>66</v>
      </c>
      <c r="D512" s="223">
        <v>38074871000122</v>
      </c>
      <c r="E512" s="217" t="s">
        <v>25</v>
      </c>
      <c r="F512" s="217" t="s">
        <v>959</v>
      </c>
      <c r="G512" s="217" t="s">
        <v>962</v>
      </c>
      <c r="H512" s="218" t="s">
        <v>66</v>
      </c>
      <c r="I512" s="217" t="s">
        <v>1841</v>
      </c>
      <c r="J512" s="217" t="s">
        <v>66</v>
      </c>
      <c r="K512" s="218" t="s">
        <v>954</v>
      </c>
      <c r="L512" s="212" t="s">
        <v>87</v>
      </c>
      <c r="M512" s="250"/>
      <c r="N512" s="239">
        <v>44188</v>
      </c>
      <c r="O512" s="210" t="s">
        <v>227</v>
      </c>
      <c r="P512" s="210" t="s">
        <v>1117</v>
      </c>
      <c r="Q512" s="210" t="s">
        <v>1117</v>
      </c>
      <c r="R512" s="210" t="s">
        <v>1077</v>
      </c>
      <c r="S512" s="210" t="s">
        <v>1078</v>
      </c>
      <c r="T512" s="210" t="s">
        <v>1082</v>
      </c>
      <c r="U512" s="210" t="s">
        <v>65</v>
      </c>
      <c r="V512" s="210" t="s">
        <v>25</v>
      </c>
      <c r="W512" s="211" t="s">
        <v>1028</v>
      </c>
      <c r="X512" s="211">
        <v>10000</v>
      </c>
      <c r="Y512" s="211">
        <v>10000</v>
      </c>
      <c r="Z512" s="212">
        <v>10000</v>
      </c>
      <c r="AA512" s="240">
        <v>32</v>
      </c>
      <c r="AB512" s="213">
        <v>1.0999999999999999E-2</v>
      </c>
      <c r="AC512" s="213">
        <v>0.1</v>
      </c>
      <c r="AD512" s="213" t="s">
        <v>1157</v>
      </c>
      <c r="AE512" s="213">
        <v>2.5666666666666663E-3</v>
      </c>
      <c r="AF512" s="241">
        <v>11123900.85</v>
      </c>
      <c r="AG512" s="241">
        <v>11123900.85</v>
      </c>
      <c r="AH512" s="213">
        <v>5.4000000000000003E-3</v>
      </c>
      <c r="AI512" s="352">
        <v>8.3199999999999996E-2</v>
      </c>
      <c r="AJ512" s="213">
        <v>4.5999999999999999E-3</v>
      </c>
      <c r="AK512" s="352">
        <v>4.8599999999999997E-2</v>
      </c>
      <c r="AL512" s="213" t="s">
        <v>66</v>
      </c>
      <c r="AM512" s="352" t="s">
        <v>66</v>
      </c>
      <c r="AN512" s="213" t="s">
        <v>66</v>
      </c>
      <c r="AO512" s="352" t="s">
        <v>66</v>
      </c>
      <c r="AP512" s="213">
        <v>4.3799999999999999E-2</v>
      </c>
      <c r="AQ512" s="219">
        <v>-1.9261143375675256</v>
      </c>
      <c r="AR512" s="213" t="s">
        <v>1824</v>
      </c>
      <c r="AU512" s="343"/>
      <c r="AV512" s="343"/>
      <c r="AW512" s="328"/>
      <c r="AX512" s="329"/>
      <c r="AY512" s="328"/>
      <c r="AZ512" s="328"/>
      <c r="BA512" s="330"/>
      <c r="BB512" s="328"/>
      <c r="BC512" s="328"/>
      <c r="BD512" s="328"/>
      <c r="BE512" s="330"/>
      <c r="BF512" s="330"/>
      <c r="BG512" s="344"/>
      <c r="BH512" s="330"/>
      <c r="BI512" s="330"/>
      <c r="BJ512" s="330"/>
      <c r="BK512" s="330"/>
      <c r="BL512" s="330"/>
      <c r="BM512" s="330"/>
      <c r="BN512" s="330"/>
      <c r="BO512" s="330"/>
      <c r="BP512" s="331"/>
      <c r="BQ512" s="332"/>
      <c r="BR512" s="333"/>
    </row>
    <row r="513" spans="2:70" ht="15.75" customHeight="1">
      <c r="B513" s="216" t="s">
        <v>1353</v>
      </c>
      <c r="C513" s="212">
        <v>1104003</v>
      </c>
      <c r="D513" s="223">
        <v>38074843000105</v>
      </c>
      <c r="E513" s="217" t="s">
        <v>25</v>
      </c>
      <c r="F513" s="217" t="s">
        <v>959</v>
      </c>
      <c r="G513" s="217" t="s">
        <v>962</v>
      </c>
      <c r="H513" s="218" t="s">
        <v>66</v>
      </c>
      <c r="I513" s="217" t="s">
        <v>1842</v>
      </c>
      <c r="J513" s="217" t="s">
        <v>66</v>
      </c>
      <c r="K513" s="218" t="s">
        <v>954</v>
      </c>
      <c r="L513" s="212" t="s">
        <v>88</v>
      </c>
      <c r="M513" s="250"/>
      <c r="N513" s="239">
        <v>44188</v>
      </c>
      <c r="O513" s="210" t="s">
        <v>227</v>
      </c>
      <c r="P513" s="210" t="s">
        <v>1117</v>
      </c>
      <c r="Q513" s="210" t="s">
        <v>1117</v>
      </c>
      <c r="R513" s="210" t="s">
        <v>1077</v>
      </c>
      <c r="S513" s="210" t="s">
        <v>1078</v>
      </c>
      <c r="T513" s="210" t="s">
        <v>1082</v>
      </c>
      <c r="U513" s="210" t="s">
        <v>65</v>
      </c>
      <c r="V513" s="210" t="s">
        <v>25</v>
      </c>
      <c r="W513" s="211" t="s">
        <v>1028</v>
      </c>
      <c r="X513" s="211">
        <v>10000</v>
      </c>
      <c r="Y513" s="211">
        <v>10000</v>
      </c>
      <c r="Z513" s="212">
        <v>10000</v>
      </c>
      <c r="AA513" s="240">
        <v>32</v>
      </c>
      <c r="AB513" s="213">
        <v>0.23330000000000001</v>
      </c>
      <c r="AC513" s="213">
        <v>0.1</v>
      </c>
      <c r="AD513" s="213" t="s">
        <v>1157</v>
      </c>
      <c r="AE513" s="213" t="s">
        <v>66</v>
      </c>
      <c r="AF513" s="241">
        <v>19846437.09</v>
      </c>
      <c r="AG513" s="241">
        <v>19846437.09</v>
      </c>
      <c r="AH513" s="213">
        <v>-0.1183</v>
      </c>
      <c r="AI513" s="352">
        <v>-1.8217000000000001</v>
      </c>
      <c r="AJ513" s="213">
        <v>-4.8000000000000001E-2</v>
      </c>
      <c r="AK513" s="352">
        <v>-0.51029999999999998</v>
      </c>
      <c r="AL513" s="213" t="s">
        <v>66</v>
      </c>
      <c r="AM513" s="352" t="s">
        <v>66</v>
      </c>
      <c r="AN513" s="213" t="s">
        <v>66</v>
      </c>
      <c r="AO513" s="352" t="s">
        <v>66</v>
      </c>
      <c r="AP513" s="213">
        <v>0.16139999999999999</v>
      </c>
      <c r="AQ513" s="219">
        <v>-0.78158948438660736</v>
      </c>
      <c r="AR513" s="213" t="s">
        <v>1824</v>
      </c>
      <c r="AU513" s="343"/>
      <c r="AV513" s="343"/>
      <c r="AW513" s="328"/>
      <c r="AX513" s="329"/>
      <c r="AY513" s="328"/>
      <c r="AZ513" s="328"/>
      <c r="BA513" s="330"/>
      <c r="BB513" s="328"/>
      <c r="BC513" s="328"/>
      <c r="BD513" s="328"/>
      <c r="BE513" s="330"/>
      <c r="BF513" s="330"/>
      <c r="BG513" s="344"/>
      <c r="BH513" s="330"/>
      <c r="BI513" s="330"/>
      <c r="BJ513" s="330"/>
      <c r="BK513" s="330"/>
      <c r="BL513" s="330"/>
      <c r="BM513" s="330"/>
      <c r="BN513" s="330"/>
      <c r="BO513" s="330"/>
      <c r="BP513" s="331"/>
      <c r="BQ513" s="332"/>
      <c r="BR513" s="333"/>
    </row>
    <row r="514" spans="2:70" ht="15.75" customHeight="1">
      <c r="B514" s="216" t="s">
        <v>1354</v>
      </c>
      <c r="C514" s="212">
        <v>1462279</v>
      </c>
      <c r="D514" s="223">
        <v>36728106000153</v>
      </c>
      <c r="E514" s="217" t="s">
        <v>25</v>
      </c>
      <c r="F514" s="217" t="s">
        <v>959</v>
      </c>
      <c r="G514" s="217" t="s">
        <v>962</v>
      </c>
      <c r="H514" s="218" t="s">
        <v>66</v>
      </c>
      <c r="I514" s="217" t="s">
        <v>1841</v>
      </c>
      <c r="J514" s="217" t="s">
        <v>66</v>
      </c>
      <c r="K514" s="218" t="s">
        <v>954</v>
      </c>
      <c r="L514" s="212" t="s">
        <v>87</v>
      </c>
      <c r="M514" s="250"/>
      <c r="N514" s="239">
        <v>44067</v>
      </c>
      <c r="O514" s="210" t="s">
        <v>227</v>
      </c>
      <c r="P514" s="210" t="s">
        <v>1075</v>
      </c>
      <c r="Q514" s="210" t="s">
        <v>1076</v>
      </c>
      <c r="R514" s="210" t="s">
        <v>1077</v>
      </c>
      <c r="S514" s="210" t="s">
        <v>1078</v>
      </c>
      <c r="T514" s="210" t="s">
        <v>1082</v>
      </c>
      <c r="U514" s="210" t="s">
        <v>65</v>
      </c>
      <c r="V514" s="210" t="s">
        <v>25</v>
      </c>
      <c r="W514" s="211" t="s">
        <v>1016</v>
      </c>
      <c r="X514" s="211">
        <v>1000</v>
      </c>
      <c r="Y514" s="211">
        <v>1000</v>
      </c>
      <c r="Z514" s="212">
        <v>1000</v>
      </c>
      <c r="AA514" s="240">
        <v>31</v>
      </c>
      <c r="AB514" s="213">
        <v>0.02</v>
      </c>
      <c r="AC514" s="213">
        <v>0.2</v>
      </c>
      <c r="AD514" s="213" t="s">
        <v>113</v>
      </c>
      <c r="AE514" s="213">
        <v>6.6666666666666662E-3</v>
      </c>
      <c r="AF514" s="241">
        <v>40435885.25</v>
      </c>
      <c r="AG514" s="241">
        <v>40435885.25</v>
      </c>
      <c r="AH514" s="213">
        <v>4.02E-2</v>
      </c>
      <c r="AI514" s="352">
        <v>0.61950000000000005</v>
      </c>
      <c r="AJ514" s="213">
        <v>-3.61E-2</v>
      </c>
      <c r="AK514" s="352">
        <v>-0.38319999999999999</v>
      </c>
      <c r="AL514" s="213" t="s">
        <v>66</v>
      </c>
      <c r="AM514" s="352" t="s">
        <v>66</v>
      </c>
      <c r="AN514" s="213" t="s">
        <v>66</v>
      </c>
      <c r="AO514" s="352" t="s">
        <v>66</v>
      </c>
      <c r="AP514" s="213">
        <v>4.8099999999999997E-2</v>
      </c>
      <c r="AQ514" s="219">
        <v>-2.6085301958522806</v>
      </c>
      <c r="AR514" s="213" t="s">
        <v>1827</v>
      </c>
      <c r="AU514" s="343"/>
      <c r="AV514" s="343"/>
      <c r="AW514" s="328"/>
      <c r="AX514" s="329"/>
      <c r="AY514" s="328"/>
      <c r="AZ514" s="328"/>
      <c r="BA514" s="330"/>
      <c r="BB514" s="328"/>
      <c r="BC514" s="328"/>
      <c r="BD514" s="328"/>
      <c r="BE514" s="330"/>
      <c r="BF514" s="330"/>
      <c r="BG514" s="344"/>
      <c r="BH514" s="330"/>
      <c r="BI514" s="330"/>
      <c r="BJ514" s="330"/>
      <c r="BK514" s="330"/>
      <c r="BL514" s="330"/>
      <c r="BM514" s="330"/>
      <c r="BN514" s="330"/>
      <c r="BO514" s="330"/>
      <c r="BP514" s="331"/>
      <c r="BQ514" s="332"/>
      <c r="BR514" s="333"/>
    </row>
    <row r="515" spans="2:70" ht="15.75" customHeight="1">
      <c r="B515" s="216" t="s">
        <v>1355</v>
      </c>
      <c r="C515" s="212">
        <v>1138723</v>
      </c>
      <c r="D515" s="223">
        <v>36729755000179</v>
      </c>
      <c r="E515" s="217" t="s">
        <v>19</v>
      </c>
      <c r="F515" s="217" t="s">
        <v>963</v>
      </c>
      <c r="G515" s="217" t="s">
        <v>1034</v>
      </c>
      <c r="H515" s="218" t="s">
        <v>1113</v>
      </c>
      <c r="I515" s="217" t="s">
        <v>66</v>
      </c>
      <c r="J515" s="217" t="s">
        <v>1822</v>
      </c>
      <c r="K515" s="218" t="s">
        <v>951</v>
      </c>
      <c r="L515" s="212" t="s">
        <v>87</v>
      </c>
      <c r="M515" s="250"/>
      <c r="N515" s="239">
        <v>44105</v>
      </c>
      <c r="O515" s="210" t="s">
        <v>227</v>
      </c>
      <c r="P515" s="210" t="s">
        <v>1075</v>
      </c>
      <c r="Q515" s="210" t="s">
        <v>1076</v>
      </c>
      <c r="R515" s="210" t="s">
        <v>1077</v>
      </c>
      <c r="S515" s="210" t="s">
        <v>1078</v>
      </c>
      <c r="T515" s="210" t="s">
        <v>1082</v>
      </c>
      <c r="U515" s="210" t="s">
        <v>958</v>
      </c>
      <c r="V515" s="210" t="s">
        <v>25</v>
      </c>
      <c r="W515" s="211" t="s">
        <v>1016</v>
      </c>
      <c r="X515" s="211">
        <v>1000</v>
      </c>
      <c r="Y515" s="211">
        <v>1000</v>
      </c>
      <c r="Z515" s="212">
        <v>1000</v>
      </c>
      <c r="AA515" s="240">
        <v>91</v>
      </c>
      <c r="AB515" s="213">
        <v>8.9999999999999993E-3</v>
      </c>
      <c r="AC515" s="213">
        <v>0.2</v>
      </c>
      <c r="AD515" s="213" t="s">
        <v>113</v>
      </c>
      <c r="AE515" s="213">
        <v>2.9999999999999996E-3</v>
      </c>
      <c r="AF515" s="241">
        <v>113582817.25</v>
      </c>
      <c r="AG515" s="241">
        <v>113582817.25</v>
      </c>
      <c r="AH515" s="213">
        <v>9.3200000000000005E-2</v>
      </c>
      <c r="AI515" s="352">
        <v>1.4358</v>
      </c>
      <c r="AJ515" s="213">
        <v>0.1434</v>
      </c>
      <c r="AK515" s="352">
        <v>1.5241</v>
      </c>
      <c r="AL515" s="213" t="s">
        <v>66</v>
      </c>
      <c r="AM515" s="352" t="s">
        <v>66</v>
      </c>
      <c r="AN515" s="213" t="s">
        <v>66</v>
      </c>
      <c r="AO515" s="352" t="s">
        <v>66</v>
      </c>
      <c r="AP515" s="213">
        <v>7.1000000000000004E-3</v>
      </c>
      <c r="AQ515" s="219">
        <v>6.2535552683700892</v>
      </c>
      <c r="AR515" s="213" t="s">
        <v>1827</v>
      </c>
      <c r="AU515" s="343"/>
      <c r="AV515" s="343"/>
      <c r="AW515" s="328"/>
      <c r="AX515" s="329"/>
      <c r="AY515" s="328"/>
      <c r="AZ515" s="328"/>
      <c r="BA515" s="330"/>
      <c r="BB515" s="328"/>
      <c r="BC515" s="328"/>
      <c r="BD515" s="328"/>
      <c r="BE515" s="330"/>
      <c r="BF515" s="330"/>
      <c r="BG515" s="344"/>
      <c r="BH515" s="330"/>
      <c r="BI515" s="330"/>
      <c r="BJ515" s="330"/>
      <c r="BK515" s="330"/>
      <c r="BL515" s="330"/>
      <c r="BM515" s="330"/>
      <c r="BN515" s="330"/>
      <c r="BO515" s="330"/>
      <c r="BP515" s="331"/>
      <c r="BQ515" s="332"/>
      <c r="BR515" s="333"/>
    </row>
    <row r="516" spans="2:70" ht="15.75" customHeight="1">
      <c r="B516" s="216" t="s">
        <v>783</v>
      </c>
      <c r="C516" s="212">
        <v>565590</v>
      </c>
      <c r="D516" s="223">
        <v>42887856000170</v>
      </c>
      <c r="E516" s="217" t="s">
        <v>19</v>
      </c>
      <c r="F516" s="217" t="s">
        <v>963</v>
      </c>
      <c r="G516" s="217" t="s">
        <v>1011</v>
      </c>
      <c r="H516" s="218" t="s">
        <v>1113</v>
      </c>
      <c r="I516" s="217" t="s">
        <v>66</v>
      </c>
      <c r="J516" s="217"/>
      <c r="K516" s="218" t="s">
        <v>954</v>
      </c>
      <c r="L516" s="212" t="s">
        <v>87</v>
      </c>
      <c r="M516" s="250"/>
      <c r="N516" s="239">
        <v>44432</v>
      </c>
      <c r="O516" s="210" t="s">
        <v>227</v>
      </c>
      <c r="P516" s="210" t="s">
        <v>1075</v>
      </c>
      <c r="Q516" s="210" t="s">
        <v>1076</v>
      </c>
      <c r="R516" s="210" t="s">
        <v>1084</v>
      </c>
      <c r="S516" s="210" t="s">
        <v>1078</v>
      </c>
      <c r="T516" s="210" t="s">
        <v>1275</v>
      </c>
      <c r="U516" s="210" t="s">
        <v>1114</v>
      </c>
      <c r="V516" s="210" t="s">
        <v>19</v>
      </c>
      <c r="W516" s="211" t="s">
        <v>1024</v>
      </c>
      <c r="X516" s="211">
        <v>100</v>
      </c>
      <c r="Y516" s="211">
        <v>100</v>
      </c>
      <c r="Z516" s="212">
        <v>100</v>
      </c>
      <c r="AA516" s="240">
        <v>1</v>
      </c>
      <c r="AB516" s="213">
        <v>3.0000000000000001E-3</v>
      </c>
      <c r="AC516" s="213">
        <v>0</v>
      </c>
      <c r="AD516" s="213" t="s">
        <v>113</v>
      </c>
      <c r="AE516" s="213">
        <v>9.9989999999999996E-4</v>
      </c>
      <c r="AF516" s="241">
        <v>228371926.97999999</v>
      </c>
      <c r="AG516" s="241">
        <v>228371926.97999999</v>
      </c>
      <c r="AH516" s="213">
        <v>7.7299999999999994E-2</v>
      </c>
      <c r="AI516" s="352">
        <v>1.1913</v>
      </c>
      <c r="AJ516" s="213" t="s">
        <v>66</v>
      </c>
      <c r="AK516" s="352" t="s">
        <v>66</v>
      </c>
      <c r="AL516" s="213" t="s">
        <v>66</v>
      </c>
      <c r="AM516" s="352" t="s">
        <v>66</v>
      </c>
      <c r="AN516" s="213" t="s">
        <v>66</v>
      </c>
      <c r="AO516" s="352" t="s">
        <v>66</v>
      </c>
      <c r="AP516" s="213" t="s">
        <v>66</v>
      </c>
      <c r="AQ516" s="219" t="s">
        <v>66</v>
      </c>
      <c r="AR516" s="213" t="s">
        <v>1827</v>
      </c>
      <c r="AU516" s="343"/>
      <c r="AV516" s="343"/>
      <c r="AW516" s="328"/>
      <c r="AX516" s="329"/>
      <c r="AY516" s="328"/>
      <c r="AZ516" s="328"/>
      <c r="BA516" s="330"/>
      <c r="BB516" s="328"/>
      <c r="BC516" s="328"/>
      <c r="BD516" s="328"/>
      <c r="BE516" s="330"/>
      <c r="BF516" s="330"/>
      <c r="BG516" s="344"/>
      <c r="BH516" s="330"/>
      <c r="BI516" s="330"/>
      <c r="BJ516" s="330"/>
      <c r="BK516" s="330"/>
      <c r="BL516" s="330"/>
      <c r="BM516" s="330"/>
      <c r="BN516" s="330"/>
      <c r="BO516" s="330"/>
      <c r="BP516" s="331"/>
      <c r="BQ516" s="332"/>
      <c r="BR516" s="333"/>
    </row>
    <row r="517" spans="2:70" ht="15.75" customHeight="1">
      <c r="B517" s="216" t="s">
        <v>1356</v>
      </c>
      <c r="C517" s="212">
        <v>537050</v>
      </c>
      <c r="D517" s="223">
        <v>36327569000103</v>
      </c>
      <c r="E517" s="217" t="s">
        <v>25</v>
      </c>
      <c r="F517" s="217" t="s">
        <v>959</v>
      </c>
      <c r="G517" s="217" t="s">
        <v>962</v>
      </c>
      <c r="H517" s="218" t="s">
        <v>66</v>
      </c>
      <c r="I517" s="217" t="s">
        <v>1842</v>
      </c>
      <c r="J517" s="217" t="s">
        <v>66</v>
      </c>
      <c r="K517" s="218" t="s">
        <v>954</v>
      </c>
      <c r="L517" s="212" t="s">
        <v>88</v>
      </c>
      <c r="M517" s="250"/>
      <c r="N517" s="239">
        <v>44008</v>
      </c>
      <c r="O517" s="210" t="s">
        <v>120</v>
      </c>
      <c r="P517" s="210" t="s">
        <v>1090</v>
      </c>
      <c r="Q517" s="210" t="s">
        <v>1091</v>
      </c>
      <c r="R517" s="210" t="s">
        <v>1099</v>
      </c>
      <c r="S517" s="210" t="s">
        <v>1078</v>
      </c>
      <c r="T517" s="210" t="s">
        <v>1276</v>
      </c>
      <c r="U517" s="210" t="s">
        <v>65</v>
      </c>
      <c r="V517" s="210" t="s">
        <v>25</v>
      </c>
      <c r="W517" s="211" t="s">
        <v>1028</v>
      </c>
      <c r="X517" s="211">
        <v>50000</v>
      </c>
      <c r="Y517" s="211">
        <v>5000</v>
      </c>
      <c r="Z517" s="212">
        <v>5000</v>
      </c>
      <c r="AA517" s="240">
        <v>2</v>
      </c>
      <c r="AB517" s="213">
        <v>4.0000000000000001E-3</v>
      </c>
      <c r="AC517" s="213">
        <v>0</v>
      </c>
      <c r="AD517" s="213" t="s">
        <v>113</v>
      </c>
      <c r="AE517" s="213">
        <v>2.6666666666666666E-3</v>
      </c>
      <c r="AF517" s="241">
        <v>163015570.47999999</v>
      </c>
      <c r="AG517" s="241">
        <v>163015570.47999999</v>
      </c>
      <c r="AH517" s="213">
        <v>-0.20419999999999999</v>
      </c>
      <c r="AI517" s="352">
        <v>-3.1450999999999998</v>
      </c>
      <c r="AJ517" s="213">
        <v>-0.10730000000000001</v>
      </c>
      <c r="AK517" s="352">
        <v>-1.1405000000000001</v>
      </c>
      <c r="AL517" s="213">
        <v>5.5E-2</v>
      </c>
      <c r="AM517" s="352">
        <v>0.45529999999999998</v>
      </c>
      <c r="AN517" s="213" t="s">
        <v>66</v>
      </c>
      <c r="AO517" s="352" t="s">
        <v>66</v>
      </c>
      <c r="AP517" s="213">
        <v>0.2104</v>
      </c>
      <c r="AQ517" s="219">
        <v>-0.86198498111451993</v>
      </c>
      <c r="AR517" s="213" t="s">
        <v>1827</v>
      </c>
      <c r="AU517" s="343"/>
      <c r="AV517" s="343"/>
      <c r="AW517" s="328"/>
      <c r="AX517" s="329"/>
      <c r="AY517" s="328"/>
      <c r="AZ517" s="328"/>
      <c r="BA517" s="330"/>
      <c r="BB517" s="328"/>
      <c r="BC517" s="328"/>
      <c r="BD517" s="328"/>
      <c r="BE517" s="330"/>
      <c r="BF517" s="330"/>
      <c r="BG517" s="344"/>
      <c r="BH517" s="330"/>
      <c r="BI517" s="330"/>
      <c r="BJ517" s="330"/>
      <c r="BK517" s="330"/>
      <c r="BL517" s="330"/>
      <c r="BM517" s="330"/>
      <c r="BN517" s="330"/>
      <c r="BO517" s="330"/>
      <c r="BP517" s="331"/>
      <c r="BQ517" s="332"/>
      <c r="BR517" s="333"/>
    </row>
    <row r="518" spans="2:70" ht="15.75" customHeight="1">
      <c r="B518" s="216" t="s">
        <v>350</v>
      </c>
      <c r="C518" s="212">
        <v>947545</v>
      </c>
      <c r="D518" s="223">
        <v>1823373000125</v>
      </c>
      <c r="E518" s="217" t="s">
        <v>25</v>
      </c>
      <c r="F518" s="217" t="s">
        <v>958</v>
      </c>
      <c r="G518" s="217" t="s">
        <v>962</v>
      </c>
      <c r="H518" s="218" t="s">
        <v>66</v>
      </c>
      <c r="I518" s="217" t="s">
        <v>1842</v>
      </c>
      <c r="J518" s="217" t="s">
        <v>66</v>
      </c>
      <c r="K518" s="218"/>
      <c r="L518" s="212" t="s">
        <v>87</v>
      </c>
      <c r="M518" s="250"/>
      <c r="N518" s="239">
        <v>35566</v>
      </c>
      <c r="O518" s="210" t="s">
        <v>351</v>
      </c>
      <c r="P518" s="210" t="s">
        <v>1075</v>
      </c>
      <c r="Q518" s="210" t="s">
        <v>1091</v>
      </c>
      <c r="R518" s="210" t="s">
        <v>1084</v>
      </c>
      <c r="S518" s="210" t="s">
        <v>1078</v>
      </c>
      <c r="T518" s="210" t="s">
        <v>1082</v>
      </c>
      <c r="U518" s="210" t="s">
        <v>958</v>
      </c>
      <c r="V518" s="210" t="s">
        <v>25</v>
      </c>
      <c r="W518" s="211" t="s">
        <v>1012</v>
      </c>
      <c r="X518" s="211">
        <v>500</v>
      </c>
      <c r="Y518" s="211">
        <v>100</v>
      </c>
      <c r="Z518" s="212">
        <v>100</v>
      </c>
      <c r="AA518" s="240">
        <v>31</v>
      </c>
      <c r="AB518" s="213">
        <v>1.95E-2</v>
      </c>
      <c r="AC518" s="213">
        <v>0.2</v>
      </c>
      <c r="AD518" s="213" t="s">
        <v>109</v>
      </c>
      <c r="AE518" s="213">
        <v>3.9000000000000003E-3</v>
      </c>
      <c r="AF518" s="241">
        <v>610031581.94000006</v>
      </c>
      <c r="AG518" s="241">
        <v>610031581.94000006</v>
      </c>
      <c r="AH518" s="213">
        <v>0.161</v>
      </c>
      <c r="AI518" s="352">
        <v>2.4796999999999998</v>
      </c>
      <c r="AJ518" s="213">
        <v>0.23330000000000001</v>
      </c>
      <c r="AK518" s="352">
        <v>2.4798</v>
      </c>
      <c r="AL518" s="213">
        <v>0.27539999999999998</v>
      </c>
      <c r="AM518" s="352">
        <v>2.2799999999999998</v>
      </c>
      <c r="AN518" s="213">
        <v>0.44650000000000001</v>
      </c>
      <c r="AO518" s="352">
        <v>2.6496</v>
      </c>
      <c r="AP518" s="213">
        <v>7.7200000000000005E-2</v>
      </c>
      <c r="AQ518" s="219">
        <v>1.5899718541677332</v>
      </c>
      <c r="AR518" s="213" t="s">
        <v>1827</v>
      </c>
      <c r="AU518" s="343"/>
      <c r="AV518" s="343"/>
      <c r="AW518" s="328"/>
      <c r="AX518" s="329"/>
      <c r="AY518" s="328"/>
      <c r="AZ518" s="328"/>
      <c r="BA518" s="330"/>
      <c r="BB518" s="328"/>
      <c r="BC518" s="328"/>
      <c r="BD518" s="328"/>
      <c r="BE518" s="330"/>
      <c r="BF518" s="330"/>
      <c r="BG518" s="344"/>
      <c r="BH518" s="330"/>
      <c r="BI518" s="330"/>
      <c r="BJ518" s="330"/>
      <c r="BK518" s="330"/>
      <c r="BL518" s="330"/>
      <c r="BM518" s="330"/>
      <c r="BN518" s="330"/>
      <c r="BO518" s="330"/>
      <c r="BP518" s="331"/>
      <c r="BQ518" s="332"/>
      <c r="BR518" s="333"/>
    </row>
    <row r="519" spans="2:70" ht="15.75" customHeight="1">
      <c r="B519" s="216" t="s">
        <v>1357</v>
      </c>
      <c r="C519" s="212">
        <v>1556971</v>
      </c>
      <c r="D519" s="223">
        <v>3804917000137</v>
      </c>
      <c r="E519" s="217" t="s">
        <v>25</v>
      </c>
      <c r="F519" s="217" t="s">
        <v>958</v>
      </c>
      <c r="G519" s="217" t="s">
        <v>962</v>
      </c>
      <c r="H519" s="218" t="s">
        <v>66</v>
      </c>
      <c r="I519" s="217" t="s">
        <v>1842</v>
      </c>
      <c r="J519" s="217" t="s">
        <v>66</v>
      </c>
      <c r="K519" s="218"/>
      <c r="L519" s="212" t="s">
        <v>87</v>
      </c>
      <c r="M519" s="250"/>
      <c r="N519" s="239">
        <v>36665</v>
      </c>
      <c r="O519" s="210" t="s">
        <v>351</v>
      </c>
      <c r="P519" s="210" t="s">
        <v>1075</v>
      </c>
      <c r="Q519" s="210" t="s">
        <v>1091</v>
      </c>
      <c r="R519" s="210" t="s">
        <v>1084</v>
      </c>
      <c r="S519" s="210" t="s">
        <v>1085</v>
      </c>
      <c r="T519" s="210" t="s">
        <v>1082</v>
      </c>
      <c r="U519" s="210" t="s">
        <v>958</v>
      </c>
      <c r="V519" s="210" t="s">
        <v>25</v>
      </c>
      <c r="W519" s="211" t="s">
        <v>1016</v>
      </c>
      <c r="X519" s="211">
        <v>5000</v>
      </c>
      <c r="Y519" s="211">
        <v>5000</v>
      </c>
      <c r="Z519" s="212">
        <v>5000</v>
      </c>
      <c r="AA519" s="240">
        <v>1</v>
      </c>
      <c r="AB519" s="213">
        <v>1.95E-2</v>
      </c>
      <c r="AC519" s="213">
        <v>0.2</v>
      </c>
      <c r="AD519" s="213" t="s">
        <v>109</v>
      </c>
      <c r="AE519" s="213">
        <v>3.8999999999999998E-3</v>
      </c>
      <c r="AF519" s="241">
        <v>133247074.26000001</v>
      </c>
      <c r="AG519" s="241">
        <v>133247074.26000001</v>
      </c>
      <c r="AH519" s="213">
        <v>0.1608</v>
      </c>
      <c r="AI519" s="352">
        <v>2.476</v>
      </c>
      <c r="AJ519" s="213">
        <v>0.23350000000000001</v>
      </c>
      <c r="AK519" s="352">
        <v>2.4817</v>
      </c>
      <c r="AL519" s="213">
        <v>0.2762</v>
      </c>
      <c r="AM519" s="352">
        <v>2.2862</v>
      </c>
      <c r="AN519" s="213">
        <v>0.4491</v>
      </c>
      <c r="AO519" s="352">
        <v>2.6648999999999998</v>
      </c>
      <c r="AP519" s="213">
        <v>7.7399999999999997E-2</v>
      </c>
      <c r="AQ519" s="219">
        <v>1.5887434151692497</v>
      </c>
      <c r="AR519" s="213" t="s">
        <v>1827</v>
      </c>
      <c r="AU519" s="343"/>
      <c r="AV519" s="343"/>
      <c r="AW519" s="328"/>
      <c r="AX519" s="329"/>
      <c r="AY519" s="328"/>
      <c r="AZ519" s="328"/>
      <c r="BA519" s="330"/>
      <c r="BB519" s="328"/>
      <c r="BC519" s="328"/>
      <c r="BD519" s="328"/>
      <c r="BE519" s="330"/>
      <c r="BF519" s="330"/>
      <c r="BG519" s="344"/>
      <c r="BH519" s="330"/>
      <c r="BI519" s="330"/>
      <c r="BJ519" s="330"/>
      <c r="BK519" s="330"/>
      <c r="BL519" s="330"/>
      <c r="BM519" s="330"/>
      <c r="BN519" s="330"/>
      <c r="BO519" s="330"/>
      <c r="BP519" s="331"/>
      <c r="BQ519" s="332"/>
      <c r="BR519" s="333"/>
    </row>
    <row r="520" spans="2:70" ht="15.75" customHeight="1">
      <c r="B520" s="216" t="s">
        <v>1358</v>
      </c>
      <c r="C520" s="212">
        <v>2614444</v>
      </c>
      <c r="D520" s="223">
        <v>30995018000131</v>
      </c>
      <c r="E520" s="217" t="s">
        <v>28</v>
      </c>
      <c r="F520" s="217" t="s">
        <v>957</v>
      </c>
      <c r="G520" s="217"/>
      <c r="H520" s="218"/>
      <c r="I520" s="217" t="s">
        <v>1842</v>
      </c>
      <c r="J520" s="217" t="s">
        <v>66</v>
      </c>
      <c r="K520" s="218" t="s">
        <v>951</v>
      </c>
      <c r="L520" s="212" t="s">
        <v>87</v>
      </c>
      <c r="M520" s="250"/>
      <c r="N520" s="239">
        <v>43460</v>
      </c>
      <c r="O520" s="210" t="s">
        <v>352</v>
      </c>
      <c r="P520" s="210" t="s">
        <v>1083</v>
      </c>
      <c r="Q520" s="210" t="s">
        <v>102</v>
      </c>
      <c r="R520" s="210" t="s">
        <v>1077</v>
      </c>
      <c r="S520" s="210" t="s">
        <v>1078</v>
      </c>
      <c r="T520" s="210" t="s">
        <v>1079</v>
      </c>
      <c r="U520" s="210" t="s">
        <v>957</v>
      </c>
      <c r="V520" s="210" t="s">
        <v>1080</v>
      </c>
      <c r="W520" s="211" t="s">
        <v>1007</v>
      </c>
      <c r="X520" s="211">
        <v>500</v>
      </c>
      <c r="Y520" s="211">
        <v>100</v>
      </c>
      <c r="Z520" s="212">
        <v>500</v>
      </c>
      <c r="AA520" s="240">
        <v>32</v>
      </c>
      <c r="AB520" s="213">
        <v>1.89E-2</v>
      </c>
      <c r="AC520" s="213">
        <v>0.2</v>
      </c>
      <c r="AD520" s="213" t="s">
        <v>109</v>
      </c>
      <c r="AE520" s="213">
        <v>4.725E-3</v>
      </c>
      <c r="AF520" s="241">
        <v>29892591.359999999</v>
      </c>
      <c r="AG520" s="241">
        <v>29892591.359999999</v>
      </c>
      <c r="AH520" s="213">
        <v>1.1299999999999999E-2</v>
      </c>
      <c r="AI520" s="352">
        <v>0.1739</v>
      </c>
      <c r="AJ520" s="213">
        <v>-0.10580000000000001</v>
      </c>
      <c r="AK520" s="352">
        <v>-1.125</v>
      </c>
      <c r="AL520" s="213">
        <v>-6.7500000000000004E-2</v>
      </c>
      <c r="AM520" s="352">
        <v>-0.55859999999999999</v>
      </c>
      <c r="AN520" s="213">
        <v>8.6400000000000005E-2</v>
      </c>
      <c r="AO520" s="352">
        <v>0.51259999999999994</v>
      </c>
      <c r="AP520" s="213">
        <v>0.1852</v>
      </c>
      <c r="AQ520" s="219">
        <v>-0.99658512016424028</v>
      </c>
      <c r="AR520" s="213" t="s">
        <v>1827</v>
      </c>
      <c r="AU520" s="343"/>
      <c r="AV520" s="343"/>
      <c r="AW520" s="328"/>
      <c r="AX520" s="329"/>
      <c r="AY520" s="328"/>
      <c r="AZ520" s="328"/>
      <c r="BA520" s="330"/>
      <c r="BB520" s="328"/>
      <c r="BC520" s="328"/>
      <c r="BD520" s="328"/>
      <c r="BE520" s="330"/>
      <c r="BF520" s="330"/>
      <c r="BG520" s="344"/>
      <c r="BH520" s="330"/>
      <c r="BI520" s="330"/>
      <c r="BJ520" s="330"/>
      <c r="BK520" s="330"/>
      <c r="BL520" s="330"/>
      <c r="BM520" s="330"/>
      <c r="BN520" s="330"/>
      <c r="BO520" s="330"/>
      <c r="BP520" s="331"/>
      <c r="BQ520" s="332"/>
      <c r="BR520" s="333"/>
    </row>
    <row r="521" spans="2:70" ht="15.75" customHeight="1">
      <c r="B521" s="216" t="s">
        <v>1359</v>
      </c>
      <c r="C521" s="212">
        <v>2853195</v>
      </c>
      <c r="D521" s="223">
        <v>19211736000137</v>
      </c>
      <c r="E521" s="217" t="s">
        <v>25</v>
      </c>
      <c r="F521" s="217" t="s">
        <v>958</v>
      </c>
      <c r="G521" s="217" t="s">
        <v>962</v>
      </c>
      <c r="H521" s="218" t="s">
        <v>66</v>
      </c>
      <c r="I521" s="217" t="s">
        <v>1841</v>
      </c>
      <c r="J521" s="217" t="s">
        <v>66</v>
      </c>
      <c r="K521" s="218"/>
      <c r="L521" s="212" t="s">
        <v>87</v>
      </c>
      <c r="M521" s="250"/>
      <c r="N521" s="239">
        <v>41614</v>
      </c>
      <c r="O521" s="210" t="s">
        <v>114</v>
      </c>
      <c r="P521" s="210" t="s">
        <v>1075</v>
      </c>
      <c r="Q521" s="210" t="s">
        <v>1076</v>
      </c>
      <c r="R521" s="210" t="s">
        <v>1084</v>
      </c>
      <c r="S521" s="210" t="s">
        <v>1078</v>
      </c>
      <c r="T521" s="210" t="s">
        <v>1082</v>
      </c>
      <c r="U521" s="210" t="s">
        <v>958</v>
      </c>
      <c r="V521" s="210" t="s">
        <v>25</v>
      </c>
      <c r="W521" s="211" t="s">
        <v>1012</v>
      </c>
      <c r="X521" s="211">
        <v>5000</v>
      </c>
      <c r="Y521" s="211">
        <v>1000</v>
      </c>
      <c r="Z521" s="212">
        <v>5000</v>
      </c>
      <c r="AA521" s="240">
        <v>31</v>
      </c>
      <c r="AB521" s="213">
        <v>1.89E-2</v>
      </c>
      <c r="AC521" s="213">
        <v>0.2</v>
      </c>
      <c r="AD521" s="213" t="s">
        <v>113</v>
      </c>
      <c r="AE521" s="213">
        <v>3.7799999999999995E-3</v>
      </c>
      <c r="AF521" s="241">
        <v>32788318.370000001</v>
      </c>
      <c r="AG521" s="241">
        <v>32788318.370000001</v>
      </c>
      <c r="AH521" s="213">
        <v>0.10009999999999999</v>
      </c>
      <c r="AI521" s="352">
        <v>1.5425</v>
      </c>
      <c r="AJ521" s="213">
        <v>0.11650000000000001</v>
      </c>
      <c r="AK521" s="352">
        <v>1.2381</v>
      </c>
      <c r="AL521" s="213">
        <v>0.14649999999999999</v>
      </c>
      <c r="AM521" s="352">
        <v>1.2125999999999999</v>
      </c>
      <c r="AN521" s="213">
        <v>0.2258</v>
      </c>
      <c r="AO521" s="352">
        <v>1.3399000000000001</v>
      </c>
      <c r="AP521" s="213">
        <v>4.1200000000000001E-2</v>
      </c>
      <c r="AQ521" s="219">
        <v>0.5121792344115238</v>
      </c>
      <c r="AR521" s="213" t="s">
        <v>1827</v>
      </c>
      <c r="AU521" s="343"/>
      <c r="AV521" s="343"/>
      <c r="AW521" s="328"/>
      <c r="AX521" s="329"/>
      <c r="AY521" s="328"/>
      <c r="AZ521" s="328"/>
      <c r="BA521" s="330"/>
      <c r="BB521" s="328"/>
      <c r="BC521" s="328"/>
      <c r="BD521" s="328"/>
      <c r="BE521" s="330"/>
      <c r="BF521" s="330"/>
      <c r="BG521" s="344"/>
      <c r="BH521" s="383"/>
      <c r="BI521" s="330"/>
      <c r="BJ521" s="330"/>
      <c r="BK521" s="330"/>
      <c r="BL521" s="330"/>
      <c r="BM521" s="330"/>
      <c r="BN521" s="330"/>
      <c r="BO521" s="330"/>
      <c r="BP521" s="331"/>
      <c r="BQ521" s="332"/>
      <c r="BR521" s="333"/>
    </row>
    <row r="522" spans="2:70" ht="15.75" customHeight="1">
      <c r="B522" s="216" t="s">
        <v>1360</v>
      </c>
      <c r="C522" s="212">
        <v>2853124</v>
      </c>
      <c r="D522" s="223">
        <v>19212817000151</v>
      </c>
      <c r="E522" s="217" t="s">
        <v>25</v>
      </c>
      <c r="F522" s="217" t="s">
        <v>958</v>
      </c>
      <c r="G522" s="217" t="s">
        <v>962</v>
      </c>
      <c r="H522" s="218" t="s">
        <v>66</v>
      </c>
      <c r="I522" s="217" t="s">
        <v>1841</v>
      </c>
      <c r="J522" s="217" t="s">
        <v>66</v>
      </c>
      <c r="K522" s="218"/>
      <c r="L522" s="212" t="s">
        <v>87</v>
      </c>
      <c r="M522" s="250"/>
      <c r="N522" s="239">
        <v>41614</v>
      </c>
      <c r="O522" s="210" t="s">
        <v>352</v>
      </c>
      <c r="P522" s="210" t="s">
        <v>1083</v>
      </c>
      <c r="Q522" s="210" t="s">
        <v>102</v>
      </c>
      <c r="R522" s="210" t="s">
        <v>1084</v>
      </c>
      <c r="S522" s="210" t="s">
        <v>1078</v>
      </c>
      <c r="T522" s="210" t="s">
        <v>1082</v>
      </c>
      <c r="U522" s="210" t="s">
        <v>958</v>
      </c>
      <c r="V522" s="210" t="s">
        <v>25</v>
      </c>
      <c r="W522" s="211" t="s">
        <v>1012</v>
      </c>
      <c r="X522" s="211">
        <v>500</v>
      </c>
      <c r="Y522" s="211">
        <v>100</v>
      </c>
      <c r="Z522" s="212">
        <v>500</v>
      </c>
      <c r="AA522" s="240">
        <v>31</v>
      </c>
      <c r="AB522" s="213">
        <v>1.89E-2</v>
      </c>
      <c r="AC522" s="213">
        <v>0.2</v>
      </c>
      <c r="AD522" s="213" t="s">
        <v>109</v>
      </c>
      <c r="AE522" s="213">
        <v>3.7799999999999995E-3</v>
      </c>
      <c r="AF522" s="241">
        <v>245281240.06999999</v>
      </c>
      <c r="AG522" s="241">
        <v>245281240.06999999</v>
      </c>
      <c r="AH522" s="213">
        <v>0.1009</v>
      </c>
      <c r="AI522" s="352">
        <v>1.5548</v>
      </c>
      <c r="AJ522" s="213">
        <v>0.11749999999999999</v>
      </c>
      <c r="AK522" s="352">
        <v>1.2484</v>
      </c>
      <c r="AL522" s="213">
        <v>0.14799999999999999</v>
      </c>
      <c r="AM522" s="352">
        <v>1.2248000000000001</v>
      </c>
      <c r="AN522" s="213">
        <v>0.22800000000000001</v>
      </c>
      <c r="AO522" s="352">
        <v>1.3532</v>
      </c>
      <c r="AP522" s="213">
        <v>4.2200000000000001E-2</v>
      </c>
      <c r="AQ522" s="219">
        <v>0.52247884839125935</v>
      </c>
      <c r="AR522" s="213" t="s">
        <v>1827</v>
      </c>
      <c r="AU522" s="343"/>
      <c r="AV522" s="343"/>
      <c r="AW522" s="328"/>
      <c r="AX522" s="329"/>
      <c r="AY522" s="328"/>
      <c r="AZ522" s="328"/>
      <c r="BA522" s="330"/>
      <c r="BB522" s="328"/>
      <c r="BC522" s="328"/>
      <c r="BD522" s="328"/>
      <c r="BE522" s="330"/>
      <c r="BF522" s="330"/>
      <c r="BG522" s="344"/>
      <c r="BH522" s="383"/>
      <c r="BI522" s="330"/>
      <c r="BJ522" s="330"/>
      <c r="BK522" s="330"/>
      <c r="BL522" s="330"/>
      <c r="BM522" s="330"/>
      <c r="BN522" s="330"/>
      <c r="BO522" s="330"/>
      <c r="BP522" s="331"/>
      <c r="BQ522" s="332"/>
      <c r="BR522" s="333"/>
    </row>
    <row r="523" spans="2:70" ht="15.75" customHeight="1">
      <c r="B523" s="216" t="s">
        <v>1361</v>
      </c>
      <c r="C523" s="212">
        <v>1446664</v>
      </c>
      <c r="D523" s="223">
        <v>41969176000133</v>
      </c>
      <c r="E523" s="217" t="s">
        <v>25</v>
      </c>
      <c r="F523" s="217" t="s">
        <v>958</v>
      </c>
      <c r="G523" s="217" t="s">
        <v>962</v>
      </c>
      <c r="H523" s="218" t="s">
        <v>66</v>
      </c>
      <c r="I523" s="217" t="s">
        <v>1842</v>
      </c>
      <c r="J523" s="217" t="s">
        <v>66</v>
      </c>
      <c r="K523" s="218"/>
      <c r="L523" s="212" t="s">
        <v>87</v>
      </c>
      <c r="M523" s="250"/>
      <c r="N523" s="239">
        <v>44440</v>
      </c>
      <c r="O523" s="210" t="s">
        <v>352</v>
      </c>
      <c r="P523" s="210" t="s">
        <v>1083</v>
      </c>
      <c r="Q523" s="210" t="s">
        <v>102</v>
      </c>
      <c r="R523" s="210" t="s">
        <v>1084</v>
      </c>
      <c r="S523" s="210" t="s">
        <v>1078</v>
      </c>
      <c r="T523" s="210" t="s">
        <v>1082</v>
      </c>
      <c r="U523" s="210" t="s">
        <v>958</v>
      </c>
      <c r="V523" s="210" t="s">
        <v>25</v>
      </c>
      <c r="W523" s="211" t="s">
        <v>1012</v>
      </c>
      <c r="X523" s="211">
        <v>500</v>
      </c>
      <c r="Y523" s="211">
        <v>100</v>
      </c>
      <c r="Z523" s="212">
        <v>500</v>
      </c>
      <c r="AA523" s="240">
        <v>7</v>
      </c>
      <c r="AB523" s="213">
        <v>1.89E-2</v>
      </c>
      <c r="AC523" s="213">
        <v>0.2</v>
      </c>
      <c r="AD523" s="213" t="s">
        <v>109</v>
      </c>
      <c r="AE523" s="213">
        <v>3.7800000000000004E-3</v>
      </c>
      <c r="AF523" s="241">
        <v>17021686.210000001</v>
      </c>
      <c r="AG523" s="241">
        <v>17021686.210000001</v>
      </c>
      <c r="AH523" s="213">
        <v>9.6100000000000005E-2</v>
      </c>
      <c r="AI523" s="352">
        <v>1.4796</v>
      </c>
      <c r="AJ523" s="213" t="s">
        <v>66</v>
      </c>
      <c r="AK523" s="352" t="s">
        <v>66</v>
      </c>
      <c r="AL523" s="213" t="s">
        <v>66</v>
      </c>
      <c r="AM523" s="352" t="s">
        <v>66</v>
      </c>
      <c r="AN523" s="213" t="s">
        <v>66</v>
      </c>
      <c r="AO523" s="352" t="s">
        <v>66</v>
      </c>
      <c r="AP523" s="213" t="s">
        <v>66</v>
      </c>
      <c r="AQ523" s="219" t="s">
        <v>66</v>
      </c>
      <c r="AR523" s="213" t="s">
        <v>1827</v>
      </c>
      <c r="AU523" s="343"/>
      <c r="AV523" s="343"/>
      <c r="AW523" s="328"/>
      <c r="AX523" s="329"/>
      <c r="AY523" s="328"/>
      <c r="AZ523" s="328"/>
      <c r="BA523" s="330"/>
      <c r="BB523" s="328"/>
      <c r="BC523" s="328"/>
      <c r="BD523" s="328"/>
      <c r="BE523" s="330"/>
      <c r="BF523" s="330"/>
      <c r="BG523" s="344"/>
      <c r="BH523" s="383"/>
      <c r="BI523" s="330"/>
      <c r="BJ523" s="330"/>
      <c r="BK523" s="330"/>
      <c r="BL523" s="330"/>
      <c r="BM523" s="330"/>
      <c r="BN523" s="330"/>
      <c r="BO523" s="330"/>
      <c r="BP523" s="331"/>
      <c r="BQ523" s="332"/>
      <c r="BR523" s="333"/>
    </row>
    <row r="524" spans="2:70" ht="15.75" customHeight="1">
      <c r="B524" s="216" t="s">
        <v>1362</v>
      </c>
      <c r="C524" s="212">
        <v>1446662</v>
      </c>
      <c r="D524" s="223">
        <v>37828294000154</v>
      </c>
      <c r="E524" s="217" t="s">
        <v>25</v>
      </c>
      <c r="F524" s="217" t="s">
        <v>958</v>
      </c>
      <c r="G524" s="217" t="s">
        <v>962</v>
      </c>
      <c r="H524" s="218" t="s">
        <v>66</v>
      </c>
      <c r="I524" s="217" t="s">
        <v>1259</v>
      </c>
      <c r="J524" s="217" t="s">
        <v>66</v>
      </c>
      <c r="K524" s="218"/>
      <c r="L524" s="212" t="s">
        <v>87</v>
      </c>
      <c r="M524" s="250"/>
      <c r="N524" s="239">
        <v>44043</v>
      </c>
      <c r="O524" s="210" t="s">
        <v>352</v>
      </c>
      <c r="P524" s="210" t="s">
        <v>1083</v>
      </c>
      <c r="Q524" s="210" t="s">
        <v>102</v>
      </c>
      <c r="R524" s="210" t="s">
        <v>1077</v>
      </c>
      <c r="S524" s="210" t="s">
        <v>1078</v>
      </c>
      <c r="T524" s="210" t="s">
        <v>1082</v>
      </c>
      <c r="U524" s="210" t="s">
        <v>958</v>
      </c>
      <c r="V524" s="210" t="s">
        <v>25</v>
      </c>
      <c r="W524" s="211" t="s">
        <v>1012</v>
      </c>
      <c r="X524" s="211">
        <v>5000</v>
      </c>
      <c r="Y524" s="211">
        <v>1000</v>
      </c>
      <c r="Z524" s="212">
        <v>5000</v>
      </c>
      <c r="AA524" s="240">
        <v>31</v>
      </c>
      <c r="AB524" s="213">
        <v>1.89E-2</v>
      </c>
      <c r="AC524" s="213">
        <v>0.2</v>
      </c>
      <c r="AD524" s="213" t="s">
        <v>109</v>
      </c>
      <c r="AE524" s="213">
        <v>3.2129999999999997E-3</v>
      </c>
      <c r="AF524" s="241">
        <v>291662982.70999998</v>
      </c>
      <c r="AG524" s="241">
        <v>291662982.70999998</v>
      </c>
      <c r="AH524" s="213">
        <v>0.1222</v>
      </c>
      <c r="AI524" s="352">
        <v>1.8822000000000001</v>
      </c>
      <c r="AJ524" s="213">
        <v>0.1386</v>
      </c>
      <c r="AK524" s="352">
        <v>1.4728000000000001</v>
      </c>
      <c r="AL524" s="213" t="s">
        <v>66</v>
      </c>
      <c r="AM524" s="352" t="s">
        <v>66</v>
      </c>
      <c r="AN524" s="213" t="s">
        <v>66</v>
      </c>
      <c r="AO524" s="352" t="s">
        <v>66</v>
      </c>
      <c r="AP524" s="213">
        <v>5.6599999999999998E-2</v>
      </c>
      <c r="AQ524" s="219">
        <v>0.73312034407927207</v>
      </c>
      <c r="AR524" s="213" t="s">
        <v>1827</v>
      </c>
      <c r="AU524" s="343"/>
      <c r="AV524" s="343"/>
      <c r="AW524" s="328"/>
      <c r="AX524" s="329"/>
      <c r="AY524" s="328"/>
      <c r="AZ524" s="328"/>
      <c r="BA524" s="330"/>
      <c r="BB524" s="328"/>
      <c r="BC524" s="328"/>
      <c r="BD524" s="328"/>
      <c r="BE524" s="330"/>
      <c r="BF524" s="330"/>
      <c r="BG524" s="344"/>
      <c r="BH524" s="330"/>
      <c r="BI524" s="330"/>
      <c r="BJ524" s="330"/>
      <c r="BK524" s="330"/>
      <c r="BL524" s="330"/>
      <c r="BM524" s="330"/>
      <c r="BN524" s="330"/>
      <c r="BO524" s="330"/>
      <c r="BP524" s="331"/>
      <c r="BQ524" s="332"/>
      <c r="BR524" s="333"/>
    </row>
    <row r="525" spans="2:70" ht="15.75" customHeight="1">
      <c r="B525" s="216" t="s">
        <v>1363</v>
      </c>
      <c r="C525" s="212">
        <v>1094223</v>
      </c>
      <c r="D525" s="223">
        <v>28568701000140</v>
      </c>
      <c r="E525" s="217" t="s">
        <v>28</v>
      </c>
      <c r="F525" s="217" t="s">
        <v>957</v>
      </c>
      <c r="G525" s="217"/>
      <c r="H525" s="218"/>
      <c r="I525" s="217" t="s">
        <v>1259</v>
      </c>
      <c r="J525" s="217" t="s">
        <v>66</v>
      </c>
      <c r="K525" s="218" t="s">
        <v>951</v>
      </c>
      <c r="L525" s="212" t="s">
        <v>87</v>
      </c>
      <c r="M525" s="250"/>
      <c r="N525" s="239">
        <v>43048</v>
      </c>
      <c r="O525" s="210" t="s">
        <v>353</v>
      </c>
      <c r="P525" s="210" t="s">
        <v>1117</v>
      </c>
      <c r="Q525" s="210" t="s">
        <v>1076</v>
      </c>
      <c r="R525" s="210" t="s">
        <v>1084</v>
      </c>
      <c r="S525" s="210" t="s">
        <v>1078</v>
      </c>
      <c r="T525" s="210" t="s">
        <v>1079</v>
      </c>
      <c r="U525" s="210" t="s">
        <v>957</v>
      </c>
      <c r="V525" s="210" t="s">
        <v>25</v>
      </c>
      <c r="W525" s="211" t="s">
        <v>1016</v>
      </c>
      <c r="X525" s="211">
        <v>1000</v>
      </c>
      <c r="Y525" s="211">
        <v>1000</v>
      </c>
      <c r="Z525" s="212">
        <v>1000</v>
      </c>
      <c r="AA525" s="240">
        <v>3</v>
      </c>
      <c r="AB525" s="213">
        <v>1.2999999999999999E-2</v>
      </c>
      <c r="AC525" s="213">
        <v>0.2</v>
      </c>
      <c r="AD525" s="213" t="s">
        <v>203</v>
      </c>
      <c r="AE525" s="213">
        <v>3.4666666666666665E-3</v>
      </c>
      <c r="AF525" s="241">
        <v>19069143.649999999</v>
      </c>
      <c r="AG525" s="241">
        <v>19069143.649999999</v>
      </c>
      <c r="AH525" s="213">
        <v>-4.8000000000000001E-2</v>
      </c>
      <c r="AI525" s="352">
        <v>-0.73909999999999998</v>
      </c>
      <c r="AJ525" s="213">
        <v>-8.2600000000000007E-2</v>
      </c>
      <c r="AK525" s="352">
        <v>-0.87770000000000004</v>
      </c>
      <c r="AL525" s="213">
        <v>-5.4999999999999997E-3</v>
      </c>
      <c r="AM525" s="352">
        <v>-4.5900000000000003E-2</v>
      </c>
      <c r="AN525" s="213">
        <v>4.7600000000000003E-2</v>
      </c>
      <c r="AO525" s="352">
        <v>0.28239999999999998</v>
      </c>
      <c r="AP525" s="213">
        <v>0.1061</v>
      </c>
      <c r="AQ525" s="219">
        <v>-1.6076709049408919</v>
      </c>
      <c r="AR525" s="213" t="s">
        <v>1827</v>
      </c>
      <c r="AU525" s="343"/>
      <c r="AV525" s="343"/>
      <c r="AW525" s="328"/>
      <c r="AX525" s="329"/>
      <c r="AY525" s="328"/>
      <c r="AZ525" s="328"/>
      <c r="BA525" s="330"/>
      <c r="BB525" s="328"/>
      <c r="BC525" s="328"/>
      <c r="BD525" s="328"/>
      <c r="BE525" s="330"/>
      <c r="BF525" s="330"/>
      <c r="BG525" s="344"/>
      <c r="BH525" s="330"/>
      <c r="BI525" s="330"/>
      <c r="BJ525" s="330"/>
      <c r="BK525" s="330"/>
      <c r="BL525" s="330"/>
      <c r="BM525" s="330"/>
      <c r="BN525" s="330"/>
      <c r="BO525" s="330"/>
      <c r="BP525" s="331"/>
      <c r="BQ525" s="332"/>
      <c r="BR525" s="333"/>
    </row>
    <row r="526" spans="2:70" ht="15.75" customHeight="1">
      <c r="B526" s="216" t="s">
        <v>1364</v>
      </c>
      <c r="C526" s="212">
        <v>2668116</v>
      </c>
      <c r="D526" s="223">
        <v>10447046000107</v>
      </c>
      <c r="E526" s="217" t="s">
        <v>25</v>
      </c>
      <c r="F526" s="217" t="s">
        <v>958</v>
      </c>
      <c r="G526" s="217" t="s">
        <v>962</v>
      </c>
      <c r="H526" s="218" t="s">
        <v>66</v>
      </c>
      <c r="I526" s="217" t="s">
        <v>1841</v>
      </c>
      <c r="J526" s="217" t="s">
        <v>66</v>
      </c>
      <c r="K526" s="218"/>
      <c r="L526" s="212" t="s">
        <v>87</v>
      </c>
      <c r="M526" s="250"/>
      <c r="N526" s="239">
        <v>39923</v>
      </c>
      <c r="O526" s="210" t="s">
        <v>353</v>
      </c>
      <c r="P526" s="210" t="s">
        <v>1075</v>
      </c>
      <c r="Q526" s="210" t="s">
        <v>1076</v>
      </c>
      <c r="R526" s="210" t="s">
        <v>1084</v>
      </c>
      <c r="S526" s="210" t="s">
        <v>1078</v>
      </c>
      <c r="T526" s="210" t="s">
        <v>1082</v>
      </c>
      <c r="U526" s="210" t="s">
        <v>958</v>
      </c>
      <c r="V526" s="210" t="s">
        <v>25</v>
      </c>
      <c r="W526" s="211" t="s">
        <v>1016</v>
      </c>
      <c r="X526" s="211">
        <v>1000</v>
      </c>
      <c r="Y526" s="211">
        <v>300</v>
      </c>
      <c r="Z526" s="212">
        <v>0</v>
      </c>
      <c r="AA526" s="240">
        <v>5</v>
      </c>
      <c r="AB526" s="213">
        <v>1.4999999999999999E-2</v>
      </c>
      <c r="AC526" s="213">
        <v>0.2</v>
      </c>
      <c r="AD526" s="213" t="s">
        <v>113</v>
      </c>
      <c r="AE526" s="213">
        <v>4.0000000000000001E-3</v>
      </c>
      <c r="AF526" s="241">
        <v>67733880.590000004</v>
      </c>
      <c r="AG526" s="241">
        <v>67733880.590000004</v>
      </c>
      <c r="AH526" s="213">
        <v>4.36E-2</v>
      </c>
      <c r="AI526" s="352">
        <v>0.67190000000000005</v>
      </c>
      <c r="AJ526" s="213">
        <v>4.5100000000000001E-2</v>
      </c>
      <c r="AK526" s="352">
        <v>0.47910000000000003</v>
      </c>
      <c r="AL526" s="213">
        <v>3.7999999999999999E-2</v>
      </c>
      <c r="AM526" s="352">
        <v>0.31459999999999999</v>
      </c>
      <c r="AN526" s="213">
        <v>0.16220000000000001</v>
      </c>
      <c r="AO526" s="352">
        <v>0.96279999999999999</v>
      </c>
      <c r="AP526" s="213">
        <v>3.7699999999999997E-2</v>
      </c>
      <c r="AQ526" s="219">
        <v>-1.1967442431435229</v>
      </c>
      <c r="AR526" s="213" t="s">
        <v>1827</v>
      </c>
      <c r="AU526" s="343"/>
      <c r="AV526" s="343"/>
      <c r="AW526" s="328"/>
      <c r="AX526" s="329"/>
      <c r="AY526" s="328"/>
      <c r="AZ526" s="328"/>
      <c r="BA526" s="330"/>
      <c r="BB526" s="328"/>
      <c r="BC526" s="328"/>
      <c r="BD526" s="328"/>
      <c r="BE526" s="330"/>
      <c r="BF526" s="330"/>
      <c r="BG526" s="344"/>
      <c r="BH526" s="330"/>
      <c r="BI526" s="330"/>
      <c r="BJ526" s="330"/>
      <c r="BK526" s="330"/>
      <c r="BL526" s="330"/>
      <c r="BM526" s="330"/>
      <c r="BN526" s="330"/>
      <c r="BO526" s="330"/>
      <c r="BP526" s="331"/>
      <c r="BQ526" s="332"/>
      <c r="BR526" s="333"/>
    </row>
    <row r="527" spans="2:70" ht="15.75" customHeight="1">
      <c r="B527" s="216" t="s">
        <v>52</v>
      </c>
      <c r="C527" s="212">
        <v>1051379</v>
      </c>
      <c r="D527" s="223">
        <v>24592505000150</v>
      </c>
      <c r="E527" s="217" t="s">
        <v>25</v>
      </c>
      <c r="F527" s="217" t="s">
        <v>958</v>
      </c>
      <c r="G527" s="217" t="s">
        <v>962</v>
      </c>
      <c r="H527" s="218" t="s">
        <v>66</v>
      </c>
      <c r="I527" s="217" t="s">
        <v>1842</v>
      </c>
      <c r="J527" s="217" t="s">
        <v>66</v>
      </c>
      <c r="K527" s="218"/>
      <c r="L527" s="212" t="s">
        <v>87</v>
      </c>
      <c r="M527" s="250"/>
      <c r="N527" s="239">
        <v>42650</v>
      </c>
      <c r="O527" s="210" t="s">
        <v>354</v>
      </c>
      <c r="P527" s="210" t="s">
        <v>1090</v>
      </c>
      <c r="Q527" s="210" t="s">
        <v>1091</v>
      </c>
      <c r="R527" s="210" t="s">
        <v>1077</v>
      </c>
      <c r="S527" s="210" t="s">
        <v>1078</v>
      </c>
      <c r="T527" s="210" t="s">
        <v>1082</v>
      </c>
      <c r="U527" s="210" t="s">
        <v>958</v>
      </c>
      <c r="V527" s="210" t="s">
        <v>25</v>
      </c>
      <c r="W527" s="211" t="s">
        <v>1012</v>
      </c>
      <c r="X527" s="211">
        <v>5000</v>
      </c>
      <c r="Y527" s="211">
        <v>1000</v>
      </c>
      <c r="Z527" s="212">
        <v>1000</v>
      </c>
      <c r="AA527" s="240">
        <v>30</v>
      </c>
      <c r="AB527" s="213">
        <v>1.95E-2</v>
      </c>
      <c r="AC527" s="213">
        <v>0.2</v>
      </c>
      <c r="AD527" s="213" t="s">
        <v>109</v>
      </c>
      <c r="AE527" s="213">
        <v>4.875E-3</v>
      </c>
      <c r="AF527" s="241">
        <v>485914765.73000002</v>
      </c>
      <c r="AG527" s="241">
        <v>485914765.73000002</v>
      </c>
      <c r="AH527" s="213">
        <v>8.5999999999999993E-2</v>
      </c>
      <c r="AI527" s="352">
        <v>1.3246</v>
      </c>
      <c r="AJ527" s="213">
        <v>-1.1900000000000001E-2</v>
      </c>
      <c r="AK527" s="352">
        <v>-0.12690000000000001</v>
      </c>
      <c r="AL527" s="213">
        <v>4.3200000000000002E-2</v>
      </c>
      <c r="AM527" s="352">
        <v>0.35770000000000002</v>
      </c>
      <c r="AN527" s="213">
        <v>0.2311</v>
      </c>
      <c r="AO527" s="352">
        <v>1.3714</v>
      </c>
      <c r="AP527" s="213">
        <v>7.5899999999999995E-2</v>
      </c>
      <c r="AQ527" s="219">
        <v>-1.3059503806041335</v>
      </c>
      <c r="AR527" s="213" t="s">
        <v>1827</v>
      </c>
      <c r="AU527" s="343"/>
      <c r="AV527" s="343"/>
      <c r="AW527" s="328"/>
      <c r="AX527" s="329"/>
      <c r="AY527" s="328"/>
      <c r="AZ527" s="328"/>
      <c r="BA527" s="330"/>
      <c r="BB527" s="328"/>
      <c r="BC527" s="328"/>
      <c r="BD527" s="328"/>
      <c r="BE527" s="330"/>
      <c r="BF527" s="330"/>
      <c r="BG527" s="344"/>
      <c r="BH527" s="330"/>
      <c r="BI527" s="330"/>
      <c r="BJ527" s="330"/>
      <c r="BK527" s="330"/>
      <c r="BL527" s="330"/>
      <c r="BM527" s="330"/>
      <c r="BN527" s="330"/>
      <c r="BO527" s="330"/>
      <c r="BP527" s="331"/>
      <c r="BQ527" s="332"/>
      <c r="BR527" s="333"/>
    </row>
    <row r="528" spans="2:70" ht="15.75" customHeight="1">
      <c r="B528" s="216" t="s">
        <v>1365</v>
      </c>
      <c r="C528" s="212">
        <v>541345</v>
      </c>
      <c r="D528" s="223">
        <v>26434293000109</v>
      </c>
      <c r="E528" s="217" t="s">
        <v>19</v>
      </c>
      <c r="F528" s="217" t="s">
        <v>963</v>
      </c>
      <c r="G528" s="217" t="s">
        <v>1011</v>
      </c>
      <c r="H528" s="218" t="s">
        <v>1113</v>
      </c>
      <c r="I528" s="217" t="s">
        <v>66</v>
      </c>
      <c r="J528" s="217" t="s">
        <v>1794</v>
      </c>
      <c r="K528" s="218" t="s">
        <v>951</v>
      </c>
      <c r="L528" s="212" t="s">
        <v>87</v>
      </c>
      <c r="M528" s="250"/>
      <c r="N528" s="239">
        <v>42759</v>
      </c>
      <c r="O528" s="210" t="s">
        <v>354</v>
      </c>
      <c r="P528" s="210" t="s">
        <v>1090</v>
      </c>
      <c r="Q528" s="210" t="s">
        <v>1091</v>
      </c>
      <c r="R528" s="210" t="s">
        <v>1084</v>
      </c>
      <c r="S528" s="210" t="s">
        <v>1078</v>
      </c>
      <c r="T528" s="210" t="s">
        <v>1275</v>
      </c>
      <c r="U528" s="210" t="s">
        <v>1078</v>
      </c>
      <c r="V528" s="210" t="s">
        <v>19</v>
      </c>
      <c r="W528" s="211" t="s">
        <v>1017</v>
      </c>
      <c r="X528" s="211">
        <v>1000</v>
      </c>
      <c r="Y528" s="211">
        <v>500</v>
      </c>
      <c r="Z528" s="212">
        <v>1000</v>
      </c>
      <c r="AA528" s="240">
        <v>1</v>
      </c>
      <c r="AB528" s="213">
        <v>4.4999999999999997E-3</v>
      </c>
      <c r="AC528" s="213">
        <v>0</v>
      </c>
      <c r="AD528" s="213" t="s">
        <v>109</v>
      </c>
      <c r="AE528" s="213">
        <v>1.3499999999999999E-3</v>
      </c>
      <c r="AF528" s="241">
        <v>45955787.5</v>
      </c>
      <c r="AG528" s="241">
        <v>45955787.5</v>
      </c>
      <c r="AH528" s="213">
        <v>6.5699999999999995E-2</v>
      </c>
      <c r="AI528" s="352">
        <v>1.0117</v>
      </c>
      <c r="AJ528" s="213">
        <v>8.3000000000000004E-2</v>
      </c>
      <c r="AK528" s="352">
        <v>0.8821</v>
      </c>
      <c r="AL528" s="213">
        <v>0.13270000000000001</v>
      </c>
      <c r="AM528" s="352">
        <v>1.0981000000000001</v>
      </c>
      <c r="AN528" s="213">
        <v>0.1137</v>
      </c>
      <c r="AO528" s="352">
        <v>0.67459999999999998</v>
      </c>
      <c r="AP528" s="213">
        <v>9.1999999999999998E-3</v>
      </c>
      <c r="AQ528" s="219">
        <v>-1.1079098812609496</v>
      </c>
      <c r="AR528" s="213" t="s">
        <v>1827</v>
      </c>
      <c r="AU528" s="343"/>
      <c r="AV528" s="343"/>
      <c r="AW528" s="328"/>
      <c r="AX528" s="329"/>
      <c r="AY528" s="328"/>
      <c r="AZ528" s="328"/>
      <c r="BA528" s="330"/>
      <c r="BB528" s="328"/>
      <c r="BC528" s="328"/>
      <c r="BD528" s="328"/>
      <c r="BE528" s="330"/>
      <c r="BF528" s="330"/>
      <c r="BG528" s="344"/>
      <c r="BH528" s="330"/>
      <c r="BI528" s="330"/>
      <c r="BJ528" s="330"/>
      <c r="BK528" s="330"/>
      <c r="BL528" s="330"/>
      <c r="BM528" s="330"/>
      <c r="BN528" s="330"/>
      <c r="BO528" s="330"/>
      <c r="BP528" s="331"/>
      <c r="BQ528" s="332"/>
      <c r="BR528" s="333"/>
    </row>
    <row r="529" spans="2:70" ht="15.75" customHeight="1">
      <c r="B529" s="216" t="s">
        <v>1366</v>
      </c>
      <c r="C529" s="212">
        <v>597939</v>
      </c>
      <c r="D529" s="223">
        <v>18391171000154</v>
      </c>
      <c r="E529" s="217" t="s">
        <v>25</v>
      </c>
      <c r="F529" s="217" t="s">
        <v>958</v>
      </c>
      <c r="G529" s="217" t="s">
        <v>962</v>
      </c>
      <c r="H529" s="218" t="s">
        <v>66</v>
      </c>
      <c r="I529" s="217" t="s">
        <v>1842</v>
      </c>
      <c r="J529" s="217" t="s">
        <v>66</v>
      </c>
      <c r="K529" s="218"/>
      <c r="L529" s="212" t="s">
        <v>88</v>
      </c>
      <c r="M529" s="250"/>
      <c r="N529" s="239">
        <v>41500</v>
      </c>
      <c r="O529" s="210" t="s">
        <v>355</v>
      </c>
      <c r="P529" s="210" t="s">
        <v>1088</v>
      </c>
      <c r="Q529" s="210" t="s">
        <v>1089</v>
      </c>
      <c r="R529" s="210" t="s">
        <v>1077</v>
      </c>
      <c r="S529" s="210" t="s">
        <v>1085</v>
      </c>
      <c r="T529" s="210" t="s">
        <v>1082</v>
      </c>
      <c r="U529" s="210" t="s">
        <v>65</v>
      </c>
      <c r="V529" s="210" t="s">
        <v>25</v>
      </c>
      <c r="W529" s="211" t="s">
        <v>1016</v>
      </c>
      <c r="X529" s="211">
        <v>50000</v>
      </c>
      <c r="Y529" s="211">
        <v>25000</v>
      </c>
      <c r="Z529" s="212">
        <v>50000</v>
      </c>
      <c r="AA529" s="240">
        <v>30</v>
      </c>
      <c r="AB529" s="213">
        <v>1.975E-2</v>
      </c>
      <c r="AC529" s="213">
        <v>0.2</v>
      </c>
      <c r="AD529" s="213" t="s">
        <v>1157</v>
      </c>
      <c r="AE529" s="213">
        <v>3.9499999999999995E-3</v>
      </c>
      <c r="AF529" s="241">
        <v>35848317.5</v>
      </c>
      <c r="AG529" s="241">
        <v>35848317.5</v>
      </c>
      <c r="AH529" s="213">
        <v>-4.7000000000000002E-3</v>
      </c>
      <c r="AI529" s="352">
        <v>-7.2099999999999997E-2</v>
      </c>
      <c r="AJ529" s="213">
        <v>8.8700000000000001E-2</v>
      </c>
      <c r="AK529" s="352">
        <v>0.94269999999999998</v>
      </c>
      <c r="AL529" s="213">
        <v>0.13089999999999999</v>
      </c>
      <c r="AM529" s="352">
        <v>1.0837000000000001</v>
      </c>
      <c r="AN529" s="213">
        <v>0.61309999999999998</v>
      </c>
      <c r="AO529" s="352">
        <v>3.6385000000000001</v>
      </c>
      <c r="AP529" s="213">
        <v>0.1799</v>
      </c>
      <c r="AQ529" s="219">
        <v>6.1811563591862871E-2</v>
      </c>
      <c r="AR529" s="213" t="s">
        <v>1827</v>
      </c>
      <c r="AU529" s="343"/>
      <c r="AV529" s="343"/>
      <c r="AW529" s="328"/>
      <c r="AX529" s="329"/>
      <c r="AY529" s="328"/>
      <c r="AZ529" s="328"/>
      <c r="BA529" s="330"/>
      <c r="BB529" s="328"/>
      <c r="BC529" s="328"/>
      <c r="BD529" s="328"/>
      <c r="BE529" s="330"/>
      <c r="BF529" s="330"/>
      <c r="BG529" s="344"/>
      <c r="BH529" s="330"/>
      <c r="BI529" s="330"/>
      <c r="BJ529" s="330"/>
      <c r="BK529" s="330"/>
      <c r="BL529" s="330"/>
      <c r="BM529" s="330"/>
      <c r="BN529" s="330"/>
      <c r="BO529" s="330"/>
      <c r="BP529" s="331"/>
      <c r="BQ529" s="332"/>
      <c r="BR529" s="333"/>
    </row>
    <row r="530" spans="2:70" ht="15.75" customHeight="1">
      <c r="B530" s="216" t="s">
        <v>822</v>
      </c>
      <c r="C530" s="212">
        <v>1180051</v>
      </c>
      <c r="D530" s="223">
        <v>9289134000149</v>
      </c>
      <c r="E530" s="217" t="s">
        <v>25</v>
      </c>
      <c r="F530" s="217" t="s">
        <v>958</v>
      </c>
      <c r="G530" s="217" t="s">
        <v>962</v>
      </c>
      <c r="H530" s="218" t="s">
        <v>66</v>
      </c>
      <c r="I530" s="217" t="s">
        <v>1841</v>
      </c>
      <c r="J530" s="217" t="s">
        <v>66</v>
      </c>
      <c r="K530" s="218"/>
      <c r="L530" s="212" t="s">
        <v>87</v>
      </c>
      <c r="M530" s="250"/>
      <c r="N530" s="239">
        <v>39629</v>
      </c>
      <c r="O530" s="210" t="s">
        <v>355</v>
      </c>
      <c r="P530" s="210" t="s">
        <v>1088</v>
      </c>
      <c r="Q530" s="210" t="s">
        <v>1089</v>
      </c>
      <c r="R530" s="210" t="s">
        <v>1077</v>
      </c>
      <c r="S530" s="210" t="s">
        <v>1078</v>
      </c>
      <c r="T530" s="210" t="s">
        <v>1082</v>
      </c>
      <c r="U530" s="210" t="s">
        <v>958</v>
      </c>
      <c r="V530" s="210" t="s">
        <v>25</v>
      </c>
      <c r="W530" s="211" t="s">
        <v>1016</v>
      </c>
      <c r="X530" s="211">
        <v>100000</v>
      </c>
      <c r="Y530" s="211">
        <v>50000</v>
      </c>
      <c r="Z530" s="212">
        <v>100000</v>
      </c>
      <c r="AA530" s="240">
        <v>30</v>
      </c>
      <c r="AB530" s="213">
        <v>1.975E-2</v>
      </c>
      <c r="AC530" s="213">
        <v>0.2</v>
      </c>
      <c r="AD530" s="213" t="s">
        <v>109</v>
      </c>
      <c r="AE530" s="213">
        <v>3.9499999999999995E-3</v>
      </c>
      <c r="AF530" s="241">
        <v>253384849.72</v>
      </c>
      <c r="AG530" s="241">
        <v>253384849.72</v>
      </c>
      <c r="AH530" s="213">
        <v>0.1384</v>
      </c>
      <c r="AI530" s="352">
        <v>2.1324999999999998</v>
      </c>
      <c r="AJ530" s="213">
        <v>0.1615</v>
      </c>
      <c r="AK530" s="352">
        <v>1.7164999999999999</v>
      </c>
      <c r="AL530" s="213">
        <v>0.24529999999999999</v>
      </c>
      <c r="AM530" s="352">
        <v>2.0303</v>
      </c>
      <c r="AN530" s="213">
        <v>0.34279999999999999</v>
      </c>
      <c r="AO530" s="352">
        <v>2.0339999999999998</v>
      </c>
      <c r="AP530" s="213">
        <v>4.1099999999999998E-2</v>
      </c>
      <c r="AQ530" s="219">
        <v>1.4775330422179174</v>
      </c>
      <c r="AR530" s="213" t="s">
        <v>1827</v>
      </c>
      <c r="AU530" s="343"/>
      <c r="AV530" s="343"/>
      <c r="AW530" s="328"/>
      <c r="AX530" s="329"/>
      <c r="AY530" s="328"/>
      <c r="AZ530" s="328"/>
      <c r="BA530" s="330"/>
      <c r="BB530" s="328"/>
      <c r="BC530" s="328"/>
      <c r="BD530" s="328"/>
      <c r="BE530" s="330"/>
      <c r="BF530" s="330"/>
      <c r="BG530" s="344"/>
      <c r="BH530" s="330"/>
      <c r="BI530" s="330"/>
      <c r="BJ530" s="330"/>
      <c r="BK530" s="330"/>
      <c r="BL530" s="330"/>
      <c r="BM530" s="330"/>
      <c r="BN530" s="330"/>
      <c r="BO530" s="330"/>
      <c r="BP530" s="331"/>
      <c r="BQ530" s="332"/>
      <c r="BR530" s="333"/>
    </row>
    <row r="531" spans="2:70" ht="15.75" customHeight="1">
      <c r="B531" s="216" t="s">
        <v>356</v>
      </c>
      <c r="C531" s="212">
        <v>3157304</v>
      </c>
      <c r="D531" s="223">
        <v>36668282000147</v>
      </c>
      <c r="E531" s="217" t="s">
        <v>28</v>
      </c>
      <c r="F531" s="217" t="s">
        <v>957</v>
      </c>
      <c r="G531" s="217"/>
      <c r="H531" s="218"/>
      <c r="I531" s="217" t="s">
        <v>1842</v>
      </c>
      <c r="J531" s="217" t="s">
        <v>66</v>
      </c>
      <c r="K531" s="218" t="s">
        <v>951</v>
      </c>
      <c r="L531" s="212" t="s">
        <v>87</v>
      </c>
      <c r="M531" s="250"/>
      <c r="N531" s="239">
        <v>43985</v>
      </c>
      <c r="O531" s="210" t="s">
        <v>1367</v>
      </c>
      <c r="P531" s="210" t="s">
        <v>1117</v>
      </c>
      <c r="Q531" s="210" t="s">
        <v>1140</v>
      </c>
      <c r="R531" s="210" t="s">
        <v>1084</v>
      </c>
      <c r="S531" s="210" t="s">
        <v>1078</v>
      </c>
      <c r="T531" s="210" t="s">
        <v>1079</v>
      </c>
      <c r="U531" s="210" t="s">
        <v>957</v>
      </c>
      <c r="V531" s="210" t="s">
        <v>25</v>
      </c>
      <c r="W531" s="211" t="s">
        <v>1016</v>
      </c>
      <c r="X531" s="211">
        <v>1000</v>
      </c>
      <c r="Y531" s="211">
        <v>100</v>
      </c>
      <c r="Z531" s="212">
        <v>1000</v>
      </c>
      <c r="AA531" s="240">
        <v>6</v>
      </c>
      <c r="AB531" s="213">
        <v>2.5000000000000001E-2</v>
      </c>
      <c r="AC531" s="213">
        <v>0.2</v>
      </c>
      <c r="AD531" s="213" t="s">
        <v>109</v>
      </c>
      <c r="AE531" s="213">
        <v>8.3333333333333332E-3</v>
      </c>
      <c r="AF531" s="241">
        <v>23421890.149999999</v>
      </c>
      <c r="AG531" s="241">
        <v>23421890.149999999</v>
      </c>
      <c r="AH531" s="213">
        <v>-0.1268</v>
      </c>
      <c r="AI531" s="352">
        <v>-1.9528000000000001</v>
      </c>
      <c r="AJ531" s="213">
        <v>-0.3538</v>
      </c>
      <c r="AK531" s="352">
        <v>-3.7606000000000002</v>
      </c>
      <c r="AL531" s="213">
        <v>-0.315</v>
      </c>
      <c r="AM531" s="352">
        <v>-2.6071</v>
      </c>
      <c r="AN531" s="213" t="s">
        <v>66</v>
      </c>
      <c r="AO531" s="352" t="s">
        <v>66</v>
      </c>
      <c r="AP531" s="213">
        <v>0.3503</v>
      </c>
      <c r="AQ531" s="219">
        <v>-1.3268686495813207</v>
      </c>
      <c r="AR531" s="213" t="s">
        <v>1827</v>
      </c>
      <c r="AU531" s="343"/>
      <c r="AV531" s="343"/>
      <c r="AW531" s="328"/>
      <c r="AX531" s="329"/>
      <c r="AY531" s="328"/>
      <c r="AZ531" s="328"/>
      <c r="BA531" s="330"/>
      <c r="BB531" s="328"/>
      <c r="BC531" s="328"/>
      <c r="BD531" s="328"/>
      <c r="BE531" s="330"/>
      <c r="BF531" s="330"/>
      <c r="BG531" s="344"/>
      <c r="BH531" s="330"/>
      <c r="BI531" s="330"/>
      <c r="BJ531" s="330"/>
      <c r="BK531" s="330"/>
      <c r="BL531" s="330"/>
      <c r="BM531" s="330"/>
      <c r="BN531" s="330"/>
      <c r="BO531" s="330"/>
      <c r="BP531" s="331"/>
      <c r="BQ531" s="332"/>
      <c r="BR531" s="333"/>
    </row>
    <row r="532" spans="2:70" ht="15.75" customHeight="1">
      <c r="B532" s="216" t="s">
        <v>1368</v>
      </c>
      <c r="C532" s="212">
        <v>3157310</v>
      </c>
      <c r="D532" s="223">
        <v>23686321000197</v>
      </c>
      <c r="E532" s="217" t="s">
        <v>25</v>
      </c>
      <c r="F532" s="217" t="s">
        <v>958</v>
      </c>
      <c r="G532" s="217" t="s">
        <v>962</v>
      </c>
      <c r="H532" s="218" t="s">
        <v>66</v>
      </c>
      <c r="I532" s="217" t="s">
        <v>1259</v>
      </c>
      <c r="J532" s="217" t="s">
        <v>66</v>
      </c>
      <c r="K532" s="218"/>
      <c r="L532" s="212" t="s">
        <v>87</v>
      </c>
      <c r="M532" s="250"/>
      <c r="N532" s="239">
        <v>42426</v>
      </c>
      <c r="O532" s="210" t="s">
        <v>249</v>
      </c>
      <c r="P532" s="210" t="s">
        <v>1075</v>
      </c>
      <c r="Q532" s="210" t="s">
        <v>1076</v>
      </c>
      <c r="R532" s="210" t="s">
        <v>1099</v>
      </c>
      <c r="S532" s="210" t="s">
        <v>1085</v>
      </c>
      <c r="T532" s="210" t="s">
        <v>1082</v>
      </c>
      <c r="U532" s="210" t="s">
        <v>65</v>
      </c>
      <c r="V532" s="210" t="s">
        <v>25</v>
      </c>
      <c r="W532" s="211" t="s">
        <v>1028</v>
      </c>
      <c r="X532" s="211">
        <v>100000</v>
      </c>
      <c r="Y532" s="211">
        <v>1000</v>
      </c>
      <c r="Z532" s="212">
        <v>100000</v>
      </c>
      <c r="AA532" s="240">
        <v>61</v>
      </c>
      <c r="AB532" s="213">
        <v>0.02</v>
      </c>
      <c r="AC532" s="213">
        <v>0.2</v>
      </c>
      <c r="AD532" s="213" t="s">
        <v>113</v>
      </c>
      <c r="AE532" s="213">
        <v>6.9999999999999993E-3</v>
      </c>
      <c r="AF532" s="241">
        <v>643872.31000000006</v>
      </c>
      <c r="AG532" s="241">
        <v>643872.31000000006</v>
      </c>
      <c r="AH532" s="213">
        <v>-3.3E-3</v>
      </c>
      <c r="AI532" s="352">
        <v>-5.1299999999999998E-2</v>
      </c>
      <c r="AJ532" s="213">
        <v>-4.7699999999999999E-2</v>
      </c>
      <c r="AK532" s="352">
        <v>-0.50700000000000001</v>
      </c>
      <c r="AL532" s="213">
        <v>-3.7100000000000001E-2</v>
      </c>
      <c r="AM532" s="352">
        <v>-0.30730000000000002</v>
      </c>
      <c r="AN532" s="213">
        <v>7.4000000000000003E-3</v>
      </c>
      <c r="AO532" s="352">
        <v>4.41E-2</v>
      </c>
      <c r="AP532" s="213">
        <v>0.05</v>
      </c>
      <c r="AQ532" s="219">
        <v>-2.7533574800283045</v>
      </c>
      <c r="AR532" s="213" t="s">
        <v>1827</v>
      </c>
      <c r="AU532" s="343"/>
      <c r="AV532" s="343"/>
      <c r="AW532" s="328"/>
      <c r="AX532" s="329"/>
      <c r="AY532" s="328"/>
      <c r="AZ532" s="328"/>
      <c r="BA532" s="330"/>
      <c r="BB532" s="328"/>
      <c r="BC532" s="328"/>
      <c r="BD532" s="328"/>
      <c r="BE532" s="330"/>
      <c r="BF532" s="330"/>
      <c r="BG532" s="344"/>
      <c r="BH532" s="330"/>
      <c r="BI532" s="330"/>
      <c r="BJ532" s="330"/>
      <c r="BK532" s="330"/>
      <c r="BL532" s="330"/>
      <c r="BM532" s="330"/>
      <c r="BN532" s="330"/>
      <c r="BO532" s="330"/>
      <c r="BP532" s="331"/>
      <c r="BQ532" s="332"/>
      <c r="BR532" s="333"/>
    </row>
    <row r="533" spans="2:70" ht="15.75" customHeight="1">
      <c r="B533" s="216" t="s">
        <v>846</v>
      </c>
      <c r="C533" s="212">
        <v>632182</v>
      </c>
      <c r="D533" s="223">
        <v>37495383000126</v>
      </c>
      <c r="E533" s="217" t="s">
        <v>28</v>
      </c>
      <c r="F533" s="217" t="s">
        <v>957</v>
      </c>
      <c r="G533" s="217"/>
      <c r="H533" s="218"/>
      <c r="I533" s="217" t="s">
        <v>1259</v>
      </c>
      <c r="J533" s="217" t="s">
        <v>66</v>
      </c>
      <c r="K533" s="218" t="s">
        <v>951</v>
      </c>
      <c r="L533" s="212" t="s">
        <v>87</v>
      </c>
      <c r="M533" s="250"/>
      <c r="N533" s="239">
        <v>44316</v>
      </c>
      <c r="O533" s="210" t="s">
        <v>357</v>
      </c>
      <c r="P533" s="210" t="s">
        <v>1110</v>
      </c>
      <c r="Q533" s="210" t="s">
        <v>1110</v>
      </c>
      <c r="R533" s="210" t="s">
        <v>1077</v>
      </c>
      <c r="S533" s="210" t="s">
        <v>1078</v>
      </c>
      <c r="T533" s="210" t="s">
        <v>1082</v>
      </c>
      <c r="U533" s="210" t="s">
        <v>958</v>
      </c>
      <c r="V533" s="210" t="s">
        <v>25</v>
      </c>
      <c r="W533" s="211" t="s">
        <v>1016</v>
      </c>
      <c r="X533" s="211">
        <v>500</v>
      </c>
      <c r="Y533" s="211">
        <v>100</v>
      </c>
      <c r="Z533" s="212">
        <v>100</v>
      </c>
      <c r="AA533" s="240">
        <v>32</v>
      </c>
      <c r="AB533" s="213">
        <v>1.9E-2</v>
      </c>
      <c r="AC533" s="213">
        <v>0.2</v>
      </c>
      <c r="AD533" s="213" t="s">
        <v>1157</v>
      </c>
      <c r="AE533" s="213">
        <v>5.0672999999999994E-3</v>
      </c>
      <c r="AF533" s="241">
        <v>26507789.280000001</v>
      </c>
      <c r="AG533" s="241">
        <v>26507789.280000001</v>
      </c>
      <c r="AH533" s="213">
        <v>6.2399999999999997E-2</v>
      </c>
      <c r="AI533" s="352">
        <v>0.96099999999999997</v>
      </c>
      <c r="AJ533" s="213">
        <v>-2.8199999999999999E-2</v>
      </c>
      <c r="AK533" s="352">
        <v>-0.29970000000000002</v>
      </c>
      <c r="AL533" s="213" t="s">
        <v>66</v>
      </c>
      <c r="AM533" s="352" t="s">
        <v>66</v>
      </c>
      <c r="AN533" s="213" t="s">
        <v>66</v>
      </c>
      <c r="AO533" s="352" t="s">
        <v>66</v>
      </c>
      <c r="AP533" s="213">
        <v>0.15279999999999999</v>
      </c>
      <c r="AQ533" s="219">
        <v>-0.69969314874070687</v>
      </c>
      <c r="AR533" s="213" t="s">
        <v>1827</v>
      </c>
      <c r="AU533" s="343"/>
      <c r="AV533" s="343"/>
      <c r="AW533" s="328"/>
      <c r="AX533" s="329"/>
      <c r="AY533" s="328"/>
      <c r="AZ533" s="328"/>
      <c r="BA533" s="330"/>
      <c r="BB533" s="328"/>
      <c r="BC533" s="328"/>
      <c r="BD533" s="328"/>
      <c r="BE533" s="330"/>
      <c r="BF533" s="330"/>
      <c r="BG533" s="344"/>
      <c r="BH533" s="330"/>
      <c r="BI533" s="330"/>
      <c r="BJ533" s="330"/>
      <c r="BK533" s="330"/>
      <c r="BL533" s="330"/>
      <c r="BM533" s="330"/>
      <c r="BN533" s="330"/>
      <c r="BO533" s="330"/>
      <c r="BP533" s="331"/>
      <c r="BQ533" s="332"/>
      <c r="BR533" s="333"/>
    </row>
    <row r="534" spans="2:70" ht="15.75" customHeight="1">
      <c r="B534" s="216" t="s">
        <v>1370</v>
      </c>
      <c r="C534" s="212">
        <v>613516</v>
      </c>
      <c r="D534" s="223">
        <v>32102192000133</v>
      </c>
      <c r="E534" s="217" t="s">
        <v>28</v>
      </c>
      <c r="F534" s="217" t="s">
        <v>950</v>
      </c>
      <c r="G534" s="217"/>
      <c r="H534" s="218"/>
      <c r="I534" s="217" t="s">
        <v>66</v>
      </c>
      <c r="J534" s="217" t="s">
        <v>66</v>
      </c>
      <c r="K534" s="218" t="s">
        <v>954</v>
      </c>
      <c r="L534" s="212"/>
      <c r="M534" s="250"/>
      <c r="N534" s="239">
        <v>43452</v>
      </c>
      <c r="O534" s="210" t="s">
        <v>358</v>
      </c>
      <c r="P534" s="210" t="s">
        <v>1090</v>
      </c>
      <c r="Q534" s="210" t="s">
        <v>1091</v>
      </c>
      <c r="R534" s="210" t="s">
        <v>1077</v>
      </c>
      <c r="S534" s="210" t="s">
        <v>1078</v>
      </c>
      <c r="T534" s="210" t="s">
        <v>1079</v>
      </c>
      <c r="U534" s="210" t="s">
        <v>65</v>
      </c>
      <c r="V534" s="210" t="s">
        <v>1080</v>
      </c>
      <c r="W534" s="211" t="s">
        <v>1036</v>
      </c>
      <c r="X534" s="211">
        <v>1000</v>
      </c>
      <c r="Y534" s="211">
        <v>1000</v>
      </c>
      <c r="Z534" s="212">
        <v>1000</v>
      </c>
      <c r="AA534" s="240">
        <v>34</v>
      </c>
      <c r="AB534" s="213">
        <v>0.02</v>
      </c>
      <c r="AC534" s="213">
        <v>0.2</v>
      </c>
      <c r="AD534" s="213" t="s">
        <v>1157</v>
      </c>
      <c r="AE534" s="213">
        <v>6.0000000000000001E-3</v>
      </c>
      <c r="AF534" s="241">
        <v>52732085.759999998</v>
      </c>
      <c r="AG534" s="241">
        <v>52732085.759999998</v>
      </c>
      <c r="AH534" s="213">
        <v>-7.85E-2</v>
      </c>
      <c r="AI534" s="352">
        <v>-1.2098</v>
      </c>
      <c r="AJ534" s="213">
        <v>-5.5300000000000002E-2</v>
      </c>
      <c r="AK534" s="352">
        <v>-0.58750000000000002</v>
      </c>
      <c r="AL534" s="213">
        <v>0.22189999999999999</v>
      </c>
      <c r="AM534" s="352">
        <v>1.8365</v>
      </c>
      <c r="AN534" s="213">
        <v>3.6900000000000002E-2</v>
      </c>
      <c r="AO534" s="352">
        <v>0.21879999999999999</v>
      </c>
      <c r="AP534" s="213">
        <v>0.16339999999999999</v>
      </c>
      <c r="AQ534" s="219">
        <v>-0.81643531666784919</v>
      </c>
      <c r="AR534" s="213" t="s">
        <v>1827</v>
      </c>
      <c r="AU534" s="343"/>
      <c r="AV534" s="343"/>
      <c r="AW534" s="328"/>
      <c r="AX534" s="329"/>
      <c r="AY534" s="328"/>
      <c r="AZ534" s="328"/>
      <c r="BA534" s="330"/>
      <c r="BB534" s="328"/>
      <c r="BC534" s="328"/>
      <c r="BD534" s="328"/>
      <c r="BE534" s="330"/>
      <c r="BF534" s="330"/>
      <c r="BG534" s="344"/>
      <c r="BH534" s="330"/>
      <c r="BI534" s="330"/>
      <c r="BJ534" s="330"/>
      <c r="BK534" s="330"/>
      <c r="BL534" s="330"/>
      <c r="BM534" s="330"/>
      <c r="BN534" s="330"/>
      <c r="BO534" s="330"/>
      <c r="BP534" s="331"/>
      <c r="BQ534" s="332"/>
      <c r="BR534" s="333"/>
    </row>
    <row r="535" spans="2:70" ht="15.75" customHeight="1">
      <c r="B535" s="216" t="s">
        <v>1371</v>
      </c>
      <c r="C535" s="212">
        <v>537293</v>
      </c>
      <c r="D535" s="223">
        <v>28075532000107</v>
      </c>
      <c r="E535" s="217" t="s">
        <v>28</v>
      </c>
      <c r="F535" s="217" t="s">
        <v>950</v>
      </c>
      <c r="G535" s="217"/>
      <c r="H535" s="218"/>
      <c r="I535" s="217" t="s">
        <v>66</v>
      </c>
      <c r="J535" s="217" t="s">
        <v>66</v>
      </c>
      <c r="K535" s="218" t="s">
        <v>954</v>
      </c>
      <c r="L535" s="212"/>
      <c r="M535" s="250"/>
      <c r="N535" s="239">
        <v>43018</v>
      </c>
      <c r="O535" s="210" t="s">
        <v>358</v>
      </c>
      <c r="P535" s="210" t="s">
        <v>1090</v>
      </c>
      <c r="Q535" s="210" t="s">
        <v>1091</v>
      </c>
      <c r="R535" s="210" t="s">
        <v>1077</v>
      </c>
      <c r="S535" s="210" t="s">
        <v>1078</v>
      </c>
      <c r="T535" s="210" t="s">
        <v>1079</v>
      </c>
      <c r="U535" s="210" t="s">
        <v>65</v>
      </c>
      <c r="V535" s="210" t="s">
        <v>1080</v>
      </c>
      <c r="W535" s="211" t="s">
        <v>1036</v>
      </c>
      <c r="X535" s="211">
        <v>1000</v>
      </c>
      <c r="Y535" s="211">
        <v>1000</v>
      </c>
      <c r="Z535" s="212">
        <v>1000</v>
      </c>
      <c r="AA535" s="240">
        <v>34</v>
      </c>
      <c r="AB535" s="213">
        <v>0.02</v>
      </c>
      <c r="AC535" s="213">
        <v>0.2</v>
      </c>
      <c r="AD535" s="213" t="s">
        <v>1157</v>
      </c>
      <c r="AE535" s="213">
        <v>6.0000000000000001E-3</v>
      </c>
      <c r="AF535" s="241">
        <v>132998867.59999999</v>
      </c>
      <c r="AG535" s="241">
        <v>132998867.59999999</v>
      </c>
      <c r="AH535" s="213">
        <v>-0.20200000000000001</v>
      </c>
      <c r="AI535" s="352">
        <v>-3.1111</v>
      </c>
      <c r="AJ535" s="213">
        <v>-0.1171</v>
      </c>
      <c r="AK535" s="352">
        <v>-1.2444999999999999</v>
      </c>
      <c r="AL535" s="213">
        <v>0.18940000000000001</v>
      </c>
      <c r="AM535" s="352">
        <v>1.5676000000000001</v>
      </c>
      <c r="AN535" s="213">
        <v>0.3846</v>
      </c>
      <c r="AO535" s="352">
        <v>2.282</v>
      </c>
      <c r="AP535" s="213">
        <v>0.20449999999999999</v>
      </c>
      <c r="AQ535" s="219">
        <v>-0.94655804481864514</v>
      </c>
      <c r="AR535" s="213" t="s">
        <v>1827</v>
      </c>
      <c r="AU535" s="343"/>
      <c r="AV535" s="343"/>
      <c r="AW535" s="328"/>
      <c r="AX535" s="329"/>
      <c r="AY535" s="328"/>
      <c r="AZ535" s="328"/>
      <c r="BA535" s="330"/>
      <c r="BB535" s="328"/>
      <c r="BC535" s="328"/>
      <c r="BD535" s="328"/>
      <c r="BE535" s="330"/>
      <c r="BF535" s="330"/>
      <c r="BG535" s="344"/>
      <c r="BH535" s="330"/>
      <c r="BI535" s="330"/>
      <c r="BJ535" s="330"/>
      <c r="BK535" s="330"/>
      <c r="BL535" s="330"/>
      <c r="BM535" s="330"/>
      <c r="BN535" s="330"/>
      <c r="BO535" s="330"/>
      <c r="BP535" s="331"/>
      <c r="BQ535" s="332"/>
      <c r="BR535" s="333"/>
    </row>
    <row r="536" spans="2:70" ht="15.75" customHeight="1">
      <c r="B536" s="216" t="s">
        <v>1372</v>
      </c>
      <c r="C536" s="212">
        <v>1159297</v>
      </c>
      <c r="D536" s="223">
        <v>36352424000162</v>
      </c>
      <c r="E536" s="217" t="s">
        <v>28</v>
      </c>
      <c r="F536" s="217" t="s">
        <v>950</v>
      </c>
      <c r="G536" s="217"/>
      <c r="H536" s="218"/>
      <c r="I536" s="217" t="s">
        <v>66</v>
      </c>
      <c r="J536" s="217" t="s">
        <v>66</v>
      </c>
      <c r="K536" s="218" t="s">
        <v>954</v>
      </c>
      <c r="L536" s="212" t="s">
        <v>88</v>
      </c>
      <c r="M536" s="250"/>
      <c r="N536" s="239">
        <v>44132</v>
      </c>
      <c r="O536" s="210" t="s">
        <v>358</v>
      </c>
      <c r="P536" s="210" t="s">
        <v>1090</v>
      </c>
      <c r="Q536" s="210" t="s">
        <v>1091</v>
      </c>
      <c r="R536" s="210" t="s">
        <v>1077</v>
      </c>
      <c r="S536" s="210" t="s">
        <v>1078</v>
      </c>
      <c r="T536" s="210" t="s">
        <v>1079</v>
      </c>
      <c r="U536" s="210" t="s">
        <v>65</v>
      </c>
      <c r="V536" s="210" t="s">
        <v>1080</v>
      </c>
      <c r="W536" s="211" t="s">
        <v>1036</v>
      </c>
      <c r="X536" s="211">
        <v>1000</v>
      </c>
      <c r="Y536" s="211">
        <v>1000</v>
      </c>
      <c r="Z536" s="212">
        <v>1000</v>
      </c>
      <c r="AA536" s="240">
        <v>19</v>
      </c>
      <c r="AB536" s="213">
        <v>1.2E-2</v>
      </c>
      <c r="AC536" s="213">
        <v>0</v>
      </c>
      <c r="AD536" s="213" t="s">
        <v>113</v>
      </c>
      <c r="AE536" s="213">
        <v>3.2000000000000002E-3</v>
      </c>
      <c r="AF536" s="241">
        <v>19732880.760000002</v>
      </c>
      <c r="AG536" s="241">
        <v>19732880.760000002</v>
      </c>
      <c r="AH536" s="213">
        <v>-0.23669999999999999</v>
      </c>
      <c r="AI536" s="352">
        <v>-3.6452</v>
      </c>
      <c r="AJ536" s="213">
        <v>-0.13350000000000001</v>
      </c>
      <c r="AK536" s="352">
        <v>-1.4189000000000001</v>
      </c>
      <c r="AL536" s="213" t="s">
        <v>66</v>
      </c>
      <c r="AM536" s="352" t="s">
        <v>66</v>
      </c>
      <c r="AN536" s="213" t="s">
        <v>66</v>
      </c>
      <c r="AO536" s="352" t="s">
        <v>66</v>
      </c>
      <c r="AP536" s="213">
        <v>0.20349999999999999</v>
      </c>
      <c r="AQ536" s="219">
        <v>-1.0443561006782927</v>
      </c>
      <c r="AR536" s="213" t="s">
        <v>1827</v>
      </c>
      <c r="AU536" s="343"/>
      <c r="AV536" s="343"/>
      <c r="AW536" s="328"/>
      <c r="AX536" s="329"/>
      <c r="AY536" s="328"/>
      <c r="AZ536" s="328"/>
      <c r="BA536" s="330"/>
      <c r="BB536" s="328"/>
      <c r="BC536" s="328"/>
      <c r="BD536" s="328"/>
      <c r="BE536" s="330"/>
      <c r="BF536" s="330"/>
      <c r="BG536" s="344"/>
      <c r="BH536" s="330"/>
      <c r="BI536" s="330"/>
      <c r="BJ536" s="330"/>
      <c r="BK536" s="330"/>
      <c r="BL536" s="330"/>
      <c r="BM536" s="330"/>
      <c r="BN536" s="330"/>
      <c r="BO536" s="330"/>
      <c r="BP536" s="331"/>
      <c r="BQ536" s="332"/>
      <c r="BR536" s="333"/>
    </row>
    <row r="537" spans="2:70" ht="15.75" customHeight="1">
      <c r="B537" s="216" t="s">
        <v>359</v>
      </c>
      <c r="C537" s="212">
        <v>551365</v>
      </c>
      <c r="D537" s="223">
        <v>27324405000131</v>
      </c>
      <c r="E537" s="217" t="s">
        <v>25</v>
      </c>
      <c r="F537" s="217" t="s">
        <v>958</v>
      </c>
      <c r="G537" s="217" t="s">
        <v>962</v>
      </c>
      <c r="H537" s="218" t="s">
        <v>66</v>
      </c>
      <c r="I537" s="217" t="s">
        <v>1841</v>
      </c>
      <c r="J537" s="217" t="s">
        <v>66</v>
      </c>
      <c r="K537" s="218"/>
      <c r="L537" s="212" t="s">
        <v>87</v>
      </c>
      <c r="M537" s="250"/>
      <c r="N537" s="239">
        <v>42877</v>
      </c>
      <c r="O537" s="210" t="s">
        <v>360</v>
      </c>
      <c r="P537" s="210" t="s">
        <v>1090</v>
      </c>
      <c r="Q537" s="210" t="s">
        <v>1091</v>
      </c>
      <c r="R537" s="210" t="s">
        <v>1084</v>
      </c>
      <c r="S537" s="210" t="s">
        <v>1078</v>
      </c>
      <c r="T537" s="210" t="s">
        <v>1082</v>
      </c>
      <c r="U537" s="210" t="s">
        <v>1086</v>
      </c>
      <c r="V537" s="210" t="s">
        <v>25</v>
      </c>
      <c r="W537" s="211" t="s">
        <v>1016</v>
      </c>
      <c r="X537" s="211">
        <v>5000</v>
      </c>
      <c r="Y537" s="211">
        <v>5000</v>
      </c>
      <c r="Z537" s="212">
        <v>5000</v>
      </c>
      <c r="AA537" s="240">
        <v>13</v>
      </c>
      <c r="AB537" s="213">
        <v>5.4999999999999997E-3</v>
      </c>
      <c r="AC537" s="213">
        <v>0.1</v>
      </c>
      <c r="AD537" s="213" t="s">
        <v>109</v>
      </c>
      <c r="AE537" s="213">
        <v>1.2833333333333332E-3</v>
      </c>
      <c r="AF537" s="241">
        <v>60149120.950000003</v>
      </c>
      <c r="AG537" s="241">
        <v>60149120.950000003</v>
      </c>
      <c r="AH537" s="213">
        <v>3.8800000000000001E-2</v>
      </c>
      <c r="AI537" s="352">
        <v>0.59819999999999995</v>
      </c>
      <c r="AJ537" s="213">
        <v>5.1200000000000002E-2</v>
      </c>
      <c r="AK537" s="352">
        <v>0.54430000000000001</v>
      </c>
      <c r="AL537" s="213">
        <v>9.7000000000000003E-2</v>
      </c>
      <c r="AM537" s="352">
        <v>0.80320000000000003</v>
      </c>
      <c r="AN537" s="213">
        <v>0.1875</v>
      </c>
      <c r="AO537" s="352">
        <v>1.1124000000000001</v>
      </c>
      <c r="AP537" s="213">
        <v>3.8800000000000001E-2</v>
      </c>
      <c r="AQ537" s="219">
        <v>-1.0111341752915004</v>
      </c>
      <c r="AR537" s="213" t="s">
        <v>1827</v>
      </c>
      <c r="AU537" s="343"/>
      <c r="AV537" s="343"/>
      <c r="AW537" s="328"/>
      <c r="AX537" s="329"/>
      <c r="AY537" s="328"/>
      <c r="AZ537" s="328"/>
      <c r="BA537" s="330"/>
      <c r="BB537" s="328"/>
      <c r="BC537" s="328"/>
      <c r="BD537" s="328"/>
      <c r="BE537" s="330"/>
      <c r="BF537" s="330"/>
      <c r="BG537" s="344"/>
      <c r="BH537" s="330"/>
      <c r="BI537" s="330"/>
      <c r="BJ537" s="330"/>
      <c r="BK537" s="330"/>
      <c r="BL537" s="330"/>
      <c r="BM537" s="330"/>
      <c r="BN537" s="330"/>
      <c r="BO537" s="330"/>
      <c r="BP537" s="331"/>
      <c r="BQ537" s="332"/>
      <c r="BR537" s="333"/>
    </row>
    <row r="538" spans="2:70" ht="15.75" customHeight="1">
      <c r="B538" s="216" t="s">
        <v>361</v>
      </c>
      <c r="C538" s="212">
        <v>2135368</v>
      </c>
      <c r="D538" s="223">
        <v>31440882000130</v>
      </c>
      <c r="E538" s="217" t="s">
        <v>25</v>
      </c>
      <c r="F538" s="217" t="s">
        <v>959</v>
      </c>
      <c r="G538" s="217" t="s">
        <v>953</v>
      </c>
      <c r="H538" s="218" t="s">
        <v>66</v>
      </c>
      <c r="I538" s="217" t="s">
        <v>1841</v>
      </c>
      <c r="J538" s="217" t="s">
        <v>66</v>
      </c>
      <c r="K538" s="218"/>
      <c r="L538" s="212" t="s">
        <v>87</v>
      </c>
      <c r="M538" s="250"/>
      <c r="N538" s="239">
        <v>43405</v>
      </c>
      <c r="O538" s="210" t="s">
        <v>360</v>
      </c>
      <c r="P538" s="210" t="s">
        <v>1090</v>
      </c>
      <c r="Q538" s="210" t="s">
        <v>1091</v>
      </c>
      <c r="R538" s="210" t="s">
        <v>1084</v>
      </c>
      <c r="S538" s="210" t="s">
        <v>1078</v>
      </c>
      <c r="T538" s="210" t="s">
        <v>1082</v>
      </c>
      <c r="U538" s="210" t="s">
        <v>958</v>
      </c>
      <c r="V538" s="210" t="s">
        <v>25</v>
      </c>
      <c r="W538" s="211" t="s">
        <v>1016</v>
      </c>
      <c r="X538" s="211">
        <v>500</v>
      </c>
      <c r="Y538" s="211">
        <v>100</v>
      </c>
      <c r="Z538" s="212">
        <v>500</v>
      </c>
      <c r="AA538" s="240">
        <v>33</v>
      </c>
      <c r="AB538" s="213">
        <v>0.02</v>
      </c>
      <c r="AC538" s="213">
        <v>0.2</v>
      </c>
      <c r="AD538" s="213" t="s">
        <v>109</v>
      </c>
      <c r="AE538" s="213">
        <v>5.4000000000000003E-3</v>
      </c>
      <c r="AF538" s="241">
        <v>134227499.59</v>
      </c>
      <c r="AG538" s="241">
        <v>134227499.59</v>
      </c>
      <c r="AH538" s="213">
        <v>6.7500000000000004E-2</v>
      </c>
      <c r="AI538" s="352">
        <v>1.0404</v>
      </c>
      <c r="AJ538" s="213">
        <v>0.12</v>
      </c>
      <c r="AK538" s="352">
        <v>1.2756000000000001</v>
      </c>
      <c r="AL538" s="213">
        <v>0.1234</v>
      </c>
      <c r="AM538" s="352">
        <v>1.0217000000000001</v>
      </c>
      <c r="AN538" s="213">
        <v>0.23619999999999999</v>
      </c>
      <c r="AO538" s="352">
        <v>1.4018999999999999</v>
      </c>
      <c r="AP538" s="213">
        <v>4.1799999999999997E-2</v>
      </c>
      <c r="AQ538" s="219">
        <v>0.58087432413778206</v>
      </c>
      <c r="AR538" s="213" t="s">
        <v>1827</v>
      </c>
      <c r="AU538" s="343"/>
      <c r="AV538" s="343"/>
      <c r="AW538" s="328"/>
      <c r="AX538" s="329"/>
      <c r="AY538" s="328"/>
      <c r="AZ538" s="328"/>
      <c r="BA538" s="330"/>
      <c r="BB538" s="328"/>
      <c r="BC538" s="328"/>
      <c r="BD538" s="328"/>
      <c r="BE538" s="330"/>
      <c r="BF538" s="330"/>
      <c r="BG538" s="344"/>
      <c r="BH538" s="330"/>
      <c r="BI538" s="330"/>
      <c r="BJ538" s="330"/>
      <c r="BK538" s="330"/>
      <c r="BL538" s="330"/>
      <c r="BM538" s="330"/>
      <c r="BN538" s="330"/>
      <c r="BO538" s="330"/>
      <c r="BP538" s="331"/>
      <c r="BQ538" s="332"/>
      <c r="BR538" s="333"/>
    </row>
    <row r="539" spans="2:70" ht="15.75" customHeight="1">
      <c r="B539" s="216" t="s">
        <v>876</v>
      </c>
      <c r="C539" s="212">
        <v>570213</v>
      </c>
      <c r="D539" s="223">
        <v>36352601000100</v>
      </c>
      <c r="E539" s="217" t="s">
        <v>28</v>
      </c>
      <c r="F539" s="217" t="s">
        <v>957</v>
      </c>
      <c r="G539" s="217" t="s">
        <v>953</v>
      </c>
      <c r="H539" s="218"/>
      <c r="I539" s="217" t="s">
        <v>1842</v>
      </c>
      <c r="J539" s="217" t="s">
        <v>66</v>
      </c>
      <c r="K539" s="218" t="s">
        <v>951</v>
      </c>
      <c r="L539" s="212" t="s">
        <v>87</v>
      </c>
      <c r="M539" s="250"/>
      <c r="N539" s="239">
        <v>43998</v>
      </c>
      <c r="O539" s="210" t="s">
        <v>360</v>
      </c>
      <c r="P539" s="210" t="s">
        <v>1090</v>
      </c>
      <c r="Q539" s="210" t="s">
        <v>1091</v>
      </c>
      <c r="R539" s="210" t="s">
        <v>1084</v>
      </c>
      <c r="S539" s="210" t="s">
        <v>1078</v>
      </c>
      <c r="T539" s="210" t="s">
        <v>1079</v>
      </c>
      <c r="U539" s="210" t="s">
        <v>957</v>
      </c>
      <c r="V539" s="210" t="s">
        <v>1080</v>
      </c>
      <c r="W539" s="211" t="s">
        <v>1007</v>
      </c>
      <c r="X539" s="211">
        <v>1000</v>
      </c>
      <c r="Y539" s="211">
        <v>1000</v>
      </c>
      <c r="Z539" s="212">
        <v>1000</v>
      </c>
      <c r="AA539" s="240">
        <v>33</v>
      </c>
      <c r="AB539" s="213">
        <v>1.4999999999999999E-2</v>
      </c>
      <c r="AC539" s="213">
        <v>0.25</v>
      </c>
      <c r="AD539" s="213" t="s">
        <v>113</v>
      </c>
      <c r="AE539" s="213">
        <v>1.9995E-3</v>
      </c>
      <c r="AF539" s="241">
        <v>10331966.09</v>
      </c>
      <c r="AG539" s="241">
        <v>10331966.09</v>
      </c>
      <c r="AH539" s="213">
        <v>-0.12620000000000001</v>
      </c>
      <c r="AI539" s="352">
        <v>-1.9436</v>
      </c>
      <c r="AJ539" s="213">
        <v>-0.38390000000000002</v>
      </c>
      <c r="AK539" s="352">
        <v>-4.0803000000000003</v>
      </c>
      <c r="AL539" s="213">
        <v>-0.27889999999999998</v>
      </c>
      <c r="AM539" s="352">
        <v>-2.3089</v>
      </c>
      <c r="AN539" s="213" t="s">
        <v>66</v>
      </c>
      <c r="AO539" s="352" t="s">
        <v>66</v>
      </c>
      <c r="AP539" s="213">
        <v>0.27050000000000002</v>
      </c>
      <c r="AQ539" s="219">
        <v>-1.9860559195403575</v>
      </c>
      <c r="AR539" s="213" t="s">
        <v>1827</v>
      </c>
      <c r="AU539" s="343"/>
      <c r="AV539" s="343"/>
      <c r="AW539" s="328"/>
      <c r="AX539" s="329"/>
      <c r="AY539" s="328"/>
      <c r="AZ539" s="328"/>
      <c r="BA539" s="330"/>
      <c r="BB539" s="328"/>
      <c r="BC539" s="328"/>
      <c r="BD539" s="328"/>
      <c r="BE539" s="330"/>
      <c r="BF539" s="330"/>
      <c r="BG539" s="344"/>
      <c r="BH539" s="330"/>
      <c r="BI539" s="330"/>
      <c r="BJ539" s="330"/>
      <c r="BK539" s="330"/>
      <c r="BL539" s="330"/>
      <c r="BM539" s="330"/>
      <c r="BN539" s="330"/>
      <c r="BO539" s="330"/>
      <c r="BP539" s="331"/>
      <c r="BQ539" s="332"/>
      <c r="BR539" s="333"/>
    </row>
    <row r="540" spans="2:70" ht="15.75" customHeight="1">
      <c r="B540" s="216" t="s">
        <v>365</v>
      </c>
      <c r="C540" s="212">
        <v>2048683</v>
      </c>
      <c r="D540" s="223">
        <v>41673124000115</v>
      </c>
      <c r="E540" s="217" t="s">
        <v>28</v>
      </c>
      <c r="F540" s="217" t="s">
        <v>950</v>
      </c>
      <c r="G540" s="217"/>
      <c r="H540" s="218"/>
      <c r="I540" s="217" t="s">
        <v>66</v>
      </c>
      <c r="J540" s="217" t="s">
        <v>66</v>
      </c>
      <c r="K540" s="218" t="s">
        <v>951</v>
      </c>
      <c r="L540" s="212" t="s">
        <v>87</v>
      </c>
      <c r="M540" s="250"/>
      <c r="N540" s="239">
        <v>44337</v>
      </c>
      <c r="O540" s="210" t="s">
        <v>366</v>
      </c>
      <c r="P540" s="210" t="s">
        <v>1075</v>
      </c>
      <c r="Q540" s="210" t="s">
        <v>1076</v>
      </c>
      <c r="R540" s="210" t="s">
        <v>1077</v>
      </c>
      <c r="S540" s="210" t="s">
        <v>1078</v>
      </c>
      <c r="T540" s="210" t="s">
        <v>1079</v>
      </c>
      <c r="U540" s="210" t="s">
        <v>950</v>
      </c>
      <c r="V540" s="210" t="s">
        <v>1080</v>
      </c>
      <c r="W540" s="211" t="s">
        <v>1007</v>
      </c>
      <c r="X540" s="211">
        <v>100000</v>
      </c>
      <c r="Y540" s="211">
        <v>250</v>
      </c>
      <c r="Z540" s="212">
        <v>100000</v>
      </c>
      <c r="AA540" s="240">
        <v>32</v>
      </c>
      <c r="AB540" s="213">
        <v>0.02</v>
      </c>
      <c r="AC540" s="213">
        <v>0.2</v>
      </c>
      <c r="AD540" s="213" t="s">
        <v>113</v>
      </c>
      <c r="AE540" s="213">
        <v>5.3333333333333332E-3</v>
      </c>
      <c r="AF540" s="241">
        <v>7991946.5999999996</v>
      </c>
      <c r="AG540" s="241">
        <v>7991946.5999999996</v>
      </c>
      <c r="AH540" s="213">
        <v>-9.0399999999999994E-2</v>
      </c>
      <c r="AI540" s="352">
        <v>-1.3917999999999999</v>
      </c>
      <c r="AJ540" s="213">
        <v>-0.22750000000000001</v>
      </c>
      <c r="AK540" s="352">
        <v>-2.4178000000000002</v>
      </c>
      <c r="AL540" s="213" t="s">
        <v>66</v>
      </c>
      <c r="AM540" s="352" t="s">
        <v>66</v>
      </c>
      <c r="AN540" s="213" t="s">
        <v>66</v>
      </c>
      <c r="AO540" s="352" t="s">
        <v>66</v>
      </c>
      <c r="AP540" s="213">
        <v>0.2475</v>
      </c>
      <c r="AQ540" s="219">
        <v>-1.2820306326625701</v>
      </c>
      <c r="AR540" s="213" t="s">
        <v>1827</v>
      </c>
      <c r="AU540" s="343"/>
      <c r="AV540" s="343"/>
      <c r="AW540" s="328"/>
      <c r="AX540" s="329"/>
      <c r="AY540" s="328"/>
      <c r="AZ540" s="328"/>
      <c r="BA540" s="330"/>
      <c r="BB540" s="328"/>
      <c r="BC540" s="328"/>
      <c r="BD540" s="328"/>
      <c r="BE540" s="330"/>
      <c r="BF540" s="330"/>
      <c r="BG540" s="344"/>
      <c r="BH540" s="330"/>
      <c r="BI540" s="330"/>
      <c r="BJ540" s="330"/>
      <c r="BK540" s="330"/>
      <c r="BL540" s="330"/>
      <c r="BM540" s="330"/>
      <c r="BN540" s="330"/>
      <c r="BO540" s="330"/>
      <c r="BP540" s="331"/>
      <c r="BQ540" s="332"/>
      <c r="BR540" s="333"/>
    </row>
    <row r="541" spans="2:70" ht="15.75" customHeight="1">
      <c r="B541" s="216" t="s">
        <v>1373</v>
      </c>
      <c r="C541" s="212">
        <v>1176355</v>
      </c>
      <c r="D541" s="223">
        <v>38318112000168</v>
      </c>
      <c r="E541" s="217" t="s">
        <v>28</v>
      </c>
      <c r="F541" s="217" t="s">
        <v>950</v>
      </c>
      <c r="G541" s="217"/>
      <c r="H541" s="218"/>
      <c r="I541" s="217" t="s">
        <v>66</v>
      </c>
      <c r="J541" s="217" t="s">
        <v>66</v>
      </c>
      <c r="K541" s="218" t="s">
        <v>954</v>
      </c>
      <c r="L541" s="212" t="s">
        <v>88</v>
      </c>
      <c r="M541" s="250"/>
      <c r="N541" s="239">
        <v>44123</v>
      </c>
      <c r="O541" s="210" t="s">
        <v>114</v>
      </c>
      <c r="P541" s="210" t="s">
        <v>1075</v>
      </c>
      <c r="Q541" s="210" t="s">
        <v>1076</v>
      </c>
      <c r="R541" s="210" t="s">
        <v>1077</v>
      </c>
      <c r="S541" s="210" t="s">
        <v>1078</v>
      </c>
      <c r="T541" s="210" t="s">
        <v>1079</v>
      </c>
      <c r="U541" s="210" t="s">
        <v>65</v>
      </c>
      <c r="V541" s="210" t="s">
        <v>1080</v>
      </c>
      <c r="W541" s="211" t="s">
        <v>1036</v>
      </c>
      <c r="X541" s="211">
        <v>10000</v>
      </c>
      <c r="Y541" s="211">
        <v>10000</v>
      </c>
      <c r="Z541" s="212">
        <v>10000</v>
      </c>
      <c r="AA541" s="240">
        <v>4</v>
      </c>
      <c r="AB541" s="213">
        <v>5.0000000000000001E-3</v>
      </c>
      <c r="AC541" s="213">
        <v>0</v>
      </c>
      <c r="AD541" s="213" t="s">
        <v>113</v>
      </c>
      <c r="AE541" s="213">
        <v>3.33333333333335E-3</v>
      </c>
      <c r="AF541" s="241">
        <v>9470597.8800000008</v>
      </c>
      <c r="AG541" s="241">
        <v>9470597.8800000008</v>
      </c>
      <c r="AH541" s="213">
        <v>-0.23810000000000001</v>
      </c>
      <c r="AI541" s="352">
        <v>-3.6678000000000002</v>
      </c>
      <c r="AJ541" s="213">
        <v>-0.1867</v>
      </c>
      <c r="AK541" s="352">
        <v>-1.9846999999999999</v>
      </c>
      <c r="AL541" s="213" t="s">
        <v>66</v>
      </c>
      <c r="AM541" s="352" t="s">
        <v>66</v>
      </c>
      <c r="AN541" s="213" t="s">
        <v>66</v>
      </c>
      <c r="AO541" s="352" t="s">
        <v>66</v>
      </c>
      <c r="AP541" s="213">
        <v>0.1726</v>
      </c>
      <c r="AQ541" s="219">
        <v>-1.6323547645133889</v>
      </c>
      <c r="AR541" s="213" t="s">
        <v>1827</v>
      </c>
      <c r="AU541" s="343"/>
      <c r="AV541" s="343"/>
      <c r="AW541" s="328"/>
      <c r="AX541" s="329"/>
      <c r="AY541" s="328"/>
      <c r="AZ541" s="328"/>
      <c r="BA541" s="330"/>
      <c r="BB541" s="328"/>
      <c r="BC541" s="328"/>
      <c r="BD541" s="328"/>
      <c r="BE541" s="330"/>
      <c r="BF541" s="330"/>
      <c r="BG541" s="344"/>
      <c r="BH541" s="330"/>
      <c r="BI541" s="330"/>
      <c r="BJ541" s="330"/>
      <c r="BK541" s="330"/>
      <c r="BL541" s="330"/>
      <c r="BM541" s="330"/>
      <c r="BN541" s="330"/>
      <c r="BO541" s="330"/>
      <c r="BP541" s="331"/>
      <c r="BQ541" s="332"/>
      <c r="BR541" s="333"/>
    </row>
    <row r="542" spans="2:70" ht="15.75" customHeight="1">
      <c r="B542" s="216" t="s">
        <v>784</v>
      </c>
      <c r="C542" s="212">
        <v>2267290</v>
      </c>
      <c r="D542" s="223">
        <v>41574684000112</v>
      </c>
      <c r="E542" s="217" t="s">
        <v>19</v>
      </c>
      <c r="F542" s="217" t="s">
        <v>963</v>
      </c>
      <c r="G542" s="217" t="s">
        <v>1011</v>
      </c>
      <c r="H542" s="218" t="s">
        <v>1113</v>
      </c>
      <c r="I542" s="217" t="s">
        <v>66</v>
      </c>
      <c r="J542" s="217" t="s">
        <v>1794</v>
      </c>
      <c r="K542" s="218" t="s">
        <v>1040</v>
      </c>
      <c r="L542" s="212" t="s">
        <v>87</v>
      </c>
      <c r="M542" s="250"/>
      <c r="N542" s="239">
        <v>44341</v>
      </c>
      <c r="O542" s="210" t="s">
        <v>316</v>
      </c>
      <c r="P542" s="210" t="s">
        <v>1075</v>
      </c>
      <c r="Q542" s="210" t="s">
        <v>1076</v>
      </c>
      <c r="R542" s="210" t="s">
        <v>1077</v>
      </c>
      <c r="S542" s="210" t="s">
        <v>1078</v>
      </c>
      <c r="T542" s="210" t="s">
        <v>1275</v>
      </c>
      <c r="U542" s="210" t="s">
        <v>1114</v>
      </c>
      <c r="V542" s="210" t="s">
        <v>25</v>
      </c>
      <c r="W542" s="211" t="s">
        <v>1019</v>
      </c>
      <c r="X542" s="211">
        <v>1000</v>
      </c>
      <c r="Y542" s="211">
        <v>100</v>
      </c>
      <c r="Z542" s="212">
        <v>1000</v>
      </c>
      <c r="AA542" s="240">
        <v>121</v>
      </c>
      <c r="AB542" s="213">
        <v>0.01</v>
      </c>
      <c r="AC542" s="213">
        <v>0.15</v>
      </c>
      <c r="AD542" s="213" t="s">
        <v>113</v>
      </c>
      <c r="AE542" s="213">
        <v>2.1333333333333334E-3</v>
      </c>
      <c r="AF542" s="241">
        <v>131724953.40000001</v>
      </c>
      <c r="AG542" s="241">
        <v>131724953.40000001</v>
      </c>
      <c r="AH542" s="213">
        <v>8.9700000000000002E-2</v>
      </c>
      <c r="AI542" s="352">
        <v>1.3823000000000001</v>
      </c>
      <c r="AJ542" s="213">
        <v>0.13950000000000001</v>
      </c>
      <c r="AK542" s="352">
        <v>1.4822</v>
      </c>
      <c r="AL542" s="213" t="s">
        <v>66</v>
      </c>
      <c r="AM542" s="352" t="s">
        <v>66</v>
      </c>
      <c r="AN542" s="213" t="s">
        <v>66</v>
      </c>
      <c r="AO542" s="352" t="s">
        <v>66</v>
      </c>
      <c r="AP542" s="213">
        <v>1.6999999999999999E-3</v>
      </c>
      <c r="AQ542" s="219">
        <v>24.121149691688466</v>
      </c>
      <c r="AR542" s="213" t="s">
        <v>1827</v>
      </c>
      <c r="AU542" s="343"/>
      <c r="AV542" s="343"/>
      <c r="AW542" s="328"/>
      <c r="AX542" s="329"/>
      <c r="AY542" s="328"/>
      <c r="AZ542" s="328"/>
      <c r="BA542" s="330"/>
      <c r="BB542" s="328"/>
      <c r="BC542" s="328"/>
      <c r="BD542" s="328"/>
      <c r="BE542" s="330"/>
      <c r="BF542" s="330"/>
      <c r="BG542" s="344"/>
      <c r="BH542" s="330"/>
      <c r="BI542" s="330"/>
      <c r="BJ542" s="330"/>
      <c r="BK542" s="330"/>
      <c r="BL542" s="330"/>
      <c r="BM542" s="330"/>
      <c r="BN542" s="330"/>
      <c r="BO542" s="330"/>
      <c r="BP542" s="331"/>
      <c r="BQ542" s="332"/>
      <c r="BR542" s="333"/>
    </row>
    <row r="543" spans="2:70" ht="15.75" customHeight="1">
      <c r="B543" s="216" t="s">
        <v>367</v>
      </c>
      <c r="C543" s="212">
        <v>563655</v>
      </c>
      <c r="D543" s="223">
        <v>41163392000197</v>
      </c>
      <c r="E543" s="217" t="s">
        <v>25</v>
      </c>
      <c r="F543" s="217" t="s">
        <v>958</v>
      </c>
      <c r="G543" s="217" t="s">
        <v>962</v>
      </c>
      <c r="H543" s="218" t="s">
        <v>66</v>
      </c>
      <c r="I543" s="217" t="s">
        <v>1841</v>
      </c>
      <c r="J543" s="217" t="s">
        <v>66</v>
      </c>
      <c r="K543" s="218"/>
      <c r="L543" s="212" t="s">
        <v>87</v>
      </c>
      <c r="M543" s="250"/>
      <c r="N543" s="239">
        <v>44316</v>
      </c>
      <c r="O543" s="210" t="s">
        <v>368</v>
      </c>
      <c r="P543" s="210" t="s">
        <v>1075</v>
      </c>
      <c r="Q543" s="210" t="s">
        <v>1076</v>
      </c>
      <c r="R543" s="210" t="s">
        <v>1084</v>
      </c>
      <c r="S543" s="210" t="s">
        <v>1078</v>
      </c>
      <c r="T543" s="210" t="s">
        <v>1082</v>
      </c>
      <c r="U543" s="210" t="s">
        <v>958</v>
      </c>
      <c r="V543" s="210" t="s">
        <v>25</v>
      </c>
      <c r="W543" s="211" t="s">
        <v>1016</v>
      </c>
      <c r="X543" s="211">
        <v>5000</v>
      </c>
      <c r="Y543" s="211">
        <v>1000</v>
      </c>
      <c r="Z543" s="212">
        <v>3000</v>
      </c>
      <c r="AA543" s="240">
        <v>31</v>
      </c>
      <c r="AB543" s="213">
        <v>1.8700000000000001E-2</v>
      </c>
      <c r="AC543" s="213">
        <v>0.2</v>
      </c>
      <c r="AD543" s="213" t="s">
        <v>113</v>
      </c>
      <c r="AE543" s="213">
        <v>4.986666666666667E-3</v>
      </c>
      <c r="AF543" s="241">
        <v>76203376.25</v>
      </c>
      <c r="AG543" s="241">
        <v>76203376.25</v>
      </c>
      <c r="AH543" s="213">
        <v>9.2399999999999996E-2</v>
      </c>
      <c r="AI543" s="352">
        <v>1.4233</v>
      </c>
      <c r="AJ543" s="213">
        <v>7.2499999999999995E-2</v>
      </c>
      <c r="AK543" s="352">
        <v>0.77049999999999996</v>
      </c>
      <c r="AL543" s="213" t="s">
        <v>66</v>
      </c>
      <c r="AM543" s="352" t="s">
        <v>66</v>
      </c>
      <c r="AN543" s="213" t="s">
        <v>66</v>
      </c>
      <c r="AO543" s="352" t="s">
        <v>66</v>
      </c>
      <c r="AP543" s="213">
        <v>4.5100000000000001E-2</v>
      </c>
      <c r="AQ543" s="219">
        <v>-0.41965434557668169</v>
      </c>
      <c r="AR543" s="213" t="s">
        <v>1827</v>
      </c>
      <c r="AU543" s="343"/>
      <c r="AV543" s="343"/>
      <c r="AW543" s="328"/>
      <c r="AX543" s="329"/>
      <c r="AY543" s="328"/>
      <c r="AZ543" s="328"/>
      <c r="BA543" s="330"/>
      <c r="BB543" s="328"/>
      <c r="BC543" s="328"/>
      <c r="BD543" s="328"/>
      <c r="BE543" s="330"/>
      <c r="BF543" s="330"/>
      <c r="BG543" s="344"/>
      <c r="BH543" s="330"/>
      <c r="BI543" s="330"/>
      <c r="BJ543" s="330"/>
      <c r="BK543" s="330"/>
      <c r="BL543" s="330"/>
      <c r="BM543" s="330"/>
      <c r="BN543" s="330"/>
      <c r="BO543" s="330"/>
      <c r="BP543" s="331"/>
      <c r="BQ543" s="332"/>
      <c r="BR543" s="333"/>
    </row>
    <row r="544" spans="2:70" ht="15.75" customHeight="1">
      <c r="B544" s="216" t="s">
        <v>824</v>
      </c>
      <c r="C544" s="212">
        <v>554878</v>
      </c>
      <c r="D544" s="223">
        <v>37498652000108</v>
      </c>
      <c r="E544" s="217" t="s">
        <v>25</v>
      </c>
      <c r="F544" s="217" t="s">
        <v>958</v>
      </c>
      <c r="G544" s="217" t="s">
        <v>962</v>
      </c>
      <c r="H544" s="218" t="s">
        <v>66</v>
      </c>
      <c r="I544" s="217" t="s">
        <v>1841</v>
      </c>
      <c r="J544" s="217" t="s">
        <v>66</v>
      </c>
      <c r="K544" s="218"/>
      <c r="L544" s="212" t="s">
        <v>87</v>
      </c>
      <c r="M544" s="250"/>
      <c r="N544" s="239">
        <v>44253</v>
      </c>
      <c r="O544" s="210" t="s">
        <v>825</v>
      </c>
      <c r="P544" s="210" t="s">
        <v>1110</v>
      </c>
      <c r="Q544" s="210" t="s">
        <v>1110</v>
      </c>
      <c r="R544" s="210" t="s">
        <v>1084</v>
      </c>
      <c r="S544" s="210" t="s">
        <v>1078</v>
      </c>
      <c r="T544" s="210" t="s">
        <v>1276</v>
      </c>
      <c r="U544" s="210" t="s">
        <v>958</v>
      </c>
      <c r="V544" s="210" t="s">
        <v>25</v>
      </c>
      <c r="W544" s="211" t="s">
        <v>1012</v>
      </c>
      <c r="X544" s="211">
        <v>1000</v>
      </c>
      <c r="Y544" s="211">
        <v>1000</v>
      </c>
      <c r="Z544" s="212">
        <v>1000</v>
      </c>
      <c r="AA544" s="240">
        <v>31</v>
      </c>
      <c r="AB544" s="213">
        <v>1.9E-2</v>
      </c>
      <c r="AC544" s="213">
        <v>0.2</v>
      </c>
      <c r="AD544" s="213" t="s">
        <v>109</v>
      </c>
      <c r="AE544" s="213">
        <v>5.0672999999999994E-3</v>
      </c>
      <c r="AF544" s="241">
        <v>139651432.90000001</v>
      </c>
      <c r="AG544" s="241">
        <v>139651432.90000001</v>
      </c>
      <c r="AH544" s="213">
        <v>-2E-3</v>
      </c>
      <c r="AI544" s="352">
        <v>-3.0599999999999999E-2</v>
      </c>
      <c r="AJ544" s="213">
        <v>-1.35E-2</v>
      </c>
      <c r="AK544" s="352">
        <v>-0.14360000000000001</v>
      </c>
      <c r="AL544" s="213" t="s">
        <v>66</v>
      </c>
      <c r="AM544" s="352" t="s">
        <v>66</v>
      </c>
      <c r="AN544" s="213" t="s">
        <v>66</v>
      </c>
      <c r="AO544" s="352" t="s">
        <v>66</v>
      </c>
      <c r="AP544" s="213">
        <v>3.8699999999999998E-2</v>
      </c>
      <c r="AQ544" s="219">
        <v>-2.658328210827607</v>
      </c>
      <c r="AR544" s="213" t="s">
        <v>1827</v>
      </c>
      <c r="AU544" s="343"/>
      <c r="AV544" s="343"/>
      <c r="AW544" s="328"/>
      <c r="AX544" s="329"/>
      <c r="AY544" s="328"/>
      <c r="AZ544" s="328"/>
      <c r="BA544" s="330"/>
      <c r="BB544" s="328"/>
      <c r="BC544" s="328"/>
      <c r="BD544" s="328"/>
      <c r="BE544" s="330"/>
      <c r="BF544" s="330"/>
      <c r="BG544" s="344"/>
      <c r="BH544" s="330"/>
      <c r="BI544" s="330"/>
      <c r="BJ544" s="330"/>
      <c r="BK544" s="330"/>
      <c r="BL544" s="330"/>
      <c r="BM544" s="330"/>
      <c r="BN544" s="330"/>
      <c r="BO544" s="330"/>
      <c r="BP544" s="331"/>
      <c r="BQ544" s="332"/>
      <c r="BR544" s="333"/>
    </row>
    <row r="545" spans="2:70" ht="15.75" customHeight="1">
      <c r="B545" s="216" t="s">
        <v>887</v>
      </c>
      <c r="C545" s="212">
        <v>1159300</v>
      </c>
      <c r="D545" s="223">
        <v>37495438000106</v>
      </c>
      <c r="E545" s="217" t="s">
        <v>28</v>
      </c>
      <c r="F545" s="217" t="s">
        <v>957</v>
      </c>
      <c r="G545" s="217"/>
      <c r="H545" s="218"/>
      <c r="I545" s="217" t="s">
        <v>1842</v>
      </c>
      <c r="J545" s="217" t="s">
        <v>66</v>
      </c>
      <c r="K545" s="218" t="s">
        <v>951</v>
      </c>
      <c r="L545" s="212" t="s">
        <v>87</v>
      </c>
      <c r="M545" s="250"/>
      <c r="N545" s="239">
        <v>44260</v>
      </c>
      <c r="O545" s="210" t="s">
        <v>825</v>
      </c>
      <c r="P545" s="210" t="s">
        <v>1110</v>
      </c>
      <c r="Q545" s="210" t="s">
        <v>1110</v>
      </c>
      <c r="R545" s="210" t="s">
        <v>1077</v>
      </c>
      <c r="S545" s="210" t="s">
        <v>1078</v>
      </c>
      <c r="T545" s="210" t="s">
        <v>1079</v>
      </c>
      <c r="U545" s="210" t="s">
        <v>957</v>
      </c>
      <c r="V545" s="210" t="s">
        <v>25</v>
      </c>
      <c r="W545" s="211" t="s">
        <v>1016</v>
      </c>
      <c r="X545" s="211">
        <v>1000</v>
      </c>
      <c r="Y545" s="211">
        <v>1000</v>
      </c>
      <c r="Z545" s="212">
        <v>1000</v>
      </c>
      <c r="AA545" s="240">
        <v>32</v>
      </c>
      <c r="AB545" s="213">
        <v>1.9E-2</v>
      </c>
      <c r="AC545" s="213">
        <v>0.2</v>
      </c>
      <c r="AD545" s="213" t="s">
        <v>203</v>
      </c>
      <c r="AE545" s="213">
        <v>5.0672999999999994E-3</v>
      </c>
      <c r="AF545" s="241">
        <v>121565510.51000001</v>
      </c>
      <c r="AG545" s="241">
        <v>121565510.51000001</v>
      </c>
      <c r="AH545" s="213">
        <v>1.0500000000000001E-2</v>
      </c>
      <c r="AI545" s="352">
        <v>0.161</v>
      </c>
      <c r="AJ545" s="213">
        <v>-0.1108</v>
      </c>
      <c r="AK545" s="352">
        <v>-1.1779999999999999</v>
      </c>
      <c r="AL545" s="213" t="s">
        <v>66</v>
      </c>
      <c r="AM545" s="352" t="s">
        <v>66</v>
      </c>
      <c r="AN545" s="213" t="s">
        <v>66</v>
      </c>
      <c r="AO545" s="352" t="s">
        <v>66</v>
      </c>
      <c r="AP545" s="213">
        <v>0.187</v>
      </c>
      <c r="AQ545" s="219">
        <v>-1.0156630202701471</v>
      </c>
      <c r="AR545" s="213" t="s">
        <v>1827</v>
      </c>
      <c r="AU545" s="343"/>
      <c r="AV545" s="343"/>
      <c r="AW545" s="328"/>
      <c r="AX545" s="329"/>
      <c r="AY545" s="328"/>
      <c r="AZ545" s="328"/>
      <c r="BA545" s="330"/>
      <c r="BB545" s="328"/>
      <c r="BC545" s="328"/>
      <c r="BD545" s="328"/>
      <c r="BE545" s="330"/>
      <c r="BF545" s="330"/>
      <c r="BG545" s="344"/>
      <c r="BH545" s="330"/>
      <c r="BI545" s="330"/>
      <c r="BJ545" s="330"/>
      <c r="BK545" s="330"/>
      <c r="BL545" s="330"/>
      <c r="BM545" s="330"/>
      <c r="BN545" s="330"/>
      <c r="BO545" s="330"/>
      <c r="BP545" s="331"/>
      <c r="BQ545" s="332"/>
      <c r="BR545" s="333"/>
    </row>
    <row r="546" spans="2:70" ht="15.75" customHeight="1">
      <c r="B546" s="216" t="s">
        <v>369</v>
      </c>
      <c r="C546" s="212">
        <v>1111474</v>
      </c>
      <c r="D546" s="223">
        <v>18889810000106</v>
      </c>
      <c r="E546" s="217" t="s">
        <v>28</v>
      </c>
      <c r="F546" s="217" t="s">
        <v>957</v>
      </c>
      <c r="G546" s="217"/>
      <c r="H546" s="218"/>
      <c r="I546" s="217" t="s">
        <v>1842</v>
      </c>
      <c r="J546" s="217" t="s">
        <v>66</v>
      </c>
      <c r="K546" s="218" t="s">
        <v>951</v>
      </c>
      <c r="L546" s="212" t="s">
        <v>87</v>
      </c>
      <c r="M546" s="250"/>
      <c r="N546" s="239">
        <v>41698</v>
      </c>
      <c r="O546" s="210" t="s">
        <v>370</v>
      </c>
      <c r="P546" s="210" t="s">
        <v>1090</v>
      </c>
      <c r="Q546" s="210" t="s">
        <v>1091</v>
      </c>
      <c r="R546" s="210" t="s">
        <v>1084</v>
      </c>
      <c r="S546" s="210" t="s">
        <v>1078</v>
      </c>
      <c r="T546" s="210" t="s">
        <v>1079</v>
      </c>
      <c r="U546" s="210" t="s">
        <v>957</v>
      </c>
      <c r="V546" s="210" t="s">
        <v>25</v>
      </c>
      <c r="W546" s="211" t="s">
        <v>1016</v>
      </c>
      <c r="X546" s="211">
        <v>5000</v>
      </c>
      <c r="Y546" s="211">
        <v>5000</v>
      </c>
      <c r="Z546" s="212">
        <v>5000</v>
      </c>
      <c r="AA546" s="240">
        <v>3</v>
      </c>
      <c r="AB546" s="213">
        <v>0.02</v>
      </c>
      <c r="AC546" s="213">
        <v>0.2</v>
      </c>
      <c r="AD546" s="213" t="s">
        <v>109</v>
      </c>
      <c r="AE546" s="213">
        <v>4.0000000000000001E-3</v>
      </c>
      <c r="AF546" s="241">
        <v>44674074.130000003</v>
      </c>
      <c r="AG546" s="241">
        <v>44674074.130000003</v>
      </c>
      <c r="AH546" s="213">
        <v>-6.1199999999999997E-2</v>
      </c>
      <c r="AI546" s="352">
        <v>-0.94220000000000004</v>
      </c>
      <c r="AJ546" s="213">
        <v>-0.22520000000000001</v>
      </c>
      <c r="AK546" s="352">
        <v>-2.3935</v>
      </c>
      <c r="AL546" s="213">
        <v>-4.65E-2</v>
      </c>
      <c r="AM546" s="352">
        <v>-0.38479999999999998</v>
      </c>
      <c r="AN546" s="213">
        <v>9.8299999999999998E-2</v>
      </c>
      <c r="AO546" s="352">
        <v>0.58330000000000004</v>
      </c>
      <c r="AP546" s="213">
        <v>0.23619999999999999</v>
      </c>
      <c r="AQ546" s="219">
        <v>-1.3420502271219332</v>
      </c>
      <c r="AR546" s="213" t="s">
        <v>1827</v>
      </c>
      <c r="AU546" s="343"/>
      <c r="AV546" s="343"/>
      <c r="AW546" s="328"/>
      <c r="AX546" s="329"/>
      <c r="AY546" s="328"/>
      <c r="AZ546" s="328"/>
      <c r="BA546" s="330"/>
      <c r="BB546" s="328"/>
      <c r="BC546" s="328"/>
      <c r="BD546" s="328"/>
      <c r="BE546" s="330"/>
      <c r="BF546" s="330"/>
      <c r="BG546" s="344"/>
      <c r="BH546" s="330"/>
      <c r="BI546" s="330"/>
      <c r="BJ546" s="330"/>
      <c r="BK546" s="330"/>
      <c r="BL546" s="330"/>
      <c r="BM546" s="330"/>
      <c r="BN546" s="330"/>
      <c r="BO546" s="330"/>
      <c r="BP546" s="331"/>
      <c r="BQ546" s="332"/>
      <c r="BR546" s="333"/>
    </row>
    <row r="547" spans="2:70" ht="15.75" customHeight="1">
      <c r="B547" s="216" t="s">
        <v>1374</v>
      </c>
      <c r="C547" s="212">
        <v>947360</v>
      </c>
      <c r="D547" s="223">
        <v>7124064000143</v>
      </c>
      <c r="E547" s="217" t="s">
        <v>28</v>
      </c>
      <c r="F547" s="217" t="s">
        <v>950</v>
      </c>
      <c r="G547" s="217"/>
      <c r="H547" s="218"/>
      <c r="I547" s="217" t="s">
        <v>66</v>
      </c>
      <c r="J547" s="217" t="s">
        <v>66</v>
      </c>
      <c r="K547" s="218" t="s">
        <v>951</v>
      </c>
      <c r="L547" s="212" t="s">
        <v>87</v>
      </c>
      <c r="M547" s="250"/>
      <c r="N547" s="239">
        <v>38357</v>
      </c>
      <c r="O547" s="210" t="s">
        <v>370</v>
      </c>
      <c r="P547" s="210" t="s">
        <v>1090</v>
      </c>
      <c r="Q547" s="210" t="s">
        <v>1091</v>
      </c>
      <c r="R547" s="210" t="s">
        <v>1084</v>
      </c>
      <c r="S547" s="210" t="s">
        <v>1078</v>
      </c>
      <c r="T547" s="210" t="s">
        <v>1079</v>
      </c>
      <c r="U547" s="210" t="s">
        <v>950</v>
      </c>
      <c r="V547" s="210" t="s">
        <v>1080</v>
      </c>
      <c r="W547" s="211" t="s">
        <v>1007</v>
      </c>
      <c r="X547" s="211">
        <v>500</v>
      </c>
      <c r="Y547" s="211">
        <v>500</v>
      </c>
      <c r="Z547" s="212">
        <v>500</v>
      </c>
      <c r="AA547" s="240">
        <v>3</v>
      </c>
      <c r="AB547" s="213">
        <v>0.02</v>
      </c>
      <c r="AC547" s="213">
        <v>0.2</v>
      </c>
      <c r="AD547" s="213" t="s">
        <v>113</v>
      </c>
      <c r="AE547" s="213">
        <v>4.0000000000000001E-3</v>
      </c>
      <c r="AF547" s="241">
        <v>45806087.810000002</v>
      </c>
      <c r="AG547" s="241">
        <v>45806087.810000002</v>
      </c>
      <c r="AH547" s="213">
        <v>-0.11609999999999999</v>
      </c>
      <c r="AI547" s="352">
        <v>-1.7878000000000001</v>
      </c>
      <c r="AJ547" s="213">
        <v>-0.34010000000000001</v>
      </c>
      <c r="AK547" s="352">
        <v>-3.6147999999999998</v>
      </c>
      <c r="AL547" s="213">
        <v>-0.1832</v>
      </c>
      <c r="AM547" s="352">
        <v>-1.5167999999999999</v>
      </c>
      <c r="AN547" s="213">
        <v>-0.1129</v>
      </c>
      <c r="AO547" s="352">
        <v>-0.67020000000000002</v>
      </c>
      <c r="AP547" s="213">
        <v>0.2414</v>
      </c>
      <c r="AQ547" s="219">
        <v>-1.9722340653945387</v>
      </c>
      <c r="AR547" s="213" t="s">
        <v>1824</v>
      </c>
      <c r="AU547" s="343"/>
      <c r="AV547" s="343"/>
      <c r="AW547" s="328"/>
      <c r="AX547" s="329"/>
      <c r="AY547" s="328"/>
      <c r="AZ547" s="328"/>
      <c r="BA547" s="330"/>
      <c r="BB547" s="328"/>
      <c r="BC547" s="328"/>
      <c r="BD547" s="328"/>
      <c r="BE547" s="330"/>
      <c r="BF547" s="330"/>
      <c r="BG547" s="344"/>
      <c r="BH547" s="330"/>
      <c r="BI547" s="330"/>
      <c r="BJ547" s="330"/>
      <c r="BK547" s="330"/>
      <c r="BL547" s="330"/>
      <c r="BM547" s="330"/>
      <c r="BN547" s="330"/>
      <c r="BO547" s="330"/>
      <c r="BP547" s="331"/>
      <c r="BQ547" s="332"/>
      <c r="BR547" s="333"/>
    </row>
    <row r="548" spans="2:70" ht="15.75" customHeight="1">
      <c r="B548" s="216" t="s">
        <v>371</v>
      </c>
      <c r="C548" s="212">
        <v>2630788</v>
      </c>
      <c r="D548" s="223">
        <v>9143435000160</v>
      </c>
      <c r="E548" s="217" t="s">
        <v>28</v>
      </c>
      <c r="F548" s="217" t="s">
        <v>950</v>
      </c>
      <c r="G548" s="217"/>
      <c r="H548" s="218"/>
      <c r="I548" s="217" t="s">
        <v>66</v>
      </c>
      <c r="J548" s="217" t="s">
        <v>66</v>
      </c>
      <c r="K548" s="218" t="s">
        <v>951</v>
      </c>
      <c r="L548" s="212" t="s">
        <v>87</v>
      </c>
      <c r="M548" s="250"/>
      <c r="N548" s="239">
        <v>39416</v>
      </c>
      <c r="O548" s="210" t="s">
        <v>372</v>
      </c>
      <c r="P548" s="210" t="s">
        <v>1090</v>
      </c>
      <c r="Q548" s="210" t="s">
        <v>1091</v>
      </c>
      <c r="R548" s="210" t="s">
        <v>1084</v>
      </c>
      <c r="S548" s="210" t="s">
        <v>1085</v>
      </c>
      <c r="T548" s="210" t="s">
        <v>1079</v>
      </c>
      <c r="U548" s="210" t="s">
        <v>950</v>
      </c>
      <c r="V548" s="210" t="s">
        <v>1080</v>
      </c>
      <c r="W548" s="211" t="s">
        <v>1013</v>
      </c>
      <c r="X548" s="211">
        <v>1000</v>
      </c>
      <c r="Y548" s="211">
        <v>1000</v>
      </c>
      <c r="Z548" s="212">
        <v>1000</v>
      </c>
      <c r="AA548" s="240">
        <v>17</v>
      </c>
      <c r="AB548" s="213">
        <v>0.02</v>
      </c>
      <c r="AC548" s="213">
        <v>0.15</v>
      </c>
      <c r="AD548" s="213" t="s">
        <v>1014</v>
      </c>
      <c r="AE548" s="213">
        <v>3.3333333333333331E-3</v>
      </c>
      <c r="AF548" s="241">
        <v>316572645.16000003</v>
      </c>
      <c r="AG548" s="241">
        <v>316572645.16000003</v>
      </c>
      <c r="AH548" s="213">
        <v>-4.2200000000000001E-2</v>
      </c>
      <c r="AI548" s="352">
        <v>-0.64959999999999996</v>
      </c>
      <c r="AJ548" s="213">
        <v>-0.1298</v>
      </c>
      <c r="AK548" s="352">
        <v>-1.3792</v>
      </c>
      <c r="AL548" s="213">
        <v>0.28760000000000002</v>
      </c>
      <c r="AM548" s="352">
        <v>2.3805000000000001</v>
      </c>
      <c r="AN548" s="213">
        <v>0.33989999999999998</v>
      </c>
      <c r="AO548" s="352">
        <v>2.0171999999999999</v>
      </c>
      <c r="AP548" s="213">
        <v>0.22570000000000001</v>
      </c>
      <c r="AQ548" s="219">
        <v>-0.90107452494188545</v>
      </c>
      <c r="AR548" s="213" t="s">
        <v>1827</v>
      </c>
      <c r="AU548" s="343"/>
      <c r="AV548" s="343"/>
      <c r="AW548" s="328"/>
      <c r="AX548" s="329"/>
      <c r="AY548" s="328"/>
      <c r="AZ548" s="328"/>
      <c r="BA548" s="330"/>
      <c r="BB548" s="328"/>
      <c r="BC548" s="328"/>
      <c r="BD548" s="328"/>
      <c r="BE548" s="330"/>
      <c r="BF548" s="330"/>
      <c r="BG548" s="344"/>
      <c r="BH548" s="383"/>
      <c r="BI548" s="330"/>
      <c r="BJ548" s="330"/>
      <c r="BK548" s="330"/>
      <c r="BL548" s="330"/>
      <c r="BM548" s="330"/>
      <c r="BN548" s="330"/>
      <c r="BO548" s="330"/>
      <c r="BP548" s="331"/>
      <c r="BQ548" s="332"/>
      <c r="BR548" s="333"/>
    </row>
    <row r="549" spans="2:70" ht="15.75" customHeight="1">
      <c r="B549" s="216" t="s">
        <v>373</v>
      </c>
      <c r="C549" s="212">
        <v>790363</v>
      </c>
      <c r="D549" s="223">
        <v>35717650000137</v>
      </c>
      <c r="E549" s="217" t="s">
        <v>28</v>
      </c>
      <c r="F549" s="217" t="s">
        <v>950</v>
      </c>
      <c r="G549" s="217"/>
      <c r="H549" s="218"/>
      <c r="I549" s="217" t="s">
        <v>66</v>
      </c>
      <c r="J549" s="217" t="s">
        <v>66</v>
      </c>
      <c r="K549" s="218" t="s">
        <v>951</v>
      </c>
      <c r="L549" s="212" t="s">
        <v>87</v>
      </c>
      <c r="M549" s="250"/>
      <c r="N549" s="239">
        <v>43901</v>
      </c>
      <c r="O549" s="210" t="s">
        <v>372</v>
      </c>
      <c r="P549" s="210" t="s">
        <v>1090</v>
      </c>
      <c r="Q549" s="210" t="s">
        <v>1091</v>
      </c>
      <c r="R549" s="210" t="s">
        <v>1084</v>
      </c>
      <c r="S549" s="210" t="s">
        <v>1078</v>
      </c>
      <c r="T549" s="210" t="s">
        <v>1079</v>
      </c>
      <c r="U549" s="210" t="s">
        <v>950</v>
      </c>
      <c r="V549" s="210" t="s">
        <v>1080</v>
      </c>
      <c r="W549" s="211" t="s">
        <v>1018</v>
      </c>
      <c r="X549" s="211">
        <v>500</v>
      </c>
      <c r="Y549" s="211">
        <v>500</v>
      </c>
      <c r="Z549" s="212">
        <v>500</v>
      </c>
      <c r="AA549" s="240">
        <v>17</v>
      </c>
      <c r="AB549" s="213">
        <v>0.02</v>
      </c>
      <c r="AC549" s="213">
        <v>0.2</v>
      </c>
      <c r="AD549" s="213" t="s">
        <v>1014</v>
      </c>
      <c r="AE549" s="213">
        <v>3.3333333333333331E-3</v>
      </c>
      <c r="AF549" s="241">
        <v>46603477.520000003</v>
      </c>
      <c r="AG549" s="241">
        <v>46603477.520000003</v>
      </c>
      <c r="AH549" s="213">
        <v>-3.49E-2</v>
      </c>
      <c r="AI549" s="352">
        <v>-0.5373</v>
      </c>
      <c r="AJ549" s="213">
        <v>-0.12770000000000001</v>
      </c>
      <c r="AK549" s="352">
        <v>-1.3568</v>
      </c>
      <c r="AL549" s="213">
        <v>0.20910000000000001</v>
      </c>
      <c r="AM549" s="352">
        <v>1.7309000000000001</v>
      </c>
      <c r="AN549" s="213" t="s">
        <v>66</v>
      </c>
      <c r="AO549" s="352" t="s">
        <v>66</v>
      </c>
      <c r="AP549" s="213">
        <v>0.22109999999999999</v>
      </c>
      <c r="AQ549" s="219">
        <v>-0.91365165173569252</v>
      </c>
      <c r="AR549" s="213" t="s">
        <v>1827</v>
      </c>
      <c r="AU549" s="343"/>
      <c r="AV549" s="343"/>
      <c r="AW549" s="328"/>
      <c r="AX549" s="329"/>
      <c r="AY549" s="328"/>
      <c r="AZ549" s="328"/>
      <c r="BA549" s="330"/>
      <c r="BB549" s="328"/>
      <c r="BC549" s="328"/>
      <c r="BD549" s="328"/>
      <c r="BE549" s="330"/>
      <c r="BF549" s="330"/>
      <c r="BG549" s="344"/>
      <c r="BH549" s="330"/>
      <c r="BI549" s="330"/>
      <c r="BJ549" s="330"/>
      <c r="BK549" s="330"/>
      <c r="BL549" s="330"/>
      <c r="BM549" s="330"/>
      <c r="BN549" s="330"/>
      <c r="BO549" s="330"/>
      <c r="BP549" s="331"/>
      <c r="BQ549" s="332"/>
      <c r="BR549" s="333"/>
    </row>
    <row r="550" spans="2:70" ht="15.75" customHeight="1">
      <c r="B550" s="216" t="s">
        <v>903</v>
      </c>
      <c r="C550" s="212">
        <v>541348</v>
      </c>
      <c r="D550" s="223">
        <v>36947848000170</v>
      </c>
      <c r="E550" s="217" t="s">
        <v>28</v>
      </c>
      <c r="F550" s="217" t="s">
        <v>950</v>
      </c>
      <c r="G550" s="217"/>
      <c r="H550" s="218"/>
      <c r="I550" s="217" t="s">
        <v>66</v>
      </c>
      <c r="J550" s="217" t="s">
        <v>66</v>
      </c>
      <c r="K550" s="218" t="s">
        <v>954</v>
      </c>
      <c r="L550" s="212"/>
      <c r="M550" s="250"/>
      <c r="N550" s="239">
        <v>44075</v>
      </c>
      <c r="O550" s="210" t="s">
        <v>387</v>
      </c>
      <c r="P550" s="210" t="s">
        <v>1083</v>
      </c>
      <c r="Q550" s="210" t="s">
        <v>102</v>
      </c>
      <c r="R550" s="210" t="s">
        <v>1077</v>
      </c>
      <c r="S550" s="210" t="s">
        <v>1078</v>
      </c>
      <c r="T550" s="210" t="s">
        <v>1079</v>
      </c>
      <c r="U550" s="210" t="s">
        <v>65</v>
      </c>
      <c r="V550" s="210" t="s">
        <v>25</v>
      </c>
      <c r="W550" s="211" t="s">
        <v>1028</v>
      </c>
      <c r="X550" s="211">
        <v>10000</v>
      </c>
      <c r="Y550" s="211">
        <v>5000</v>
      </c>
      <c r="Z550" s="212">
        <v>10000</v>
      </c>
      <c r="AA550" s="240">
        <v>6</v>
      </c>
      <c r="AB550" s="213">
        <v>1.0999999999999999E-2</v>
      </c>
      <c r="AC550" s="213">
        <v>0</v>
      </c>
      <c r="AD550" s="213" t="s">
        <v>109</v>
      </c>
      <c r="AE550" s="213">
        <v>2.9333333333333329E-3</v>
      </c>
      <c r="AF550" s="241">
        <v>1880785.73</v>
      </c>
      <c r="AG550" s="241">
        <v>1880785.73</v>
      </c>
      <c r="AH550" s="213">
        <v>-0.24399999999999999</v>
      </c>
      <c r="AI550" s="352">
        <v>-3.7582</v>
      </c>
      <c r="AJ550" s="213">
        <v>-0.14480000000000001</v>
      </c>
      <c r="AK550" s="352">
        <v>-1.5386</v>
      </c>
      <c r="AL550" s="213" t="s">
        <v>66</v>
      </c>
      <c r="AM550" s="352" t="s">
        <v>66</v>
      </c>
      <c r="AN550" s="213" t="s">
        <v>66</v>
      </c>
      <c r="AO550" s="352" t="s">
        <v>66</v>
      </c>
      <c r="AP550" s="213">
        <v>0.1893</v>
      </c>
      <c r="AQ550" s="219">
        <v>-1.2066035461556901</v>
      </c>
      <c r="AR550" s="213" t="s">
        <v>1827</v>
      </c>
      <c r="AU550" s="343"/>
      <c r="AV550" s="343"/>
      <c r="AW550" s="328"/>
      <c r="AX550" s="329"/>
      <c r="AY550" s="328"/>
      <c r="AZ550" s="328"/>
      <c r="BA550" s="330"/>
      <c r="BB550" s="328"/>
      <c r="BC550" s="328"/>
      <c r="BD550" s="328"/>
      <c r="BE550" s="330"/>
      <c r="BF550" s="330"/>
      <c r="BG550" s="344"/>
      <c r="BH550" s="330"/>
      <c r="BI550" s="330"/>
      <c r="BJ550" s="330"/>
      <c r="BK550" s="330"/>
      <c r="BL550" s="330"/>
      <c r="BM550" s="330"/>
      <c r="BN550" s="330"/>
      <c r="BO550" s="330"/>
      <c r="BP550" s="331"/>
      <c r="BQ550" s="332"/>
      <c r="BR550" s="333"/>
    </row>
    <row r="551" spans="2:70" ht="15.75" customHeight="1">
      <c r="B551" s="216" t="s">
        <v>374</v>
      </c>
      <c r="C551" s="212">
        <v>1901253</v>
      </c>
      <c r="D551" s="223">
        <v>8156502000118</v>
      </c>
      <c r="E551" s="217" t="s">
        <v>28</v>
      </c>
      <c r="F551" s="217" t="s">
        <v>950</v>
      </c>
      <c r="G551" s="217"/>
      <c r="H551" s="218"/>
      <c r="I551" s="217" t="s">
        <v>66</v>
      </c>
      <c r="J551" s="217" t="s">
        <v>66</v>
      </c>
      <c r="K551" s="218" t="s">
        <v>951</v>
      </c>
      <c r="L551" s="212" t="s">
        <v>87</v>
      </c>
      <c r="M551" s="250"/>
      <c r="N551" s="239">
        <v>39084</v>
      </c>
      <c r="O551" s="210" t="s">
        <v>375</v>
      </c>
      <c r="P551" s="210" t="s">
        <v>1075</v>
      </c>
      <c r="Q551" s="210" t="s">
        <v>1076</v>
      </c>
      <c r="R551" s="210" t="s">
        <v>1077</v>
      </c>
      <c r="S551" s="210" t="s">
        <v>1078</v>
      </c>
      <c r="T551" s="210" t="s">
        <v>1079</v>
      </c>
      <c r="U551" s="210" t="s">
        <v>950</v>
      </c>
      <c r="V551" s="210" t="s">
        <v>1080</v>
      </c>
      <c r="W551" s="211" t="s">
        <v>1007</v>
      </c>
      <c r="X551" s="211">
        <v>5000</v>
      </c>
      <c r="Y551" s="211">
        <v>1000</v>
      </c>
      <c r="Z551" s="212">
        <v>1000</v>
      </c>
      <c r="AA551" s="240">
        <v>32</v>
      </c>
      <c r="AB551" s="213">
        <v>1.9E-2</v>
      </c>
      <c r="AC551" s="213">
        <v>0.2</v>
      </c>
      <c r="AD551" s="213" t="s">
        <v>109</v>
      </c>
      <c r="AE551" s="213">
        <v>4.4333333333333325E-3</v>
      </c>
      <c r="AF551" s="241">
        <v>74342609.650000006</v>
      </c>
      <c r="AG551" s="241">
        <v>74342609.650000006</v>
      </c>
      <c r="AH551" s="213">
        <v>-1.9300000000000001E-2</v>
      </c>
      <c r="AI551" s="352">
        <v>-0.29780000000000001</v>
      </c>
      <c r="AJ551" s="213">
        <v>-5.3900000000000003E-2</v>
      </c>
      <c r="AK551" s="352">
        <v>-0.57330000000000003</v>
      </c>
      <c r="AL551" s="213">
        <v>0.3508</v>
      </c>
      <c r="AM551" s="352">
        <v>2.9036</v>
      </c>
      <c r="AN551" s="213">
        <v>0.67600000000000005</v>
      </c>
      <c r="AO551" s="352">
        <v>4.0114000000000001</v>
      </c>
      <c r="AP551" s="213">
        <v>0.247</v>
      </c>
      <c r="AQ551" s="219">
        <v>-0.4652615511913949</v>
      </c>
      <c r="AR551" s="213" t="s">
        <v>1827</v>
      </c>
      <c r="AU551" s="343"/>
      <c r="AV551" s="343"/>
      <c r="AW551" s="328"/>
      <c r="AX551" s="329"/>
      <c r="AY551" s="328"/>
      <c r="AZ551" s="328"/>
      <c r="BA551" s="330"/>
      <c r="BB551" s="328"/>
      <c r="BC551" s="328"/>
      <c r="BD551" s="328"/>
      <c r="BE551" s="330"/>
      <c r="BF551" s="330"/>
      <c r="BG551" s="344"/>
      <c r="BH551" s="383"/>
      <c r="BI551" s="330"/>
      <c r="BJ551" s="330"/>
      <c r="BK551" s="330"/>
      <c r="BL551" s="330"/>
      <c r="BM551" s="330"/>
      <c r="BN551" s="330"/>
      <c r="BO551" s="330"/>
      <c r="BP551" s="331"/>
      <c r="BQ551" s="332"/>
      <c r="BR551" s="333"/>
    </row>
    <row r="552" spans="2:70" ht="15.75" customHeight="1">
      <c r="B552" s="216" t="s">
        <v>376</v>
      </c>
      <c r="C552" s="212">
        <v>2864771</v>
      </c>
      <c r="D552" s="223">
        <v>4437399000123</v>
      </c>
      <c r="E552" s="217" t="s">
        <v>28</v>
      </c>
      <c r="F552" s="217" t="s">
        <v>950</v>
      </c>
      <c r="G552" s="217"/>
      <c r="H552" s="218"/>
      <c r="I552" s="217" t="s">
        <v>66</v>
      </c>
      <c r="J552" s="217" t="s">
        <v>66</v>
      </c>
      <c r="K552" s="218" t="s">
        <v>951</v>
      </c>
      <c r="L552" s="212" t="s">
        <v>87</v>
      </c>
      <c r="M552" s="250"/>
      <c r="N552" s="239">
        <v>41547</v>
      </c>
      <c r="O552" s="210" t="s">
        <v>375</v>
      </c>
      <c r="P552" s="210" t="s">
        <v>1075</v>
      </c>
      <c r="Q552" s="210" t="s">
        <v>1076</v>
      </c>
      <c r="R552" s="210" t="s">
        <v>1084</v>
      </c>
      <c r="S552" s="210" t="s">
        <v>1085</v>
      </c>
      <c r="T552" s="210" t="s">
        <v>1079</v>
      </c>
      <c r="U552" s="210" t="s">
        <v>950</v>
      </c>
      <c r="V552" s="210" t="s">
        <v>1080</v>
      </c>
      <c r="W552" s="211" t="s">
        <v>1007</v>
      </c>
      <c r="X552" s="211">
        <v>10000</v>
      </c>
      <c r="Y552" s="211">
        <v>1000</v>
      </c>
      <c r="Z552" s="212">
        <v>1000</v>
      </c>
      <c r="AA552" s="240">
        <v>3</v>
      </c>
      <c r="AB552" s="213">
        <v>1.9E-2</v>
      </c>
      <c r="AC552" s="213">
        <v>0.2</v>
      </c>
      <c r="AD552" s="213" t="s">
        <v>1014</v>
      </c>
      <c r="AE552" s="213">
        <v>4.4333333333333325E-3</v>
      </c>
      <c r="AF552" s="241">
        <v>29522628.559999999</v>
      </c>
      <c r="AG552" s="241">
        <v>29522628.559999999</v>
      </c>
      <c r="AH552" s="213">
        <v>-2.1399999999999999E-2</v>
      </c>
      <c r="AI552" s="352">
        <v>-0.32950000000000002</v>
      </c>
      <c r="AJ552" s="213">
        <v>-5.6399999999999999E-2</v>
      </c>
      <c r="AK552" s="352">
        <v>-0.59899999999999998</v>
      </c>
      <c r="AL552" s="213">
        <v>0.35460000000000003</v>
      </c>
      <c r="AM552" s="352">
        <v>2.9352999999999998</v>
      </c>
      <c r="AN552" s="213">
        <v>0.65849999999999997</v>
      </c>
      <c r="AO552" s="352">
        <v>3.9075000000000002</v>
      </c>
      <c r="AP552" s="213">
        <v>0.2465</v>
      </c>
      <c r="AQ552" s="219">
        <v>-0.47717978666354205</v>
      </c>
      <c r="AR552" s="213" t="s">
        <v>1824</v>
      </c>
      <c r="AU552" s="343"/>
      <c r="AV552" s="343"/>
      <c r="AW552" s="328"/>
      <c r="AX552" s="329"/>
      <c r="AY552" s="328"/>
      <c r="AZ552" s="328"/>
      <c r="BA552" s="330"/>
      <c r="BB552" s="328"/>
      <c r="BC552" s="328"/>
      <c r="BD552" s="328"/>
      <c r="BE552" s="330"/>
      <c r="BF552" s="330"/>
      <c r="BG552" s="344"/>
      <c r="BH552" s="330"/>
      <c r="BI552" s="330"/>
      <c r="BJ552" s="330"/>
      <c r="BK552" s="330"/>
      <c r="BL552" s="330"/>
      <c r="BM552" s="330"/>
      <c r="BN552" s="330"/>
      <c r="BO552" s="330"/>
      <c r="BP552" s="331"/>
      <c r="BQ552" s="332"/>
      <c r="BR552" s="333"/>
    </row>
    <row r="553" spans="2:70" ht="15.75" customHeight="1">
      <c r="B553" s="216" t="s">
        <v>377</v>
      </c>
      <c r="C553" s="212">
        <v>2509282</v>
      </c>
      <c r="D553" s="223">
        <v>24623392000103</v>
      </c>
      <c r="E553" s="217" t="s">
        <v>28</v>
      </c>
      <c r="F553" s="217" t="s">
        <v>957</v>
      </c>
      <c r="G553" s="217"/>
      <c r="H553" s="218"/>
      <c r="I553" s="217" t="s">
        <v>1842</v>
      </c>
      <c r="J553" s="217" t="s">
        <v>66</v>
      </c>
      <c r="K553" s="218" t="s">
        <v>951</v>
      </c>
      <c r="L553" s="212" t="s">
        <v>87</v>
      </c>
      <c r="M553" s="250"/>
      <c r="N553" s="239">
        <v>42562</v>
      </c>
      <c r="O553" s="210" t="s">
        <v>375</v>
      </c>
      <c r="P553" s="210" t="s">
        <v>1075</v>
      </c>
      <c r="Q553" s="210" t="s">
        <v>1076</v>
      </c>
      <c r="R553" s="210" t="s">
        <v>1084</v>
      </c>
      <c r="S553" s="210" t="s">
        <v>1078</v>
      </c>
      <c r="T553" s="210" t="s">
        <v>1079</v>
      </c>
      <c r="U553" s="210" t="s">
        <v>950</v>
      </c>
      <c r="V553" s="210" t="s">
        <v>25</v>
      </c>
      <c r="W553" s="211" t="s">
        <v>1016</v>
      </c>
      <c r="X553" s="211">
        <v>5000</v>
      </c>
      <c r="Y553" s="211">
        <v>1000</v>
      </c>
      <c r="Z553" s="212">
        <v>1000</v>
      </c>
      <c r="AA553" s="240">
        <v>14</v>
      </c>
      <c r="AB553" s="213">
        <v>0.02</v>
      </c>
      <c r="AC553" s="213">
        <v>0.2</v>
      </c>
      <c r="AD553" s="213" t="s">
        <v>109</v>
      </c>
      <c r="AE553" s="213">
        <v>4.6666666666666662E-3</v>
      </c>
      <c r="AF553" s="241">
        <v>17058845.170000002</v>
      </c>
      <c r="AG553" s="241">
        <v>17058845.170000002</v>
      </c>
      <c r="AH553" s="213">
        <v>-1.44E-2</v>
      </c>
      <c r="AI553" s="352">
        <v>-0.22159999999999999</v>
      </c>
      <c r="AJ553" s="213">
        <v>-3.6799999999999999E-2</v>
      </c>
      <c r="AK553" s="352">
        <v>-0.39100000000000001</v>
      </c>
      <c r="AL553" s="213">
        <v>0.2021</v>
      </c>
      <c r="AM553" s="352">
        <v>1.6727000000000001</v>
      </c>
      <c r="AN553" s="213">
        <v>0.55120000000000002</v>
      </c>
      <c r="AO553" s="352">
        <v>3.2709000000000001</v>
      </c>
      <c r="AP553" s="213">
        <v>0.24440000000000001</v>
      </c>
      <c r="AQ553" s="219">
        <v>-0.39948535215327219</v>
      </c>
      <c r="AR553" s="213" t="s">
        <v>1827</v>
      </c>
      <c r="AU553" s="343"/>
      <c r="AV553" s="343"/>
      <c r="AW553" s="328"/>
      <c r="AX553" s="329"/>
      <c r="AY553" s="328"/>
      <c r="AZ553" s="328"/>
      <c r="BA553" s="330"/>
      <c r="BB553" s="328"/>
      <c r="BC553" s="328"/>
      <c r="BD553" s="328"/>
      <c r="BE553" s="330"/>
      <c r="BF553" s="330"/>
      <c r="BG553" s="344"/>
      <c r="BH553" s="383"/>
      <c r="BI553" s="330"/>
      <c r="BJ553" s="330"/>
      <c r="BK553" s="330"/>
      <c r="BL553" s="330"/>
      <c r="BM553" s="330"/>
      <c r="BN553" s="330"/>
      <c r="BO553" s="330"/>
      <c r="BP553" s="331"/>
      <c r="BQ553" s="332"/>
      <c r="BR553" s="333"/>
    </row>
    <row r="554" spans="2:70" ht="15.75" customHeight="1">
      <c r="B554" s="216" t="s">
        <v>378</v>
      </c>
      <c r="C554" s="212">
        <v>1760971</v>
      </c>
      <c r="D554" s="223">
        <v>8830947000131</v>
      </c>
      <c r="E554" s="217" t="s">
        <v>28</v>
      </c>
      <c r="F554" s="217" t="s">
        <v>950</v>
      </c>
      <c r="G554" s="217"/>
      <c r="H554" s="218"/>
      <c r="I554" s="217" t="s">
        <v>66</v>
      </c>
      <c r="J554" s="217" t="s">
        <v>66</v>
      </c>
      <c r="K554" s="218" t="s">
        <v>951</v>
      </c>
      <c r="L554" s="212" t="s">
        <v>87</v>
      </c>
      <c r="M554" s="250"/>
      <c r="N554" s="239">
        <v>39232</v>
      </c>
      <c r="O554" s="210" t="s">
        <v>375</v>
      </c>
      <c r="P554" s="210" t="s">
        <v>1075</v>
      </c>
      <c r="Q554" s="210" t="s">
        <v>1076</v>
      </c>
      <c r="R554" s="210" t="s">
        <v>1084</v>
      </c>
      <c r="S554" s="210" t="s">
        <v>1078</v>
      </c>
      <c r="T554" s="210" t="s">
        <v>1079</v>
      </c>
      <c r="U554" s="210" t="s">
        <v>950</v>
      </c>
      <c r="V554" s="210" t="s">
        <v>1080</v>
      </c>
      <c r="W554" s="211" t="s">
        <v>1007</v>
      </c>
      <c r="X554" s="211">
        <v>5000</v>
      </c>
      <c r="Y554" s="211">
        <v>1000</v>
      </c>
      <c r="Z554" s="212">
        <v>1000</v>
      </c>
      <c r="AA554" s="240">
        <v>32</v>
      </c>
      <c r="AB554" s="213">
        <v>1.9E-2</v>
      </c>
      <c r="AC554" s="213">
        <v>0.2</v>
      </c>
      <c r="AD554" s="213" t="s">
        <v>1014</v>
      </c>
      <c r="AE554" s="213">
        <v>4.4333333333333325E-3</v>
      </c>
      <c r="AF554" s="241">
        <v>764884772.08000004</v>
      </c>
      <c r="AG554" s="241">
        <v>764884772.08000004</v>
      </c>
      <c r="AH554" s="213">
        <v>-2.1399999999999999E-2</v>
      </c>
      <c r="AI554" s="352">
        <v>-0.3296</v>
      </c>
      <c r="AJ554" s="213">
        <v>-5.6300000000000003E-2</v>
      </c>
      <c r="AK554" s="352">
        <v>-0.59860000000000002</v>
      </c>
      <c r="AL554" s="213">
        <v>0.3276</v>
      </c>
      <c r="AM554" s="352">
        <v>2.7115</v>
      </c>
      <c r="AN554" s="213">
        <v>0.61860000000000004</v>
      </c>
      <c r="AO554" s="352">
        <v>3.6707000000000001</v>
      </c>
      <c r="AP554" s="213">
        <v>0.24490000000000001</v>
      </c>
      <c r="AQ554" s="219">
        <v>-0.48164264296520259</v>
      </c>
      <c r="AR554" s="213" t="s">
        <v>1824</v>
      </c>
      <c r="AU554" s="343"/>
      <c r="AV554" s="343"/>
      <c r="AW554" s="328"/>
      <c r="AX554" s="329"/>
      <c r="AY554" s="328"/>
      <c r="AZ554" s="328"/>
      <c r="BA554" s="330"/>
      <c r="BB554" s="328"/>
      <c r="BC554" s="328"/>
      <c r="BD554" s="328"/>
      <c r="BE554" s="330"/>
      <c r="BF554" s="330"/>
      <c r="BG554" s="344"/>
      <c r="BH554" s="330"/>
      <c r="BI554" s="330"/>
      <c r="BJ554" s="330"/>
      <c r="BK554" s="330"/>
      <c r="BL554" s="330"/>
      <c r="BM554" s="330"/>
      <c r="BN554" s="330"/>
      <c r="BO554" s="330"/>
      <c r="BP554" s="331"/>
      <c r="BQ554" s="332"/>
      <c r="BR554" s="333"/>
    </row>
    <row r="555" spans="2:70" ht="15.75" customHeight="1">
      <c r="B555" s="216" t="s">
        <v>1375</v>
      </c>
      <c r="C555" s="212">
        <v>2057661</v>
      </c>
      <c r="D555" s="223">
        <v>41252582000180</v>
      </c>
      <c r="E555" s="217" t="s">
        <v>25</v>
      </c>
      <c r="F555" s="217" t="s">
        <v>959</v>
      </c>
      <c r="G555" s="217" t="s">
        <v>962</v>
      </c>
      <c r="H555" s="218" t="s">
        <v>66</v>
      </c>
      <c r="I555" s="217" t="s">
        <v>1842</v>
      </c>
      <c r="J555" s="217" t="s">
        <v>66</v>
      </c>
      <c r="K555" s="218"/>
      <c r="L555" s="212"/>
      <c r="M555" s="250"/>
      <c r="N555" s="239">
        <v>44286</v>
      </c>
      <c r="O555" s="210" t="s">
        <v>1376</v>
      </c>
      <c r="P555" s="210" t="s">
        <v>1088</v>
      </c>
      <c r="Q555" s="210" t="s">
        <v>1089</v>
      </c>
      <c r="R555" s="210" t="s">
        <v>1077</v>
      </c>
      <c r="S555" s="210" t="s">
        <v>1085</v>
      </c>
      <c r="T555" s="210" t="s">
        <v>1276</v>
      </c>
      <c r="U555" s="210" t="s">
        <v>65</v>
      </c>
      <c r="V555" s="210" t="s">
        <v>25</v>
      </c>
      <c r="W555" s="211" t="s">
        <v>1028</v>
      </c>
      <c r="X555" s="211">
        <v>10000</v>
      </c>
      <c r="Y555" s="211">
        <v>5000</v>
      </c>
      <c r="Z555" s="212">
        <v>5000</v>
      </c>
      <c r="AA555" s="240">
        <v>30</v>
      </c>
      <c r="AB555" s="213">
        <v>1.8700000000000001E-2</v>
      </c>
      <c r="AC555" s="213">
        <v>0.2</v>
      </c>
      <c r="AD555" s="213" t="s">
        <v>109</v>
      </c>
      <c r="AE555" s="213">
        <v>4.9872900000000001E-3</v>
      </c>
      <c r="AF555" s="241">
        <v>1510273.62</v>
      </c>
      <c r="AG555" s="241">
        <v>1510273.62</v>
      </c>
      <c r="AH555" s="213">
        <v>-0.1525</v>
      </c>
      <c r="AI555" s="352">
        <v>-2.3489</v>
      </c>
      <c r="AJ555" s="213">
        <v>-9.9000000000000005E-2</v>
      </c>
      <c r="AK555" s="352">
        <v>-1.052</v>
      </c>
      <c r="AL555" s="213" t="s">
        <v>66</v>
      </c>
      <c r="AM555" s="352" t="s">
        <v>66</v>
      </c>
      <c r="AN555" s="213" t="s">
        <v>66</v>
      </c>
      <c r="AO555" s="352" t="s">
        <v>66</v>
      </c>
      <c r="AP555" s="213">
        <v>0.1134</v>
      </c>
      <c r="AQ555" s="219">
        <v>-1.6560838174865622</v>
      </c>
      <c r="AR555" s="213" t="s">
        <v>1827</v>
      </c>
      <c r="AU555" s="343"/>
      <c r="AV555" s="343"/>
      <c r="AW555" s="328"/>
      <c r="AX555" s="329"/>
      <c r="AY555" s="328"/>
      <c r="AZ555" s="328"/>
      <c r="BA555" s="330"/>
      <c r="BB555" s="328"/>
      <c r="BC555" s="328"/>
      <c r="BD555" s="328"/>
      <c r="BE555" s="330"/>
      <c r="BF555" s="330"/>
      <c r="BG555" s="344"/>
      <c r="BH555" s="330"/>
      <c r="BI555" s="330"/>
      <c r="BJ555" s="330"/>
      <c r="BK555" s="330"/>
      <c r="BL555" s="330"/>
      <c r="BM555" s="330"/>
      <c r="BN555" s="330"/>
      <c r="BO555" s="330"/>
      <c r="BP555" s="331"/>
      <c r="BQ555" s="332"/>
      <c r="BR555" s="333"/>
    </row>
    <row r="556" spans="2:70" ht="15.75" customHeight="1">
      <c r="B556" s="216" t="s">
        <v>1377</v>
      </c>
      <c r="C556" s="212">
        <v>2057675</v>
      </c>
      <c r="D556" s="223">
        <v>42084858000121</v>
      </c>
      <c r="E556" s="217" t="s">
        <v>25</v>
      </c>
      <c r="F556" s="217" t="s">
        <v>959</v>
      </c>
      <c r="G556" s="217" t="s">
        <v>962</v>
      </c>
      <c r="H556" s="218" t="s">
        <v>66</v>
      </c>
      <c r="I556" s="217" t="s">
        <v>1841</v>
      </c>
      <c r="J556" s="217" t="s">
        <v>66</v>
      </c>
      <c r="K556" s="218"/>
      <c r="L556" s="212"/>
      <c r="M556" s="250"/>
      <c r="N556" s="239">
        <v>44399</v>
      </c>
      <c r="O556" s="210" t="s">
        <v>1376</v>
      </c>
      <c r="P556" s="210" t="s">
        <v>1088</v>
      </c>
      <c r="Q556" s="210" t="s">
        <v>1089</v>
      </c>
      <c r="R556" s="210" t="s">
        <v>1084</v>
      </c>
      <c r="S556" s="210" t="s">
        <v>1078</v>
      </c>
      <c r="T556" s="210" t="s">
        <v>1276</v>
      </c>
      <c r="U556" s="210" t="s">
        <v>65</v>
      </c>
      <c r="V556" s="210" t="s">
        <v>25</v>
      </c>
      <c r="W556" s="211" t="s">
        <v>1016</v>
      </c>
      <c r="X556" s="211">
        <v>10000</v>
      </c>
      <c r="Y556" s="211">
        <v>5000</v>
      </c>
      <c r="Z556" s="212">
        <v>5000</v>
      </c>
      <c r="AA556" s="240">
        <v>5</v>
      </c>
      <c r="AB556" s="213">
        <v>1.8700000000000001E-2</v>
      </c>
      <c r="AC556" s="213">
        <v>0.2</v>
      </c>
      <c r="AD556" s="213" t="s">
        <v>109</v>
      </c>
      <c r="AE556" s="213">
        <v>4.9872900000000001E-3</v>
      </c>
      <c r="AF556" s="241">
        <v>3592272.49</v>
      </c>
      <c r="AG556" s="241">
        <v>3592272.49</v>
      </c>
      <c r="AH556" s="213">
        <v>-6.7799999999999999E-2</v>
      </c>
      <c r="AI556" s="352">
        <v>-1.044</v>
      </c>
      <c r="AJ556" s="213">
        <v>-5.3600000000000002E-2</v>
      </c>
      <c r="AK556" s="352">
        <v>-0.56940000000000002</v>
      </c>
      <c r="AL556" s="213" t="s">
        <v>66</v>
      </c>
      <c r="AM556" s="352" t="s">
        <v>66</v>
      </c>
      <c r="AN556" s="213" t="s">
        <v>66</v>
      </c>
      <c r="AO556" s="352" t="s">
        <v>66</v>
      </c>
      <c r="AP556" s="213">
        <v>4.7E-2</v>
      </c>
      <c r="AQ556" s="219">
        <v>-3.0636339733036047</v>
      </c>
      <c r="AR556" s="213" t="s">
        <v>1827</v>
      </c>
      <c r="AU556" s="343"/>
      <c r="AV556" s="343"/>
      <c r="AW556" s="328"/>
      <c r="AX556" s="329"/>
      <c r="AY556" s="328"/>
      <c r="AZ556" s="328"/>
      <c r="BA556" s="330"/>
      <c r="BB556" s="328"/>
      <c r="BC556" s="328"/>
      <c r="BD556" s="328"/>
      <c r="BE556" s="330"/>
      <c r="BF556" s="330"/>
      <c r="BG556" s="344"/>
      <c r="BH556" s="330"/>
      <c r="BI556" s="330"/>
      <c r="BJ556" s="330"/>
      <c r="BK556" s="330"/>
      <c r="BL556" s="330"/>
      <c r="BM556" s="330"/>
      <c r="BN556" s="330"/>
      <c r="BO556" s="330"/>
      <c r="BP556" s="331"/>
      <c r="BQ556" s="332"/>
      <c r="BR556" s="333"/>
    </row>
    <row r="557" spans="2:70" ht="15.75" customHeight="1">
      <c r="B557" s="216" t="s">
        <v>1378</v>
      </c>
      <c r="C557" s="212">
        <v>847395</v>
      </c>
      <c r="D557" s="223">
        <v>33736845000107</v>
      </c>
      <c r="E557" s="217" t="s">
        <v>28</v>
      </c>
      <c r="F557" s="217" t="s">
        <v>32</v>
      </c>
      <c r="G557" s="217" t="s">
        <v>1051</v>
      </c>
      <c r="H557" s="218"/>
      <c r="I557" s="217" t="s">
        <v>66</v>
      </c>
      <c r="J557" s="217" t="s">
        <v>66</v>
      </c>
      <c r="K557" s="218" t="s">
        <v>954</v>
      </c>
      <c r="L557" s="212" t="s">
        <v>88</v>
      </c>
      <c r="M557" s="250"/>
      <c r="N557" s="239">
        <v>43677</v>
      </c>
      <c r="O557" s="210" t="s">
        <v>379</v>
      </c>
      <c r="P557" s="210" t="s">
        <v>1075</v>
      </c>
      <c r="Q557" s="210" t="s">
        <v>1076</v>
      </c>
      <c r="R557" s="210" t="s">
        <v>1099</v>
      </c>
      <c r="S557" s="210" t="s">
        <v>1078</v>
      </c>
      <c r="T557" s="210" t="s">
        <v>32</v>
      </c>
      <c r="U557" s="210" t="s">
        <v>1254</v>
      </c>
      <c r="V557" s="210" t="s">
        <v>25</v>
      </c>
      <c r="W557" s="211" t="s">
        <v>1019</v>
      </c>
      <c r="X557" s="211">
        <v>0</v>
      </c>
      <c r="Y557" s="211">
        <v>0</v>
      </c>
      <c r="Z557" s="212">
        <v>0</v>
      </c>
      <c r="AA557" s="240">
        <v>6</v>
      </c>
      <c r="AB557" s="213">
        <v>0.01</v>
      </c>
      <c r="AC557" s="213">
        <v>0</v>
      </c>
      <c r="AD557" s="213" t="s">
        <v>113</v>
      </c>
      <c r="AE557" s="213">
        <v>6.6666666666666662E-3</v>
      </c>
      <c r="AF557" s="241">
        <v>112453826.90000001</v>
      </c>
      <c r="AG557" s="241">
        <v>112453826.90000001</v>
      </c>
      <c r="AH557" s="213">
        <v>-0.54059999999999997</v>
      </c>
      <c r="AI557" s="352">
        <v>-8.3262999999999998</v>
      </c>
      <c r="AJ557" s="213">
        <v>-0.36890000000000001</v>
      </c>
      <c r="AK557" s="352">
        <v>-3.9209000000000001</v>
      </c>
      <c r="AL557" s="213">
        <v>1.1727000000000001</v>
      </c>
      <c r="AM557" s="352">
        <v>9.7067999999999994</v>
      </c>
      <c r="AN557" s="213">
        <v>2.0396999999999998</v>
      </c>
      <c r="AO557" s="352">
        <v>12.103999999999999</v>
      </c>
      <c r="AP557" s="213">
        <v>0.65149999999999997</v>
      </c>
      <c r="AQ557" s="219">
        <v>-0.51488839408136078</v>
      </c>
      <c r="AR557" s="213" t="s">
        <v>1827</v>
      </c>
      <c r="AU557" s="343"/>
      <c r="AV557" s="343"/>
      <c r="AW557" s="328"/>
      <c r="AX557" s="329"/>
      <c r="AY557" s="328"/>
      <c r="AZ557" s="328"/>
      <c r="BA557" s="330"/>
      <c r="BB557" s="328"/>
      <c r="BC557" s="328"/>
      <c r="BD557" s="328"/>
      <c r="BE557" s="330"/>
      <c r="BF557" s="330"/>
      <c r="BG557" s="344"/>
      <c r="BH557" s="330"/>
      <c r="BI557" s="330"/>
      <c r="BJ557" s="330"/>
      <c r="BK557" s="330"/>
      <c r="BL557" s="330"/>
      <c r="BM557" s="330"/>
      <c r="BN557" s="330"/>
      <c r="BO557" s="330"/>
      <c r="BP557" s="331"/>
      <c r="BQ557" s="332"/>
      <c r="BR557" s="333"/>
    </row>
    <row r="558" spans="2:70" ht="15.75" customHeight="1">
      <c r="B558" s="216" t="s">
        <v>1379</v>
      </c>
      <c r="C558" s="212">
        <v>1039722</v>
      </c>
      <c r="D558" s="223">
        <v>33736873000116</v>
      </c>
      <c r="E558" s="217" t="s">
        <v>28</v>
      </c>
      <c r="F558" s="217" t="s">
        <v>32</v>
      </c>
      <c r="G558" s="217" t="s">
        <v>1051</v>
      </c>
      <c r="H558" s="218"/>
      <c r="I558" s="217" t="s">
        <v>66</v>
      </c>
      <c r="J558" s="217" t="s">
        <v>66</v>
      </c>
      <c r="K558" s="218" t="s">
        <v>954</v>
      </c>
      <c r="L558" s="212" t="s">
        <v>88</v>
      </c>
      <c r="M558" s="250"/>
      <c r="N558" s="239">
        <v>43647</v>
      </c>
      <c r="O558" s="210" t="s">
        <v>379</v>
      </c>
      <c r="P558" s="210" t="s">
        <v>1075</v>
      </c>
      <c r="Q558" s="210" t="s">
        <v>1076</v>
      </c>
      <c r="R558" s="210" t="s">
        <v>1084</v>
      </c>
      <c r="S558" s="210" t="s">
        <v>1078</v>
      </c>
      <c r="T558" s="210" t="s">
        <v>32</v>
      </c>
      <c r="U558" s="210" t="s">
        <v>1254</v>
      </c>
      <c r="V558" s="210" t="s">
        <v>25</v>
      </c>
      <c r="W558" s="211" t="s">
        <v>1019</v>
      </c>
      <c r="X558" s="211">
        <v>0</v>
      </c>
      <c r="Y558" s="211">
        <v>0</v>
      </c>
      <c r="Z558" s="212">
        <v>0</v>
      </c>
      <c r="AA558" s="240">
        <v>6</v>
      </c>
      <c r="AB558" s="213">
        <v>0.01</v>
      </c>
      <c r="AC558" s="213">
        <v>0</v>
      </c>
      <c r="AD558" s="213" t="s">
        <v>109</v>
      </c>
      <c r="AE558" s="213">
        <v>4.5333333333333337E-3</v>
      </c>
      <c r="AF558" s="241">
        <v>277082921.86000001</v>
      </c>
      <c r="AG558" s="241">
        <v>277082921.86000001</v>
      </c>
      <c r="AH558" s="213">
        <v>-7.8299999999999995E-2</v>
      </c>
      <c r="AI558" s="352">
        <v>-1.2054</v>
      </c>
      <c r="AJ558" s="213">
        <v>1.3599999999999999E-2</v>
      </c>
      <c r="AK558" s="352">
        <v>0.14499999999999999</v>
      </c>
      <c r="AL558" s="213">
        <v>0.37559999999999999</v>
      </c>
      <c r="AM558" s="352">
        <v>3.1092</v>
      </c>
      <c r="AN558" s="213">
        <v>0.58009999999999995</v>
      </c>
      <c r="AO558" s="352">
        <v>3.4422000000000001</v>
      </c>
      <c r="AP558" s="213">
        <v>0.12970000000000001</v>
      </c>
      <c r="AQ558" s="219">
        <v>-0.52403778668973733</v>
      </c>
      <c r="AR558" s="213" t="s">
        <v>1827</v>
      </c>
      <c r="AU558" s="343"/>
      <c r="AV558" s="343"/>
      <c r="AW558" s="328"/>
      <c r="AX558" s="329"/>
      <c r="AY558" s="328"/>
      <c r="AZ558" s="328"/>
      <c r="BA558" s="330"/>
      <c r="BB558" s="328"/>
      <c r="BC558" s="328"/>
      <c r="BD558" s="328"/>
      <c r="BE558" s="330"/>
      <c r="BF558" s="330"/>
      <c r="BG558" s="344"/>
      <c r="BH558" s="330"/>
      <c r="BI558" s="330"/>
      <c r="BJ558" s="330"/>
      <c r="BK558" s="330"/>
      <c r="BL558" s="330"/>
      <c r="BM558" s="330"/>
      <c r="BN558" s="330"/>
      <c r="BO558" s="330"/>
      <c r="BP558" s="331"/>
      <c r="BQ558" s="332"/>
      <c r="BR558" s="333"/>
    </row>
    <row r="559" spans="2:70" ht="15.75" customHeight="1">
      <c r="B559" s="216" t="s">
        <v>1380</v>
      </c>
      <c r="C559" s="212">
        <v>593279</v>
      </c>
      <c r="D559" s="223">
        <v>35088108000162</v>
      </c>
      <c r="E559" s="217" t="s">
        <v>28</v>
      </c>
      <c r="F559" s="217" t="s">
        <v>32</v>
      </c>
      <c r="G559" s="217" t="s">
        <v>1051</v>
      </c>
      <c r="H559" s="218"/>
      <c r="I559" s="217" t="s">
        <v>66</v>
      </c>
      <c r="J559" s="217" t="s">
        <v>66</v>
      </c>
      <c r="K559" s="218" t="s">
        <v>954</v>
      </c>
      <c r="L559" s="212" t="s">
        <v>88</v>
      </c>
      <c r="M559" s="250"/>
      <c r="N559" s="239">
        <v>43811</v>
      </c>
      <c r="O559" s="210" t="s">
        <v>379</v>
      </c>
      <c r="P559" s="210" t="s">
        <v>1075</v>
      </c>
      <c r="Q559" s="210" t="s">
        <v>1076</v>
      </c>
      <c r="R559" s="210" t="s">
        <v>1084</v>
      </c>
      <c r="S559" s="210" t="s">
        <v>1078</v>
      </c>
      <c r="T559" s="210" t="s">
        <v>32</v>
      </c>
      <c r="U559" s="210" t="s">
        <v>1254</v>
      </c>
      <c r="V559" s="210" t="s">
        <v>25</v>
      </c>
      <c r="W559" s="211" t="s">
        <v>1019</v>
      </c>
      <c r="X559" s="211">
        <v>0</v>
      </c>
      <c r="Y559" s="211">
        <v>0</v>
      </c>
      <c r="Z559" s="212">
        <v>0</v>
      </c>
      <c r="AA559" s="240">
        <v>6</v>
      </c>
      <c r="AB559" s="213">
        <v>0.01</v>
      </c>
      <c r="AC559" s="213">
        <v>0</v>
      </c>
      <c r="AD559" s="213" t="s">
        <v>109</v>
      </c>
      <c r="AE559" s="213">
        <v>5.0000000000000001E-3</v>
      </c>
      <c r="AF559" s="241">
        <v>222674341.59</v>
      </c>
      <c r="AG559" s="241">
        <v>222674341.59</v>
      </c>
      <c r="AH559" s="213">
        <v>-0.21190000000000001</v>
      </c>
      <c r="AI559" s="352">
        <v>-3.2633000000000001</v>
      </c>
      <c r="AJ559" s="213">
        <v>-7.5800000000000006E-2</v>
      </c>
      <c r="AK559" s="352">
        <v>-0.80579999999999996</v>
      </c>
      <c r="AL559" s="213">
        <v>0.65720000000000001</v>
      </c>
      <c r="AM559" s="352">
        <v>5.4398</v>
      </c>
      <c r="AN559" s="213" t="s">
        <v>66</v>
      </c>
      <c r="AO559" s="352" t="s">
        <v>66</v>
      </c>
      <c r="AP559" s="213">
        <v>0.25819999999999999</v>
      </c>
      <c r="AQ559" s="219">
        <v>-0.52433883671926862</v>
      </c>
      <c r="AR559" s="213" t="s">
        <v>1827</v>
      </c>
      <c r="AU559" s="343"/>
      <c r="AV559" s="343"/>
      <c r="AW559" s="328"/>
      <c r="AX559" s="329"/>
      <c r="AY559" s="328"/>
      <c r="AZ559" s="328"/>
      <c r="BA559" s="330"/>
      <c r="BB559" s="328"/>
      <c r="BC559" s="328"/>
      <c r="BD559" s="328"/>
      <c r="BE559" s="330"/>
      <c r="BF559" s="330"/>
      <c r="BG559" s="344"/>
      <c r="BH559" s="330"/>
      <c r="BI559" s="330"/>
      <c r="BJ559" s="330"/>
      <c r="BK559" s="330"/>
      <c r="BL559" s="330"/>
      <c r="BM559" s="330"/>
      <c r="BN559" s="330"/>
      <c r="BO559" s="330"/>
      <c r="BP559" s="331"/>
      <c r="BQ559" s="332"/>
      <c r="BR559" s="333"/>
    </row>
    <row r="560" spans="2:70" ht="15.75" customHeight="1">
      <c r="B560" s="216" t="s">
        <v>1381</v>
      </c>
      <c r="C560" s="212">
        <v>1564260</v>
      </c>
      <c r="D560" s="223">
        <v>36986672000165</v>
      </c>
      <c r="E560" s="217" t="s">
        <v>28</v>
      </c>
      <c r="F560" s="217" t="s">
        <v>32</v>
      </c>
      <c r="G560" s="217" t="s">
        <v>1051</v>
      </c>
      <c r="H560" s="218"/>
      <c r="I560" s="217" t="s">
        <v>66</v>
      </c>
      <c r="J560" s="217" t="s">
        <v>66</v>
      </c>
      <c r="K560" s="218" t="s">
        <v>954</v>
      </c>
      <c r="L560" s="212" t="s">
        <v>88</v>
      </c>
      <c r="M560" s="250"/>
      <c r="N560" s="239">
        <v>44105</v>
      </c>
      <c r="O560" s="210" t="s">
        <v>379</v>
      </c>
      <c r="P560" s="210" t="s">
        <v>1075</v>
      </c>
      <c r="Q560" s="210" t="s">
        <v>1076</v>
      </c>
      <c r="R560" s="210" t="s">
        <v>1084</v>
      </c>
      <c r="S560" s="210" t="s">
        <v>1078</v>
      </c>
      <c r="T560" s="210" t="s">
        <v>32</v>
      </c>
      <c r="U560" s="210" t="s">
        <v>1254</v>
      </c>
      <c r="V560" s="210" t="s">
        <v>25</v>
      </c>
      <c r="W560" s="211" t="s">
        <v>1019</v>
      </c>
      <c r="X560" s="211">
        <v>0</v>
      </c>
      <c r="Y560" s="211">
        <v>0</v>
      </c>
      <c r="Z560" s="212">
        <v>0</v>
      </c>
      <c r="AA560" s="240">
        <v>6</v>
      </c>
      <c r="AB560" s="213">
        <v>7.4999999999999997E-3</v>
      </c>
      <c r="AC560" s="213">
        <v>0</v>
      </c>
      <c r="AD560" s="213" t="s">
        <v>1157</v>
      </c>
      <c r="AE560" s="213">
        <v>3.4999999999999996E-3</v>
      </c>
      <c r="AF560" s="241">
        <v>124469029.95999999</v>
      </c>
      <c r="AG560" s="241">
        <v>124469029.95999999</v>
      </c>
      <c r="AH560" s="213">
        <v>-0.52969999999999995</v>
      </c>
      <c r="AI560" s="352">
        <v>-8.1593999999999998</v>
      </c>
      <c r="AJ560" s="213">
        <v>-0.39100000000000001</v>
      </c>
      <c r="AK560" s="352">
        <v>-4.1554000000000002</v>
      </c>
      <c r="AL560" s="213" t="s">
        <v>66</v>
      </c>
      <c r="AM560" s="352" t="s">
        <v>66</v>
      </c>
      <c r="AN560" s="213" t="s">
        <v>66</v>
      </c>
      <c r="AO560" s="352" t="s">
        <v>66</v>
      </c>
      <c r="AP560" s="213">
        <v>0.63590000000000002</v>
      </c>
      <c r="AQ560" s="219">
        <v>-0.59976352835198898</v>
      </c>
      <c r="AR560" s="213" t="s">
        <v>1827</v>
      </c>
      <c r="AU560" s="343"/>
      <c r="AV560" s="343"/>
      <c r="AW560" s="328"/>
      <c r="AX560" s="329"/>
      <c r="AY560" s="328"/>
      <c r="AZ560" s="328"/>
      <c r="BA560" s="330"/>
      <c r="BB560" s="328"/>
      <c r="BC560" s="328"/>
      <c r="BD560" s="328"/>
      <c r="BE560" s="330"/>
      <c r="BF560" s="330"/>
      <c r="BG560" s="344"/>
      <c r="BH560" s="330"/>
      <c r="BI560" s="330"/>
      <c r="BJ560" s="330"/>
      <c r="BK560" s="330"/>
      <c r="BL560" s="330"/>
      <c r="BM560" s="330"/>
      <c r="BN560" s="330"/>
      <c r="BO560" s="330"/>
      <c r="BP560" s="331"/>
      <c r="BQ560" s="332"/>
      <c r="BR560" s="333"/>
    </row>
    <row r="561" spans="2:70" ht="15.75" customHeight="1">
      <c r="B561" s="216" t="s">
        <v>380</v>
      </c>
      <c r="C561" s="212">
        <v>2078007</v>
      </c>
      <c r="D561" s="223">
        <v>39957930000173</v>
      </c>
      <c r="E561" s="217" t="s">
        <v>28</v>
      </c>
      <c r="F561" s="217" t="s">
        <v>32</v>
      </c>
      <c r="G561" s="217" t="s">
        <v>1051</v>
      </c>
      <c r="H561" s="218"/>
      <c r="I561" s="217" t="s">
        <v>66</v>
      </c>
      <c r="J561" s="217" t="s">
        <v>66</v>
      </c>
      <c r="K561" s="218" t="s">
        <v>954</v>
      </c>
      <c r="L561" s="212" t="s">
        <v>88</v>
      </c>
      <c r="M561" s="250"/>
      <c r="N561" s="239">
        <v>44195</v>
      </c>
      <c r="O561" s="210" t="s">
        <v>379</v>
      </c>
      <c r="P561" s="210" t="s">
        <v>1075</v>
      </c>
      <c r="Q561" s="210" t="s">
        <v>1076</v>
      </c>
      <c r="R561" s="210" t="s">
        <v>1084</v>
      </c>
      <c r="S561" s="210" t="s">
        <v>1078</v>
      </c>
      <c r="T561" s="210" t="s">
        <v>32</v>
      </c>
      <c r="U561" s="210" t="s">
        <v>1254</v>
      </c>
      <c r="V561" s="210" t="s">
        <v>25</v>
      </c>
      <c r="W561" s="211" t="s">
        <v>1019</v>
      </c>
      <c r="X561" s="211">
        <v>0</v>
      </c>
      <c r="Y561" s="211">
        <v>0</v>
      </c>
      <c r="Z561" s="212">
        <v>0</v>
      </c>
      <c r="AA561" s="240">
        <v>6</v>
      </c>
      <c r="AB561" s="213">
        <v>1.35E-2</v>
      </c>
      <c r="AC561" s="213">
        <v>0.2</v>
      </c>
      <c r="AD561" s="213" t="s">
        <v>113</v>
      </c>
      <c r="AE561" s="213">
        <v>1.8E-3</v>
      </c>
      <c r="AF561" s="241">
        <v>3021948.18</v>
      </c>
      <c r="AG561" s="241">
        <v>3021948.18</v>
      </c>
      <c r="AH561" s="213">
        <v>-0.1996</v>
      </c>
      <c r="AI561" s="352">
        <v>-3.0739999999999998</v>
      </c>
      <c r="AJ561" s="213">
        <v>-8.4099999999999994E-2</v>
      </c>
      <c r="AK561" s="352">
        <v>-0.89349999999999996</v>
      </c>
      <c r="AL561" s="213" t="s">
        <v>66</v>
      </c>
      <c r="AM561" s="352" t="s">
        <v>66</v>
      </c>
      <c r="AN561" s="213" t="s">
        <v>66</v>
      </c>
      <c r="AO561" s="352" t="s">
        <v>66</v>
      </c>
      <c r="AP561" s="213">
        <v>0.18509999999999999</v>
      </c>
      <c r="AQ561" s="219">
        <v>-0.86803684807855774</v>
      </c>
      <c r="AR561" s="213" t="s">
        <v>1827</v>
      </c>
      <c r="AU561" s="343"/>
      <c r="AV561" s="343"/>
      <c r="AW561" s="328"/>
      <c r="AX561" s="329"/>
      <c r="AY561" s="328"/>
      <c r="AZ561" s="328"/>
      <c r="BA561" s="330"/>
      <c r="BB561" s="328"/>
      <c r="BC561" s="328"/>
      <c r="BD561" s="328"/>
      <c r="BE561" s="330"/>
      <c r="BF561" s="330"/>
      <c r="BG561" s="344"/>
      <c r="BH561" s="330"/>
      <c r="BI561" s="330"/>
      <c r="BJ561" s="330"/>
      <c r="BK561" s="330"/>
      <c r="BL561" s="330"/>
      <c r="BM561" s="330"/>
      <c r="BN561" s="330"/>
      <c r="BO561" s="330"/>
      <c r="BP561" s="331"/>
      <c r="BQ561" s="332"/>
      <c r="BR561" s="333"/>
    </row>
    <row r="562" spans="2:70" ht="15.75" customHeight="1">
      <c r="B562" s="216" t="s">
        <v>381</v>
      </c>
      <c r="C562" s="212">
        <v>1250664</v>
      </c>
      <c r="D562" s="223">
        <v>29720571000182</v>
      </c>
      <c r="E562" s="217" t="s">
        <v>28</v>
      </c>
      <c r="F562" s="217" t="s">
        <v>32</v>
      </c>
      <c r="G562" s="217" t="s">
        <v>33</v>
      </c>
      <c r="H562" s="218"/>
      <c r="I562" s="217" t="s">
        <v>66</v>
      </c>
      <c r="J562" s="217" t="s">
        <v>66</v>
      </c>
      <c r="K562" s="218" t="s">
        <v>1040</v>
      </c>
      <c r="L562" s="212" t="s">
        <v>87</v>
      </c>
      <c r="M562" s="250"/>
      <c r="N562" s="239">
        <v>43193</v>
      </c>
      <c r="O562" s="210" t="s">
        <v>382</v>
      </c>
      <c r="P562" s="210" t="s">
        <v>1382</v>
      </c>
      <c r="Q562" s="210" t="s">
        <v>1382</v>
      </c>
      <c r="R562" s="210" t="s">
        <v>1077</v>
      </c>
      <c r="S562" s="210" t="s">
        <v>1078</v>
      </c>
      <c r="T562" s="210" t="s">
        <v>32</v>
      </c>
      <c r="U562" s="210" t="s">
        <v>33</v>
      </c>
      <c r="V562" s="210" t="s">
        <v>25</v>
      </c>
      <c r="W562" s="211" t="s">
        <v>1016</v>
      </c>
      <c r="X562" s="211">
        <v>10000</v>
      </c>
      <c r="Y562" s="211">
        <v>5000</v>
      </c>
      <c r="Z562" s="212">
        <v>10000</v>
      </c>
      <c r="AA562" s="240">
        <v>121</v>
      </c>
      <c r="AB562" s="213">
        <v>1.6E-2</v>
      </c>
      <c r="AC562" s="213">
        <v>0.2</v>
      </c>
      <c r="AD562" s="213" t="s">
        <v>1157</v>
      </c>
      <c r="AE562" s="213">
        <v>3.1999999999999997E-3</v>
      </c>
      <c r="AF562" s="241">
        <v>229315449.75999999</v>
      </c>
      <c r="AG562" s="241">
        <v>229315449.75999999</v>
      </c>
      <c r="AH562" s="213">
        <v>0.12089999999999999</v>
      </c>
      <c r="AI562" s="352">
        <v>1.8623000000000001</v>
      </c>
      <c r="AJ562" s="213">
        <v>0.20619999999999999</v>
      </c>
      <c r="AK562" s="352">
        <v>2.1919</v>
      </c>
      <c r="AL562" s="213">
        <v>0.40799999999999997</v>
      </c>
      <c r="AM562" s="352">
        <v>3.3769</v>
      </c>
      <c r="AN562" s="213">
        <v>0.59460000000000002</v>
      </c>
      <c r="AO562" s="352">
        <v>3.5286</v>
      </c>
      <c r="AP562" s="213">
        <v>1.8599999999999998E-2</v>
      </c>
      <c r="AQ562" s="219">
        <v>5.2508662709668723</v>
      </c>
      <c r="AR562" s="213" t="s">
        <v>1827</v>
      </c>
      <c r="AU562" s="343"/>
      <c r="AV562" s="343"/>
      <c r="AW562" s="328"/>
      <c r="AX562" s="329"/>
      <c r="AY562" s="328"/>
      <c r="AZ562" s="328"/>
      <c r="BA562" s="330"/>
      <c r="BB562" s="328"/>
      <c r="BC562" s="328"/>
      <c r="BD562" s="328"/>
      <c r="BE562" s="330"/>
      <c r="BF562" s="330"/>
      <c r="BG562" s="344"/>
      <c r="BH562" s="330"/>
      <c r="BI562" s="330"/>
      <c r="BJ562" s="330"/>
      <c r="BK562" s="330"/>
      <c r="BL562" s="330"/>
      <c r="BM562" s="330"/>
      <c r="BN562" s="330"/>
      <c r="BO562" s="330"/>
      <c r="BP562" s="331"/>
      <c r="BQ562" s="332"/>
      <c r="BR562" s="333"/>
    </row>
    <row r="563" spans="2:70" ht="15.75" customHeight="1">
      <c r="B563" s="216" t="s">
        <v>53</v>
      </c>
      <c r="C563" s="212">
        <v>1218971</v>
      </c>
      <c r="D563" s="223">
        <v>38954217000103</v>
      </c>
      <c r="E563" s="217" t="s">
        <v>28</v>
      </c>
      <c r="F563" s="217" t="s">
        <v>957</v>
      </c>
      <c r="G563" s="217"/>
      <c r="H563" s="218"/>
      <c r="I563" s="217" t="s">
        <v>1842</v>
      </c>
      <c r="J563" s="217" t="s">
        <v>66</v>
      </c>
      <c r="K563" s="218" t="s">
        <v>951</v>
      </c>
      <c r="L563" s="212" t="s">
        <v>87</v>
      </c>
      <c r="M563" s="250"/>
      <c r="N563" s="239">
        <v>44134</v>
      </c>
      <c r="O563" s="210" t="s">
        <v>1383</v>
      </c>
      <c r="P563" s="210" t="s">
        <v>1075</v>
      </c>
      <c r="Q563" s="210" t="s">
        <v>1076</v>
      </c>
      <c r="R563" s="210" t="s">
        <v>1084</v>
      </c>
      <c r="S563" s="210" t="s">
        <v>1078</v>
      </c>
      <c r="T563" s="210" t="s">
        <v>1079</v>
      </c>
      <c r="U563" s="210" t="s">
        <v>957</v>
      </c>
      <c r="V563" s="210" t="s">
        <v>25</v>
      </c>
      <c r="W563" s="211" t="s">
        <v>1016</v>
      </c>
      <c r="X563" s="211">
        <v>1000</v>
      </c>
      <c r="Y563" s="211">
        <v>1000</v>
      </c>
      <c r="Z563" s="212">
        <v>1000</v>
      </c>
      <c r="AA563" s="240">
        <v>32</v>
      </c>
      <c r="AB563" s="213">
        <v>1.8499999999999999E-2</v>
      </c>
      <c r="AC563" s="213">
        <v>0.2</v>
      </c>
      <c r="AD563" s="213" t="s">
        <v>113</v>
      </c>
      <c r="AE563" s="213">
        <v>4.933333333333333E-3</v>
      </c>
      <c r="AF563" s="241">
        <v>104003875.16</v>
      </c>
      <c r="AG563" s="241">
        <v>104003875.16</v>
      </c>
      <c r="AH563" s="213">
        <v>5.4000000000000003E-3</v>
      </c>
      <c r="AI563" s="352">
        <v>8.3299999999999999E-2</v>
      </c>
      <c r="AJ563" s="213">
        <v>-0.2218</v>
      </c>
      <c r="AK563" s="352">
        <v>-2.3570000000000002</v>
      </c>
      <c r="AL563" s="213" t="s">
        <v>66</v>
      </c>
      <c r="AM563" s="352" t="s">
        <v>66</v>
      </c>
      <c r="AN563" s="213" t="s">
        <v>66</v>
      </c>
      <c r="AO563" s="352" t="s">
        <v>66</v>
      </c>
      <c r="AP563" s="213">
        <v>0.20219999999999999</v>
      </c>
      <c r="AQ563" s="219">
        <v>-1.5833995898149567</v>
      </c>
      <c r="AR563" s="213" t="s">
        <v>1827</v>
      </c>
      <c r="AU563" s="343"/>
      <c r="AV563" s="343"/>
      <c r="AW563" s="328"/>
      <c r="AX563" s="329"/>
      <c r="AY563" s="328"/>
      <c r="AZ563" s="328"/>
      <c r="BA563" s="330"/>
      <c r="BB563" s="328"/>
      <c r="BC563" s="328"/>
      <c r="BD563" s="328"/>
      <c r="BE563" s="330"/>
      <c r="BF563" s="330"/>
      <c r="BG563" s="344"/>
      <c r="BH563" s="330"/>
      <c r="BI563" s="330"/>
      <c r="BJ563" s="330"/>
      <c r="BK563" s="330"/>
      <c r="BL563" s="330"/>
      <c r="BM563" s="330"/>
      <c r="BN563" s="330"/>
      <c r="BO563" s="330"/>
      <c r="BP563" s="331"/>
      <c r="BQ563" s="332"/>
      <c r="BR563" s="333"/>
    </row>
    <row r="564" spans="2:70" ht="15.75" customHeight="1">
      <c r="B564" s="216" t="s">
        <v>383</v>
      </c>
      <c r="C564" s="212">
        <v>1250661</v>
      </c>
      <c r="D564" s="223">
        <v>22922145000182</v>
      </c>
      <c r="E564" s="217" t="s">
        <v>19</v>
      </c>
      <c r="F564" s="217" t="s">
        <v>963</v>
      </c>
      <c r="G564" s="217" t="s">
        <v>1011</v>
      </c>
      <c r="H564" s="218" t="s">
        <v>1113</v>
      </c>
      <c r="I564" s="217" t="s">
        <v>66</v>
      </c>
      <c r="J564" s="217" t="s">
        <v>1794</v>
      </c>
      <c r="K564" s="218"/>
      <c r="L564" s="212" t="s">
        <v>87</v>
      </c>
      <c r="M564" s="250"/>
      <c r="N564" s="239">
        <v>42230</v>
      </c>
      <c r="O564" s="210" t="s">
        <v>384</v>
      </c>
      <c r="P564" s="210" t="s">
        <v>1382</v>
      </c>
      <c r="Q564" s="210" t="s">
        <v>1382</v>
      </c>
      <c r="R564" s="210" t="s">
        <v>1077</v>
      </c>
      <c r="S564" s="210" t="s">
        <v>1078</v>
      </c>
      <c r="T564" s="210" t="s">
        <v>1275</v>
      </c>
      <c r="U564" s="210" t="s">
        <v>1114</v>
      </c>
      <c r="V564" s="210" t="s">
        <v>25</v>
      </c>
      <c r="W564" s="211" t="s">
        <v>1048</v>
      </c>
      <c r="X564" s="211">
        <v>100000</v>
      </c>
      <c r="Y564" s="211">
        <v>1000</v>
      </c>
      <c r="Z564" s="212">
        <v>1000</v>
      </c>
      <c r="AA564" s="240">
        <v>361</v>
      </c>
      <c r="AB564" s="213">
        <v>5.0000000000000001E-3</v>
      </c>
      <c r="AC564" s="213">
        <v>0.35</v>
      </c>
      <c r="AD564" s="213" t="s">
        <v>109</v>
      </c>
      <c r="AE564" s="213">
        <v>1.6666666666666666E-3</v>
      </c>
      <c r="AF564" s="241">
        <v>30317992.609999999</v>
      </c>
      <c r="AG564" s="241">
        <v>30317992.609999999</v>
      </c>
      <c r="AH564" s="213">
        <v>7.6999999999999999E-2</v>
      </c>
      <c r="AI564" s="352">
        <v>1.1867000000000001</v>
      </c>
      <c r="AJ564" s="213">
        <v>0.1246</v>
      </c>
      <c r="AK564" s="352">
        <v>1.3241000000000001</v>
      </c>
      <c r="AL564" s="213">
        <v>0.38529999999999998</v>
      </c>
      <c r="AM564" s="352">
        <v>3.1897000000000002</v>
      </c>
      <c r="AN564" s="213">
        <v>0.58389999999999997</v>
      </c>
      <c r="AO564" s="352">
        <v>3.4651999999999998</v>
      </c>
      <c r="AP564" s="213">
        <v>5.1700000000000003E-2</v>
      </c>
      <c r="AQ564" s="219">
        <v>0.557940159278005</v>
      </c>
      <c r="AR564" s="213" t="s">
        <v>1827</v>
      </c>
      <c r="AU564" s="343"/>
      <c r="AV564" s="343"/>
      <c r="AW564" s="328"/>
      <c r="AX564" s="329"/>
      <c r="AY564" s="328"/>
      <c r="AZ564" s="328"/>
      <c r="BA564" s="330"/>
      <c r="BB564" s="328"/>
      <c r="BC564" s="328"/>
      <c r="BD564" s="328"/>
      <c r="BE564" s="330"/>
      <c r="BF564" s="330"/>
      <c r="BG564" s="344"/>
      <c r="BH564" s="330"/>
      <c r="BI564" s="330"/>
      <c r="BJ564" s="330"/>
      <c r="BK564" s="330"/>
      <c r="BL564" s="330"/>
      <c r="BM564" s="330"/>
      <c r="BN564" s="330"/>
      <c r="BO564" s="330"/>
      <c r="BP564" s="331"/>
      <c r="BQ564" s="332"/>
      <c r="BR564" s="333"/>
    </row>
    <row r="565" spans="2:70" ht="15.75" customHeight="1">
      <c r="B565" s="216" t="s">
        <v>1384</v>
      </c>
      <c r="C565" s="212">
        <v>909599</v>
      </c>
      <c r="D565" s="223">
        <v>7317588000150</v>
      </c>
      <c r="E565" s="217" t="s">
        <v>28</v>
      </c>
      <c r="F565" s="217" t="s">
        <v>950</v>
      </c>
      <c r="G565" s="217"/>
      <c r="H565" s="218"/>
      <c r="I565" s="217" t="s">
        <v>66</v>
      </c>
      <c r="J565" s="217" t="s">
        <v>66</v>
      </c>
      <c r="K565" s="218" t="s">
        <v>951</v>
      </c>
      <c r="L565" s="212" t="s">
        <v>87</v>
      </c>
      <c r="M565" s="250"/>
      <c r="N565" s="239">
        <v>41145</v>
      </c>
      <c r="O565" s="210" t="s">
        <v>385</v>
      </c>
      <c r="P565" s="210" t="s">
        <v>1090</v>
      </c>
      <c r="Q565" s="210" t="s">
        <v>1091</v>
      </c>
      <c r="R565" s="210" t="s">
        <v>1077</v>
      </c>
      <c r="S565" s="210" t="s">
        <v>1078</v>
      </c>
      <c r="T565" s="210" t="s">
        <v>1079</v>
      </c>
      <c r="U565" s="210" t="s">
        <v>950</v>
      </c>
      <c r="V565" s="210" t="s">
        <v>1080</v>
      </c>
      <c r="W565" s="211" t="s">
        <v>1007</v>
      </c>
      <c r="X565" s="211">
        <v>1000</v>
      </c>
      <c r="Y565" s="211">
        <v>100</v>
      </c>
      <c r="Z565" s="212">
        <v>1000</v>
      </c>
      <c r="AA565" s="240">
        <v>61</v>
      </c>
      <c r="AB565" s="213">
        <v>1.9400000000000001E-2</v>
      </c>
      <c r="AC565" s="213">
        <v>0.2</v>
      </c>
      <c r="AD565" s="213" t="s">
        <v>203</v>
      </c>
      <c r="AE565" s="213">
        <v>5.8199999999999997E-3</v>
      </c>
      <c r="AF565" s="241">
        <v>272726766.44999999</v>
      </c>
      <c r="AG565" s="241">
        <v>272726766.44999999</v>
      </c>
      <c r="AH565" s="213">
        <v>-0.20030000000000001</v>
      </c>
      <c r="AI565" s="352">
        <v>-3.0855000000000001</v>
      </c>
      <c r="AJ565" s="213">
        <v>-0.34499999999999997</v>
      </c>
      <c r="AK565" s="352">
        <v>-3.6671999999999998</v>
      </c>
      <c r="AL565" s="213">
        <v>-0.20930000000000001</v>
      </c>
      <c r="AM565" s="352">
        <v>-1.7321</v>
      </c>
      <c r="AN565" s="213">
        <v>-5.2200000000000003E-2</v>
      </c>
      <c r="AO565" s="352">
        <v>-0.30990000000000001</v>
      </c>
      <c r="AP565" s="213">
        <v>0.25459999999999999</v>
      </c>
      <c r="AQ565" s="219">
        <v>-1.8869274225254087</v>
      </c>
      <c r="AR565" s="213" t="s">
        <v>1827</v>
      </c>
      <c r="AU565" s="343"/>
      <c r="AV565" s="343"/>
      <c r="AW565" s="328"/>
      <c r="AX565" s="329"/>
      <c r="AY565" s="328"/>
      <c r="AZ565" s="328"/>
      <c r="BA565" s="330"/>
      <c r="BB565" s="328"/>
      <c r="BC565" s="328"/>
      <c r="BD565" s="328"/>
      <c r="BE565" s="330"/>
      <c r="BF565" s="330"/>
      <c r="BG565" s="344"/>
      <c r="BH565" s="330"/>
      <c r="BI565" s="330"/>
      <c r="BJ565" s="330"/>
      <c r="BK565" s="330"/>
      <c r="BL565" s="330"/>
      <c r="BM565" s="330"/>
      <c r="BN565" s="330"/>
      <c r="BO565" s="330"/>
      <c r="BP565" s="331"/>
      <c r="BQ565" s="332"/>
      <c r="BR565" s="333"/>
    </row>
    <row r="566" spans="2:70" ht="15.75" customHeight="1">
      <c r="B566" s="216" t="s">
        <v>1385</v>
      </c>
      <c r="C566" s="212">
        <v>2996756</v>
      </c>
      <c r="D566" s="223">
        <v>22662135000155</v>
      </c>
      <c r="E566" s="217" t="s">
        <v>28</v>
      </c>
      <c r="F566" s="217" t="s">
        <v>950</v>
      </c>
      <c r="G566" s="217"/>
      <c r="H566" s="218"/>
      <c r="I566" s="217" t="s">
        <v>66</v>
      </c>
      <c r="J566" s="217" t="s">
        <v>66</v>
      </c>
      <c r="K566" s="218" t="s">
        <v>951</v>
      </c>
      <c r="L566" s="212" t="s">
        <v>87</v>
      </c>
      <c r="M566" s="250"/>
      <c r="N566" s="239">
        <v>42311</v>
      </c>
      <c r="O566" s="210" t="s">
        <v>385</v>
      </c>
      <c r="P566" s="210" t="s">
        <v>1090</v>
      </c>
      <c r="Q566" s="210" t="s">
        <v>1091</v>
      </c>
      <c r="R566" s="210" t="s">
        <v>1084</v>
      </c>
      <c r="S566" s="210" t="s">
        <v>1078</v>
      </c>
      <c r="T566" s="210" t="s">
        <v>1079</v>
      </c>
      <c r="U566" s="210" t="s">
        <v>950</v>
      </c>
      <c r="V566" s="210" t="s">
        <v>1080</v>
      </c>
      <c r="W566" s="211" t="s">
        <v>1007</v>
      </c>
      <c r="X566" s="211">
        <v>1000</v>
      </c>
      <c r="Y566" s="211">
        <v>100</v>
      </c>
      <c r="Z566" s="212">
        <v>100</v>
      </c>
      <c r="AA566" s="240">
        <v>62</v>
      </c>
      <c r="AB566" s="213">
        <v>0.02</v>
      </c>
      <c r="AC566" s="213">
        <v>0.2</v>
      </c>
      <c r="AD566" s="213" t="s">
        <v>1014</v>
      </c>
      <c r="AE566" s="213">
        <v>4.0000000000000001E-3</v>
      </c>
      <c r="AF566" s="241">
        <v>372012563.38999999</v>
      </c>
      <c r="AG566" s="241">
        <v>372012563.38999999</v>
      </c>
      <c r="AH566" s="213">
        <v>-0.18890000000000001</v>
      </c>
      <c r="AI566" s="352">
        <v>-2.9091999999999998</v>
      </c>
      <c r="AJ566" s="213">
        <v>-0.34</v>
      </c>
      <c r="AK566" s="352">
        <v>-3.6137000000000001</v>
      </c>
      <c r="AL566" s="213">
        <v>-0.2114</v>
      </c>
      <c r="AM566" s="352">
        <v>-1.7503</v>
      </c>
      <c r="AN566" s="213">
        <v>-1.35E-2</v>
      </c>
      <c r="AO566" s="352">
        <v>-8.0100000000000005E-2</v>
      </c>
      <c r="AP566" s="213">
        <v>0.255</v>
      </c>
      <c r="AQ566" s="219">
        <v>-1.8534601434668989</v>
      </c>
      <c r="AR566" s="213" t="s">
        <v>1824</v>
      </c>
      <c r="AU566" s="343"/>
      <c r="AV566" s="343"/>
      <c r="AW566" s="328"/>
      <c r="AX566" s="329"/>
      <c r="AY566" s="328"/>
      <c r="AZ566" s="328"/>
      <c r="BA566" s="330"/>
      <c r="BB566" s="328"/>
      <c r="BC566" s="328"/>
      <c r="BD566" s="328"/>
      <c r="BE566" s="330"/>
      <c r="BF566" s="330"/>
      <c r="BG566" s="344"/>
      <c r="BH566" s="330"/>
      <c r="BI566" s="330"/>
      <c r="BJ566" s="330"/>
      <c r="BK566" s="330"/>
      <c r="BL566" s="330"/>
      <c r="BM566" s="330"/>
      <c r="BN566" s="330"/>
      <c r="BO566" s="330"/>
      <c r="BP566" s="331"/>
      <c r="BQ566" s="332"/>
      <c r="BR566" s="333"/>
    </row>
    <row r="567" spans="2:70" ht="15.75" customHeight="1">
      <c r="B567" s="216" t="s">
        <v>826</v>
      </c>
      <c r="C567" s="212">
        <v>2996760</v>
      </c>
      <c r="D567" s="223">
        <v>27500576000174</v>
      </c>
      <c r="E567" s="217" t="s">
        <v>19</v>
      </c>
      <c r="F567" s="217" t="s">
        <v>963</v>
      </c>
      <c r="G567" s="217" t="s">
        <v>1034</v>
      </c>
      <c r="H567" s="218" t="s">
        <v>1113</v>
      </c>
      <c r="I567" s="217" t="s">
        <v>66</v>
      </c>
      <c r="J567" s="217" t="s">
        <v>1822</v>
      </c>
      <c r="K567" s="218" t="s">
        <v>951</v>
      </c>
      <c r="L567" s="212" t="s">
        <v>87</v>
      </c>
      <c r="M567" s="250"/>
      <c r="N567" s="239">
        <v>43109</v>
      </c>
      <c r="O567" s="210" t="s">
        <v>786</v>
      </c>
      <c r="P567" s="210" t="s">
        <v>1386</v>
      </c>
      <c r="Q567" s="210" t="s">
        <v>1148</v>
      </c>
      <c r="R567" s="210" t="s">
        <v>1099</v>
      </c>
      <c r="S567" s="210" t="s">
        <v>1078</v>
      </c>
      <c r="T567" s="210" t="s">
        <v>1082</v>
      </c>
      <c r="U567" s="210" t="s">
        <v>958</v>
      </c>
      <c r="V567" s="210" t="s">
        <v>25</v>
      </c>
      <c r="W567" s="211" t="s">
        <v>1016</v>
      </c>
      <c r="X567" s="211">
        <v>1000</v>
      </c>
      <c r="Y567" s="211">
        <v>1000</v>
      </c>
      <c r="Z567" s="212">
        <v>1000</v>
      </c>
      <c r="AA567" s="240">
        <v>121</v>
      </c>
      <c r="AB567" s="213">
        <v>1.9400000000000001E-2</v>
      </c>
      <c r="AC567" s="213">
        <v>0.1</v>
      </c>
      <c r="AD567" s="213" t="s">
        <v>109</v>
      </c>
      <c r="AE567" s="213">
        <v>3.8800000000000002E-3</v>
      </c>
      <c r="AF567" s="241">
        <v>320543503.72000003</v>
      </c>
      <c r="AG567" s="241">
        <v>320543503.72000003</v>
      </c>
      <c r="AH567" s="213">
        <v>8.7800000000000003E-2</v>
      </c>
      <c r="AI567" s="352">
        <v>1.3524</v>
      </c>
      <c r="AJ567" s="213">
        <v>0.1338</v>
      </c>
      <c r="AK567" s="352">
        <v>1.4217</v>
      </c>
      <c r="AL567" s="213">
        <v>0.191</v>
      </c>
      <c r="AM567" s="352">
        <v>1.5811999999999999</v>
      </c>
      <c r="AN567" s="213">
        <v>0.26069999999999999</v>
      </c>
      <c r="AO567" s="352">
        <v>1.5468</v>
      </c>
      <c r="AP567" s="213">
        <v>3.5000000000000001E-3</v>
      </c>
      <c r="AQ567" s="219">
        <v>10.097833414233879</v>
      </c>
      <c r="AR567" s="213" t="s">
        <v>1827</v>
      </c>
      <c r="AU567" s="343"/>
      <c r="AV567" s="343"/>
      <c r="AW567" s="328"/>
      <c r="AX567" s="329"/>
      <c r="AY567" s="328"/>
      <c r="AZ567" s="328"/>
      <c r="BA567" s="330"/>
      <c r="BB567" s="328"/>
      <c r="BC567" s="328"/>
      <c r="BD567" s="328"/>
      <c r="BE567" s="330"/>
      <c r="BF567" s="330"/>
      <c r="BG567" s="344"/>
      <c r="BH567" s="383"/>
      <c r="BI567" s="330"/>
      <c r="BJ567" s="330"/>
      <c r="BK567" s="330"/>
      <c r="BL567" s="330"/>
      <c r="BM567" s="330"/>
      <c r="BN567" s="330"/>
      <c r="BO567" s="330"/>
      <c r="BP567" s="331"/>
      <c r="BQ567" s="332"/>
      <c r="BR567" s="333"/>
    </row>
    <row r="568" spans="2:70" ht="15.75" customHeight="1">
      <c r="B568" s="216" t="s">
        <v>839</v>
      </c>
      <c r="C568" s="212">
        <v>781813</v>
      </c>
      <c r="D568" s="223">
        <v>27500387000100</v>
      </c>
      <c r="E568" s="217" t="s">
        <v>25</v>
      </c>
      <c r="F568" s="217" t="s">
        <v>959</v>
      </c>
      <c r="G568" s="217" t="s">
        <v>962</v>
      </c>
      <c r="H568" s="218" t="s">
        <v>66</v>
      </c>
      <c r="I568" s="217" t="s">
        <v>1842</v>
      </c>
      <c r="J568" s="217" t="s">
        <v>66</v>
      </c>
      <c r="K568" s="218" t="s">
        <v>954</v>
      </c>
      <c r="L568" s="212" t="s">
        <v>87</v>
      </c>
      <c r="M568" s="250"/>
      <c r="N568" s="239">
        <v>42886</v>
      </c>
      <c r="O568" s="210" t="s">
        <v>786</v>
      </c>
      <c r="P568" s="210" t="s">
        <v>1387</v>
      </c>
      <c r="Q568" s="210" t="s">
        <v>1387</v>
      </c>
      <c r="R568" s="210" t="s">
        <v>1084</v>
      </c>
      <c r="S568" s="210" t="s">
        <v>1078</v>
      </c>
      <c r="T568" s="210" t="s">
        <v>1082</v>
      </c>
      <c r="U568" s="210" t="s">
        <v>65</v>
      </c>
      <c r="V568" s="210" t="s">
        <v>25</v>
      </c>
      <c r="W568" s="211" t="s">
        <v>1016</v>
      </c>
      <c r="X568" s="211">
        <v>0</v>
      </c>
      <c r="Y568" s="211">
        <v>0</v>
      </c>
      <c r="Z568" s="212">
        <v>0</v>
      </c>
      <c r="AA568" s="240">
        <v>30</v>
      </c>
      <c r="AB568" s="213">
        <v>1.11E-2</v>
      </c>
      <c r="AC568" s="213">
        <v>0.2</v>
      </c>
      <c r="AD568" s="213" t="s">
        <v>109</v>
      </c>
      <c r="AE568" s="213">
        <v>2.2200000000000002E-3</v>
      </c>
      <c r="AF568" s="241">
        <v>35013350.990000002</v>
      </c>
      <c r="AG568" s="241">
        <v>35013350.990000002</v>
      </c>
      <c r="AH568" s="213">
        <v>9.5500000000000002E-2</v>
      </c>
      <c r="AI568" s="352">
        <v>1.4715</v>
      </c>
      <c r="AJ568" s="213">
        <v>0.11360000000000001</v>
      </c>
      <c r="AK568" s="352">
        <v>1.2071000000000001</v>
      </c>
      <c r="AL568" s="213">
        <v>0.2898</v>
      </c>
      <c r="AM568" s="352">
        <v>2.399</v>
      </c>
      <c r="AN568" s="213">
        <v>0.29139999999999999</v>
      </c>
      <c r="AO568" s="352">
        <v>1.7292000000000001</v>
      </c>
      <c r="AP568" s="213">
        <v>8.1100000000000005E-2</v>
      </c>
      <c r="AQ568" s="219">
        <v>0.2580751640116557</v>
      </c>
      <c r="AR568" s="213" t="s">
        <v>1827</v>
      </c>
      <c r="AV568" s="343"/>
      <c r="AW568" s="328"/>
      <c r="AX568" s="329"/>
      <c r="AY568" s="328"/>
      <c r="AZ568" s="328"/>
      <c r="BA568" s="330"/>
      <c r="BB568" s="328"/>
      <c r="BC568" s="328"/>
      <c r="BD568" s="328"/>
      <c r="BE568" s="330"/>
      <c r="BF568" s="330"/>
      <c r="BG568" s="344"/>
      <c r="BH568" s="330"/>
      <c r="BI568" s="330"/>
      <c r="BJ568" s="330"/>
      <c r="BK568" s="330"/>
      <c r="BL568" s="330"/>
      <c r="BM568" s="330"/>
      <c r="BN568" s="330"/>
      <c r="BO568" s="330"/>
      <c r="BP568" s="331"/>
      <c r="BQ568" s="332"/>
      <c r="BR568" s="333"/>
    </row>
    <row r="569" spans="2:70" ht="15.75" customHeight="1">
      <c r="B569" s="216" t="s">
        <v>785</v>
      </c>
      <c r="C569" s="212">
        <v>759749</v>
      </c>
      <c r="D569" s="223">
        <v>34867354000150</v>
      </c>
      <c r="E569" s="217" t="s">
        <v>19</v>
      </c>
      <c r="F569" s="217" t="s">
        <v>963</v>
      </c>
      <c r="G569" s="217" t="s">
        <v>1034</v>
      </c>
      <c r="H569" s="218" t="s">
        <v>1113</v>
      </c>
      <c r="I569" s="217" t="s">
        <v>66</v>
      </c>
      <c r="J569" s="217" t="s">
        <v>1822</v>
      </c>
      <c r="K569" s="218" t="s">
        <v>951</v>
      </c>
      <c r="L569" s="212" t="s">
        <v>87</v>
      </c>
      <c r="M569" s="250"/>
      <c r="N569" s="239">
        <v>43844</v>
      </c>
      <c r="O569" s="210" t="s">
        <v>786</v>
      </c>
      <c r="P569" s="210" t="s">
        <v>1387</v>
      </c>
      <c r="Q569" s="210" t="s">
        <v>1387</v>
      </c>
      <c r="R569" s="210" t="s">
        <v>1099</v>
      </c>
      <c r="S569" s="210" t="s">
        <v>1078</v>
      </c>
      <c r="T569" s="210" t="s">
        <v>32</v>
      </c>
      <c r="U569" s="210" t="s">
        <v>1150</v>
      </c>
      <c r="V569" s="210" t="s">
        <v>25</v>
      </c>
      <c r="W569" s="211" t="s">
        <v>1016</v>
      </c>
      <c r="X569" s="211">
        <v>1000</v>
      </c>
      <c r="Y569" s="211">
        <v>1000</v>
      </c>
      <c r="Z569" s="212">
        <v>1000</v>
      </c>
      <c r="AA569" s="240">
        <v>360</v>
      </c>
      <c r="AB569" s="213">
        <v>0.01</v>
      </c>
      <c r="AC569" s="213">
        <v>0.3</v>
      </c>
      <c r="AD569" s="213" t="s">
        <v>109</v>
      </c>
      <c r="AE569" s="213">
        <v>2E-3</v>
      </c>
      <c r="AF569" s="241">
        <v>324842573.10000002</v>
      </c>
      <c r="AG569" s="241">
        <v>324842573.10000002</v>
      </c>
      <c r="AH569" s="213">
        <v>8.4599999999999995E-2</v>
      </c>
      <c r="AI569" s="352">
        <v>1.3031999999999999</v>
      </c>
      <c r="AJ569" s="213">
        <v>0.12959999999999999</v>
      </c>
      <c r="AK569" s="352">
        <v>1.3774999999999999</v>
      </c>
      <c r="AL569" s="213">
        <v>0.22989999999999999</v>
      </c>
      <c r="AM569" s="352">
        <v>1.9029</v>
      </c>
      <c r="AN569" s="213" t="s">
        <v>66</v>
      </c>
      <c r="AO569" s="352" t="s">
        <v>66</v>
      </c>
      <c r="AP569" s="213">
        <v>0.1101</v>
      </c>
      <c r="AQ569" s="219">
        <v>0.34488166705733603</v>
      </c>
      <c r="AR569" s="213" t="s">
        <v>1827</v>
      </c>
      <c r="AU569" s="343"/>
      <c r="AV569" s="343"/>
      <c r="AW569" s="328"/>
      <c r="AX569" s="329"/>
      <c r="AY569" s="328"/>
      <c r="AZ569" s="328"/>
      <c r="BA569" s="330"/>
      <c r="BB569" s="328"/>
      <c r="BC569" s="328"/>
      <c r="BD569" s="328"/>
      <c r="BE569" s="330"/>
      <c r="BF569" s="330"/>
      <c r="BG569" s="344"/>
      <c r="BH569" s="383"/>
      <c r="BI569" s="330"/>
      <c r="BJ569" s="330"/>
      <c r="BK569" s="330"/>
      <c r="BL569" s="330"/>
      <c r="BM569" s="330"/>
      <c r="BN569" s="330"/>
      <c r="BO569" s="330"/>
      <c r="BP569" s="331"/>
      <c r="BQ569" s="332"/>
      <c r="BR569" s="333"/>
    </row>
    <row r="570" spans="2:70" ht="15.75" customHeight="1">
      <c r="B570" s="216" t="s">
        <v>787</v>
      </c>
      <c r="C570" s="212">
        <v>842696</v>
      </c>
      <c r="D570" s="223">
        <v>37121216000115</v>
      </c>
      <c r="E570" s="217" t="s">
        <v>19</v>
      </c>
      <c r="F570" s="217" t="s">
        <v>963</v>
      </c>
      <c r="G570" s="217" t="s">
        <v>1034</v>
      </c>
      <c r="H570" s="218" t="s">
        <v>1113</v>
      </c>
      <c r="I570" s="217" t="s">
        <v>66</v>
      </c>
      <c r="J570" s="217" t="s">
        <v>1822</v>
      </c>
      <c r="K570" s="218" t="s">
        <v>951</v>
      </c>
      <c r="L570" s="212" t="s">
        <v>87</v>
      </c>
      <c r="M570" s="250"/>
      <c r="N570" s="239">
        <v>44056</v>
      </c>
      <c r="O570" s="210" t="s">
        <v>786</v>
      </c>
      <c r="P570" s="210" t="s">
        <v>1331</v>
      </c>
      <c r="Q570" s="210" t="s">
        <v>1331</v>
      </c>
      <c r="R570" s="210" t="s">
        <v>1099</v>
      </c>
      <c r="S570" s="210" t="s">
        <v>1078</v>
      </c>
      <c r="T570" s="210" t="s">
        <v>32</v>
      </c>
      <c r="U570" s="210" t="s">
        <v>1150</v>
      </c>
      <c r="V570" s="210" t="s">
        <v>25</v>
      </c>
      <c r="W570" s="211" t="s">
        <v>1028</v>
      </c>
      <c r="X570" s="211">
        <v>1000</v>
      </c>
      <c r="Y570" s="211">
        <v>1000</v>
      </c>
      <c r="Z570" s="212">
        <v>1000</v>
      </c>
      <c r="AA570" s="240">
        <v>360</v>
      </c>
      <c r="AB570" s="213">
        <v>0.01</v>
      </c>
      <c r="AC570" s="213">
        <v>0.3</v>
      </c>
      <c r="AD570" s="213" t="s">
        <v>109</v>
      </c>
      <c r="AE570" s="213">
        <v>1.6666666666666666E-3</v>
      </c>
      <c r="AF570" s="241">
        <v>98731389.989999995</v>
      </c>
      <c r="AG570" s="241">
        <v>98731389.989999995</v>
      </c>
      <c r="AH570" s="213">
        <v>0.125</v>
      </c>
      <c r="AI570" s="352">
        <v>1.9252</v>
      </c>
      <c r="AJ570" s="213">
        <v>0.1943</v>
      </c>
      <c r="AK570" s="352">
        <v>2.0647000000000002</v>
      </c>
      <c r="AL570" s="213" t="s">
        <v>66</v>
      </c>
      <c r="AM570" s="352" t="s">
        <v>66</v>
      </c>
      <c r="AN570" s="213" t="s">
        <v>66</v>
      </c>
      <c r="AO570" s="352" t="s">
        <v>66</v>
      </c>
      <c r="AP570" s="213">
        <v>5.4199999999999998E-2</v>
      </c>
      <c r="AQ570" s="219">
        <v>1.6435229425658222</v>
      </c>
      <c r="AR570" s="213" t="s">
        <v>1827</v>
      </c>
      <c r="AV570" s="343"/>
      <c r="AW570" s="328"/>
      <c r="AX570" s="329"/>
      <c r="AY570" s="328"/>
      <c r="AZ570" s="328"/>
      <c r="BA570" s="330"/>
      <c r="BB570" s="328"/>
      <c r="BC570" s="328"/>
      <c r="BD570" s="328"/>
      <c r="BE570" s="330"/>
      <c r="BF570" s="330"/>
      <c r="BG570" s="344"/>
      <c r="BH570" s="330"/>
      <c r="BI570" s="330"/>
      <c r="BJ570" s="330"/>
      <c r="BK570" s="330"/>
      <c r="BL570" s="330"/>
      <c r="BM570" s="330"/>
      <c r="BN570" s="330"/>
      <c r="BO570" s="330"/>
      <c r="BP570" s="331"/>
      <c r="BQ570" s="332"/>
      <c r="BR570" s="333"/>
    </row>
    <row r="571" spans="2:70" ht="15.75" customHeight="1">
      <c r="B571" s="216" t="s">
        <v>386</v>
      </c>
      <c r="C571" s="212">
        <v>1156385</v>
      </c>
      <c r="D571" s="223">
        <v>6170653000103</v>
      </c>
      <c r="E571" s="217" t="s">
        <v>25</v>
      </c>
      <c r="F571" s="217" t="s">
        <v>958</v>
      </c>
      <c r="G571" s="217" t="s">
        <v>962</v>
      </c>
      <c r="H571" s="218" t="s">
        <v>66</v>
      </c>
      <c r="I571" s="217" t="s">
        <v>1842</v>
      </c>
      <c r="J571" s="217" t="s">
        <v>66</v>
      </c>
      <c r="K571" s="218"/>
      <c r="L571" s="212" t="s">
        <v>87</v>
      </c>
      <c r="M571" s="250"/>
      <c r="N571" s="239">
        <v>38279</v>
      </c>
      <c r="O571" s="210" t="s">
        <v>387</v>
      </c>
      <c r="P571" s="210" t="s">
        <v>1090</v>
      </c>
      <c r="Q571" s="210" t="s">
        <v>1091</v>
      </c>
      <c r="R571" s="210" t="s">
        <v>1084</v>
      </c>
      <c r="S571" s="210" t="s">
        <v>1078</v>
      </c>
      <c r="T571" s="210" t="s">
        <v>1082</v>
      </c>
      <c r="U571" s="210" t="s">
        <v>1086</v>
      </c>
      <c r="V571" s="210" t="s">
        <v>25</v>
      </c>
      <c r="W571" s="211" t="s">
        <v>1023</v>
      </c>
      <c r="X571" s="211">
        <v>5000</v>
      </c>
      <c r="Y571" s="211">
        <v>1000</v>
      </c>
      <c r="Z571" s="212">
        <v>5000</v>
      </c>
      <c r="AA571" s="240">
        <v>30</v>
      </c>
      <c r="AB571" s="213">
        <v>0.02</v>
      </c>
      <c r="AC571" s="213">
        <v>0.2</v>
      </c>
      <c r="AD571" s="213" t="s">
        <v>109</v>
      </c>
      <c r="AE571" s="213">
        <v>5.3333333333333332E-3</v>
      </c>
      <c r="AF571" s="241">
        <v>16356805.810000001</v>
      </c>
      <c r="AG571" s="241">
        <v>16356805.810000001</v>
      </c>
      <c r="AH571" s="213">
        <v>-7.9899999999999999E-2</v>
      </c>
      <c r="AI571" s="352">
        <v>-1.2302999999999999</v>
      </c>
      <c r="AJ571" s="213">
        <v>-0.14580000000000001</v>
      </c>
      <c r="AK571" s="352">
        <v>-1.5499000000000001</v>
      </c>
      <c r="AL571" s="213">
        <v>4.1999999999999997E-3</v>
      </c>
      <c r="AM571" s="352">
        <v>3.5099999999999999E-2</v>
      </c>
      <c r="AN571" s="213">
        <v>8.43E-2</v>
      </c>
      <c r="AO571" s="352">
        <v>0.50009999999999999</v>
      </c>
      <c r="AP571" s="213">
        <v>0.1061</v>
      </c>
      <c r="AQ571" s="219">
        <v>-2.2794808130024902</v>
      </c>
      <c r="AR571" s="213" t="s">
        <v>1827</v>
      </c>
      <c r="AV571" s="343"/>
      <c r="AW571" s="328"/>
      <c r="AX571" s="329"/>
      <c r="AY571" s="328"/>
      <c r="AZ571" s="328"/>
      <c r="BA571" s="330"/>
      <c r="BB571" s="328"/>
      <c r="BC571" s="328"/>
      <c r="BD571" s="328"/>
      <c r="BE571" s="330"/>
      <c r="BF571" s="330"/>
      <c r="BG571" s="344"/>
      <c r="BH571" s="330"/>
      <c r="BI571" s="330"/>
      <c r="BJ571" s="330"/>
      <c r="BK571" s="330"/>
      <c r="BL571" s="330"/>
      <c r="BM571" s="330"/>
      <c r="BN571" s="330"/>
      <c r="BO571" s="330"/>
      <c r="BP571" s="331"/>
      <c r="BQ571" s="332"/>
      <c r="BR571" s="333"/>
    </row>
    <row r="572" spans="2:70" ht="15.75" customHeight="1">
      <c r="B572" s="216" t="s">
        <v>388</v>
      </c>
      <c r="C572" s="212">
        <v>1250777</v>
      </c>
      <c r="D572" s="223">
        <v>37069950000182</v>
      </c>
      <c r="E572" s="217" t="s">
        <v>28</v>
      </c>
      <c r="F572" s="217" t="s">
        <v>950</v>
      </c>
      <c r="G572" s="217"/>
      <c r="H572" s="218"/>
      <c r="I572" s="217" t="s">
        <v>66</v>
      </c>
      <c r="J572" s="217" t="s">
        <v>66</v>
      </c>
      <c r="K572" s="218" t="s">
        <v>951</v>
      </c>
      <c r="L572" s="212" t="s">
        <v>87</v>
      </c>
      <c r="M572" s="250"/>
      <c r="N572" s="239">
        <v>44046</v>
      </c>
      <c r="O572" s="210" t="s">
        <v>387</v>
      </c>
      <c r="P572" s="210" t="s">
        <v>1083</v>
      </c>
      <c r="Q572" s="210" t="s">
        <v>102</v>
      </c>
      <c r="R572" s="210" t="s">
        <v>1084</v>
      </c>
      <c r="S572" s="210" t="s">
        <v>1078</v>
      </c>
      <c r="T572" s="210" t="s">
        <v>1079</v>
      </c>
      <c r="U572" s="210" t="s">
        <v>950</v>
      </c>
      <c r="V572" s="210" t="s">
        <v>1080</v>
      </c>
      <c r="W572" s="211" t="s">
        <v>1007</v>
      </c>
      <c r="X572" s="211">
        <v>5000</v>
      </c>
      <c r="Y572" s="211">
        <v>1000</v>
      </c>
      <c r="Z572" s="212">
        <v>5000</v>
      </c>
      <c r="AA572" s="240">
        <v>32</v>
      </c>
      <c r="AB572" s="213">
        <v>1.4999999999999999E-2</v>
      </c>
      <c r="AC572" s="213">
        <v>0.2</v>
      </c>
      <c r="AD572" s="213" t="s">
        <v>1014</v>
      </c>
      <c r="AE572" s="213">
        <v>2.9999999999999996E-3</v>
      </c>
      <c r="AF572" s="241">
        <v>1352986.5</v>
      </c>
      <c r="AG572" s="241">
        <v>1352986.5</v>
      </c>
      <c r="AH572" s="213">
        <v>-0.10440000000000001</v>
      </c>
      <c r="AI572" s="352">
        <v>-1.6083000000000001</v>
      </c>
      <c r="AJ572" s="213">
        <v>-0.27060000000000001</v>
      </c>
      <c r="AK572" s="352">
        <v>-2.8765999999999998</v>
      </c>
      <c r="AL572" s="213" t="s">
        <v>66</v>
      </c>
      <c r="AM572" s="352" t="s">
        <v>66</v>
      </c>
      <c r="AN572" s="213" t="s">
        <v>66</v>
      </c>
      <c r="AO572" s="352" t="s">
        <v>66</v>
      </c>
      <c r="AP572" s="213">
        <v>0.20849999999999999</v>
      </c>
      <c r="AQ572" s="219">
        <v>-1.8399118028916657</v>
      </c>
      <c r="AR572" s="213" t="s">
        <v>1827</v>
      </c>
      <c r="AV572" s="343"/>
      <c r="AW572" s="328"/>
      <c r="AX572" s="329"/>
      <c r="AY572" s="328"/>
      <c r="AZ572" s="328"/>
      <c r="BA572" s="330"/>
      <c r="BB572" s="328"/>
      <c r="BC572" s="328"/>
      <c r="BD572" s="328"/>
      <c r="BE572" s="330"/>
      <c r="BF572" s="330"/>
      <c r="BG572" s="344"/>
      <c r="BH572" s="330"/>
      <c r="BI572" s="330"/>
      <c r="BJ572" s="330"/>
      <c r="BK572" s="330"/>
      <c r="BL572" s="330"/>
      <c r="BM572" s="330"/>
      <c r="BN572" s="330"/>
      <c r="BO572" s="330"/>
      <c r="BP572" s="331"/>
      <c r="BQ572" s="332"/>
      <c r="BR572" s="333"/>
    </row>
    <row r="573" spans="2:70" ht="15.75" customHeight="1">
      <c r="B573" s="216" t="s">
        <v>847</v>
      </c>
      <c r="C573" s="212">
        <v>931509</v>
      </c>
      <c r="D573" s="223">
        <v>42174210000146</v>
      </c>
      <c r="E573" s="217" t="s">
        <v>25</v>
      </c>
      <c r="F573" s="217" t="s">
        <v>958</v>
      </c>
      <c r="G573" s="217" t="s">
        <v>962</v>
      </c>
      <c r="H573" s="218"/>
      <c r="I573" s="217" t="s">
        <v>66</v>
      </c>
      <c r="J573" s="217"/>
      <c r="K573" s="218" t="s">
        <v>951</v>
      </c>
      <c r="L573" s="212" t="s">
        <v>87</v>
      </c>
      <c r="M573" s="250"/>
      <c r="N573" s="239">
        <v>44365</v>
      </c>
      <c r="O573" s="210" t="s">
        <v>547</v>
      </c>
      <c r="P573" s="210" t="s">
        <v>1075</v>
      </c>
      <c r="Q573" s="210" t="s">
        <v>1076</v>
      </c>
      <c r="R573" s="210" t="s">
        <v>1099</v>
      </c>
      <c r="S573" s="210" t="s">
        <v>1078</v>
      </c>
      <c r="T573" s="210" t="s">
        <v>1079</v>
      </c>
      <c r="U573" s="210" t="s">
        <v>957</v>
      </c>
      <c r="V573" s="210" t="s">
        <v>25</v>
      </c>
      <c r="W573" s="211" t="s">
        <v>1028</v>
      </c>
      <c r="X573" s="211">
        <v>10000</v>
      </c>
      <c r="Y573" s="211">
        <v>1000</v>
      </c>
      <c r="Z573" s="212">
        <v>1000</v>
      </c>
      <c r="AA573" s="240">
        <v>62</v>
      </c>
      <c r="AB573" s="213">
        <v>1.2E-2</v>
      </c>
      <c r="AC573" s="213">
        <v>0.2</v>
      </c>
      <c r="AD573" s="213" t="s">
        <v>113</v>
      </c>
      <c r="AE573" s="213" t="s">
        <v>66</v>
      </c>
      <c r="AF573" s="241" t="s">
        <v>66</v>
      </c>
      <c r="AG573" s="241" t="s">
        <v>66</v>
      </c>
      <c r="AH573" s="213" t="s">
        <v>66</v>
      </c>
      <c r="AI573" s="352" t="s">
        <v>66</v>
      </c>
      <c r="AJ573" s="213" t="s">
        <v>66</v>
      </c>
      <c r="AK573" s="352" t="s">
        <v>66</v>
      </c>
      <c r="AL573" s="213" t="s">
        <v>66</v>
      </c>
      <c r="AM573" s="352" t="s">
        <v>66</v>
      </c>
      <c r="AN573" s="213" t="s">
        <v>66</v>
      </c>
      <c r="AO573" s="352" t="s">
        <v>66</v>
      </c>
      <c r="AP573" s="213" t="s">
        <v>66</v>
      </c>
      <c r="AQ573" s="219" t="s">
        <v>66</v>
      </c>
      <c r="AR573" s="213" t="s">
        <v>66</v>
      </c>
      <c r="AV573" s="343"/>
      <c r="AW573" s="328"/>
      <c r="AX573" s="329"/>
      <c r="AY573" s="328"/>
      <c r="AZ573" s="328"/>
      <c r="BA573" s="330"/>
      <c r="BB573" s="328"/>
      <c r="BC573" s="328"/>
      <c r="BD573" s="328"/>
      <c r="BE573" s="330"/>
      <c r="BF573" s="330"/>
      <c r="BG573" s="344"/>
      <c r="BH573" s="330"/>
      <c r="BI573" s="330"/>
      <c r="BJ573" s="330"/>
      <c r="BK573" s="330"/>
      <c r="BL573" s="330"/>
      <c r="BM573" s="330"/>
      <c r="BN573" s="330"/>
      <c r="BO573" s="330"/>
      <c r="BP573" s="331"/>
      <c r="BQ573" s="332"/>
      <c r="BR573" s="333"/>
    </row>
    <row r="574" spans="2:70" ht="15.75" customHeight="1">
      <c r="B574" s="216" t="s">
        <v>391</v>
      </c>
      <c r="C574" s="212">
        <v>1590804</v>
      </c>
      <c r="D574" s="223">
        <v>26243348000101</v>
      </c>
      <c r="E574" s="217" t="s">
        <v>28</v>
      </c>
      <c r="F574" s="217" t="s">
        <v>950</v>
      </c>
      <c r="G574" s="217"/>
      <c r="H574" s="218"/>
      <c r="I574" s="217" t="s">
        <v>66</v>
      </c>
      <c r="J574" s="217" t="s">
        <v>66</v>
      </c>
      <c r="K574" s="218" t="s">
        <v>951</v>
      </c>
      <c r="L574" s="212" t="s">
        <v>87</v>
      </c>
      <c r="M574" s="250"/>
      <c r="N574" s="239">
        <v>42754</v>
      </c>
      <c r="O574" s="210" t="s">
        <v>390</v>
      </c>
      <c r="P574" s="210" t="s">
        <v>1088</v>
      </c>
      <c r="Q574" s="210" t="s">
        <v>1089</v>
      </c>
      <c r="R574" s="210" t="s">
        <v>1084</v>
      </c>
      <c r="S574" s="210" t="s">
        <v>1078</v>
      </c>
      <c r="T574" s="210" t="s">
        <v>1079</v>
      </c>
      <c r="U574" s="210" t="s">
        <v>950</v>
      </c>
      <c r="V574" s="210" t="s">
        <v>1080</v>
      </c>
      <c r="W574" s="211" t="s">
        <v>1007</v>
      </c>
      <c r="X574" s="211">
        <v>1000</v>
      </c>
      <c r="Y574" s="211">
        <v>100</v>
      </c>
      <c r="Z574" s="212">
        <v>1000</v>
      </c>
      <c r="AA574" s="240">
        <v>32</v>
      </c>
      <c r="AB574" s="213">
        <v>1.9574999999999999E-2</v>
      </c>
      <c r="AC574" s="213">
        <v>0.2</v>
      </c>
      <c r="AD574" s="213" t="s">
        <v>1170</v>
      </c>
      <c r="AE574" s="213">
        <v>4.8937499999999997E-3</v>
      </c>
      <c r="AF574" s="241">
        <v>126823108.84</v>
      </c>
      <c r="AG574" s="241">
        <v>126823108.84</v>
      </c>
      <c r="AH574" s="213">
        <v>7.7399999999999997E-2</v>
      </c>
      <c r="AI574" s="352">
        <v>1.1919</v>
      </c>
      <c r="AJ574" s="213">
        <v>-0.1108</v>
      </c>
      <c r="AK574" s="352">
        <v>-1.1780999999999999</v>
      </c>
      <c r="AL574" s="213">
        <v>5.6099999999999997E-2</v>
      </c>
      <c r="AM574" s="352">
        <v>0.46439999999999998</v>
      </c>
      <c r="AN574" s="213">
        <v>0.112</v>
      </c>
      <c r="AO574" s="352">
        <v>0.66479999999999995</v>
      </c>
      <c r="AP574" s="213">
        <v>0.20749999999999999</v>
      </c>
      <c r="AQ574" s="219">
        <v>-0.89573472104052299</v>
      </c>
      <c r="AR574" s="213" t="s">
        <v>1824</v>
      </c>
      <c r="AV574" s="343"/>
      <c r="AW574" s="328"/>
      <c r="AX574" s="329"/>
      <c r="AY574" s="328"/>
      <c r="AZ574" s="328"/>
      <c r="BA574" s="330"/>
      <c r="BB574" s="328"/>
      <c r="BC574" s="328"/>
      <c r="BD574" s="328"/>
      <c r="BE574" s="330"/>
      <c r="BF574" s="330"/>
      <c r="BG574" s="344"/>
      <c r="BH574" s="330"/>
      <c r="BI574" s="330"/>
      <c r="BJ574" s="330"/>
      <c r="BK574" s="330"/>
      <c r="BL574" s="330"/>
      <c r="BM574" s="330"/>
      <c r="BN574" s="330"/>
      <c r="BO574" s="330"/>
      <c r="BP574" s="331"/>
      <c r="BQ574" s="332"/>
      <c r="BR574" s="333"/>
    </row>
    <row r="575" spans="2:70" ht="15.75" customHeight="1">
      <c r="B575" s="216" t="s">
        <v>392</v>
      </c>
      <c r="C575" s="212">
        <v>532508</v>
      </c>
      <c r="D575" s="223">
        <v>13401715000106</v>
      </c>
      <c r="E575" s="217" t="s">
        <v>28</v>
      </c>
      <c r="F575" s="217" t="s">
        <v>950</v>
      </c>
      <c r="G575" s="217"/>
      <c r="H575" s="218"/>
      <c r="I575" s="217" t="s">
        <v>66</v>
      </c>
      <c r="J575" s="217" t="s">
        <v>66</v>
      </c>
      <c r="K575" s="218" t="s">
        <v>951</v>
      </c>
      <c r="L575" s="212" t="s">
        <v>87</v>
      </c>
      <c r="M575" s="250"/>
      <c r="N575" s="239">
        <v>40753</v>
      </c>
      <c r="O575" s="210" t="s">
        <v>390</v>
      </c>
      <c r="P575" s="210" t="s">
        <v>1088</v>
      </c>
      <c r="Q575" s="210" t="s">
        <v>1089</v>
      </c>
      <c r="R575" s="210" t="s">
        <v>1084</v>
      </c>
      <c r="S575" s="210" t="s">
        <v>1085</v>
      </c>
      <c r="T575" s="210" t="s">
        <v>1079</v>
      </c>
      <c r="U575" s="210" t="s">
        <v>950</v>
      </c>
      <c r="V575" s="210" t="s">
        <v>1080</v>
      </c>
      <c r="W575" s="211" t="s">
        <v>1007</v>
      </c>
      <c r="X575" s="211">
        <v>1000</v>
      </c>
      <c r="Y575" s="211">
        <v>100</v>
      </c>
      <c r="Z575" s="212">
        <v>1000</v>
      </c>
      <c r="AA575" s="240">
        <v>3</v>
      </c>
      <c r="AB575" s="213">
        <v>1.9574999999999999E-2</v>
      </c>
      <c r="AC575" s="213">
        <v>0.2</v>
      </c>
      <c r="AD575" s="213" t="s">
        <v>1170</v>
      </c>
      <c r="AE575" s="213">
        <v>4.5022500000000002E-3</v>
      </c>
      <c r="AF575" s="241">
        <v>53417433.880000003</v>
      </c>
      <c r="AG575" s="241">
        <v>53417433.880000003</v>
      </c>
      <c r="AH575" s="213">
        <v>7.5399999999999995E-2</v>
      </c>
      <c r="AI575" s="352">
        <v>1.1617999999999999</v>
      </c>
      <c r="AJ575" s="213">
        <v>-0.11360000000000001</v>
      </c>
      <c r="AK575" s="352">
        <v>-1.2074</v>
      </c>
      <c r="AL575" s="213">
        <v>5.3999999999999999E-2</v>
      </c>
      <c r="AM575" s="352">
        <v>0.4471</v>
      </c>
      <c r="AN575" s="213">
        <v>0.1134</v>
      </c>
      <c r="AO575" s="352">
        <v>0.67300000000000004</v>
      </c>
      <c r="AP575" s="213">
        <v>0.2087</v>
      </c>
      <c r="AQ575" s="219">
        <v>-0.90423002470023406</v>
      </c>
      <c r="AR575" s="213" t="s">
        <v>1824</v>
      </c>
      <c r="AV575" s="343"/>
      <c r="AW575" s="328"/>
      <c r="AX575" s="329"/>
      <c r="AY575" s="328"/>
      <c r="AZ575" s="328"/>
      <c r="BA575" s="330"/>
      <c r="BB575" s="328"/>
      <c r="BC575" s="328"/>
      <c r="BD575" s="328"/>
      <c r="BE575" s="330"/>
      <c r="BF575" s="330"/>
      <c r="BG575" s="344"/>
      <c r="BH575" s="330"/>
      <c r="BI575" s="330"/>
      <c r="BJ575" s="330"/>
      <c r="BK575" s="330"/>
      <c r="BL575" s="330"/>
      <c r="BM575" s="330"/>
      <c r="BN575" s="330"/>
      <c r="BO575" s="330"/>
      <c r="BP575" s="331"/>
      <c r="BQ575" s="332"/>
      <c r="BR575" s="333"/>
    </row>
    <row r="576" spans="2:70" ht="15.75" customHeight="1">
      <c r="B576" s="216" t="s">
        <v>393</v>
      </c>
      <c r="C576" s="212">
        <v>952521</v>
      </c>
      <c r="D576" s="223">
        <v>12154412000165</v>
      </c>
      <c r="E576" s="217" t="s">
        <v>25</v>
      </c>
      <c r="F576" s="217" t="s">
        <v>958</v>
      </c>
      <c r="G576" s="217" t="s">
        <v>962</v>
      </c>
      <c r="H576" s="218" t="s">
        <v>66</v>
      </c>
      <c r="I576" s="217" t="s">
        <v>1841</v>
      </c>
      <c r="J576" s="217" t="s">
        <v>66</v>
      </c>
      <c r="K576" s="218"/>
      <c r="L576" s="212" t="s">
        <v>87</v>
      </c>
      <c r="M576" s="250"/>
      <c r="N576" s="239">
        <v>40480</v>
      </c>
      <c r="O576" s="210" t="s">
        <v>390</v>
      </c>
      <c r="P576" s="210" t="s">
        <v>1088</v>
      </c>
      <c r="Q576" s="210" t="s">
        <v>1089</v>
      </c>
      <c r="R576" s="210" t="s">
        <v>1084</v>
      </c>
      <c r="S576" s="210" t="s">
        <v>1078</v>
      </c>
      <c r="T576" s="210" t="s">
        <v>1082</v>
      </c>
      <c r="U576" s="210" t="s">
        <v>958</v>
      </c>
      <c r="V576" s="210" t="s">
        <v>25</v>
      </c>
      <c r="W576" s="211" t="s">
        <v>1012</v>
      </c>
      <c r="X576" s="211">
        <v>5000</v>
      </c>
      <c r="Y576" s="211">
        <v>1000</v>
      </c>
      <c r="Z576" s="212">
        <v>5000</v>
      </c>
      <c r="AA576" s="240">
        <v>31</v>
      </c>
      <c r="AB576" s="213">
        <v>1.9574999999999999E-2</v>
      </c>
      <c r="AC576" s="213">
        <v>0.2</v>
      </c>
      <c r="AD576" s="213" t="s">
        <v>109</v>
      </c>
      <c r="AE576" s="213">
        <v>4.8937499999999997E-3</v>
      </c>
      <c r="AF576" s="241">
        <v>2257791161.4099998</v>
      </c>
      <c r="AG576" s="241">
        <v>2257791161.4099998</v>
      </c>
      <c r="AH576" s="213">
        <v>9.2399999999999996E-2</v>
      </c>
      <c r="AI576" s="352">
        <v>1.4235</v>
      </c>
      <c r="AJ576" s="213">
        <v>0.153</v>
      </c>
      <c r="AK576" s="352">
        <v>1.6265000000000001</v>
      </c>
      <c r="AL576" s="213">
        <v>0.18959999999999999</v>
      </c>
      <c r="AM576" s="352">
        <v>1.5698000000000001</v>
      </c>
      <c r="AN576" s="213">
        <v>0.33560000000000001</v>
      </c>
      <c r="AO576" s="352">
        <v>1.9913000000000001</v>
      </c>
      <c r="AP576" s="213">
        <v>4.3099999999999999E-2</v>
      </c>
      <c r="AQ576" s="219">
        <v>1.2402773341217983</v>
      </c>
      <c r="AR576" s="213" t="s">
        <v>1827</v>
      </c>
      <c r="AV576" s="343"/>
      <c r="AW576" s="328"/>
      <c r="AX576" s="329"/>
      <c r="AY576" s="328"/>
      <c r="AZ576" s="328"/>
      <c r="BA576" s="330"/>
      <c r="BB576" s="328"/>
      <c r="BC576" s="328"/>
      <c r="BD576" s="328"/>
      <c r="BE576" s="330"/>
      <c r="BF576" s="330"/>
      <c r="BG576" s="344"/>
      <c r="BH576" s="330"/>
      <c r="BI576" s="330"/>
      <c r="BJ576" s="330"/>
      <c r="BK576" s="330"/>
      <c r="BL576" s="330"/>
      <c r="BM576" s="330"/>
      <c r="BN576" s="330"/>
      <c r="BO576" s="330"/>
      <c r="BP576" s="331"/>
      <c r="BQ576" s="332"/>
      <c r="BR576" s="333"/>
    </row>
    <row r="577" spans="2:70" ht="15.75" customHeight="1">
      <c r="B577" s="216" t="s">
        <v>394</v>
      </c>
      <c r="C577" s="212">
        <v>1914892</v>
      </c>
      <c r="D577" s="223">
        <v>17554200000199</v>
      </c>
      <c r="E577" s="217" t="s">
        <v>28</v>
      </c>
      <c r="F577" s="217" t="s">
        <v>957</v>
      </c>
      <c r="G577" s="217"/>
      <c r="H577" s="218"/>
      <c r="I577" s="217" t="s">
        <v>1259</v>
      </c>
      <c r="J577" s="217" t="s">
        <v>66</v>
      </c>
      <c r="K577" s="218" t="s">
        <v>951</v>
      </c>
      <c r="L577" s="212" t="s">
        <v>87</v>
      </c>
      <c r="M577" s="250"/>
      <c r="N577" s="239">
        <v>41414</v>
      </c>
      <c r="O577" s="210" t="s">
        <v>390</v>
      </c>
      <c r="P577" s="210" t="s">
        <v>1088</v>
      </c>
      <c r="Q577" s="210" t="s">
        <v>1089</v>
      </c>
      <c r="R577" s="210" t="s">
        <v>1084</v>
      </c>
      <c r="S577" s="210" t="s">
        <v>1078</v>
      </c>
      <c r="T577" s="210" t="s">
        <v>1079</v>
      </c>
      <c r="U577" s="210" t="s">
        <v>957</v>
      </c>
      <c r="V577" s="210" t="s">
        <v>25</v>
      </c>
      <c r="W577" s="211" t="s">
        <v>1016</v>
      </c>
      <c r="X577" s="211">
        <v>5000</v>
      </c>
      <c r="Y577" s="211">
        <v>1000</v>
      </c>
      <c r="Z577" s="212">
        <v>5000</v>
      </c>
      <c r="AA577" s="240">
        <v>32</v>
      </c>
      <c r="AB577" s="213">
        <v>1.9574999999999999E-2</v>
      </c>
      <c r="AC577" s="213">
        <v>0.2</v>
      </c>
      <c r="AD577" s="213" t="s">
        <v>1157</v>
      </c>
      <c r="AE577" s="213">
        <v>4.8937499999999997E-3</v>
      </c>
      <c r="AF577" s="241">
        <v>187220686.55000001</v>
      </c>
      <c r="AG577" s="241">
        <v>187220686.55000001</v>
      </c>
      <c r="AH577" s="213">
        <v>9.8599999999999993E-2</v>
      </c>
      <c r="AI577" s="352">
        <v>1.5193000000000001</v>
      </c>
      <c r="AJ577" s="213">
        <v>-1.18E-2</v>
      </c>
      <c r="AK577" s="352">
        <v>-0.12590000000000001</v>
      </c>
      <c r="AL577" s="213">
        <v>0.20849999999999999</v>
      </c>
      <c r="AM577" s="352">
        <v>1.7258</v>
      </c>
      <c r="AN577" s="213">
        <v>0.26619999999999999</v>
      </c>
      <c r="AO577" s="352">
        <v>1.5797000000000001</v>
      </c>
      <c r="AP577" s="213">
        <v>0.17610000000000001</v>
      </c>
      <c r="AQ577" s="219">
        <v>-0.4906074233049566</v>
      </c>
      <c r="AR577" s="213" t="s">
        <v>1827</v>
      </c>
      <c r="AV577" s="343"/>
      <c r="AW577" s="328"/>
      <c r="AX577" s="329"/>
      <c r="AY577" s="328"/>
      <c r="AZ577" s="328"/>
      <c r="BA577" s="330"/>
      <c r="BB577" s="328"/>
      <c r="BC577" s="328"/>
      <c r="BD577" s="328"/>
      <c r="BE577" s="330"/>
      <c r="BF577" s="330"/>
      <c r="BG577" s="344"/>
      <c r="BH577" s="330"/>
      <c r="BI577" s="330"/>
      <c r="BJ577" s="330"/>
      <c r="BK577" s="330"/>
      <c r="BL577" s="330"/>
      <c r="BM577" s="330"/>
      <c r="BN577" s="330"/>
      <c r="BO577" s="330"/>
      <c r="BP577" s="331"/>
      <c r="BQ577" s="332"/>
      <c r="BR577" s="333"/>
    </row>
    <row r="578" spans="2:70" ht="15.75" customHeight="1">
      <c r="B578" s="216" t="s">
        <v>395</v>
      </c>
      <c r="C578" s="212">
        <v>2808188</v>
      </c>
      <c r="D578" s="223">
        <v>18391138000124</v>
      </c>
      <c r="E578" s="217" t="s">
        <v>25</v>
      </c>
      <c r="F578" s="217" t="s">
        <v>959</v>
      </c>
      <c r="G578" s="217" t="s">
        <v>960</v>
      </c>
      <c r="H578" s="218" t="s">
        <v>66</v>
      </c>
      <c r="I578" s="217" t="s">
        <v>1842</v>
      </c>
      <c r="J578" s="217" t="s">
        <v>66</v>
      </c>
      <c r="K578" s="218" t="s">
        <v>951</v>
      </c>
      <c r="L578" s="212" t="s">
        <v>87</v>
      </c>
      <c r="M578" s="250"/>
      <c r="N578" s="239">
        <v>41486</v>
      </c>
      <c r="O578" s="210" t="s">
        <v>390</v>
      </c>
      <c r="P578" s="210" t="s">
        <v>1088</v>
      </c>
      <c r="Q578" s="210" t="s">
        <v>1089</v>
      </c>
      <c r="R578" s="210" t="s">
        <v>1084</v>
      </c>
      <c r="S578" s="210" t="s">
        <v>1078</v>
      </c>
      <c r="T578" s="210" t="s">
        <v>1082</v>
      </c>
      <c r="U578" s="210" t="s">
        <v>1086</v>
      </c>
      <c r="V578" s="210" t="s">
        <v>25</v>
      </c>
      <c r="W578" s="211" t="s">
        <v>1041</v>
      </c>
      <c r="X578" s="211">
        <v>1000</v>
      </c>
      <c r="Y578" s="211">
        <v>100</v>
      </c>
      <c r="Z578" s="212">
        <v>1000</v>
      </c>
      <c r="AA578" s="240">
        <v>31</v>
      </c>
      <c r="AB578" s="213">
        <v>1.9574999999999999E-2</v>
      </c>
      <c r="AC578" s="213">
        <v>0.2</v>
      </c>
      <c r="AD578" s="213" t="s">
        <v>109</v>
      </c>
      <c r="AE578" s="213">
        <v>4.8937499999999997E-3</v>
      </c>
      <c r="AF578" s="241">
        <v>645406349.61000001</v>
      </c>
      <c r="AG578" s="241">
        <v>645406349.61000001</v>
      </c>
      <c r="AH578" s="213">
        <v>0.13950000000000001</v>
      </c>
      <c r="AI578" s="352">
        <v>2.1493000000000002</v>
      </c>
      <c r="AJ578" s="213">
        <v>0.1313</v>
      </c>
      <c r="AK578" s="352">
        <v>1.3955</v>
      </c>
      <c r="AL578" s="213">
        <v>0.20150000000000001</v>
      </c>
      <c r="AM578" s="352">
        <v>1.6681999999999999</v>
      </c>
      <c r="AN578" s="213">
        <v>0.36170000000000002</v>
      </c>
      <c r="AO578" s="352">
        <v>2.1461999999999999</v>
      </c>
      <c r="AP578" s="213">
        <v>9.2700000000000005E-2</v>
      </c>
      <c r="AQ578" s="219">
        <v>0.40709733145938604</v>
      </c>
      <c r="AR578" s="213" t="s">
        <v>1827</v>
      </c>
      <c r="AV578" s="343"/>
      <c r="AW578" s="328"/>
      <c r="AX578" s="329"/>
      <c r="AY578" s="328"/>
      <c r="AZ578" s="328"/>
      <c r="BA578" s="330"/>
      <c r="BB578" s="328"/>
      <c r="BC578" s="328"/>
      <c r="BD578" s="328"/>
      <c r="BE578" s="330"/>
      <c r="BF578" s="330"/>
      <c r="BG578" s="344"/>
      <c r="BH578" s="330"/>
      <c r="BI578" s="330"/>
      <c r="BJ578" s="330"/>
      <c r="BK578" s="330"/>
      <c r="BL578" s="330"/>
      <c r="BM578" s="330"/>
      <c r="BN578" s="330"/>
      <c r="BO578" s="330"/>
      <c r="BP578" s="331"/>
      <c r="BQ578" s="332"/>
      <c r="BR578" s="333"/>
    </row>
    <row r="579" spans="2:70" ht="15.75" customHeight="1">
      <c r="B579" s="216" t="s">
        <v>1389</v>
      </c>
      <c r="C579" s="212">
        <v>1530106</v>
      </c>
      <c r="D579" s="223">
        <v>7900255000150</v>
      </c>
      <c r="E579" s="217" t="s">
        <v>19</v>
      </c>
      <c r="F579" s="217" t="s">
        <v>963</v>
      </c>
      <c r="G579" s="217" t="s">
        <v>1011</v>
      </c>
      <c r="H579" s="218" t="s">
        <v>1113</v>
      </c>
      <c r="I579" s="217" t="s">
        <v>66</v>
      </c>
      <c r="J579" s="217"/>
      <c r="K579" s="218" t="s">
        <v>951</v>
      </c>
      <c r="L579" s="212" t="s">
        <v>87</v>
      </c>
      <c r="M579" s="250"/>
      <c r="N579" s="239">
        <v>38854</v>
      </c>
      <c r="O579" s="210" t="s">
        <v>397</v>
      </c>
      <c r="P579" s="210" t="s">
        <v>1088</v>
      </c>
      <c r="Q579" s="210" t="s">
        <v>1089</v>
      </c>
      <c r="R579" s="210" t="s">
        <v>1084</v>
      </c>
      <c r="S579" s="210" t="s">
        <v>1085</v>
      </c>
      <c r="T579" s="210" t="s">
        <v>1275</v>
      </c>
      <c r="U579" s="210" t="s">
        <v>1114</v>
      </c>
      <c r="V579" s="210" t="s">
        <v>19</v>
      </c>
      <c r="W579" s="211" t="s">
        <v>1026</v>
      </c>
      <c r="X579" s="211">
        <v>500</v>
      </c>
      <c r="Y579" s="211">
        <v>500</v>
      </c>
      <c r="Z579" s="212">
        <v>500</v>
      </c>
      <c r="AA579" s="240">
        <v>1</v>
      </c>
      <c r="AB579" s="213">
        <v>3.5000000000000001E-3</v>
      </c>
      <c r="AC579" s="213">
        <v>0.2</v>
      </c>
      <c r="AD579" s="213" t="s">
        <v>109</v>
      </c>
      <c r="AE579" s="213">
        <v>8.7500000000000002E-4</v>
      </c>
      <c r="AF579" s="241">
        <v>1050726141.99</v>
      </c>
      <c r="AG579" s="241">
        <v>1050726141.99</v>
      </c>
      <c r="AH579" s="213">
        <v>7.1300000000000002E-2</v>
      </c>
      <c r="AI579" s="352">
        <v>1.0986</v>
      </c>
      <c r="AJ579" s="213">
        <v>0.1069</v>
      </c>
      <c r="AK579" s="352">
        <v>1.1367</v>
      </c>
      <c r="AL579" s="213">
        <v>0.155</v>
      </c>
      <c r="AM579" s="352">
        <v>1.2833000000000001</v>
      </c>
      <c r="AN579" s="213">
        <v>0.2</v>
      </c>
      <c r="AO579" s="352">
        <v>1.1868000000000001</v>
      </c>
      <c r="AP579" s="213">
        <v>1.9E-3</v>
      </c>
      <c r="AQ579" s="219">
        <v>6.2353025416461536</v>
      </c>
      <c r="AR579" s="213" t="s">
        <v>1827</v>
      </c>
      <c r="AV579" s="343"/>
      <c r="AW579" s="328"/>
      <c r="AX579" s="329"/>
      <c r="AY579" s="328"/>
      <c r="AZ579" s="328"/>
      <c r="BA579" s="330"/>
      <c r="BB579" s="328"/>
      <c r="BC579" s="328"/>
      <c r="BD579" s="328"/>
      <c r="BE579" s="330"/>
      <c r="BF579" s="330"/>
      <c r="BG579" s="344"/>
      <c r="BH579" s="330"/>
      <c r="BI579" s="330"/>
      <c r="BJ579" s="330"/>
      <c r="BK579" s="330"/>
      <c r="BL579" s="330"/>
      <c r="BM579" s="330"/>
      <c r="BN579" s="330"/>
      <c r="BO579" s="330"/>
      <c r="BP579" s="331"/>
      <c r="BQ579" s="332"/>
      <c r="BR579" s="333"/>
    </row>
    <row r="580" spans="2:70" ht="15.75" customHeight="1">
      <c r="B580" s="216" t="s">
        <v>396</v>
      </c>
      <c r="C580" s="212" t="s">
        <v>66</v>
      </c>
      <c r="D580" s="223">
        <v>32760042000117</v>
      </c>
      <c r="E580" s="217" t="s">
        <v>19</v>
      </c>
      <c r="F580" s="217" t="s">
        <v>963</v>
      </c>
      <c r="G580" s="217" t="s">
        <v>1011</v>
      </c>
      <c r="H580" s="218" t="s">
        <v>1113</v>
      </c>
      <c r="I580" s="217" t="s">
        <v>66</v>
      </c>
      <c r="J580" s="217"/>
      <c r="K580" s="218" t="s">
        <v>951</v>
      </c>
      <c r="L580" s="212" t="s">
        <v>87</v>
      </c>
      <c r="M580" s="250"/>
      <c r="N580" s="239">
        <v>43633</v>
      </c>
      <c r="O580" s="210" t="s">
        <v>397</v>
      </c>
      <c r="P580" s="210" t="s">
        <v>1088</v>
      </c>
      <c r="Q580" s="210" t="s">
        <v>1089</v>
      </c>
      <c r="R580" s="210" t="s">
        <v>1077</v>
      </c>
      <c r="S580" s="210" t="s">
        <v>1078</v>
      </c>
      <c r="T580" s="210" t="s">
        <v>1275</v>
      </c>
      <c r="U580" s="210" t="s">
        <v>1114</v>
      </c>
      <c r="V580" s="210" t="s">
        <v>19</v>
      </c>
      <c r="W580" s="211" t="s">
        <v>1024</v>
      </c>
      <c r="X580" s="211">
        <v>20000</v>
      </c>
      <c r="Y580" s="211">
        <v>5000</v>
      </c>
      <c r="Z580" s="212">
        <v>20000</v>
      </c>
      <c r="AA580" s="240">
        <v>46</v>
      </c>
      <c r="AB580" s="213">
        <v>5.0000000000000001E-3</v>
      </c>
      <c r="AC580" s="213">
        <v>0.2</v>
      </c>
      <c r="AD580" s="213" t="s">
        <v>1157</v>
      </c>
      <c r="AE580" s="213" t="s">
        <v>66</v>
      </c>
      <c r="AF580" s="241">
        <v>458331939.58999997</v>
      </c>
      <c r="AG580" s="241">
        <v>458331939.58999997</v>
      </c>
      <c r="AH580" s="213">
        <v>8.2500000000000004E-2</v>
      </c>
      <c r="AI580" s="352">
        <v>1.2715000000000001</v>
      </c>
      <c r="AJ580" s="213">
        <v>0.13009999999999999</v>
      </c>
      <c r="AK580" s="352">
        <v>1.3825000000000001</v>
      </c>
      <c r="AL580" s="213">
        <v>0.2069</v>
      </c>
      <c r="AM580" s="352">
        <v>1.7130000000000001</v>
      </c>
      <c r="AN580" s="213">
        <v>0.2823</v>
      </c>
      <c r="AO580" s="352">
        <v>1.6752</v>
      </c>
      <c r="AP580" s="213">
        <v>7.7000000000000002E-3</v>
      </c>
      <c r="AQ580" s="219">
        <v>4.1844047227193375</v>
      </c>
      <c r="AR580" s="213" t="s">
        <v>1827</v>
      </c>
      <c r="AV580" s="343"/>
      <c r="AW580" s="328"/>
      <c r="AX580" s="329"/>
      <c r="AY580" s="328"/>
      <c r="AZ580" s="328"/>
      <c r="BA580" s="330"/>
      <c r="BB580" s="328"/>
      <c r="BC580" s="328"/>
      <c r="BD580" s="328"/>
      <c r="BE580" s="330"/>
      <c r="BF580" s="330"/>
      <c r="BG580" s="344"/>
      <c r="BH580" s="330"/>
      <c r="BI580" s="330"/>
      <c r="BJ580" s="330"/>
      <c r="BK580" s="330"/>
      <c r="BL580" s="330"/>
      <c r="BM580" s="330"/>
      <c r="BN580" s="330"/>
      <c r="BO580" s="330"/>
      <c r="BP580" s="331"/>
      <c r="BQ580" s="332"/>
      <c r="BR580" s="333"/>
    </row>
    <row r="581" spans="2:70" ht="15.75" customHeight="1">
      <c r="B581" s="216" t="s">
        <v>398</v>
      </c>
      <c r="C581" s="212">
        <v>1056136</v>
      </c>
      <c r="D581" s="223">
        <v>8279304000141</v>
      </c>
      <c r="E581" s="217" t="s">
        <v>28</v>
      </c>
      <c r="F581" s="217" t="s">
        <v>950</v>
      </c>
      <c r="G581" s="217"/>
      <c r="H581" s="218"/>
      <c r="I581" s="217" t="s">
        <v>66</v>
      </c>
      <c r="J581" s="217" t="s">
        <v>66</v>
      </c>
      <c r="K581" s="218" t="s">
        <v>951</v>
      </c>
      <c r="L581" s="212" t="s">
        <v>87</v>
      </c>
      <c r="M581" s="250"/>
      <c r="N581" s="239">
        <v>39014</v>
      </c>
      <c r="O581" s="210" t="s">
        <v>397</v>
      </c>
      <c r="P581" s="210" t="s">
        <v>1088</v>
      </c>
      <c r="Q581" s="210" t="s">
        <v>1089</v>
      </c>
      <c r="R581" s="210" t="s">
        <v>1084</v>
      </c>
      <c r="S581" s="210" t="s">
        <v>1078</v>
      </c>
      <c r="T581" s="210" t="s">
        <v>1079</v>
      </c>
      <c r="U581" s="210" t="s">
        <v>950</v>
      </c>
      <c r="V581" s="210" t="s">
        <v>1080</v>
      </c>
      <c r="W581" s="211" t="s">
        <v>1015</v>
      </c>
      <c r="X581" s="211">
        <v>500</v>
      </c>
      <c r="Y581" s="211">
        <v>500</v>
      </c>
      <c r="Z581" s="212">
        <v>500</v>
      </c>
      <c r="AA581" s="240">
        <v>3</v>
      </c>
      <c r="AB581" s="213">
        <v>0.02</v>
      </c>
      <c r="AC581" s="213">
        <v>0</v>
      </c>
      <c r="AD581" s="213" t="s">
        <v>1014</v>
      </c>
      <c r="AE581" s="213">
        <v>5.0000000000000001E-3</v>
      </c>
      <c r="AF581" s="241">
        <v>913956760.50999999</v>
      </c>
      <c r="AG581" s="241">
        <v>913956760.50999999</v>
      </c>
      <c r="AH581" s="213">
        <v>-1.18E-2</v>
      </c>
      <c r="AI581" s="352">
        <v>-0.18190000000000001</v>
      </c>
      <c r="AJ581" s="213">
        <v>-0.19750000000000001</v>
      </c>
      <c r="AK581" s="352">
        <v>-2.0992000000000002</v>
      </c>
      <c r="AL581" s="213">
        <v>-0.12609999999999999</v>
      </c>
      <c r="AM581" s="352">
        <v>-1.0436000000000001</v>
      </c>
      <c r="AN581" s="213">
        <v>-0.1658</v>
      </c>
      <c r="AO581" s="352">
        <v>-0.98399999999999999</v>
      </c>
      <c r="AP581" s="213">
        <v>0.18729999999999999</v>
      </c>
      <c r="AQ581" s="219">
        <v>-1.5605874058838638</v>
      </c>
      <c r="AR581" s="213" t="s">
        <v>1824</v>
      </c>
      <c r="AV581" s="343"/>
      <c r="AW581" s="328"/>
      <c r="AX581" s="329"/>
      <c r="AY581" s="328"/>
      <c r="AZ581" s="328"/>
      <c r="BA581" s="330"/>
      <c r="BB581" s="328"/>
      <c r="BC581" s="328"/>
      <c r="BD581" s="328"/>
      <c r="BE581" s="330"/>
      <c r="BF581" s="330"/>
      <c r="BG581" s="344"/>
      <c r="BH581" s="330"/>
      <c r="BI581" s="330"/>
      <c r="BJ581" s="330"/>
      <c r="BK581" s="330"/>
      <c r="BL581" s="330"/>
      <c r="BM581" s="330"/>
      <c r="BN581" s="330"/>
      <c r="BO581" s="330"/>
      <c r="BP581" s="331"/>
      <c r="BQ581" s="332"/>
      <c r="BR581" s="333"/>
    </row>
    <row r="582" spans="2:70" ht="15.75" customHeight="1">
      <c r="B582" s="216" t="s">
        <v>1390</v>
      </c>
      <c r="C582" s="212">
        <v>945864</v>
      </c>
      <c r="D582" s="223">
        <v>32745560000161</v>
      </c>
      <c r="E582" s="217" t="s">
        <v>28</v>
      </c>
      <c r="F582" s="217" t="s">
        <v>32</v>
      </c>
      <c r="G582" s="217" t="s">
        <v>34</v>
      </c>
      <c r="H582" s="218"/>
      <c r="I582" s="217" t="s">
        <v>66</v>
      </c>
      <c r="J582" s="217" t="s">
        <v>66</v>
      </c>
      <c r="K582" s="218" t="s">
        <v>954</v>
      </c>
      <c r="L582" s="212" t="s">
        <v>88</v>
      </c>
      <c r="M582" s="250"/>
      <c r="N582" s="239">
        <v>43585</v>
      </c>
      <c r="O582" s="210" t="s">
        <v>397</v>
      </c>
      <c r="P582" s="210" t="s">
        <v>1088</v>
      </c>
      <c r="Q582" s="210" t="s">
        <v>1089</v>
      </c>
      <c r="R582" s="210" t="s">
        <v>1084</v>
      </c>
      <c r="S582" s="210" t="s">
        <v>1078</v>
      </c>
      <c r="T582" s="210" t="s">
        <v>34</v>
      </c>
      <c r="U582" s="210" t="s">
        <v>66</v>
      </c>
      <c r="V582" s="210" t="s">
        <v>34</v>
      </c>
      <c r="W582" s="211" t="s">
        <v>34</v>
      </c>
      <c r="X582" s="211">
        <v>500</v>
      </c>
      <c r="Y582" s="211">
        <v>500</v>
      </c>
      <c r="Z582" s="212">
        <v>500</v>
      </c>
      <c r="AA582" s="240">
        <v>1</v>
      </c>
      <c r="AB582" s="213">
        <v>2.2300000000000002E-3</v>
      </c>
      <c r="AC582" s="213">
        <v>0</v>
      </c>
      <c r="AD582" s="213" t="s">
        <v>1281</v>
      </c>
      <c r="AE582" s="213">
        <v>1.4866666666666668E-4</v>
      </c>
      <c r="AF582" s="241">
        <v>3134599.18</v>
      </c>
      <c r="AG582" s="241">
        <v>3134599.18</v>
      </c>
      <c r="AH582" s="213">
        <v>-6.4799999999999996E-2</v>
      </c>
      <c r="AI582" s="352">
        <v>-0.99850000000000005</v>
      </c>
      <c r="AJ582" s="213">
        <v>2.6599999999999999E-2</v>
      </c>
      <c r="AK582" s="352">
        <v>0.28320000000000001</v>
      </c>
      <c r="AL582" s="213">
        <v>2.24E-2</v>
      </c>
      <c r="AM582" s="352">
        <v>0.1857</v>
      </c>
      <c r="AN582" s="213">
        <v>0.3881</v>
      </c>
      <c r="AO582" s="352">
        <v>2.3029000000000002</v>
      </c>
      <c r="AP582" s="213">
        <v>0.16120000000000001</v>
      </c>
      <c r="AQ582" s="219">
        <v>-0.31465068922521716</v>
      </c>
      <c r="AR582" s="213" t="s">
        <v>1824</v>
      </c>
      <c r="AV582" s="343"/>
      <c r="AW582" s="328"/>
      <c r="AX582" s="329"/>
      <c r="AY582" s="328"/>
      <c r="AZ582" s="328"/>
      <c r="BA582" s="330"/>
      <c r="BB582" s="328"/>
      <c r="BC582" s="328"/>
      <c r="BD582" s="328"/>
      <c r="BE582" s="330"/>
      <c r="BF582" s="330"/>
      <c r="BG582" s="344"/>
      <c r="BH582" s="330"/>
      <c r="BI582" s="330"/>
      <c r="BJ582" s="330"/>
      <c r="BK582" s="330"/>
      <c r="BL582" s="330"/>
      <c r="BM582" s="330"/>
      <c r="BN582" s="330"/>
      <c r="BO582" s="330"/>
      <c r="BP582" s="331"/>
      <c r="BQ582" s="332"/>
      <c r="BR582" s="333"/>
    </row>
    <row r="583" spans="2:70" ht="15.75" customHeight="1">
      <c r="B583" s="216" t="s">
        <v>1391</v>
      </c>
      <c r="C583" s="212">
        <v>542205</v>
      </c>
      <c r="D583" s="223">
        <v>19719727000151</v>
      </c>
      <c r="E583" s="217" t="s">
        <v>19</v>
      </c>
      <c r="F583" s="217" t="s">
        <v>964</v>
      </c>
      <c r="G583" s="217" t="s">
        <v>1021</v>
      </c>
      <c r="H583" s="218" t="s">
        <v>1113</v>
      </c>
      <c r="I583" s="217" t="s">
        <v>66</v>
      </c>
      <c r="J583" s="217"/>
      <c r="K583" s="218" t="s">
        <v>951</v>
      </c>
      <c r="L583" s="212" t="s">
        <v>87</v>
      </c>
      <c r="M583" s="250"/>
      <c r="N583" s="239">
        <v>41754</v>
      </c>
      <c r="O583" s="210" t="s">
        <v>397</v>
      </c>
      <c r="P583" s="210" t="s">
        <v>1088</v>
      </c>
      <c r="Q583" s="210" t="s">
        <v>1089</v>
      </c>
      <c r="R583" s="210" t="s">
        <v>1084</v>
      </c>
      <c r="S583" s="210" t="s">
        <v>1078</v>
      </c>
      <c r="T583" s="210" t="s">
        <v>1275</v>
      </c>
      <c r="U583" s="210" t="s">
        <v>964</v>
      </c>
      <c r="V583" s="210" t="s">
        <v>19</v>
      </c>
      <c r="W583" s="211" t="s">
        <v>1017</v>
      </c>
      <c r="X583" s="211">
        <v>500</v>
      </c>
      <c r="Y583" s="211">
        <v>500</v>
      </c>
      <c r="Z583" s="212">
        <v>500</v>
      </c>
      <c r="AA583" s="240">
        <v>6</v>
      </c>
      <c r="AB583" s="213">
        <v>4.0000000000000001E-3</v>
      </c>
      <c r="AC583" s="213">
        <v>0.2</v>
      </c>
      <c r="AD583" s="213" t="s">
        <v>1157</v>
      </c>
      <c r="AE583" s="213">
        <v>6.6666666666666664E-4</v>
      </c>
      <c r="AF583" s="241">
        <v>851181529.04999995</v>
      </c>
      <c r="AG583" s="241">
        <v>851181529.04999995</v>
      </c>
      <c r="AH583" s="213">
        <v>6.6100000000000006E-2</v>
      </c>
      <c r="AI583" s="352">
        <v>1.0184</v>
      </c>
      <c r="AJ583" s="213">
        <v>8.6099999999999996E-2</v>
      </c>
      <c r="AK583" s="352">
        <v>0.9153</v>
      </c>
      <c r="AL583" s="213">
        <v>0.1681</v>
      </c>
      <c r="AM583" s="352">
        <v>1.3915</v>
      </c>
      <c r="AN583" s="213">
        <v>0.24460000000000001</v>
      </c>
      <c r="AO583" s="352">
        <v>1.4516</v>
      </c>
      <c r="AP583" s="213">
        <v>4.0399999999999998E-2</v>
      </c>
      <c r="AQ583" s="219">
        <v>-0.16083008821768902</v>
      </c>
      <c r="AR583" s="213" t="s">
        <v>1824</v>
      </c>
      <c r="AV583" s="343"/>
      <c r="AW583" s="328"/>
      <c r="AX583" s="329"/>
      <c r="AY583" s="328"/>
      <c r="AZ583" s="328"/>
      <c r="BA583" s="330"/>
      <c r="BB583" s="328"/>
      <c r="BC583" s="328"/>
      <c r="BD583" s="328"/>
      <c r="BE583" s="330"/>
      <c r="BF583" s="330"/>
      <c r="BG583" s="344"/>
      <c r="BH583" s="330"/>
      <c r="BI583" s="330"/>
      <c r="BJ583" s="330"/>
      <c r="BK583" s="330"/>
      <c r="BL583" s="330"/>
      <c r="BM583" s="330"/>
      <c r="BN583" s="330"/>
      <c r="BO583" s="330"/>
      <c r="BP583" s="331"/>
      <c r="BQ583" s="332"/>
      <c r="BR583" s="333"/>
    </row>
    <row r="584" spans="2:70" ht="15.75" customHeight="1">
      <c r="B584" s="216" t="s">
        <v>1906</v>
      </c>
      <c r="C584" s="212">
        <v>533023</v>
      </c>
      <c r="D584" s="223">
        <v>12682783000110</v>
      </c>
      <c r="E584" s="217" t="s">
        <v>19</v>
      </c>
      <c r="F584" s="217" t="s">
        <v>964</v>
      </c>
      <c r="G584" s="217" t="s">
        <v>1021</v>
      </c>
      <c r="H584" s="218" t="s">
        <v>1113</v>
      </c>
      <c r="I584" s="217" t="s">
        <v>66</v>
      </c>
      <c r="J584" s="217"/>
      <c r="K584" s="218" t="s">
        <v>951</v>
      </c>
      <c r="L584" s="212" t="s">
        <v>87</v>
      </c>
      <c r="M584" s="250"/>
      <c r="N584" s="239">
        <v>40514</v>
      </c>
      <c r="O584" s="210" t="s">
        <v>397</v>
      </c>
      <c r="P584" s="210" t="s">
        <v>1088</v>
      </c>
      <c r="Q584" s="210" t="s">
        <v>1089</v>
      </c>
      <c r="R584" s="210" t="s">
        <v>1084</v>
      </c>
      <c r="S584" s="210" t="s">
        <v>1078</v>
      </c>
      <c r="T584" s="210" t="s">
        <v>1275</v>
      </c>
      <c r="U584" s="210" t="s">
        <v>964</v>
      </c>
      <c r="V584" s="210" t="s">
        <v>19</v>
      </c>
      <c r="W584" s="211" t="s">
        <v>1017</v>
      </c>
      <c r="X584" s="211">
        <v>500</v>
      </c>
      <c r="Y584" s="211">
        <v>500</v>
      </c>
      <c r="Z584" s="212">
        <v>500</v>
      </c>
      <c r="AA584" s="240">
        <v>1</v>
      </c>
      <c r="AB584" s="213">
        <v>5.0000000000000001E-3</v>
      </c>
      <c r="AC584" s="213">
        <v>0</v>
      </c>
      <c r="AD584" s="213" t="s">
        <v>981</v>
      </c>
      <c r="AE584" s="213">
        <v>1.25E-3</v>
      </c>
      <c r="AF584" s="241">
        <v>195489413.15000001</v>
      </c>
      <c r="AG584" s="241">
        <v>195489413.15000001</v>
      </c>
      <c r="AH584" s="213">
        <v>6.1600000000000002E-2</v>
      </c>
      <c r="AI584" s="352">
        <v>0.94899999999999995</v>
      </c>
      <c r="AJ584" s="213">
        <v>8.8099999999999998E-2</v>
      </c>
      <c r="AK584" s="352">
        <v>0.93600000000000005</v>
      </c>
      <c r="AL584" s="213">
        <v>0.13539999999999999</v>
      </c>
      <c r="AM584" s="352">
        <v>1.121</v>
      </c>
      <c r="AN584" s="213">
        <v>0.2233</v>
      </c>
      <c r="AO584" s="352">
        <v>1.325</v>
      </c>
      <c r="AP584" s="213">
        <v>2.6700000000000002E-2</v>
      </c>
      <c r="AQ584" s="219">
        <v>-0.19365381801774947</v>
      </c>
      <c r="AR584" s="213" t="s">
        <v>1824</v>
      </c>
      <c r="AV584" s="343"/>
      <c r="AW584" s="328"/>
      <c r="AX584" s="329"/>
      <c r="AY584" s="328"/>
      <c r="AZ584" s="328"/>
      <c r="BA584" s="330"/>
      <c r="BB584" s="328"/>
      <c r="BC584" s="328"/>
      <c r="BD584" s="328"/>
      <c r="BE584" s="330"/>
      <c r="BF584" s="330"/>
      <c r="BG584" s="344"/>
      <c r="BH584" s="330"/>
      <c r="BI584" s="330"/>
      <c r="BJ584" s="330"/>
      <c r="BK584" s="330"/>
      <c r="BL584" s="330"/>
      <c r="BM584" s="330"/>
      <c r="BN584" s="330"/>
      <c r="BO584" s="330"/>
      <c r="BP584" s="331"/>
      <c r="BQ584" s="332"/>
      <c r="BR584" s="333"/>
    </row>
    <row r="585" spans="2:70" ht="15.75" customHeight="1">
      <c r="B585" s="216" t="s">
        <v>1907</v>
      </c>
      <c r="C585" s="212">
        <v>533756</v>
      </c>
      <c r="D585" s="223">
        <v>7400556000114</v>
      </c>
      <c r="E585" s="217" t="s">
        <v>19</v>
      </c>
      <c r="F585" s="217" t="s">
        <v>964</v>
      </c>
      <c r="G585" s="217" t="s">
        <v>1021</v>
      </c>
      <c r="H585" s="218" t="s">
        <v>1260</v>
      </c>
      <c r="I585" s="217" t="s">
        <v>66</v>
      </c>
      <c r="J585" s="217"/>
      <c r="K585" s="218" t="s">
        <v>951</v>
      </c>
      <c r="L585" s="212" t="s">
        <v>87</v>
      </c>
      <c r="M585" s="250"/>
      <c r="N585" s="239">
        <v>38534</v>
      </c>
      <c r="O585" s="210" t="s">
        <v>397</v>
      </c>
      <c r="P585" s="210" t="s">
        <v>1088</v>
      </c>
      <c r="Q585" s="210" t="s">
        <v>1089</v>
      </c>
      <c r="R585" s="210" t="s">
        <v>1084</v>
      </c>
      <c r="S585" s="210" t="s">
        <v>1078</v>
      </c>
      <c r="T585" s="210" t="s">
        <v>1275</v>
      </c>
      <c r="U585" s="210" t="s">
        <v>964</v>
      </c>
      <c r="V585" s="210" t="s">
        <v>19</v>
      </c>
      <c r="W585" s="211" t="s">
        <v>1896</v>
      </c>
      <c r="X585" s="211">
        <v>500</v>
      </c>
      <c r="Y585" s="211">
        <v>500</v>
      </c>
      <c r="Z585" s="212">
        <v>500</v>
      </c>
      <c r="AA585" s="240">
        <v>1</v>
      </c>
      <c r="AB585" s="213">
        <v>5.0000000000000001E-3</v>
      </c>
      <c r="AC585" s="213">
        <v>0</v>
      </c>
      <c r="AD585" s="213" t="s">
        <v>980</v>
      </c>
      <c r="AE585" s="213">
        <v>1.25E-3</v>
      </c>
      <c r="AF585" s="241">
        <v>99474233.579999998</v>
      </c>
      <c r="AG585" s="241">
        <v>99474233.579999998</v>
      </c>
      <c r="AH585" s="213">
        <v>-2.7000000000000001E-3</v>
      </c>
      <c r="AI585" s="352">
        <v>-4.1500000000000002E-2</v>
      </c>
      <c r="AJ585" s="213">
        <v>-4.99E-2</v>
      </c>
      <c r="AK585" s="352">
        <v>-0.53090000000000004</v>
      </c>
      <c r="AL585" s="213">
        <v>-3.1199999999999999E-2</v>
      </c>
      <c r="AM585" s="352">
        <v>-0.2586</v>
      </c>
      <c r="AN585" s="213">
        <v>1.6899999999999998E-2</v>
      </c>
      <c r="AO585" s="352">
        <v>0.1</v>
      </c>
      <c r="AP585" s="213">
        <v>8.9499999999999996E-2</v>
      </c>
      <c r="AQ585" s="219">
        <v>-1.5333924686871767</v>
      </c>
      <c r="AR585" s="213" t="s">
        <v>1824</v>
      </c>
      <c r="AV585" s="343"/>
      <c r="AW585" s="328"/>
      <c r="AX585" s="329"/>
      <c r="AY585" s="328"/>
      <c r="AZ585" s="328"/>
      <c r="BA585" s="330"/>
      <c r="BB585" s="328"/>
      <c r="BC585" s="328"/>
      <c r="BD585" s="328"/>
      <c r="BE585" s="330"/>
      <c r="BF585" s="330"/>
      <c r="BG585" s="344"/>
      <c r="BH585" s="330"/>
      <c r="BI585" s="330"/>
      <c r="BJ585" s="330"/>
      <c r="BK585" s="330"/>
      <c r="BL585" s="330"/>
      <c r="BM585" s="330"/>
      <c r="BN585" s="330"/>
      <c r="BO585" s="330"/>
      <c r="BP585" s="331"/>
      <c r="BQ585" s="332"/>
      <c r="BR585" s="333"/>
    </row>
    <row r="586" spans="2:70" ht="15.75" customHeight="1">
      <c r="B586" s="216" t="s">
        <v>1392</v>
      </c>
      <c r="C586" s="212">
        <v>2790935</v>
      </c>
      <c r="D586" s="223">
        <v>22504092000180</v>
      </c>
      <c r="E586" s="217" t="s">
        <v>25</v>
      </c>
      <c r="F586" s="217" t="s">
        <v>958</v>
      </c>
      <c r="G586" s="217" t="s">
        <v>962</v>
      </c>
      <c r="H586" s="218" t="s">
        <v>66</v>
      </c>
      <c r="I586" s="217" t="s">
        <v>1841</v>
      </c>
      <c r="J586" s="217" t="s">
        <v>66</v>
      </c>
      <c r="K586" s="218"/>
      <c r="L586" s="212" t="s">
        <v>87</v>
      </c>
      <c r="M586" s="250"/>
      <c r="N586" s="239">
        <v>42237</v>
      </c>
      <c r="O586" s="210" t="s">
        <v>397</v>
      </c>
      <c r="P586" s="210" t="s">
        <v>1088</v>
      </c>
      <c r="Q586" s="210" t="s">
        <v>1089</v>
      </c>
      <c r="R586" s="210" t="s">
        <v>1084</v>
      </c>
      <c r="S586" s="210" t="s">
        <v>1078</v>
      </c>
      <c r="T586" s="210" t="s">
        <v>1082</v>
      </c>
      <c r="U586" s="210" t="s">
        <v>958</v>
      </c>
      <c r="V586" s="210" t="s">
        <v>25</v>
      </c>
      <c r="W586" s="211" t="s">
        <v>1012</v>
      </c>
      <c r="X586" s="211">
        <v>500</v>
      </c>
      <c r="Y586" s="211">
        <v>500</v>
      </c>
      <c r="Z586" s="212">
        <v>500</v>
      </c>
      <c r="AA586" s="240">
        <v>2</v>
      </c>
      <c r="AB586" s="213">
        <v>1.4999999999999999E-2</v>
      </c>
      <c r="AC586" s="213">
        <v>0.2</v>
      </c>
      <c r="AD586" s="213" t="s">
        <v>109</v>
      </c>
      <c r="AE586" s="213">
        <v>2.9999999999999996E-3</v>
      </c>
      <c r="AF586" s="241">
        <v>101990784.18000001</v>
      </c>
      <c r="AG586" s="241">
        <v>101990784.18000001</v>
      </c>
      <c r="AH586" s="213">
        <v>7.0000000000000007E-2</v>
      </c>
      <c r="AI586" s="352">
        <v>1.0784</v>
      </c>
      <c r="AJ586" s="213">
        <v>0.1067</v>
      </c>
      <c r="AK586" s="352">
        <v>1.1339999999999999</v>
      </c>
      <c r="AL586" s="213">
        <v>0.1396</v>
      </c>
      <c r="AM586" s="352">
        <v>1.1553</v>
      </c>
      <c r="AN586" s="213">
        <v>0.17349999999999999</v>
      </c>
      <c r="AO586" s="352">
        <v>1.0297000000000001</v>
      </c>
      <c r="AP586" s="213">
        <v>2.2599999999999999E-2</v>
      </c>
      <c r="AQ586" s="219">
        <v>0.51788773035585045</v>
      </c>
      <c r="AR586" s="213" t="s">
        <v>1827</v>
      </c>
      <c r="AV586" s="343"/>
      <c r="AW586" s="328"/>
      <c r="AX586" s="329"/>
      <c r="AY586" s="328"/>
      <c r="AZ586" s="328"/>
      <c r="BA586" s="330"/>
      <c r="BB586" s="328"/>
      <c r="BC586" s="328"/>
      <c r="BD586" s="328"/>
      <c r="BE586" s="330"/>
      <c r="BF586" s="330"/>
      <c r="BG586" s="344"/>
      <c r="BH586" s="330"/>
      <c r="BI586" s="330"/>
      <c r="BJ586" s="330"/>
      <c r="BK586" s="330"/>
      <c r="BL586" s="330"/>
      <c r="BM586" s="330"/>
      <c r="BN586" s="330"/>
      <c r="BO586" s="330"/>
      <c r="BP586" s="331"/>
      <c r="BQ586" s="332"/>
      <c r="BR586" s="333"/>
    </row>
    <row r="587" spans="2:70" ht="15.75" customHeight="1">
      <c r="B587" s="216" t="s">
        <v>1393</v>
      </c>
      <c r="C587" s="212">
        <v>542532</v>
      </c>
      <c r="D587" s="223">
        <v>19418031000195</v>
      </c>
      <c r="E587" s="217" t="s">
        <v>19</v>
      </c>
      <c r="F587" s="217" t="s">
        <v>1009</v>
      </c>
      <c r="G587" s="217" t="s">
        <v>1021</v>
      </c>
      <c r="H587" s="218" t="s">
        <v>1260</v>
      </c>
      <c r="I587" s="217" t="s">
        <v>66</v>
      </c>
      <c r="J587" s="217"/>
      <c r="K587" s="218" t="s">
        <v>951</v>
      </c>
      <c r="L587" s="212" t="s">
        <v>87</v>
      </c>
      <c r="M587" s="250"/>
      <c r="N587" s="239">
        <v>41740</v>
      </c>
      <c r="O587" s="210" t="s">
        <v>397</v>
      </c>
      <c r="P587" s="210" t="s">
        <v>1088</v>
      </c>
      <c r="Q587" s="210" t="s">
        <v>1089</v>
      </c>
      <c r="R587" s="210" t="s">
        <v>1084</v>
      </c>
      <c r="S587" s="210" t="s">
        <v>1078</v>
      </c>
      <c r="T587" s="210" t="s">
        <v>1275</v>
      </c>
      <c r="U587" s="210" t="s">
        <v>1262</v>
      </c>
      <c r="V587" s="210" t="s">
        <v>19</v>
      </c>
      <c r="W587" s="211" t="s">
        <v>1022</v>
      </c>
      <c r="X587" s="211">
        <v>500</v>
      </c>
      <c r="Y587" s="211">
        <v>500</v>
      </c>
      <c r="Z587" s="212">
        <v>500</v>
      </c>
      <c r="AA587" s="240">
        <v>1</v>
      </c>
      <c r="AB587" s="213">
        <v>3.0000000000000001E-3</v>
      </c>
      <c r="AC587" s="213">
        <v>0.2</v>
      </c>
      <c r="AD587" s="213" t="s">
        <v>978</v>
      </c>
      <c r="AE587" s="213">
        <v>7.5000000000000002E-4</v>
      </c>
      <c r="AF587" s="241">
        <v>104648348.64</v>
      </c>
      <c r="AG587" s="241">
        <v>104648348.64</v>
      </c>
      <c r="AH587" s="213">
        <v>-5.7999999999999996E-3</v>
      </c>
      <c r="AI587" s="352">
        <v>-8.9499999999999996E-2</v>
      </c>
      <c r="AJ587" s="213">
        <v>-4.5100000000000001E-2</v>
      </c>
      <c r="AK587" s="352">
        <v>-0.4798</v>
      </c>
      <c r="AL587" s="213">
        <v>-8.7800000000000003E-2</v>
      </c>
      <c r="AM587" s="352">
        <v>-0.72660000000000002</v>
      </c>
      <c r="AN587" s="213">
        <v>2.35E-2</v>
      </c>
      <c r="AO587" s="352">
        <v>0.13969999999999999</v>
      </c>
      <c r="AP587" s="213">
        <v>8.6400000000000005E-2</v>
      </c>
      <c r="AQ587" s="219">
        <v>-1.5320131768801284</v>
      </c>
      <c r="AR587" s="213" t="s">
        <v>1824</v>
      </c>
      <c r="AV587" s="343"/>
      <c r="AW587" s="328"/>
      <c r="AX587" s="329"/>
      <c r="AY587" s="328"/>
      <c r="AZ587" s="328"/>
      <c r="BA587" s="330"/>
      <c r="BB587" s="328"/>
      <c r="BC587" s="328"/>
      <c r="BD587" s="328"/>
      <c r="BE587" s="330"/>
      <c r="BF587" s="330"/>
      <c r="BG587" s="344"/>
      <c r="BH587" s="330"/>
      <c r="BI587" s="330"/>
      <c r="BJ587" s="330"/>
      <c r="BK587" s="330"/>
      <c r="BL587" s="330"/>
      <c r="BM587" s="330"/>
      <c r="BN587" s="330"/>
      <c r="BO587" s="330"/>
      <c r="BP587" s="331"/>
      <c r="BQ587" s="332"/>
      <c r="BR587" s="333"/>
    </row>
    <row r="588" spans="2:70" ht="15.75" customHeight="1">
      <c r="B588" s="216" t="s">
        <v>1394</v>
      </c>
      <c r="C588" s="212">
        <v>542564</v>
      </c>
      <c r="D588" s="223">
        <v>8140054000164</v>
      </c>
      <c r="E588" s="217" t="s">
        <v>28</v>
      </c>
      <c r="F588" s="217" t="s">
        <v>950</v>
      </c>
      <c r="G588" s="217"/>
      <c r="H588" s="218"/>
      <c r="I588" s="217" t="s">
        <v>66</v>
      </c>
      <c r="J588" s="217" t="s">
        <v>66</v>
      </c>
      <c r="K588" s="218" t="s">
        <v>951</v>
      </c>
      <c r="L588" s="212" t="s">
        <v>87</v>
      </c>
      <c r="M588" s="250"/>
      <c r="N588" s="239">
        <v>38989</v>
      </c>
      <c r="O588" s="210" t="s">
        <v>399</v>
      </c>
      <c r="P588" s="210" t="s">
        <v>1110</v>
      </c>
      <c r="Q588" s="210" t="s">
        <v>1110</v>
      </c>
      <c r="R588" s="210" t="s">
        <v>1084</v>
      </c>
      <c r="S588" s="210" t="s">
        <v>1078</v>
      </c>
      <c r="T588" s="210" t="s">
        <v>1079</v>
      </c>
      <c r="U588" s="210" t="s">
        <v>950</v>
      </c>
      <c r="V588" s="210" t="s">
        <v>1080</v>
      </c>
      <c r="W588" s="211" t="s">
        <v>1007</v>
      </c>
      <c r="X588" s="211">
        <v>5000</v>
      </c>
      <c r="Y588" s="211">
        <v>1000</v>
      </c>
      <c r="Z588" s="212">
        <v>1000</v>
      </c>
      <c r="AA588" s="240">
        <v>4</v>
      </c>
      <c r="AB588" s="213">
        <v>0.02</v>
      </c>
      <c r="AC588" s="213">
        <v>0.2</v>
      </c>
      <c r="AD588" s="213" t="s">
        <v>1014</v>
      </c>
      <c r="AE588" s="213">
        <v>4.0000000000000001E-3</v>
      </c>
      <c r="AF588" s="241">
        <v>89979940.109999999</v>
      </c>
      <c r="AG588" s="241">
        <v>89979940.109999999</v>
      </c>
      <c r="AH588" s="213">
        <v>-6.7199999999999996E-2</v>
      </c>
      <c r="AI588" s="352">
        <v>-1.0356000000000001</v>
      </c>
      <c r="AJ588" s="213">
        <v>-0.27729999999999999</v>
      </c>
      <c r="AK588" s="352">
        <v>-2.9472</v>
      </c>
      <c r="AL588" s="213">
        <v>-3.9600000000000003E-2</v>
      </c>
      <c r="AM588" s="352">
        <v>-0.32790000000000002</v>
      </c>
      <c r="AN588" s="213">
        <v>0.21160000000000001</v>
      </c>
      <c r="AO588" s="352">
        <v>1.2557</v>
      </c>
      <c r="AP588" s="213">
        <v>0.24440000000000001</v>
      </c>
      <c r="AQ588" s="219">
        <v>-1.5733708427717024</v>
      </c>
      <c r="AR588" s="213" t="s">
        <v>1827</v>
      </c>
      <c r="AV588" s="343"/>
      <c r="AW588" s="328"/>
      <c r="AX588" s="329"/>
      <c r="AY588" s="328"/>
      <c r="AZ588" s="328"/>
      <c r="BA588" s="330"/>
      <c r="BB588" s="328"/>
      <c r="BC588" s="328"/>
      <c r="BD588" s="328"/>
      <c r="BE588" s="330"/>
      <c r="BF588" s="330"/>
      <c r="BG588" s="344"/>
      <c r="BH588" s="330"/>
      <c r="BI588" s="330"/>
      <c r="BJ588" s="330"/>
      <c r="BK588" s="330"/>
      <c r="BL588" s="330"/>
      <c r="BM588" s="330"/>
      <c r="BN588" s="330"/>
      <c r="BO588" s="330"/>
      <c r="BP588" s="331"/>
      <c r="BQ588" s="332"/>
      <c r="BR588" s="333"/>
    </row>
    <row r="589" spans="2:70" ht="15.75" customHeight="1">
      <c r="B589" s="216" t="s">
        <v>877</v>
      </c>
      <c r="C589" s="212">
        <v>3085780</v>
      </c>
      <c r="D589" s="223">
        <v>35646163000120</v>
      </c>
      <c r="E589" s="217" t="s">
        <v>28</v>
      </c>
      <c r="F589" s="217" t="s">
        <v>950</v>
      </c>
      <c r="G589" s="217"/>
      <c r="H589" s="218"/>
      <c r="I589" s="217" t="s">
        <v>66</v>
      </c>
      <c r="J589" s="217" t="s">
        <v>66</v>
      </c>
      <c r="K589" s="218" t="s">
        <v>951</v>
      </c>
      <c r="L589" s="212" t="s">
        <v>87</v>
      </c>
      <c r="M589" s="250"/>
      <c r="N589" s="239">
        <v>43826</v>
      </c>
      <c r="O589" s="210" t="s">
        <v>401</v>
      </c>
      <c r="P589" s="210" t="s">
        <v>1075</v>
      </c>
      <c r="Q589" s="210" t="s">
        <v>1076</v>
      </c>
      <c r="R589" s="210" t="s">
        <v>1077</v>
      </c>
      <c r="S589" s="210" t="s">
        <v>1078</v>
      </c>
      <c r="T589" s="210" t="s">
        <v>1079</v>
      </c>
      <c r="U589" s="210" t="s">
        <v>950</v>
      </c>
      <c r="V589" s="210" t="s">
        <v>1080</v>
      </c>
      <c r="W589" s="211" t="s">
        <v>1007</v>
      </c>
      <c r="X589" s="211">
        <v>5000</v>
      </c>
      <c r="Y589" s="211">
        <v>1000</v>
      </c>
      <c r="Z589" s="212">
        <v>1000</v>
      </c>
      <c r="AA589" s="240">
        <v>32</v>
      </c>
      <c r="AB589" s="213">
        <v>1.34E-2</v>
      </c>
      <c r="AC589" s="213">
        <v>0.2</v>
      </c>
      <c r="AD589" s="213" t="s">
        <v>981</v>
      </c>
      <c r="AE589" s="213">
        <v>4.0003466666666664E-3</v>
      </c>
      <c r="AF589" s="241">
        <v>9076249.1300000008</v>
      </c>
      <c r="AG589" s="241">
        <v>9076249.1300000008</v>
      </c>
      <c r="AH589" s="213">
        <v>-0.21840000000000001</v>
      </c>
      <c r="AI589" s="352">
        <v>-3.3639999999999999</v>
      </c>
      <c r="AJ589" s="213">
        <v>-0.45219999999999999</v>
      </c>
      <c r="AK589" s="352">
        <v>-4.8059000000000003</v>
      </c>
      <c r="AL589" s="213">
        <v>-0.33539999999999998</v>
      </c>
      <c r="AM589" s="352">
        <v>-2.7759</v>
      </c>
      <c r="AN589" s="213" t="s">
        <v>66</v>
      </c>
      <c r="AO589" s="352" t="s">
        <v>66</v>
      </c>
      <c r="AP589" s="213">
        <v>0.28970000000000001</v>
      </c>
      <c r="AQ589" s="219">
        <v>-2.2404904527298006</v>
      </c>
      <c r="AR589" s="213" t="s">
        <v>1827</v>
      </c>
      <c r="AV589" s="343"/>
      <c r="AW589" s="328"/>
      <c r="AX589" s="329"/>
      <c r="AY589" s="328"/>
      <c r="AZ589" s="328"/>
      <c r="BA589" s="330"/>
      <c r="BB589" s="328"/>
      <c r="BC589" s="328"/>
      <c r="BD589" s="328"/>
      <c r="BE589" s="330"/>
      <c r="BF589" s="330"/>
      <c r="BG589" s="344"/>
      <c r="BH589" s="330"/>
      <c r="BI589" s="330"/>
      <c r="BJ589" s="330"/>
      <c r="BK589" s="330"/>
      <c r="BL589" s="330"/>
      <c r="BM589" s="330"/>
      <c r="BN589" s="330"/>
      <c r="BO589" s="330"/>
      <c r="BP589" s="331"/>
      <c r="BQ589" s="332"/>
      <c r="BR589" s="333"/>
    </row>
    <row r="590" spans="2:70" ht="15.75" customHeight="1">
      <c r="B590" s="216" t="s">
        <v>400</v>
      </c>
      <c r="C590" s="212">
        <v>780899</v>
      </c>
      <c r="D590" s="223">
        <v>17335646000122</v>
      </c>
      <c r="E590" s="217" t="s">
        <v>28</v>
      </c>
      <c r="F590" s="217" t="s">
        <v>950</v>
      </c>
      <c r="G590" s="217"/>
      <c r="H590" s="218"/>
      <c r="I590" s="217" t="s">
        <v>66</v>
      </c>
      <c r="J590" s="217" t="s">
        <v>66</v>
      </c>
      <c r="K590" s="218" t="s">
        <v>951</v>
      </c>
      <c r="L590" s="212" t="s">
        <v>87</v>
      </c>
      <c r="M590" s="250"/>
      <c r="N590" s="239">
        <v>41271</v>
      </c>
      <c r="O590" s="210" t="s">
        <v>401</v>
      </c>
      <c r="P590" s="210" t="s">
        <v>1075</v>
      </c>
      <c r="Q590" s="210" t="s">
        <v>1076</v>
      </c>
      <c r="R590" s="210" t="s">
        <v>1084</v>
      </c>
      <c r="S590" s="210" t="s">
        <v>1078</v>
      </c>
      <c r="T590" s="210" t="s">
        <v>1079</v>
      </c>
      <c r="U590" s="210" t="s">
        <v>950</v>
      </c>
      <c r="V590" s="210" t="s">
        <v>1080</v>
      </c>
      <c r="W590" s="211" t="s">
        <v>1007</v>
      </c>
      <c r="X590" s="211">
        <v>5000</v>
      </c>
      <c r="Y590" s="211">
        <v>1000</v>
      </c>
      <c r="Z590" s="212">
        <v>1000</v>
      </c>
      <c r="AA590" s="240">
        <v>32</v>
      </c>
      <c r="AB590" s="213">
        <v>1.34E-2</v>
      </c>
      <c r="AC590" s="213">
        <v>0.2</v>
      </c>
      <c r="AD590" s="213" t="s">
        <v>1170</v>
      </c>
      <c r="AE590" s="213">
        <v>4.6899999999999997E-3</v>
      </c>
      <c r="AF590" s="241">
        <v>520071396.75999999</v>
      </c>
      <c r="AG590" s="241">
        <v>520071396.75999999</v>
      </c>
      <c r="AH590" s="213">
        <v>-0.20080000000000001</v>
      </c>
      <c r="AI590" s="352">
        <v>-3.0928</v>
      </c>
      <c r="AJ590" s="213">
        <v>-0.43659999999999999</v>
      </c>
      <c r="AK590" s="352">
        <v>-4.6401000000000003</v>
      </c>
      <c r="AL590" s="213">
        <v>-0.30209999999999998</v>
      </c>
      <c r="AM590" s="352">
        <v>-2.5004</v>
      </c>
      <c r="AN590" s="213">
        <v>-0.16880000000000001</v>
      </c>
      <c r="AO590" s="352">
        <v>-1.0019</v>
      </c>
      <c r="AP590" s="213">
        <v>0.28760000000000002</v>
      </c>
      <c r="AQ590" s="219">
        <v>-2.1612527690649093</v>
      </c>
      <c r="AR590" s="213" t="s">
        <v>1824</v>
      </c>
      <c r="AV590" s="343"/>
      <c r="AW590" s="328"/>
      <c r="AX590" s="329"/>
      <c r="AY590" s="328"/>
      <c r="AZ590" s="328"/>
      <c r="BA590" s="330"/>
      <c r="BB590" s="328"/>
      <c r="BC590" s="328"/>
      <c r="BD590" s="328"/>
      <c r="BE590" s="330"/>
      <c r="BF590" s="330"/>
      <c r="BG590" s="344"/>
      <c r="BH590" s="330"/>
      <c r="BI590" s="330"/>
      <c r="BJ590" s="330"/>
      <c r="BK590" s="330"/>
      <c r="BL590" s="330"/>
      <c r="BM590" s="330"/>
      <c r="BN590" s="330"/>
      <c r="BO590" s="330"/>
      <c r="BP590" s="331"/>
      <c r="BQ590" s="332"/>
      <c r="BR590" s="333"/>
    </row>
    <row r="591" spans="2:70" ht="15.75" customHeight="1">
      <c r="B591" s="216" t="s">
        <v>402</v>
      </c>
      <c r="C591" s="212">
        <v>1078065</v>
      </c>
      <c r="D591" s="223">
        <v>39363151000140</v>
      </c>
      <c r="E591" s="217" t="s">
        <v>28</v>
      </c>
      <c r="F591" s="217" t="s">
        <v>950</v>
      </c>
      <c r="G591" s="217"/>
      <c r="H591" s="218"/>
      <c r="I591" s="217" t="s">
        <v>66</v>
      </c>
      <c r="J591" s="217" t="s">
        <v>66</v>
      </c>
      <c r="K591" s="218" t="s">
        <v>951</v>
      </c>
      <c r="L591" s="212" t="s">
        <v>87</v>
      </c>
      <c r="M591" s="250"/>
      <c r="N591" s="239">
        <v>44141</v>
      </c>
      <c r="O591" s="210" t="s">
        <v>401</v>
      </c>
      <c r="P591" s="210" t="s">
        <v>1075</v>
      </c>
      <c r="Q591" s="210" t="s">
        <v>1076</v>
      </c>
      <c r="R591" s="210" t="s">
        <v>1077</v>
      </c>
      <c r="S591" s="210" t="s">
        <v>1078</v>
      </c>
      <c r="T591" s="210" t="s">
        <v>1079</v>
      </c>
      <c r="U591" s="210" t="s">
        <v>950</v>
      </c>
      <c r="V591" s="210" t="s">
        <v>1080</v>
      </c>
      <c r="W591" s="211" t="s">
        <v>1007</v>
      </c>
      <c r="X591" s="211">
        <v>50000</v>
      </c>
      <c r="Y591" s="211">
        <v>10000</v>
      </c>
      <c r="Z591" s="212">
        <v>10000</v>
      </c>
      <c r="AA591" s="240">
        <v>62</v>
      </c>
      <c r="AB591" s="213">
        <v>5.0000000000000001E-3</v>
      </c>
      <c r="AC591" s="213">
        <v>0.25</v>
      </c>
      <c r="AD591" s="213" t="s">
        <v>113</v>
      </c>
      <c r="AE591" s="213" t="s">
        <v>66</v>
      </c>
      <c r="AF591" s="241">
        <v>5293601.95</v>
      </c>
      <c r="AG591" s="241">
        <v>5293601.95</v>
      </c>
      <c r="AH591" s="213">
        <v>-0.3075</v>
      </c>
      <c r="AI591" s="352">
        <v>-4.7367999999999997</v>
      </c>
      <c r="AJ591" s="213">
        <v>-0.39229999999999998</v>
      </c>
      <c r="AK591" s="352">
        <v>-4.1695000000000002</v>
      </c>
      <c r="AL591" s="213" t="s">
        <v>66</v>
      </c>
      <c r="AM591" s="352" t="s">
        <v>66</v>
      </c>
      <c r="AN591" s="213" t="s">
        <v>66</v>
      </c>
      <c r="AO591" s="352" t="s">
        <v>66</v>
      </c>
      <c r="AP591" s="213">
        <v>0.31219999999999998</v>
      </c>
      <c r="AQ591" s="219">
        <v>-1.7253620249325445</v>
      </c>
      <c r="AR591" s="213" t="s">
        <v>1827</v>
      </c>
      <c r="AV591" s="343"/>
      <c r="AW591" s="328"/>
      <c r="AX591" s="329"/>
      <c r="AY591" s="328"/>
      <c r="AZ591" s="328"/>
      <c r="BA591" s="330"/>
      <c r="BB591" s="328"/>
      <c r="BC591" s="328"/>
      <c r="BD591" s="328"/>
      <c r="BE591" s="330"/>
      <c r="BF591" s="330"/>
      <c r="BG591" s="344"/>
      <c r="BH591" s="330"/>
      <c r="BI591" s="330"/>
      <c r="BJ591" s="330"/>
      <c r="BK591" s="330"/>
      <c r="BL591" s="330"/>
      <c r="BM591" s="330"/>
      <c r="BN591" s="330"/>
      <c r="BO591" s="330"/>
      <c r="BP591" s="331"/>
      <c r="BQ591" s="332"/>
      <c r="BR591" s="333"/>
    </row>
    <row r="592" spans="2:70" ht="15.75" customHeight="1">
      <c r="B592" s="216" t="s">
        <v>403</v>
      </c>
      <c r="C592" s="212">
        <v>592433</v>
      </c>
      <c r="D592" s="223">
        <v>40982906000173</v>
      </c>
      <c r="E592" s="217" t="s">
        <v>28</v>
      </c>
      <c r="F592" s="217" t="s">
        <v>950</v>
      </c>
      <c r="G592" s="217"/>
      <c r="H592" s="218"/>
      <c r="I592" s="217" t="s">
        <v>66</v>
      </c>
      <c r="J592" s="217" t="s">
        <v>66</v>
      </c>
      <c r="K592" s="218" t="s">
        <v>951</v>
      </c>
      <c r="L592" s="212" t="s">
        <v>87</v>
      </c>
      <c r="M592" s="250"/>
      <c r="N592" s="239">
        <v>44295</v>
      </c>
      <c r="O592" s="210" t="s">
        <v>401</v>
      </c>
      <c r="P592" s="210" t="s">
        <v>1075</v>
      </c>
      <c r="Q592" s="210" t="s">
        <v>1076</v>
      </c>
      <c r="R592" s="210" t="s">
        <v>1077</v>
      </c>
      <c r="S592" s="210" t="s">
        <v>1078</v>
      </c>
      <c r="T592" s="210" t="s">
        <v>1079</v>
      </c>
      <c r="U592" s="210" t="s">
        <v>950</v>
      </c>
      <c r="V592" s="210" t="s">
        <v>1080</v>
      </c>
      <c r="W592" s="211" t="s">
        <v>1007</v>
      </c>
      <c r="X592" s="211">
        <v>50000</v>
      </c>
      <c r="Y592" s="211">
        <v>10000</v>
      </c>
      <c r="Z592" s="212">
        <v>10000</v>
      </c>
      <c r="AA592" s="240">
        <v>92</v>
      </c>
      <c r="AB592" s="213">
        <v>5.0000000000000001E-3</v>
      </c>
      <c r="AC592" s="213">
        <v>0.2</v>
      </c>
      <c r="AD592" s="213" t="s">
        <v>203</v>
      </c>
      <c r="AE592" s="213" t="s">
        <v>66</v>
      </c>
      <c r="AF592" s="241">
        <v>1548556.19</v>
      </c>
      <c r="AG592" s="241">
        <v>1548556.19</v>
      </c>
      <c r="AH592" s="213">
        <v>-0.747</v>
      </c>
      <c r="AI592" s="352">
        <v>-11.5054</v>
      </c>
      <c r="AJ592" s="213">
        <v>-0.81489999999999996</v>
      </c>
      <c r="AK592" s="352">
        <v>-8.6611999999999991</v>
      </c>
      <c r="AL592" s="213" t="s">
        <v>66</v>
      </c>
      <c r="AM592" s="352" t="s">
        <v>66</v>
      </c>
      <c r="AN592" s="213" t="s">
        <v>66</v>
      </c>
      <c r="AO592" s="352" t="s">
        <v>66</v>
      </c>
      <c r="AP592" s="213">
        <v>0.68010000000000004</v>
      </c>
      <c r="AQ592" s="219">
        <v>-2.2594875250423159</v>
      </c>
      <c r="AR592" s="213" t="s">
        <v>1827</v>
      </c>
      <c r="AU592" s="343"/>
      <c r="AV592" s="343"/>
      <c r="AW592" s="328"/>
      <c r="AX592" s="329"/>
      <c r="AY592" s="328"/>
      <c r="AZ592" s="328"/>
      <c r="BA592" s="330"/>
      <c r="BB592" s="328"/>
      <c r="BC592" s="328"/>
      <c r="BD592" s="328"/>
      <c r="BE592" s="330"/>
      <c r="BF592" s="330"/>
      <c r="BG592" s="344"/>
      <c r="BH592" s="383"/>
      <c r="BI592" s="330"/>
      <c r="BJ592" s="330"/>
      <c r="BK592" s="330"/>
      <c r="BL592" s="330"/>
      <c r="BM592" s="330"/>
      <c r="BN592" s="330"/>
      <c r="BO592" s="330"/>
      <c r="BP592" s="331"/>
      <c r="BQ592" s="332"/>
      <c r="BR592" s="333"/>
    </row>
    <row r="593" spans="2:70" ht="15.75" customHeight="1">
      <c r="B593" s="216" t="s">
        <v>404</v>
      </c>
      <c r="C593" s="212">
        <v>635163</v>
      </c>
      <c r="D593" s="223">
        <v>41673186000127</v>
      </c>
      <c r="E593" s="217" t="s">
        <v>28</v>
      </c>
      <c r="F593" s="217" t="s">
        <v>950</v>
      </c>
      <c r="G593" s="217"/>
      <c r="H593" s="218"/>
      <c r="I593" s="217" t="s">
        <v>66</v>
      </c>
      <c r="J593" s="217" t="s">
        <v>66</v>
      </c>
      <c r="K593" s="218" t="s">
        <v>951</v>
      </c>
      <c r="L593" s="212" t="s">
        <v>87</v>
      </c>
      <c r="M593" s="250"/>
      <c r="N593" s="239">
        <v>44330</v>
      </c>
      <c r="O593" s="210" t="s">
        <v>401</v>
      </c>
      <c r="P593" s="210" t="s">
        <v>1075</v>
      </c>
      <c r="Q593" s="210" t="s">
        <v>1076</v>
      </c>
      <c r="R593" s="210" t="s">
        <v>1077</v>
      </c>
      <c r="S593" s="210" t="s">
        <v>1078</v>
      </c>
      <c r="T593" s="210" t="s">
        <v>1079</v>
      </c>
      <c r="U593" s="210" t="s">
        <v>950</v>
      </c>
      <c r="V593" s="210" t="s">
        <v>1080</v>
      </c>
      <c r="W593" s="211" t="s">
        <v>1007</v>
      </c>
      <c r="X593" s="211">
        <v>50000</v>
      </c>
      <c r="Y593" s="211">
        <v>10000</v>
      </c>
      <c r="Z593" s="212">
        <v>10000</v>
      </c>
      <c r="AA593" s="240">
        <v>92</v>
      </c>
      <c r="AB593" s="213">
        <v>5.0000000000000001E-3</v>
      </c>
      <c r="AC593" s="213">
        <v>0.2</v>
      </c>
      <c r="AD593" s="213" t="s">
        <v>203</v>
      </c>
      <c r="AE593" s="213" t="s">
        <v>66</v>
      </c>
      <c r="AF593" s="241">
        <v>4027997.71</v>
      </c>
      <c r="AG593" s="241">
        <v>4027997.71</v>
      </c>
      <c r="AH593" s="213">
        <v>-0.46179999999999999</v>
      </c>
      <c r="AI593" s="352">
        <v>-7.1128</v>
      </c>
      <c r="AJ593" s="213">
        <v>-0.85750000000000004</v>
      </c>
      <c r="AK593" s="352">
        <v>-9.1138999999999992</v>
      </c>
      <c r="AL593" s="213" t="s">
        <v>66</v>
      </c>
      <c r="AM593" s="352" t="s">
        <v>66</v>
      </c>
      <c r="AN593" s="213" t="s">
        <v>66</v>
      </c>
      <c r="AO593" s="352" t="s">
        <v>66</v>
      </c>
      <c r="AP593" s="213">
        <v>0.76549999999999996</v>
      </c>
      <c r="AQ593" s="219">
        <v>-2.2774680696632781</v>
      </c>
      <c r="AR593" s="213" t="s">
        <v>1827</v>
      </c>
      <c r="AV593" s="343"/>
      <c r="AW593" s="328"/>
      <c r="AX593" s="329"/>
      <c r="AY593" s="328"/>
      <c r="AZ593" s="328"/>
      <c r="BA593" s="330"/>
      <c r="BB593" s="328"/>
      <c r="BC593" s="328"/>
      <c r="BD593" s="328"/>
      <c r="BE593" s="330"/>
      <c r="BF593" s="330"/>
      <c r="BG593" s="344"/>
      <c r="BH593" s="330"/>
      <c r="BI593" s="330"/>
      <c r="BJ593" s="330"/>
      <c r="BK593" s="330"/>
      <c r="BL593" s="330"/>
      <c r="BM593" s="330"/>
      <c r="BN593" s="330"/>
      <c r="BO593" s="330"/>
      <c r="BP593" s="331"/>
      <c r="BQ593" s="332"/>
      <c r="BR593" s="333"/>
    </row>
    <row r="594" spans="2:70" ht="15.75" customHeight="1">
      <c r="B594" s="216" t="s">
        <v>1395</v>
      </c>
      <c r="C594" s="212">
        <v>592438</v>
      </c>
      <c r="D594" s="223">
        <v>37227745000106</v>
      </c>
      <c r="E594" s="217" t="s">
        <v>19</v>
      </c>
      <c r="F594" s="217" t="s">
        <v>963</v>
      </c>
      <c r="G594" s="217" t="s">
        <v>1011</v>
      </c>
      <c r="H594" s="218" t="s">
        <v>1113</v>
      </c>
      <c r="I594" s="217" t="s">
        <v>66</v>
      </c>
      <c r="J594" s="217"/>
      <c r="K594" s="218" t="s">
        <v>951</v>
      </c>
      <c r="L594" s="212" t="s">
        <v>87</v>
      </c>
      <c r="M594" s="250"/>
      <c r="N594" s="239">
        <v>44008</v>
      </c>
      <c r="O594" s="210" t="s">
        <v>405</v>
      </c>
      <c r="P594" s="210" t="s">
        <v>1075</v>
      </c>
      <c r="Q594" s="210" t="s">
        <v>1076</v>
      </c>
      <c r="R594" s="210" t="s">
        <v>1077</v>
      </c>
      <c r="S594" s="210" t="s">
        <v>1078</v>
      </c>
      <c r="T594" s="210" t="s">
        <v>1275</v>
      </c>
      <c r="U594" s="210" t="s">
        <v>1114</v>
      </c>
      <c r="V594" s="210" t="s">
        <v>19</v>
      </c>
      <c r="W594" s="211" t="s">
        <v>1024</v>
      </c>
      <c r="X594" s="211">
        <v>1000</v>
      </c>
      <c r="Y594" s="211">
        <v>1000</v>
      </c>
      <c r="Z594" s="212">
        <v>1000</v>
      </c>
      <c r="AA594" s="240">
        <v>90</v>
      </c>
      <c r="AB594" s="213">
        <v>4.0000000000000001E-3</v>
      </c>
      <c r="AC594" s="213">
        <v>0.15</v>
      </c>
      <c r="AD594" s="213" t="s">
        <v>113</v>
      </c>
      <c r="AE594" s="213">
        <v>1.6000000000000001E-3</v>
      </c>
      <c r="AF594" s="241">
        <v>22570773.550000001</v>
      </c>
      <c r="AG594" s="241">
        <v>22570773.550000001</v>
      </c>
      <c r="AH594" s="213">
        <v>7.85E-2</v>
      </c>
      <c r="AI594" s="352">
        <v>1.2093</v>
      </c>
      <c r="AJ594" s="213">
        <v>0.1174</v>
      </c>
      <c r="AK594" s="352">
        <v>1.2483</v>
      </c>
      <c r="AL594" s="213">
        <v>0.1835</v>
      </c>
      <c r="AM594" s="352">
        <v>1.5193000000000001</v>
      </c>
      <c r="AN594" s="213" t="s">
        <v>66</v>
      </c>
      <c r="AO594" s="352" t="s">
        <v>66</v>
      </c>
      <c r="AP594" s="213">
        <v>5.3E-3</v>
      </c>
      <c r="AQ594" s="219">
        <v>4.0270338319403871</v>
      </c>
      <c r="AR594" s="213" t="s">
        <v>1827</v>
      </c>
      <c r="AV594" s="343"/>
      <c r="AW594" s="328"/>
      <c r="AX594" s="329"/>
      <c r="AY594" s="328"/>
      <c r="AZ594" s="328"/>
      <c r="BA594" s="330"/>
      <c r="BB594" s="328"/>
      <c r="BC594" s="328"/>
      <c r="BD594" s="328"/>
      <c r="BE594" s="330"/>
      <c r="BF594" s="330"/>
      <c r="BG594" s="344"/>
      <c r="BH594" s="330"/>
      <c r="BI594" s="330"/>
      <c r="BJ594" s="330"/>
      <c r="BK594" s="330"/>
      <c r="BL594" s="330"/>
      <c r="BM594" s="330"/>
      <c r="BN594" s="330"/>
      <c r="BO594" s="330"/>
      <c r="BP594" s="331"/>
      <c r="BQ594" s="332"/>
      <c r="BR594" s="333"/>
    </row>
    <row r="595" spans="2:70" ht="15.75" customHeight="1">
      <c r="B595" s="216" t="s">
        <v>1396</v>
      </c>
      <c r="C595" s="212">
        <v>820117</v>
      </c>
      <c r="D595" s="223">
        <v>20879578000177</v>
      </c>
      <c r="E595" s="217" t="s">
        <v>19</v>
      </c>
      <c r="F595" s="217" t="s">
        <v>963</v>
      </c>
      <c r="G595" s="217" t="s">
        <v>1011</v>
      </c>
      <c r="H595" s="218" t="s">
        <v>1113</v>
      </c>
      <c r="I595" s="217" t="s">
        <v>66</v>
      </c>
      <c r="J595" s="217"/>
      <c r="K595" s="218" t="s">
        <v>951</v>
      </c>
      <c r="L595" s="212" t="s">
        <v>87</v>
      </c>
      <c r="M595" s="250"/>
      <c r="N595" s="239">
        <v>42034</v>
      </c>
      <c r="O595" s="210" t="s">
        <v>312</v>
      </c>
      <c r="P595" s="210" t="s">
        <v>1075</v>
      </c>
      <c r="Q595" s="210" t="s">
        <v>1076</v>
      </c>
      <c r="R595" s="210" t="s">
        <v>1084</v>
      </c>
      <c r="S595" s="210" t="s">
        <v>1078</v>
      </c>
      <c r="T595" s="210" t="s">
        <v>1275</v>
      </c>
      <c r="U595" s="210" t="s">
        <v>1114</v>
      </c>
      <c r="V595" s="210" t="s">
        <v>19</v>
      </c>
      <c r="W595" s="211" t="s">
        <v>1024</v>
      </c>
      <c r="X595" s="211">
        <v>500</v>
      </c>
      <c r="Y595" s="211">
        <v>100</v>
      </c>
      <c r="Z595" s="212">
        <v>500</v>
      </c>
      <c r="AA595" s="240">
        <v>1</v>
      </c>
      <c r="AB595" s="213">
        <v>5.0000000000000001E-3</v>
      </c>
      <c r="AC595" s="213">
        <v>0</v>
      </c>
      <c r="AD595" s="213" t="s">
        <v>109</v>
      </c>
      <c r="AE595" s="213">
        <v>1.5E-3</v>
      </c>
      <c r="AF595" s="241">
        <v>1005910221.2</v>
      </c>
      <c r="AG595" s="241">
        <v>1005910221.2</v>
      </c>
      <c r="AH595" s="213">
        <v>7.3400000000000007E-2</v>
      </c>
      <c r="AI595" s="352">
        <v>1.1312</v>
      </c>
      <c r="AJ595" s="213">
        <v>0.1207</v>
      </c>
      <c r="AK595" s="352">
        <v>1.2824</v>
      </c>
      <c r="AL595" s="213">
        <v>0.15759999999999999</v>
      </c>
      <c r="AM595" s="352">
        <v>1.3045</v>
      </c>
      <c r="AN595" s="213">
        <v>0.14879999999999999</v>
      </c>
      <c r="AO595" s="352">
        <v>0.88329999999999997</v>
      </c>
      <c r="AP595" s="213">
        <v>7.3000000000000001E-3</v>
      </c>
      <c r="AQ595" s="219">
        <v>3.3072803277996039</v>
      </c>
      <c r="AR595" s="213" t="s">
        <v>1827</v>
      </c>
      <c r="AV595" s="343"/>
      <c r="AW595" s="328"/>
      <c r="AX595" s="329"/>
      <c r="AY595" s="328"/>
      <c r="AZ595" s="328"/>
      <c r="BA595" s="330"/>
      <c r="BB595" s="328"/>
      <c r="BC595" s="328"/>
      <c r="BD595" s="328"/>
      <c r="BE595" s="330"/>
      <c r="BF595" s="330"/>
      <c r="BG595" s="344"/>
      <c r="BH595" s="330"/>
      <c r="BI595" s="330"/>
      <c r="BJ595" s="330"/>
      <c r="BK595" s="330"/>
      <c r="BL595" s="330"/>
      <c r="BM595" s="330"/>
      <c r="BN595" s="330"/>
      <c r="BO595" s="330"/>
      <c r="BP595" s="331"/>
      <c r="BQ595" s="332"/>
      <c r="BR595" s="333"/>
    </row>
    <row r="596" spans="2:70" ht="15.75" customHeight="1">
      <c r="B596" s="216" t="s">
        <v>1397</v>
      </c>
      <c r="C596" s="212">
        <v>563905</v>
      </c>
      <c r="D596" s="223">
        <v>9720710000160</v>
      </c>
      <c r="E596" s="217" t="s">
        <v>19</v>
      </c>
      <c r="F596" s="217" t="s">
        <v>963</v>
      </c>
      <c r="G596" s="217" t="s">
        <v>1011</v>
      </c>
      <c r="H596" s="218" t="s">
        <v>1113</v>
      </c>
      <c r="I596" s="217" t="s">
        <v>66</v>
      </c>
      <c r="J596" s="217"/>
      <c r="K596" s="218" t="s">
        <v>951</v>
      </c>
      <c r="L596" s="212" t="s">
        <v>87</v>
      </c>
      <c r="M596" s="250"/>
      <c r="N596" s="239">
        <v>39720</v>
      </c>
      <c r="O596" s="210" t="s">
        <v>312</v>
      </c>
      <c r="P596" s="210" t="s">
        <v>1075</v>
      </c>
      <c r="Q596" s="210" t="s">
        <v>1076</v>
      </c>
      <c r="R596" s="210" t="s">
        <v>1084</v>
      </c>
      <c r="S596" s="210" t="s">
        <v>1078</v>
      </c>
      <c r="T596" s="210" t="s">
        <v>1275</v>
      </c>
      <c r="U596" s="210" t="s">
        <v>1114</v>
      </c>
      <c r="V596" s="210" t="s">
        <v>19</v>
      </c>
      <c r="W596" s="211" t="s">
        <v>1024</v>
      </c>
      <c r="X596" s="211">
        <v>500</v>
      </c>
      <c r="Y596" s="211">
        <v>100</v>
      </c>
      <c r="Z596" s="212">
        <v>500</v>
      </c>
      <c r="AA596" s="240">
        <v>1</v>
      </c>
      <c r="AB596" s="213">
        <v>8.0000000000000002E-3</v>
      </c>
      <c r="AC596" s="213">
        <v>0.2</v>
      </c>
      <c r="AD596" s="213" t="s">
        <v>109</v>
      </c>
      <c r="AE596" s="213">
        <v>2.3999999999999998E-3</v>
      </c>
      <c r="AF596" s="241">
        <v>275084837.06999999</v>
      </c>
      <c r="AG596" s="241">
        <v>275084837.06999999</v>
      </c>
      <c r="AH596" s="213">
        <v>7.0800000000000002E-2</v>
      </c>
      <c r="AI596" s="352">
        <v>1.0907</v>
      </c>
      <c r="AJ596" s="213">
        <v>0.1077</v>
      </c>
      <c r="AK596" s="352">
        <v>1.1452</v>
      </c>
      <c r="AL596" s="213">
        <v>0.14219999999999999</v>
      </c>
      <c r="AM596" s="352">
        <v>1.1769000000000001</v>
      </c>
      <c r="AN596" s="213">
        <v>0.1613</v>
      </c>
      <c r="AO596" s="352">
        <v>0.95689999999999997</v>
      </c>
      <c r="AP596" s="213">
        <v>3.3E-3</v>
      </c>
      <c r="AQ596" s="219">
        <v>3.7532514186784507</v>
      </c>
      <c r="AR596" s="213" t="s">
        <v>1827</v>
      </c>
      <c r="AV596" s="343"/>
      <c r="AW596" s="328"/>
      <c r="AX596" s="329"/>
      <c r="AY596" s="328"/>
      <c r="AZ596" s="328"/>
      <c r="BA596" s="330"/>
      <c r="BB596" s="328"/>
      <c r="BC596" s="328"/>
      <c r="BD596" s="328"/>
      <c r="BE596" s="330"/>
      <c r="BF596" s="330"/>
      <c r="BG596" s="344"/>
      <c r="BH596" s="330"/>
      <c r="BI596" s="330"/>
      <c r="BJ596" s="330"/>
      <c r="BK596" s="330"/>
      <c r="BL596" s="330"/>
      <c r="BM596" s="330"/>
      <c r="BN596" s="330"/>
      <c r="BO596" s="330"/>
      <c r="BP596" s="331"/>
      <c r="BQ596" s="332"/>
      <c r="BR596" s="333"/>
    </row>
    <row r="597" spans="2:70" ht="15.75" customHeight="1">
      <c r="B597" s="216" t="s">
        <v>1398</v>
      </c>
      <c r="C597" s="212">
        <v>522952</v>
      </c>
      <c r="D597" s="223">
        <v>27826059000190</v>
      </c>
      <c r="E597" s="217" t="s">
        <v>19</v>
      </c>
      <c r="F597" s="217" t="s">
        <v>963</v>
      </c>
      <c r="G597" s="217" t="s">
        <v>1011</v>
      </c>
      <c r="H597" s="218" t="s">
        <v>1113</v>
      </c>
      <c r="I597" s="217" t="s">
        <v>66</v>
      </c>
      <c r="J597" s="217"/>
      <c r="K597" s="218" t="s">
        <v>951</v>
      </c>
      <c r="L597" s="212" t="s">
        <v>87</v>
      </c>
      <c r="M597" s="250"/>
      <c r="N597" s="239">
        <v>43039</v>
      </c>
      <c r="O597" s="210" t="s">
        <v>312</v>
      </c>
      <c r="P597" s="210" t="s">
        <v>1075</v>
      </c>
      <c r="Q597" s="210" t="s">
        <v>1076</v>
      </c>
      <c r="R597" s="210" t="s">
        <v>1084</v>
      </c>
      <c r="S597" s="210" t="s">
        <v>1078</v>
      </c>
      <c r="T597" s="210" t="s">
        <v>1275</v>
      </c>
      <c r="U597" s="210" t="s">
        <v>1114</v>
      </c>
      <c r="V597" s="210" t="s">
        <v>19</v>
      </c>
      <c r="W597" s="211" t="s">
        <v>1024</v>
      </c>
      <c r="X597" s="211">
        <v>500</v>
      </c>
      <c r="Y597" s="211">
        <v>100</v>
      </c>
      <c r="Z597" s="212">
        <v>500</v>
      </c>
      <c r="AA597" s="240">
        <v>15</v>
      </c>
      <c r="AB597" s="213">
        <v>6.0000000000000001E-3</v>
      </c>
      <c r="AC597" s="213">
        <v>0.2</v>
      </c>
      <c r="AD597" s="213" t="s">
        <v>109</v>
      </c>
      <c r="AE597" s="213">
        <v>1.8E-3</v>
      </c>
      <c r="AF597" s="241">
        <v>213361850.37</v>
      </c>
      <c r="AG597" s="241">
        <v>213361850.37</v>
      </c>
      <c r="AH597" s="213">
        <v>7.5200000000000003E-2</v>
      </c>
      <c r="AI597" s="352">
        <v>1.1577</v>
      </c>
      <c r="AJ597" s="213">
        <v>0.124</v>
      </c>
      <c r="AK597" s="352">
        <v>1.3174999999999999</v>
      </c>
      <c r="AL597" s="213">
        <v>0.1794</v>
      </c>
      <c r="AM597" s="352">
        <v>1.4852000000000001</v>
      </c>
      <c r="AN597" s="213">
        <v>0.15329999999999999</v>
      </c>
      <c r="AO597" s="352">
        <v>0.90959999999999996</v>
      </c>
      <c r="AP597" s="213">
        <v>7.4000000000000003E-3</v>
      </c>
      <c r="AQ597" s="219">
        <v>3.6597391940186985</v>
      </c>
      <c r="AR597" s="213" t="s">
        <v>1827</v>
      </c>
      <c r="AV597" s="343"/>
      <c r="AW597" s="328"/>
      <c r="AX597" s="329"/>
      <c r="AY597" s="328"/>
      <c r="AZ597" s="328"/>
      <c r="BA597" s="330"/>
      <c r="BB597" s="328"/>
      <c r="BC597" s="328"/>
      <c r="BD597" s="328"/>
      <c r="BE597" s="330"/>
      <c r="BF597" s="330"/>
      <c r="BG597" s="344"/>
      <c r="BH597" s="330"/>
      <c r="BI597" s="330"/>
      <c r="BJ597" s="330"/>
      <c r="BK597" s="330"/>
      <c r="BL597" s="330"/>
      <c r="BM597" s="330"/>
      <c r="BN597" s="330"/>
      <c r="BO597" s="330"/>
      <c r="BP597" s="331"/>
      <c r="BQ597" s="332"/>
      <c r="BR597" s="333"/>
    </row>
    <row r="598" spans="2:70" ht="15.75" customHeight="1">
      <c r="B598" s="216" t="s">
        <v>1399</v>
      </c>
      <c r="C598" s="212">
        <v>551078</v>
      </c>
      <c r="D598" s="223">
        <v>33784218000133</v>
      </c>
      <c r="E598" s="217" t="s">
        <v>19</v>
      </c>
      <c r="F598" s="217" t="s">
        <v>1009</v>
      </c>
      <c r="G598" s="217" t="s">
        <v>1011</v>
      </c>
      <c r="H598" s="218"/>
      <c r="I598" s="217" t="s">
        <v>66</v>
      </c>
      <c r="J598" s="217"/>
      <c r="K598" s="218" t="s">
        <v>954</v>
      </c>
      <c r="L598" s="212" t="s">
        <v>87</v>
      </c>
      <c r="M598" s="250"/>
      <c r="N598" s="239">
        <v>43707</v>
      </c>
      <c r="O598" s="210" t="s">
        <v>312</v>
      </c>
      <c r="P598" s="210" t="s">
        <v>1075</v>
      </c>
      <c r="Q598" s="210" t="s">
        <v>1091</v>
      </c>
      <c r="R598" s="210" t="s">
        <v>1077</v>
      </c>
      <c r="S598" s="210" t="s">
        <v>1078</v>
      </c>
      <c r="T598" s="210" t="s">
        <v>1275</v>
      </c>
      <c r="U598" s="210" t="s">
        <v>65</v>
      </c>
      <c r="V598" s="210" t="s">
        <v>25</v>
      </c>
      <c r="W598" s="211" t="s">
        <v>1037</v>
      </c>
      <c r="X598" s="211">
        <v>5000</v>
      </c>
      <c r="Y598" s="211">
        <v>1000</v>
      </c>
      <c r="Z598" s="212">
        <v>5000</v>
      </c>
      <c r="AA598" s="240">
        <v>60</v>
      </c>
      <c r="AB598" s="213">
        <v>0.01</v>
      </c>
      <c r="AC598" s="213">
        <v>0.15</v>
      </c>
      <c r="AD598" s="213" t="s">
        <v>109</v>
      </c>
      <c r="AE598" s="213">
        <v>2.3333333333333331E-3</v>
      </c>
      <c r="AF598" s="241">
        <v>71264848.5</v>
      </c>
      <c r="AG598" s="241">
        <v>71264848.5</v>
      </c>
      <c r="AH598" s="213">
        <v>5.45E-2</v>
      </c>
      <c r="AI598" s="352">
        <v>0.83989999999999998</v>
      </c>
      <c r="AJ598" s="213">
        <v>8.3699999999999997E-2</v>
      </c>
      <c r="AK598" s="352">
        <v>0.8901</v>
      </c>
      <c r="AL598" s="213">
        <v>0.17480000000000001</v>
      </c>
      <c r="AM598" s="352">
        <v>1.4471000000000001</v>
      </c>
      <c r="AN598" s="213" t="s">
        <v>66</v>
      </c>
      <c r="AO598" s="352" t="s">
        <v>66</v>
      </c>
      <c r="AP598" s="213">
        <v>0.02</v>
      </c>
      <c r="AQ598" s="219">
        <v>-0.46430031681779865</v>
      </c>
      <c r="AR598" s="213" t="s">
        <v>1827</v>
      </c>
      <c r="AV598" s="343"/>
      <c r="AW598" s="328"/>
      <c r="AX598" s="329"/>
      <c r="AY598" s="328"/>
      <c r="AZ598" s="328"/>
      <c r="BA598" s="330"/>
      <c r="BB598" s="328"/>
      <c r="BC598" s="328"/>
      <c r="BD598" s="328"/>
      <c r="BE598" s="330"/>
      <c r="BF598" s="330"/>
      <c r="BG598" s="344"/>
      <c r="BH598" s="330"/>
      <c r="BI598" s="330"/>
      <c r="BJ598" s="330"/>
      <c r="BK598" s="330"/>
      <c r="BL598" s="330"/>
      <c r="BM598" s="330"/>
      <c r="BN598" s="330"/>
      <c r="BO598" s="330"/>
      <c r="BP598" s="331"/>
      <c r="BQ598" s="332"/>
      <c r="BR598" s="333"/>
    </row>
    <row r="599" spans="2:70" ht="15.75" customHeight="1">
      <c r="B599" s="216" t="s">
        <v>1400</v>
      </c>
      <c r="C599" s="212">
        <v>951201</v>
      </c>
      <c r="D599" s="223">
        <v>24874367000100</v>
      </c>
      <c r="E599" s="217" t="s">
        <v>28</v>
      </c>
      <c r="F599" s="217" t="s">
        <v>950</v>
      </c>
      <c r="G599" s="217"/>
      <c r="H599" s="218"/>
      <c r="I599" s="217" t="s">
        <v>66</v>
      </c>
      <c r="J599" s="217" t="s">
        <v>66</v>
      </c>
      <c r="K599" s="218" t="s">
        <v>951</v>
      </c>
      <c r="L599" s="212" t="s">
        <v>87</v>
      </c>
      <c r="M599" s="250"/>
      <c r="N599" s="239">
        <v>42587</v>
      </c>
      <c r="O599" s="210" t="s">
        <v>1401</v>
      </c>
      <c r="P599" s="210" t="s">
        <v>1386</v>
      </c>
      <c r="Q599" s="210" t="s">
        <v>1148</v>
      </c>
      <c r="R599" s="210" t="s">
        <v>1084</v>
      </c>
      <c r="S599" s="210" t="s">
        <v>1078</v>
      </c>
      <c r="T599" s="210" t="s">
        <v>1079</v>
      </c>
      <c r="U599" s="210" t="s">
        <v>950</v>
      </c>
      <c r="V599" s="210" t="s">
        <v>1080</v>
      </c>
      <c r="W599" s="211" t="s">
        <v>1018</v>
      </c>
      <c r="X599" s="211">
        <v>10000</v>
      </c>
      <c r="Y599" s="211">
        <v>5000</v>
      </c>
      <c r="Z599" s="212">
        <v>5000</v>
      </c>
      <c r="AA599" s="240">
        <v>5</v>
      </c>
      <c r="AB599" s="213">
        <v>2.52E-2</v>
      </c>
      <c r="AC599" s="213">
        <v>0.2</v>
      </c>
      <c r="AD599" s="213" t="s">
        <v>1014</v>
      </c>
      <c r="AE599" s="213">
        <v>6.7200000000000003E-3</v>
      </c>
      <c r="AF599" s="241">
        <v>53805231.700000003</v>
      </c>
      <c r="AG599" s="241">
        <v>53805231.700000003</v>
      </c>
      <c r="AH599" s="213">
        <v>-0.4118</v>
      </c>
      <c r="AI599" s="352">
        <v>-6.3434999999999997</v>
      </c>
      <c r="AJ599" s="213">
        <v>-0.70089999999999997</v>
      </c>
      <c r="AK599" s="352">
        <v>-7.4493999999999998</v>
      </c>
      <c r="AL599" s="213">
        <v>-0.56220000000000003</v>
      </c>
      <c r="AM599" s="352">
        <v>-4.6536999999999997</v>
      </c>
      <c r="AN599" s="213">
        <v>-9.64E-2</v>
      </c>
      <c r="AO599" s="352">
        <v>-0.57230000000000003</v>
      </c>
      <c r="AP599" s="213">
        <v>0.48520000000000002</v>
      </c>
      <c r="AQ599" s="219">
        <v>-2.4241381328747424</v>
      </c>
      <c r="AR599" s="213" t="s">
        <v>1827</v>
      </c>
      <c r="AV599" s="343"/>
      <c r="AW599" s="328"/>
      <c r="AX599" s="329"/>
      <c r="AY599" s="328"/>
      <c r="AZ599" s="328"/>
      <c r="BA599" s="330"/>
      <c r="BB599" s="328"/>
      <c r="BC599" s="328"/>
      <c r="BD599" s="328"/>
      <c r="BE599" s="330"/>
      <c r="BF599" s="330"/>
      <c r="BG599" s="344"/>
      <c r="BH599" s="330"/>
      <c r="BI599" s="330"/>
      <c r="BJ599" s="330"/>
      <c r="BK599" s="330"/>
      <c r="BL599" s="330"/>
      <c r="BM599" s="330"/>
      <c r="BN599" s="330"/>
      <c r="BO599" s="330"/>
      <c r="BP599" s="331"/>
      <c r="BQ599" s="332"/>
      <c r="BR599" s="333"/>
    </row>
    <row r="600" spans="2:70" ht="15.75" customHeight="1">
      <c r="B600" s="216" t="s">
        <v>794</v>
      </c>
      <c r="C600" s="212">
        <v>2510333</v>
      </c>
      <c r="D600" s="223">
        <v>37608764000174</v>
      </c>
      <c r="E600" s="217" t="s">
        <v>19</v>
      </c>
      <c r="F600" s="217" t="s">
        <v>1009</v>
      </c>
      <c r="G600" s="217"/>
      <c r="H600" s="218"/>
      <c r="I600" s="217" t="s">
        <v>66</v>
      </c>
      <c r="J600" s="217"/>
      <c r="K600" s="218" t="s">
        <v>954</v>
      </c>
      <c r="L600" s="212" t="s">
        <v>87</v>
      </c>
      <c r="M600" s="250"/>
      <c r="N600" s="239">
        <v>44124</v>
      </c>
      <c r="O600" s="210" t="s">
        <v>795</v>
      </c>
      <c r="P600" s="210" t="s">
        <v>1387</v>
      </c>
      <c r="Q600" s="210" t="s">
        <v>1387</v>
      </c>
      <c r="R600" s="210" t="s">
        <v>1099</v>
      </c>
      <c r="S600" s="210" t="s">
        <v>1078</v>
      </c>
      <c r="T600" s="210" t="s">
        <v>1275</v>
      </c>
      <c r="U600" s="210" t="s">
        <v>65</v>
      </c>
      <c r="V600" s="210" t="s">
        <v>25</v>
      </c>
      <c r="W600" s="211" t="s">
        <v>1028</v>
      </c>
      <c r="X600" s="211">
        <v>1000</v>
      </c>
      <c r="Y600" s="211">
        <v>100</v>
      </c>
      <c r="Z600" s="212">
        <v>1000</v>
      </c>
      <c r="AA600" s="240">
        <v>20</v>
      </c>
      <c r="AB600" s="213">
        <v>1.15E-2</v>
      </c>
      <c r="AC600" s="213">
        <v>0.2</v>
      </c>
      <c r="AD600" s="213" t="s">
        <v>109</v>
      </c>
      <c r="AE600" s="213">
        <v>2.3E-3</v>
      </c>
      <c r="AF600" s="241">
        <v>11209323.109999999</v>
      </c>
      <c r="AG600" s="241">
        <v>11209323.109999999</v>
      </c>
      <c r="AH600" s="213">
        <v>-0.2276</v>
      </c>
      <c r="AI600" s="352">
        <v>-3.5055000000000001</v>
      </c>
      <c r="AJ600" s="213">
        <v>-0.2432</v>
      </c>
      <c r="AK600" s="352">
        <v>-2.5847000000000002</v>
      </c>
      <c r="AL600" s="213" t="s">
        <v>66</v>
      </c>
      <c r="AM600" s="352" t="s">
        <v>66</v>
      </c>
      <c r="AN600" s="213" t="s">
        <v>66</v>
      </c>
      <c r="AO600" s="352" t="s">
        <v>66</v>
      </c>
      <c r="AP600" s="213">
        <v>0.2152</v>
      </c>
      <c r="AQ600" s="219">
        <v>-1.6046053932906603</v>
      </c>
      <c r="AR600" s="213" t="s">
        <v>1827</v>
      </c>
      <c r="AV600" s="343"/>
      <c r="AW600" s="328"/>
      <c r="AX600" s="329"/>
      <c r="AY600" s="328"/>
      <c r="AZ600" s="328"/>
      <c r="BA600" s="330"/>
      <c r="BB600" s="328"/>
      <c r="BC600" s="328"/>
      <c r="BD600" s="328"/>
      <c r="BE600" s="330"/>
      <c r="BF600" s="330"/>
      <c r="BG600" s="344"/>
      <c r="BH600" s="330"/>
      <c r="BI600" s="330"/>
      <c r="BJ600" s="330"/>
      <c r="BK600" s="330"/>
      <c r="BL600" s="330"/>
      <c r="BM600" s="330"/>
      <c r="BN600" s="330"/>
      <c r="BO600" s="330"/>
      <c r="BP600" s="331"/>
      <c r="BQ600" s="332"/>
      <c r="BR600" s="333"/>
    </row>
    <row r="601" spans="2:70" ht="15.75" customHeight="1">
      <c r="B601" s="216" t="s">
        <v>1402</v>
      </c>
      <c r="C601" s="212">
        <v>1170780</v>
      </c>
      <c r="D601" s="223">
        <v>44347000000138</v>
      </c>
      <c r="E601" s="217" t="s">
        <v>28</v>
      </c>
      <c r="F601" s="217" t="s">
        <v>950</v>
      </c>
      <c r="G601" s="217"/>
      <c r="H601" s="218"/>
      <c r="I601" s="217" t="s">
        <v>66</v>
      </c>
      <c r="J601" s="217" t="s">
        <v>66</v>
      </c>
      <c r="K601" s="218" t="s">
        <v>951</v>
      </c>
      <c r="L601" s="212" t="s">
        <v>87</v>
      </c>
      <c r="M601" s="250"/>
      <c r="N601" s="239">
        <v>44551</v>
      </c>
      <c r="O601" s="210" t="s">
        <v>1401</v>
      </c>
      <c r="P601" s="210" t="s">
        <v>1075</v>
      </c>
      <c r="Q601" s="210" t="s">
        <v>1076</v>
      </c>
      <c r="R601" s="210" t="s">
        <v>1084</v>
      </c>
      <c r="S601" s="210" t="s">
        <v>1078</v>
      </c>
      <c r="T601" s="210" t="s">
        <v>1079</v>
      </c>
      <c r="U601" s="210" t="s">
        <v>950</v>
      </c>
      <c r="V601" s="210" t="s">
        <v>1080</v>
      </c>
      <c r="W601" s="211" t="s">
        <v>1007</v>
      </c>
      <c r="X601" s="211">
        <v>1000</v>
      </c>
      <c r="Y601" s="211">
        <v>1000</v>
      </c>
      <c r="Z601" s="212">
        <v>1000</v>
      </c>
      <c r="AA601" s="240">
        <v>9</v>
      </c>
      <c r="AB601" s="213">
        <v>0.01</v>
      </c>
      <c r="AC601" s="213">
        <v>0.2</v>
      </c>
      <c r="AD601" s="213" t="s">
        <v>1100</v>
      </c>
      <c r="AE601" s="213">
        <v>2.6670000000000001E-3</v>
      </c>
      <c r="AF601" s="241">
        <v>2152896.4700000002</v>
      </c>
      <c r="AG601" s="241">
        <v>2152896.4700000002</v>
      </c>
      <c r="AH601" s="213">
        <v>-0.2908</v>
      </c>
      <c r="AI601" s="352">
        <v>-4.4793000000000003</v>
      </c>
      <c r="AJ601" s="213" t="s">
        <v>66</v>
      </c>
      <c r="AK601" s="352" t="s">
        <v>66</v>
      </c>
      <c r="AL601" s="213" t="s">
        <v>66</v>
      </c>
      <c r="AM601" s="352" t="s">
        <v>66</v>
      </c>
      <c r="AN601" s="213" t="s">
        <v>66</v>
      </c>
      <c r="AO601" s="352" t="s">
        <v>66</v>
      </c>
      <c r="AP601" s="213" t="s">
        <v>66</v>
      </c>
      <c r="AQ601" s="219" t="s">
        <v>66</v>
      </c>
      <c r="AR601" s="213" t="s">
        <v>1824</v>
      </c>
      <c r="AV601" s="343"/>
      <c r="AW601" s="328"/>
      <c r="AX601" s="329"/>
      <c r="AY601" s="328"/>
      <c r="AZ601" s="328"/>
      <c r="BA601" s="330"/>
      <c r="BB601" s="328"/>
      <c r="BC601" s="328"/>
      <c r="BD601" s="328"/>
      <c r="BE601" s="330"/>
      <c r="BF601" s="330"/>
      <c r="BG601" s="344"/>
      <c r="BH601" s="330"/>
      <c r="BI601" s="330"/>
      <c r="BJ601" s="330"/>
      <c r="BK601" s="330"/>
      <c r="BL601" s="330"/>
      <c r="BM601" s="330"/>
      <c r="BN601" s="330"/>
      <c r="BO601" s="330"/>
      <c r="BP601" s="331"/>
      <c r="BQ601" s="332"/>
      <c r="BR601" s="333"/>
    </row>
    <row r="602" spans="2:70" ht="15.75" customHeight="1">
      <c r="B602" s="216" t="s">
        <v>1403</v>
      </c>
      <c r="C602" s="212">
        <v>1565407</v>
      </c>
      <c r="D602" s="223">
        <v>35939847000110</v>
      </c>
      <c r="E602" s="217" t="s">
        <v>28</v>
      </c>
      <c r="F602" s="217" t="s">
        <v>950</v>
      </c>
      <c r="G602" s="217"/>
      <c r="H602" s="218"/>
      <c r="I602" s="217" t="s">
        <v>66</v>
      </c>
      <c r="J602" s="217" t="s">
        <v>66</v>
      </c>
      <c r="K602" s="218" t="s">
        <v>954</v>
      </c>
      <c r="L602" s="212" t="s">
        <v>88</v>
      </c>
      <c r="M602" s="250"/>
      <c r="N602" s="239">
        <v>43917</v>
      </c>
      <c r="O602" s="210" t="s">
        <v>406</v>
      </c>
      <c r="P602" s="210" t="s">
        <v>1090</v>
      </c>
      <c r="Q602" s="210" t="s">
        <v>1091</v>
      </c>
      <c r="R602" s="210" t="s">
        <v>1077</v>
      </c>
      <c r="S602" s="210" t="s">
        <v>1078</v>
      </c>
      <c r="T602" s="210" t="s">
        <v>1079</v>
      </c>
      <c r="U602" s="210" t="s">
        <v>65</v>
      </c>
      <c r="V602" s="210" t="s">
        <v>1080</v>
      </c>
      <c r="W602" s="211" t="s">
        <v>1036</v>
      </c>
      <c r="X602" s="211">
        <v>1000</v>
      </c>
      <c r="Y602" s="211">
        <v>100</v>
      </c>
      <c r="Z602" s="212">
        <v>0</v>
      </c>
      <c r="AA602" s="240">
        <v>14</v>
      </c>
      <c r="AB602" s="213">
        <v>1.4999999999999999E-2</v>
      </c>
      <c r="AC602" s="213">
        <v>0.15</v>
      </c>
      <c r="AD602" s="213" t="s">
        <v>113</v>
      </c>
      <c r="AE602" s="213">
        <v>2.4999999999999996E-3</v>
      </c>
      <c r="AF602" s="241">
        <v>99529575.069999993</v>
      </c>
      <c r="AG602" s="241">
        <v>99529575.069999993</v>
      </c>
      <c r="AH602" s="213">
        <v>-0.31569999999999998</v>
      </c>
      <c r="AI602" s="352">
        <v>-4.8632999999999997</v>
      </c>
      <c r="AJ602" s="213">
        <v>-0.24410000000000001</v>
      </c>
      <c r="AK602" s="352">
        <v>-2.5950000000000002</v>
      </c>
      <c r="AL602" s="213">
        <v>5.3499999999999999E-2</v>
      </c>
      <c r="AM602" s="352">
        <v>0.44309999999999999</v>
      </c>
      <c r="AN602" s="213" t="s">
        <v>66</v>
      </c>
      <c r="AO602" s="352" t="s">
        <v>66</v>
      </c>
      <c r="AP602" s="213">
        <v>0.27110000000000001</v>
      </c>
      <c r="AQ602" s="219">
        <v>-1.2283282881475244</v>
      </c>
      <c r="AR602" s="213" t="s">
        <v>1827</v>
      </c>
      <c r="AU602" s="343"/>
      <c r="AV602" s="343"/>
      <c r="AW602" s="328"/>
      <c r="AX602" s="329"/>
      <c r="AY602" s="328"/>
      <c r="AZ602" s="328"/>
      <c r="BA602" s="330"/>
      <c r="BB602" s="328"/>
      <c r="BC602" s="328"/>
      <c r="BD602" s="328"/>
      <c r="BE602" s="330"/>
      <c r="BF602" s="330"/>
      <c r="BG602" s="344"/>
      <c r="BH602" s="383"/>
      <c r="BI602" s="330"/>
      <c r="BJ602" s="330"/>
      <c r="BK602" s="330"/>
      <c r="BL602" s="330"/>
      <c r="BM602" s="330"/>
      <c r="BN602" s="330"/>
      <c r="BO602" s="330"/>
      <c r="BP602" s="331"/>
      <c r="BQ602" s="332"/>
      <c r="BR602" s="333"/>
    </row>
    <row r="603" spans="2:70" ht="15.75" customHeight="1">
      <c r="B603" s="216" t="s">
        <v>1404</v>
      </c>
      <c r="C603" s="212">
        <v>1857998</v>
      </c>
      <c r="D603" s="223">
        <v>29544764000120</v>
      </c>
      <c r="E603" s="217" t="s">
        <v>28</v>
      </c>
      <c r="F603" s="217" t="s">
        <v>950</v>
      </c>
      <c r="G603" s="217"/>
      <c r="H603" s="218"/>
      <c r="I603" s="217" t="s">
        <v>66</v>
      </c>
      <c r="J603" s="217" t="s">
        <v>66</v>
      </c>
      <c r="K603" s="218" t="s">
        <v>951</v>
      </c>
      <c r="L603" s="212" t="s">
        <v>87</v>
      </c>
      <c r="M603" s="250"/>
      <c r="N603" s="239">
        <v>33057</v>
      </c>
      <c r="O603" s="210" t="s">
        <v>406</v>
      </c>
      <c r="P603" s="210" t="s">
        <v>1090</v>
      </c>
      <c r="Q603" s="210" t="s">
        <v>1091</v>
      </c>
      <c r="R603" s="210" t="s">
        <v>1077</v>
      </c>
      <c r="S603" s="210" t="s">
        <v>1078</v>
      </c>
      <c r="T603" s="210" t="s">
        <v>1079</v>
      </c>
      <c r="U603" s="210" t="s">
        <v>950</v>
      </c>
      <c r="V603" s="210" t="s">
        <v>1080</v>
      </c>
      <c r="W603" s="211" t="s">
        <v>1007</v>
      </c>
      <c r="X603" s="211">
        <v>20000</v>
      </c>
      <c r="Y603" s="211">
        <v>5000</v>
      </c>
      <c r="Z603" s="212">
        <v>20000</v>
      </c>
      <c r="AA603" s="240">
        <v>32</v>
      </c>
      <c r="AB603" s="213">
        <v>0.02</v>
      </c>
      <c r="AC603" s="213">
        <v>0.2</v>
      </c>
      <c r="AD603" s="213" t="s">
        <v>203</v>
      </c>
      <c r="AE603" s="213">
        <v>3.3339999999999997E-3</v>
      </c>
      <c r="AF603" s="241">
        <v>419724815.51999998</v>
      </c>
      <c r="AG603" s="241">
        <v>419724815.51999998</v>
      </c>
      <c r="AH603" s="213">
        <v>-0.22869999999999999</v>
      </c>
      <c r="AI603" s="352">
        <v>-3.5221</v>
      </c>
      <c r="AJ603" s="213">
        <v>-0.2349</v>
      </c>
      <c r="AK603" s="352">
        <v>-2.4962</v>
      </c>
      <c r="AL603" s="213">
        <v>-3.6299999999999999E-2</v>
      </c>
      <c r="AM603" s="352">
        <v>-0.30070000000000002</v>
      </c>
      <c r="AN603" s="213">
        <v>0.19170000000000001</v>
      </c>
      <c r="AO603" s="352">
        <v>1.1375999999999999</v>
      </c>
      <c r="AP603" s="213">
        <v>0.2311</v>
      </c>
      <c r="AQ603" s="219">
        <v>-1.431508733800577</v>
      </c>
      <c r="AR603" s="213" t="s">
        <v>1827</v>
      </c>
      <c r="AV603" s="343"/>
      <c r="AW603" s="328"/>
      <c r="AX603" s="329"/>
      <c r="AY603" s="328"/>
      <c r="AZ603" s="328"/>
      <c r="BA603" s="330"/>
      <c r="BB603" s="328"/>
      <c r="BC603" s="328"/>
      <c r="BD603" s="328"/>
      <c r="BE603" s="330"/>
      <c r="BF603" s="330"/>
      <c r="BG603" s="344"/>
      <c r="BH603" s="330"/>
      <c r="BI603" s="330"/>
      <c r="BJ603" s="330"/>
      <c r="BK603" s="330"/>
      <c r="BL603" s="330"/>
      <c r="BM603" s="330"/>
      <c r="BN603" s="330"/>
      <c r="BO603" s="330"/>
      <c r="BP603" s="331"/>
      <c r="BQ603" s="332"/>
      <c r="BR603" s="333"/>
    </row>
    <row r="604" spans="2:70" ht="15.75" customHeight="1">
      <c r="B604" s="216" t="s">
        <v>1405</v>
      </c>
      <c r="C604" s="212">
        <v>1088264</v>
      </c>
      <c r="D604" s="223">
        <v>12082452000149</v>
      </c>
      <c r="E604" s="217" t="s">
        <v>19</v>
      </c>
      <c r="F604" s="217" t="s">
        <v>963</v>
      </c>
      <c r="G604" s="217" t="s">
        <v>1011</v>
      </c>
      <c r="H604" s="218" t="s">
        <v>1113</v>
      </c>
      <c r="I604" s="217" t="s">
        <v>66</v>
      </c>
      <c r="J604" s="217"/>
      <c r="K604" s="218"/>
      <c r="L604" s="212" t="s">
        <v>87</v>
      </c>
      <c r="M604" s="250"/>
      <c r="N604" s="239">
        <v>40375</v>
      </c>
      <c r="O604" s="210" t="s">
        <v>406</v>
      </c>
      <c r="P604" s="210" t="s">
        <v>1090</v>
      </c>
      <c r="Q604" s="210" t="s">
        <v>1091</v>
      </c>
      <c r="R604" s="210" t="s">
        <v>1084</v>
      </c>
      <c r="S604" s="210" t="s">
        <v>1078</v>
      </c>
      <c r="T604" s="210" t="s">
        <v>1275</v>
      </c>
      <c r="U604" s="210" t="s">
        <v>1114</v>
      </c>
      <c r="V604" s="210" t="s">
        <v>1080</v>
      </c>
      <c r="W604" s="211" t="s">
        <v>1007</v>
      </c>
      <c r="X604" s="211">
        <v>1000</v>
      </c>
      <c r="Y604" s="211">
        <v>100</v>
      </c>
      <c r="Z604" s="212">
        <v>0</v>
      </c>
      <c r="AA604" s="240">
        <v>32</v>
      </c>
      <c r="AB604" s="213">
        <v>0.02</v>
      </c>
      <c r="AC604" s="213">
        <v>0.2</v>
      </c>
      <c r="AD604" s="213" t="s">
        <v>1170</v>
      </c>
      <c r="AE604" s="213">
        <v>5.0000000000000001E-3</v>
      </c>
      <c r="AF604" s="241">
        <v>595399104.37</v>
      </c>
      <c r="AG604" s="241">
        <v>595399104.37</v>
      </c>
      <c r="AH604" s="213">
        <v>-0.2298</v>
      </c>
      <c r="AI604" s="352">
        <v>-3.5402999999999998</v>
      </c>
      <c r="AJ604" s="213">
        <v>-0.25269999999999998</v>
      </c>
      <c r="AK604" s="352">
        <v>-2.6861999999999999</v>
      </c>
      <c r="AL604" s="213">
        <v>-4.7E-2</v>
      </c>
      <c r="AM604" s="352">
        <v>-0.38890000000000002</v>
      </c>
      <c r="AN604" s="213">
        <v>0.18279999999999999</v>
      </c>
      <c r="AO604" s="352">
        <v>1.0846</v>
      </c>
      <c r="AP604" s="213">
        <v>0.2319</v>
      </c>
      <c r="AQ604" s="219">
        <v>-1.5277508629420136</v>
      </c>
      <c r="AR604" s="213" t="s">
        <v>1827</v>
      </c>
      <c r="AV604" s="343"/>
      <c r="AW604" s="328"/>
      <c r="AX604" s="329"/>
      <c r="AY604" s="328"/>
      <c r="AZ604" s="328"/>
      <c r="BA604" s="330"/>
      <c r="BB604" s="328"/>
      <c r="BC604" s="328"/>
      <c r="BD604" s="328"/>
      <c r="BE604" s="330"/>
      <c r="BF604" s="330"/>
      <c r="BG604" s="344"/>
      <c r="BH604" s="330"/>
      <c r="BI604" s="330"/>
      <c r="BJ604" s="330"/>
      <c r="BK604" s="330"/>
      <c r="BL604" s="330"/>
      <c r="BM604" s="330"/>
      <c r="BN604" s="330"/>
      <c r="BO604" s="330"/>
      <c r="BP604" s="331"/>
      <c r="BQ604" s="332"/>
      <c r="BR604" s="333"/>
    </row>
    <row r="605" spans="2:70" ht="15.75" customHeight="1">
      <c r="B605" s="216" t="s">
        <v>1406</v>
      </c>
      <c r="C605" s="212">
        <v>534917</v>
      </c>
      <c r="D605" s="223">
        <v>5936530000160</v>
      </c>
      <c r="E605" s="217" t="s">
        <v>25</v>
      </c>
      <c r="F605" s="217" t="s">
        <v>959</v>
      </c>
      <c r="G605" s="217" t="s">
        <v>960</v>
      </c>
      <c r="H605" s="218" t="s">
        <v>66</v>
      </c>
      <c r="I605" s="217" t="s">
        <v>1842</v>
      </c>
      <c r="J605" s="217" t="s">
        <v>66</v>
      </c>
      <c r="K605" s="218" t="s">
        <v>951</v>
      </c>
      <c r="L605" s="212" t="s">
        <v>87</v>
      </c>
      <c r="M605" s="250"/>
      <c r="N605" s="239">
        <v>37917</v>
      </c>
      <c r="O605" s="210" t="s">
        <v>406</v>
      </c>
      <c r="P605" s="210" t="s">
        <v>1090</v>
      </c>
      <c r="Q605" s="210" t="s">
        <v>1091</v>
      </c>
      <c r="R605" s="210" t="s">
        <v>1077</v>
      </c>
      <c r="S605" s="210" t="s">
        <v>1078</v>
      </c>
      <c r="T605" s="210" t="s">
        <v>1082</v>
      </c>
      <c r="U605" s="210" t="s">
        <v>1086</v>
      </c>
      <c r="V605" s="210" t="s">
        <v>25</v>
      </c>
      <c r="W605" s="211" t="s">
        <v>1028</v>
      </c>
      <c r="X605" s="211">
        <v>1000</v>
      </c>
      <c r="Y605" s="211">
        <v>1000</v>
      </c>
      <c r="Z605" s="212">
        <v>1000</v>
      </c>
      <c r="AA605" s="240">
        <v>32</v>
      </c>
      <c r="AB605" s="213">
        <v>0.02</v>
      </c>
      <c r="AC605" s="213">
        <v>0.2</v>
      </c>
      <c r="AD605" s="213" t="s">
        <v>109</v>
      </c>
      <c r="AE605" s="213">
        <v>2.7000000000000001E-3</v>
      </c>
      <c r="AF605" s="241">
        <v>702744420.86000001</v>
      </c>
      <c r="AG605" s="241">
        <v>702744420.86000001</v>
      </c>
      <c r="AH605" s="213">
        <v>-8.8700000000000001E-2</v>
      </c>
      <c r="AI605" s="352">
        <v>-1.3668</v>
      </c>
      <c r="AJ605" s="213">
        <v>-8.3299999999999999E-2</v>
      </c>
      <c r="AK605" s="352">
        <v>-0.88519999999999999</v>
      </c>
      <c r="AL605" s="213">
        <v>7.5700000000000003E-2</v>
      </c>
      <c r="AM605" s="352">
        <v>0.62680000000000002</v>
      </c>
      <c r="AN605" s="213">
        <v>0.1898</v>
      </c>
      <c r="AO605" s="352">
        <v>1.1261000000000001</v>
      </c>
      <c r="AP605" s="213">
        <v>0.1195</v>
      </c>
      <c r="AQ605" s="219">
        <v>-1.4202162378947365</v>
      </c>
      <c r="AR605" s="213" t="s">
        <v>1827</v>
      </c>
      <c r="AV605" s="343"/>
      <c r="AW605" s="328"/>
      <c r="AX605" s="329"/>
      <c r="AY605" s="328"/>
      <c r="AZ605" s="328"/>
      <c r="BA605" s="330"/>
      <c r="BB605" s="328"/>
      <c r="BC605" s="328"/>
      <c r="BD605" s="328"/>
      <c r="BE605" s="330"/>
      <c r="BF605" s="330"/>
      <c r="BG605" s="344"/>
      <c r="BH605" s="330"/>
      <c r="BI605" s="330"/>
      <c r="BJ605" s="330"/>
      <c r="BK605" s="330"/>
      <c r="BL605" s="330"/>
      <c r="BM605" s="330"/>
      <c r="BN605" s="330"/>
      <c r="BO605" s="330"/>
      <c r="BP605" s="331"/>
      <c r="BQ605" s="332"/>
      <c r="BR605" s="333"/>
    </row>
    <row r="606" spans="2:70" ht="15.75" customHeight="1">
      <c r="B606" s="216" t="s">
        <v>408</v>
      </c>
      <c r="C606" s="212">
        <v>534881</v>
      </c>
      <c r="D606" s="223">
        <v>26978438000132</v>
      </c>
      <c r="E606" s="217" t="s">
        <v>19</v>
      </c>
      <c r="F606" s="217" t="s">
        <v>963</v>
      </c>
      <c r="G606" s="217" t="s">
        <v>1011</v>
      </c>
      <c r="H606" s="218" t="s">
        <v>1113</v>
      </c>
      <c r="I606" s="217" t="s">
        <v>66</v>
      </c>
      <c r="J606" s="217"/>
      <c r="K606" s="218" t="s">
        <v>951</v>
      </c>
      <c r="L606" s="212" t="s">
        <v>87</v>
      </c>
      <c r="M606" s="250"/>
      <c r="N606" s="239">
        <v>43047</v>
      </c>
      <c r="O606" s="210" t="s">
        <v>409</v>
      </c>
      <c r="P606" s="210" t="s">
        <v>1090</v>
      </c>
      <c r="Q606" s="210" t="s">
        <v>1091</v>
      </c>
      <c r="R606" s="210" t="s">
        <v>1084</v>
      </c>
      <c r="S606" s="210" t="s">
        <v>1078</v>
      </c>
      <c r="T606" s="210" t="s">
        <v>1275</v>
      </c>
      <c r="U606" s="210" t="s">
        <v>1114</v>
      </c>
      <c r="V606" s="210" t="s">
        <v>19</v>
      </c>
      <c r="W606" s="211" t="s">
        <v>1017</v>
      </c>
      <c r="X606" s="211">
        <v>500</v>
      </c>
      <c r="Y606" s="211">
        <v>100</v>
      </c>
      <c r="Z606" s="212">
        <v>500</v>
      </c>
      <c r="AA606" s="240">
        <v>1</v>
      </c>
      <c r="AB606" s="213">
        <v>4.0000000000000001E-3</v>
      </c>
      <c r="AC606" s="213">
        <v>0.1</v>
      </c>
      <c r="AD606" s="213" t="s">
        <v>109</v>
      </c>
      <c r="AE606" s="213">
        <v>1.4E-3</v>
      </c>
      <c r="AF606" s="241">
        <v>1910291318.9400001</v>
      </c>
      <c r="AG606" s="241">
        <v>1910291318.9400001</v>
      </c>
      <c r="AH606" s="213">
        <v>7.3700000000000002E-2</v>
      </c>
      <c r="AI606" s="352">
        <v>1.1357999999999999</v>
      </c>
      <c r="AJ606" s="213">
        <v>0.1148</v>
      </c>
      <c r="AK606" s="352">
        <v>1.2202</v>
      </c>
      <c r="AL606" s="213">
        <v>0.1648</v>
      </c>
      <c r="AM606" s="352">
        <v>1.3645</v>
      </c>
      <c r="AN606" s="213">
        <v>0.1618</v>
      </c>
      <c r="AO606" s="352">
        <v>0.96030000000000004</v>
      </c>
      <c r="AP606" s="213">
        <v>3.0000000000000001E-3</v>
      </c>
      <c r="AQ606" s="219">
        <v>6.3226796682912729</v>
      </c>
      <c r="AR606" s="213" t="s">
        <v>1827</v>
      </c>
      <c r="AV606" s="343"/>
      <c r="AW606" s="328"/>
      <c r="AX606" s="329"/>
      <c r="AY606" s="328"/>
      <c r="AZ606" s="328"/>
      <c r="BA606" s="330"/>
      <c r="BB606" s="328"/>
      <c r="BC606" s="328"/>
      <c r="BD606" s="328"/>
      <c r="BE606" s="330"/>
      <c r="BF606" s="330"/>
      <c r="BG606" s="344"/>
      <c r="BH606" s="330"/>
      <c r="BI606" s="330"/>
      <c r="BJ606" s="330"/>
      <c r="BK606" s="330"/>
      <c r="BL606" s="330"/>
      <c r="BM606" s="330"/>
      <c r="BN606" s="330"/>
      <c r="BO606" s="330"/>
      <c r="BP606" s="331"/>
      <c r="BQ606" s="332"/>
      <c r="BR606" s="333"/>
    </row>
    <row r="607" spans="2:70" ht="15.75" customHeight="1">
      <c r="B607" s="216" t="s">
        <v>1407</v>
      </c>
      <c r="C607" s="212">
        <v>536496</v>
      </c>
      <c r="D607" s="223">
        <v>28259415000101</v>
      </c>
      <c r="E607" s="217" t="s">
        <v>19</v>
      </c>
      <c r="F607" s="217" t="s">
        <v>963</v>
      </c>
      <c r="G607" s="217" t="s">
        <v>1011</v>
      </c>
      <c r="H607" s="218" t="s">
        <v>1113</v>
      </c>
      <c r="I607" s="217" t="s">
        <v>66</v>
      </c>
      <c r="J607" s="217"/>
      <c r="K607" s="218" t="s">
        <v>951</v>
      </c>
      <c r="L607" s="212" t="s">
        <v>87</v>
      </c>
      <c r="M607" s="250"/>
      <c r="N607" s="239">
        <v>43047</v>
      </c>
      <c r="O607" s="210" t="s">
        <v>409</v>
      </c>
      <c r="P607" s="210" t="s">
        <v>1090</v>
      </c>
      <c r="Q607" s="210" t="s">
        <v>1091</v>
      </c>
      <c r="R607" s="210" t="s">
        <v>1077</v>
      </c>
      <c r="S607" s="210" t="s">
        <v>1078</v>
      </c>
      <c r="T607" s="210" t="s">
        <v>1275</v>
      </c>
      <c r="U607" s="210" t="s">
        <v>1114</v>
      </c>
      <c r="V607" s="210" t="s">
        <v>19</v>
      </c>
      <c r="W607" s="211" t="s">
        <v>1024</v>
      </c>
      <c r="X607" s="211">
        <v>500</v>
      </c>
      <c r="Y607" s="211">
        <v>100</v>
      </c>
      <c r="Z607" s="212">
        <v>500</v>
      </c>
      <c r="AA607" s="240">
        <v>31</v>
      </c>
      <c r="AB607" s="213">
        <v>7.0000000000000001E-3</v>
      </c>
      <c r="AC607" s="213">
        <v>0.2</v>
      </c>
      <c r="AD607" s="213" t="s">
        <v>109</v>
      </c>
      <c r="AE607" s="213">
        <v>2.4499999999999999E-3</v>
      </c>
      <c r="AF607" s="241">
        <v>156680707.72</v>
      </c>
      <c r="AG607" s="241">
        <v>156680707.72</v>
      </c>
      <c r="AH607" s="213">
        <v>7.22E-2</v>
      </c>
      <c r="AI607" s="352">
        <v>1.1115999999999999</v>
      </c>
      <c r="AJ607" s="213">
        <v>0.1206</v>
      </c>
      <c r="AK607" s="352">
        <v>1.2816000000000001</v>
      </c>
      <c r="AL607" s="213">
        <v>0.1983</v>
      </c>
      <c r="AM607" s="352">
        <v>1.6415</v>
      </c>
      <c r="AN607" s="213">
        <v>0.18129999999999999</v>
      </c>
      <c r="AO607" s="352">
        <v>1.0755999999999999</v>
      </c>
      <c r="AP607" s="213">
        <v>9.7999999999999997E-3</v>
      </c>
      <c r="AQ607" s="219">
        <v>2.4557533584552167</v>
      </c>
      <c r="AR607" s="213" t="s">
        <v>1827</v>
      </c>
      <c r="AV607" s="343"/>
      <c r="AW607" s="328"/>
      <c r="AX607" s="329"/>
      <c r="AY607" s="328"/>
      <c r="AZ607" s="328"/>
      <c r="BA607" s="330"/>
      <c r="BB607" s="328"/>
      <c r="BC607" s="328"/>
      <c r="BD607" s="328"/>
      <c r="BE607" s="330"/>
      <c r="BF607" s="330"/>
      <c r="BG607" s="344"/>
      <c r="BH607" s="330"/>
      <c r="BI607" s="330"/>
      <c r="BJ607" s="330"/>
      <c r="BK607" s="330"/>
      <c r="BL607" s="330"/>
      <c r="BM607" s="330"/>
      <c r="BN607" s="330"/>
      <c r="BO607" s="330"/>
      <c r="BP607" s="331"/>
      <c r="BQ607" s="332"/>
      <c r="BR607" s="333"/>
    </row>
    <row r="608" spans="2:70" ht="15.75" customHeight="1">
      <c r="B608" s="216" t="s">
        <v>1408</v>
      </c>
      <c r="C608" s="212">
        <v>786938</v>
      </c>
      <c r="D608" s="223">
        <v>39990463000183</v>
      </c>
      <c r="E608" s="217" t="s">
        <v>28</v>
      </c>
      <c r="F608" s="217" t="s">
        <v>950</v>
      </c>
      <c r="G608" s="217"/>
      <c r="H608" s="218"/>
      <c r="I608" s="217" t="s">
        <v>66</v>
      </c>
      <c r="J608" s="217" t="s">
        <v>66</v>
      </c>
      <c r="K608" s="218" t="s">
        <v>951</v>
      </c>
      <c r="L608" s="212" t="s">
        <v>87</v>
      </c>
      <c r="M608" s="250"/>
      <c r="N608" s="239">
        <v>44229</v>
      </c>
      <c r="O608" s="210" t="s">
        <v>102</v>
      </c>
      <c r="P608" s="210" t="s">
        <v>1083</v>
      </c>
      <c r="Q608" s="210" t="s">
        <v>102</v>
      </c>
      <c r="R608" s="210" t="s">
        <v>1077</v>
      </c>
      <c r="S608" s="210" t="s">
        <v>1085</v>
      </c>
      <c r="T608" s="210" t="s">
        <v>1079</v>
      </c>
      <c r="U608" s="210" t="s">
        <v>950</v>
      </c>
      <c r="V608" s="210" t="s">
        <v>1080</v>
      </c>
      <c r="W608" s="211" t="s">
        <v>1007</v>
      </c>
      <c r="X608" s="211">
        <v>100</v>
      </c>
      <c r="Y608" s="211">
        <v>1</v>
      </c>
      <c r="Z608" s="212">
        <v>1</v>
      </c>
      <c r="AA608" s="240">
        <v>23</v>
      </c>
      <c r="AB608" s="213">
        <v>0.02</v>
      </c>
      <c r="AC608" s="213">
        <v>0.2</v>
      </c>
      <c r="AD608" s="213" t="s">
        <v>1014</v>
      </c>
      <c r="AE608" s="213">
        <v>4.6666666666666662E-3</v>
      </c>
      <c r="AF608" s="241">
        <v>16261537.380000001</v>
      </c>
      <c r="AG608" s="241">
        <v>16261537.380000001</v>
      </c>
      <c r="AH608" s="213">
        <v>-0.11</v>
      </c>
      <c r="AI608" s="352">
        <v>-1.6947000000000001</v>
      </c>
      <c r="AJ608" s="213">
        <v>-0.2591</v>
      </c>
      <c r="AK608" s="352">
        <v>-2.7538</v>
      </c>
      <c r="AL608" s="213" t="s">
        <v>66</v>
      </c>
      <c r="AM608" s="352" t="s">
        <v>66</v>
      </c>
      <c r="AN608" s="213" t="s">
        <v>66</v>
      </c>
      <c r="AO608" s="352" t="s">
        <v>66</v>
      </c>
      <c r="AP608" s="213">
        <v>0.21640000000000001</v>
      </c>
      <c r="AQ608" s="219">
        <v>-1.6916897026798139</v>
      </c>
      <c r="AR608" s="213" t="s">
        <v>1827</v>
      </c>
      <c r="AV608" s="343"/>
      <c r="AW608" s="328"/>
      <c r="AX608" s="329"/>
      <c r="AY608" s="328"/>
      <c r="AZ608" s="328"/>
      <c r="BA608" s="330"/>
      <c r="BB608" s="328"/>
      <c r="BC608" s="328"/>
      <c r="BD608" s="328"/>
      <c r="BE608" s="330"/>
      <c r="BF608" s="330"/>
      <c r="BG608" s="344"/>
      <c r="BH608" s="330"/>
      <c r="BI608" s="330"/>
      <c r="BJ608" s="330"/>
      <c r="BK608" s="330"/>
      <c r="BL608" s="330"/>
      <c r="BM608" s="330"/>
      <c r="BN608" s="330"/>
      <c r="BO608" s="330"/>
      <c r="BP608" s="331"/>
      <c r="BQ608" s="332"/>
      <c r="BR608" s="333"/>
    </row>
    <row r="609" spans="2:70" ht="15.75" customHeight="1">
      <c r="B609" s="216" t="s">
        <v>1409</v>
      </c>
      <c r="C609" s="212">
        <v>1406598</v>
      </c>
      <c r="D609" s="223">
        <v>41484468000186</v>
      </c>
      <c r="E609" s="217" t="s">
        <v>28</v>
      </c>
      <c r="F609" s="217" t="s">
        <v>950</v>
      </c>
      <c r="G609" s="217"/>
      <c r="H609" s="218"/>
      <c r="I609" s="217" t="s">
        <v>66</v>
      </c>
      <c r="J609" s="217" t="s">
        <v>66</v>
      </c>
      <c r="K609" s="218" t="s">
        <v>1046</v>
      </c>
      <c r="L609" s="212"/>
      <c r="M609" s="250"/>
      <c r="N609" s="239">
        <v>44343</v>
      </c>
      <c r="O609" s="210" t="s">
        <v>102</v>
      </c>
      <c r="P609" s="210" t="s">
        <v>1083</v>
      </c>
      <c r="Q609" s="210" t="s">
        <v>102</v>
      </c>
      <c r="R609" s="210" t="s">
        <v>1077</v>
      </c>
      <c r="S609" s="210" t="s">
        <v>1078</v>
      </c>
      <c r="T609" s="210" t="s">
        <v>1079</v>
      </c>
      <c r="U609" s="210" t="s">
        <v>65</v>
      </c>
      <c r="V609" s="210" t="s">
        <v>1080</v>
      </c>
      <c r="W609" s="211" t="s">
        <v>1036</v>
      </c>
      <c r="X609" s="211">
        <v>100</v>
      </c>
      <c r="Y609" s="211">
        <v>100</v>
      </c>
      <c r="Z609" s="212">
        <v>100</v>
      </c>
      <c r="AA609" s="240">
        <v>5</v>
      </c>
      <c r="AB609" s="213">
        <v>8.0000000000000002E-3</v>
      </c>
      <c r="AC609" s="213">
        <v>0</v>
      </c>
      <c r="AD609" s="213" t="s">
        <v>1157</v>
      </c>
      <c r="AE609" s="213">
        <v>1.8666666666666664E-3</v>
      </c>
      <c r="AF609" s="241">
        <v>1290272.74</v>
      </c>
      <c r="AG609" s="241">
        <v>1290272.74</v>
      </c>
      <c r="AH609" s="213">
        <v>-0.23749999999999999</v>
      </c>
      <c r="AI609" s="352">
        <v>-3.6589</v>
      </c>
      <c r="AJ609" s="213">
        <v>-0.19040000000000001</v>
      </c>
      <c r="AK609" s="352">
        <v>-2.0238999999999998</v>
      </c>
      <c r="AL609" s="213" t="s">
        <v>66</v>
      </c>
      <c r="AM609" s="352" t="s">
        <v>66</v>
      </c>
      <c r="AN609" s="213" t="s">
        <v>66</v>
      </c>
      <c r="AO609" s="352" t="s">
        <v>66</v>
      </c>
      <c r="AP609" s="213">
        <v>0.19939999999999999</v>
      </c>
      <c r="AQ609" s="219">
        <v>-1.4110562287679687</v>
      </c>
      <c r="AR609" s="213" t="s">
        <v>1827</v>
      </c>
      <c r="AV609" s="343"/>
      <c r="AW609" s="328"/>
      <c r="AX609" s="329"/>
      <c r="AY609" s="328"/>
      <c r="AZ609" s="328"/>
      <c r="BA609" s="330"/>
      <c r="BB609" s="328"/>
      <c r="BC609" s="328"/>
      <c r="BD609" s="328"/>
      <c r="BE609" s="330"/>
      <c r="BF609" s="330"/>
      <c r="BG609" s="344"/>
      <c r="BH609" s="330"/>
      <c r="BI609" s="330"/>
      <c r="BJ609" s="330"/>
      <c r="BK609" s="330"/>
      <c r="BL609" s="330"/>
      <c r="BM609" s="330"/>
      <c r="BN609" s="330"/>
      <c r="BO609" s="330"/>
      <c r="BP609" s="331"/>
      <c r="BQ609" s="332"/>
      <c r="BR609" s="333"/>
    </row>
    <row r="610" spans="2:70" ht="15.75" customHeight="1">
      <c r="B610" s="216" t="s">
        <v>1410</v>
      </c>
      <c r="C610" s="212">
        <v>1752108</v>
      </c>
      <c r="D610" s="223">
        <v>41559595000105</v>
      </c>
      <c r="E610" s="217" t="s">
        <v>28</v>
      </c>
      <c r="F610" s="217" t="s">
        <v>950</v>
      </c>
      <c r="G610" s="217"/>
      <c r="H610" s="218"/>
      <c r="I610" s="217" t="s">
        <v>66</v>
      </c>
      <c r="J610" s="217" t="s">
        <v>66</v>
      </c>
      <c r="K610" s="218" t="s">
        <v>956</v>
      </c>
      <c r="L610" s="212"/>
      <c r="M610" s="250"/>
      <c r="N610" s="239">
        <v>44343</v>
      </c>
      <c r="O610" s="210" t="s">
        <v>102</v>
      </c>
      <c r="P610" s="210" t="s">
        <v>1083</v>
      </c>
      <c r="Q610" s="210" t="s">
        <v>102</v>
      </c>
      <c r="R610" s="210" t="s">
        <v>1077</v>
      </c>
      <c r="S610" s="210" t="s">
        <v>1078</v>
      </c>
      <c r="T610" s="210" t="s">
        <v>1079</v>
      </c>
      <c r="U610" s="210" t="s">
        <v>65</v>
      </c>
      <c r="V610" s="210" t="s">
        <v>1080</v>
      </c>
      <c r="W610" s="211" t="s">
        <v>1036</v>
      </c>
      <c r="X610" s="211">
        <v>100</v>
      </c>
      <c r="Y610" s="211">
        <v>100</v>
      </c>
      <c r="Z610" s="212">
        <v>100</v>
      </c>
      <c r="AA610" s="240">
        <v>5</v>
      </c>
      <c r="AB610" s="213">
        <v>8.0000000000000002E-3</v>
      </c>
      <c r="AC610" s="213">
        <v>0</v>
      </c>
      <c r="AD610" s="213" t="s">
        <v>1014</v>
      </c>
      <c r="AE610" s="213">
        <v>1.8666666666666664E-3</v>
      </c>
      <c r="AF610" s="241">
        <v>1252916.6000000001</v>
      </c>
      <c r="AG610" s="241">
        <v>1252916.6000000001</v>
      </c>
      <c r="AH610" s="213">
        <v>-0.26379999999999998</v>
      </c>
      <c r="AI610" s="352">
        <v>-4.0635000000000003</v>
      </c>
      <c r="AJ610" s="213">
        <v>-0.1913</v>
      </c>
      <c r="AK610" s="352">
        <v>-2.0335999999999999</v>
      </c>
      <c r="AL610" s="213" t="s">
        <v>66</v>
      </c>
      <c r="AM610" s="352" t="s">
        <v>66</v>
      </c>
      <c r="AN610" s="213" t="s">
        <v>66</v>
      </c>
      <c r="AO610" s="352" t="s">
        <v>66</v>
      </c>
      <c r="AP610" s="213">
        <v>0.24779999999999999</v>
      </c>
      <c r="AQ610" s="219">
        <v>-1.0964701020494749</v>
      </c>
      <c r="AR610" s="213" t="s">
        <v>1827</v>
      </c>
      <c r="AV610" s="343"/>
      <c r="AW610" s="328"/>
      <c r="AX610" s="329"/>
      <c r="AY610" s="328"/>
      <c r="AZ610" s="328"/>
      <c r="BA610" s="330"/>
      <c r="BB610" s="328"/>
      <c r="BC610" s="328"/>
      <c r="BD610" s="328"/>
      <c r="BE610" s="330"/>
      <c r="BF610" s="330"/>
      <c r="BG610" s="344"/>
      <c r="BH610" s="330"/>
      <c r="BI610" s="330"/>
      <c r="BJ610" s="330"/>
      <c r="BK610" s="330"/>
      <c r="BL610" s="330"/>
      <c r="BM610" s="330"/>
      <c r="BN610" s="330"/>
      <c r="BO610" s="330"/>
      <c r="BP610" s="331"/>
      <c r="BQ610" s="332"/>
      <c r="BR610" s="333"/>
    </row>
    <row r="611" spans="2:70" ht="15.75" customHeight="1">
      <c r="B611" s="216" t="s">
        <v>1411</v>
      </c>
      <c r="C611" s="212">
        <v>3136931</v>
      </c>
      <c r="D611" s="223">
        <v>42826922000100</v>
      </c>
      <c r="E611" s="217" t="s">
        <v>19</v>
      </c>
      <c r="F611" s="217" t="s">
        <v>964</v>
      </c>
      <c r="G611" s="217" t="s">
        <v>1042</v>
      </c>
      <c r="H611" s="218" t="s">
        <v>1259</v>
      </c>
      <c r="I611" s="217" t="s">
        <v>66</v>
      </c>
      <c r="J611" s="217"/>
      <c r="K611" s="218" t="s">
        <v>951</v>
      </c>
      <c r="L611" s="212" t="s">
        <v>87</v>
      </c>
      <c r="M611" s="250"/>
      <c r="N611" s="239">
        <v>44659</v>
      </c>
      <c r="O611" s="210" t="s">
        <v>1412</v>
      </c>
      <c r="P611" s="210" t="s">
        <v>1083</v>
      </c>
      <c r="Q611" s="210" t="s">
        <v>102</v>
      </c>
      <c r="R611" s="210" t="s">
        <v>1084</v>
      </c>
      <c r="S611" s="210" t="s">
        <v>1078</v>
      </c>
      <c r="T611" s="210" t="s">
        <v>349</v>
      </c>
      <c r="U611" s="210" t="s">
        <v>964</v>
      </c>
      <c r="V611" s="210" t="s">
        <v>19</v>
      </c>
      <c r="W611" s="211" t="s">
        <v>1052</v>
      </c>
      <c r="X611" s="211">
        <v>0</v>
      </c>
      <c r="Y611" s="211">
        <v>0</v>
      </c>
      <c r="Z611" s="212">
        <v>0</v>
      </c>
      <c r="AA611" s="240">
        <v>22</v>
      </c>
      <c r="AB611" s="213">
        <v>8.5000000000000006E-3</v>
      </c>
      <c r="AC611" s="213">
        <v>0.2</v>
      </c>
      <c r="AD611" s="213" t="s">
        <v>980</v>
      </c>
      <c r="AE611" s="213">
        <v>1.9833333333333335E-3</v>
      </c>
      <c r="AF611" s="241">
        <v>3012436.48</v>
      </c>
      <c r="AG611" s="241">
        <v>3012436.48</v>
      </c>
      <c r="AH611" s="213" t="s">
        <v>66</v>
      </c>
      <c r="AI611" s="352" t="s">
        <v>66</v>
      </c>
      <c r="AJ611" s="213" t="s">
        <v>66</v>
      </c>
      <c r="AK611" s="352" t="s">
        <v>66</v>
      </c>
      <c r="AL611" s="213" t="s">
        <v>66</v>
      </c>
      <c r="AM611" s="352" t="s">
        <v>66</v>
      </c>
      <c r="AN611" s="213" t="s">
        <v>66</v>
      </c>
      <c r="AO611" s="352" t="s">
        <v>66</v>
      </c>
      <c r="AP611" s="213" t="s">
        <v>66</v>
      </c>
      <c r="AQ611" s="219" t="s">
        <v>66</v>
      </c>
      <c r="AR611" s="213" t="s">
        <v>1827</v>
      </c>
      <c r="AV611" s="343"/>
      <c r="AW611" s="328"/>
      <c r="AX611" s="329"/>
      <c r="AY611" s="328"/>
      <c r="AZ611" s="328"/>
      <c r="BA611" s="330"/>
      <c r="BB611" s="328"/>
      <c r="BC611" s="328"/>
      <c r="BD611" s="328"/>
      <c r="BE611" s="330"/>
      <c r="BF611" s="330"/>
      <c r="BG611" s="344"/>
      <c r="BH611" s="330"/>
      <c r="BI611" s="330"/>
      <c r="BJ611" s="330"/>
      <c r="BK611" s="330"/>
      <c r="BL611" s="330"/>
      <c r="BM611" s="330"/>
      <c r="BN611" s="330"/>
      <c r="BO611" s="330"/>
      <c r="BP611" s="331"/>
      <c r="BQ611" s="332"/>
      <c r="BR611" s="333"/>
    </row>
    <row r="612" spans="2:70" ht="15.75" customHeight="1">
      <c r="B612" s="216" t="s">
        <v>1413</v>
      </c>
      <c r="C612" s="212">
        <v>3170403</v>
      </c>
      <c r="D612" s="223">
        <v>29993583000180</v>
      </c>
      <c r="E612" s="217" t="s">
        <v>25</v>
      </c>
      <c r="F612" s="217" t="s">
        <v>958</v>
      </c>
      <c r="G612" s="217" t="s">
        <v>962</v>
      </c>
      <c r="H612" s="218" t="s">
        <v>66</v>
      </c>
      <c r="I612" s="217" t="s">
        <v>1841</v>
      </c>
      <c r="J612" s="217" t="s">
        <v>66</v>
      </c>
      <c r="K612" s="218"/>
      <c r="L612" s="212" t="s">
        <v>87</v>
      </c>
      <c r="M612" s="250"/>
      <c r="N612" s="239">
        <v>43280</v>
      </c>
      <c r="O612" s="210" t="s">
        <v>102</v>
      </c>
      <c r="P612" s="210" t="s">
        <v>1083</v>
      </c>
      <c r="Q612" s="210" t="s">
        <v>102</v>
      </c>
      <c r="R612" s="210" t="s">
        <v>1084</v>
      </c>
      <c r="S612" s="210" t="s">
        <v>1085</v>
      </c>
      <c r="T612" s="210" t="s">
        <v>1082</v>
      </c>
      <c r="U612" s="210" t="s">
        <v>958</v>
      </c>
      <c r="V612" s="210" t="s">
        <v>25</v>
      </c>
      <c r="W612" s="211" t="s">
        <v>1016</v>
      </c>
      <c r="X612" s="211">
        <v>10000</v>
      </c>
      <c r="Y612" s="211">
        <v>0</v>
      </c>
      <c r="Z612" s="212">
        <v>10000</v>
      </c>
      <c r="AA612" s="240">
        <v>43</v>
      </c>
      <c r="AB612" s="213">
        <v>0.02</v>
      </c>
      <c r="AC612" s="213">
        <v>0.2</v>
      </c>
      <c r="AD612" s="213" t="s">
        <v>109</v>
      </c>
      <c r="AE612" s="213">
        <v>4.6666666666666662E-3</v>
      </c>
      <c r="AF612" s="241">
        <v>211755782.33000001</v>
      </c>
      <c r="AG612" s="241">
        <v>211755782.33000001</v>
      </c>
      <c r="AH612" s="213">
        <v>9.5100000000000004E-2</v>
      </c>
      <c r="AI612" s="352">
        <v>1.4655</v>
      </c>
      <c r="AJ612" s="213">
        <v>0.115</v>
      </c>
      <c r="AK612" s="352">
        <v>1.2222999999999999</v>
      </c>
      <c r="AL612" s="213">
        <v>0.1497</v>
      </c>
      <c r="AM612" s="352">
        <v>1.2394000000000001</v>
      </c>
      <c r="AN612" s="213">
        <v>0.44330000000000003</v>
      </c>
      <c r="AO612" s="352">
        <v>2.6307999999999998</v>
      </c>
      <c r="AP612" s="213">
        <v>4.5600000000000002E-2</v>
      </c>
      <c r="AQ612" s="219">
        <v>0.43772315111263455</v>
      </c>
      <c r="AR612" s="213" t="s">
        <v>1827</v>
      </c>
      <c r="AV612" s="343"/>
      <c r="AW612" s="328"/>
      <c r="AX612" s="329"/>
      <c r="AY612" s="328"/>
      <c r="AZ612" s="328"/>
      <c r="BA612" s="330"/>
      <c r="BB612" s="328"/>
      <c r="BC612" s="328"/>
      <c r="BD612" s="328"/>
      <c r="BE612" s="330"/>
      <c r="BF612" s="330"/>
      <c r="BG612" s="344"/>
      <c r="BH612" s="330"/>
      <c r="BI612" s="330"/>
      <c r="BJ612" s="330"/>
      <c r="BK612" s="330"/>
      <c r="BL612" s="330"/>
      <c r="BM612" s="330"/>
      <c r="BN612" s="330"/>
      <c r="BO612" s="330"/>
      <c r="BP612" s="331"/>
      <c r="BQ612" s="332"/>
      <c r="BR612" s="333"/>
    </row>
    <row r="613" spans="2:70" ht="15.75" customHeight="1">
      <c r="B613" s="216" t="s">
        <v>1414</v>
      </c>
      <c r="C613" s="212">
        <v>1012765</v>
      </c>
      <c r="D613" s="223">
        <v>37567415000151</v>
      </c>
      <c r="E613" s="217" t="s">
        <v>28</v>
      </c>
      <c r="F613" s="217" t="s">
        <v>950</v>
      </c>
      <c r="G613" s="217"/>
      <c r="H613" s="218"/>
      <c r="I613" s="217" t="s">
        <v>66</v>
      </c>
      <c r="J613" s="217" t="s">
        <v>66</v>
      </c>
      <c r="K613" s="218" t="s">
        <v>951</v>
      </c>
      <c r="L613" s="212" t="s">
        <v>87</v>
      </c>
      <c r="M613" s="250"/>
      <c r="N613" s="239">
        <v>44102</v>
      </c>
      <c r="O613" s="210" t="s">
        <v>102</v>
      </c>
      <c r="P613" s="210" t="s">
        <v>1083</v>
      </c>
      <c r="Q613" s="210" t="s">
        <v>102</v>
      </c>
      <c r="R613" s="210" t="s">
        <v>1077</v>
      </c>
      <c r="S613" s="210" t="s">
        <v>1078</v>
      </c>
      <c r="T613" s="210" t="s">
        <v>1079</v>
      </c>
      <c r="U613" s="210" t="s">
        <v>950</v>
      </c>
      <c r="V613" s="210" t="s">
        <v>1080</v>
      </c>
      <c r="W613" s="211" t="s">
        <v>1007</v>
      </c>
      <c r="X613" s="211">
        <v>500</v>
      </c>
      <c r="Y613" s="211">
        <v>0</v>
      </c>
      <c r="Z613" s="212">
        <v>1</v>
      </c>
      <c r="AA613" s="240">
        <v>23</v>
      </c>
      <c r="AB613" s="213">
        <v>0.02</v>
      </c>
      <c r="AC613" s="213">
        <v>0.2</v>
      </c>
      <c r="AD613" s="213" t="s">
        <v>1157</v>
      </c>
      <c r="AE613" s="213">
        <v>4.6666666666666662E-3</v>
      </c>
      <c r="AF613" s="241">
        <v>1631202.46</v>
      </c>
      <c r="AG613" s="241">
        <v>1631202.46</v>
      </c>
      <c r="AH613" s="213">
        <v>-5.4000000000000003E-3</v>
      </c>
      <c r="AI613" s="352">
        <v>-8.3599999999999994E-2</v>
      </c>
      <c r="AJ613" s="213">
        <v>-0.15939999999999999</v>
      </c>
      <c r="AK613" s="352">
        <v>-1.6946000000000001</v>
      </c>
      <c r="AL613" s="213" t="s">
        <v>66</v>
      </c>
      <c r="AM613" s="352" t="s">
        <v>66</v>
      </c>
      <c r="AN613" s="213" t="s">
        <v>66</v>
      </c>
      <c r="AO613" s="352" t="s">
        <v>66</v>
      </c>
      <c r="AP613" s="213">
        <v>0.1777</v>
      </c>
      <c r="AQ613" s="219">
        <v>-1.394185523863479</v>
      </c>
      <c r="AR613" s="213" t="s">
        <v>1827</v>
      </c>
      <c r="AV613" s="343"/>
      <c r="AW613" s="328"/>
      <c r="AX613" s="329"/>
      <c r="AY613" s="328"/>
      <c r="AZ613" s="328"/>
      <c r="BA613" s="330"/>
      <c r="BB613" s="328"/>
      <c r="BC613" s="328"/>
      <c r="BD613" s="328"/>
      <c r="BE613" s="330"/>
      <c r="BF613" s="330"/>
      <c r="BG613" s="344"/>
      <c r="BH613" s="330"/>
      <c r="BI613" s="330"/>
      <c r="BJ613" s="330"/>
      <c r="BK613" s="330"/>
      <c r="BL613" s="330"/>
      <c r="BM613" s="330"/>
      <c r="BN613" s="330"/>
      <c r="BO613" s="330"/>
      <c r="BP613" s="331"/>
      <c r="BQ613" s="332"/>
      <c r="BR613" s="333"/>
    </row>
    <row r="614" spans="2:70" ht="15.75" customHeight="1">
      <c r="B614" s="216" t="s">
        <v>1415</v>
      </c>
      <c r="C614" s="212">
        <v>591930</v>
      </c>
      <c r="D614" s="223">
        <v>29993579000112</v>
      </c>
      <c r="E614" s="217" t="s">
        <v>25</v>
      </c>
      <c r="F614" s="217" t="s">
        <v>959</v>
      </c>
      <c r="G614" s="217" t="s">
        <v>962</v>
      </c>
      <c r="H614" s="218" t="s">
        <v>66</v>
      </c>
      <c r="I614" s="217" t="s">
        <v>1841</v>
      </c>
      <c r="J614" s="217" t="s">
        <v>66</v>
      </c>
      <c r="K614" s="218" t="s">
        <v>954</v>
      </c>
      <c r="L614" s="212" t="s">
        <v>87</v>
      </c>
      <c r="M614" s="250"/>
      <c r="N614" s="239">
        <v>43481</v>
      </c>
      <c r="O614" s="210" t="s">
        <v>102</v>
      </c>
      <c r="P614" s="210" t="s">
        <v>1083</v>
      </c>
      <c r="Q614" s="210" t="s">
        <v>102</v>
      </c>
      <c r="R614" s="210" t="s">
        <v>1084</v>
      </c>
      <c r="S614" s="210" t="s">
        <v>1078</v>
      </c>
      <c r="T614" s="210" t="s">
        <v>1082</v>
      </c>
      <c r="U614" s="210" t="s">
        <v>65</v>
      </c>
      <c r="V614" s="210" t="s">
        <v>25</v>
      </c>
      <c r="W614" s="211" t="s">
        <v>1035</v>
      </c>
      <c r="X614" s="211">
        <v>500</v>
      </c>
      <c r="Y614" s="211">
        <v>100</v>
      </c>
      <c r="Z614" s="212">
        <v>500</v>
      </c>
      <c r="AA614" s="240">
        <v>22</v>
      </c>
      <c r="AB614" s="213">
        <v>0.02</v>
      </c>
      <c r="AC614" s="213">
        <v>0.2</v>
      </c>
      <c r="AD614" s="213" t="s">
        <v>109</v>
      </c>
      <c r="AE614" s="213">
        <v>4.6666666666666662E-3</v>
      </c>
      <c r="AF614" s="241">
        <v>10155453.710000001</v>
      </c>
      <c r="AG614" s="241">
        <v>10155453.710000001</v>
      </c>
      <c r="AH614" s="213">
        <v>9.8299999999999998E-2</v>
      </c>
      <c r="AI614" s="352">
        <v>1.5137</v>
      </c>
      <c r="AJ614" s="213">
        <v>0.1153</v>
      </c>
      <c r="AK614" s="352">
        <v>1.2257</v>
      </c>
      <c r="AL614" s="213">
        <v>0.1641</v>
      </c>
      <c r="AM614" s="352">
        <v>1.3585</v>
      </c>
      <c r="AN614" s="213">
        <v>0.224</v>
      </c>
      <c r="AO614" s="352">
        <v>1.3292999999999999</v>
      </c>
      <c r="AP614" s="213">
        <v>2.47E-2</v>
      </c>
      <c r="AQ614" s="219">
        <v>0.78980552778947011</v>
      </c>
      <c r="AR614" s="213" t="s">
        <v>1827</v>
      </c>
      <c r="AV614" s="343"/>
      <c r="AW614" s="328"/>
      <c r="AX614" s="329"/>
      <c r="AY614" s="328"/>
      <c r="AZ614" s="328"/>
      <c r="BA614" s="330"/>
      <c r="BB614" s="328"/>
      <c r="BC614" s="328"/>
      <c r="BD614" s="328"/>
      <c r="BE614" s="330"/>
      <c r="BF614" s="330"/>
      <c r="BG614" s="344"/>
      <c r="BH614" s="330"/>
      <c r="BI614" s="330"/>
      <c r="BJ614" s="330"/>
      <c r="BK614" s="330"/>
      <c r="BL614" s="330"/>
      <c r="BM614" s="330"/>
      <c r="BN614" s="330"/>
      <c r="BO614" s="330"/>
      <c r="BP614" s="331"/>
      <c r="BQ614" s="332"/>
      <c r="BR614" s="333"/>
    </row>
    <row r="615" spans="2:70" ht="15.75" customHeight="1">
      <c r="B615" s="216" t="s">
        <v>1416</v>
      </c>
      <c r="C615" s="212">
        <v>529067</v>
      </c>
      <c r="D615" s="223">
        <v>37567202000120</v>
      </c>
      <c r="E615" s="217" t="s">
        <v>25</v>
      </c>
      <c r="F615" s="217" t="s">
        <v>957</v>
      </c>
      <c r="G615" s="217"/>
      <c r="H615" s="218"/>
      <c r="I615" s="217" t="s">
        <v>1841</v>
      </c>
      <c r="J615" s="217" t="s">
        <v>66</v>
      </c>
      <c r="K615" s="218" t="s">
        <v>951</v>
      </c>
      <c r="L615" s="212" t="s">
        <v>87</v>
      </c>
      <c r="M615" s="250"/>
      <c r="N615" s="239">
        <v>44042</v>
      </c>
      <c r="O615" s="210" t="s">
        <v>102</v>
      </c>
      <c r="P615" s="210" t="s">
        <v>1083</v>
      </c>
      <c r="Q615" s="210" t="s">
        <v>102</v>
      </c>
      <c r="R615" s="210" t="s">
        <v>1077</v>
      </c>
      <c r="S615" s="210" t="s">
        <v>1078</v>
      </c>
      <c r="T615" s="210" t="s">
        <v>1082</v>
      </c>
      <c r="U615" s="210" t="s">
        <v>1086</v>
      </c>
      <c r="V615" s="210" t="s">
        <v>25</v>
      </c>
      <c r="W615" s="211" t="s">
        <v>1016</v>
      </c>
      <c r="X615" s="211">
        <v>100</v>
      </c>
      <c r="Y615" s="211">
        <v>0</v>
      </c>
      <c r="Z615" s="212">
        <v>100</v>
      </c>
      <c r="AA615" s="240">
        <v>23</v>
      </c>
      <c r="AB615" s="213">
        <v>0.02</v>
      </c>
      <c r="AC615" s="213">
        <v>0.2</v>
      </c>
      <c r="AD615" s="213" t="s">
        <v>1157</v>
      </c>
      <c r="AE615" s="213">
        <v>4.6666666666666662E-3</v>
      </c>
      <c r="AF615" s="241">
        <v>26669643.309999999</v>
      </c>
      <c r="AG615" s="241">
        <v>26669643.309999999</v>
      </c>
      <c r="AH615" s="213">
        <v>6.1499999999999999E-2</v>
      </c>
      <c r="AI615" s="352">
        <v>0.94799999999999995</v>
      </c>
      <c r="AJ615" s="213">
        <v>5.8599999999999999E-2</v>
      </c>
      <c r="AK615" s="352">
        <v>0.62270000000000003</v>
      </c>
      <c r="AL615" s="213" t="s">
        <v>66</v>
      </c>
      <c r="AM615" s="352" t="s">
        <v>66</v>
      </c>
      <c r="AN615" s="213" t="s">
        <v>66</v>
      </c>
      <c r="AO615" s="352" t="s">
        <v>66</v>
      </c>
      <c r="AP615" s="213">
        <v>3.5299999999999998E-2</v>
      </c>
      <c r="AQ615" s="219">
        <v>-0.91809284163339411</v>
      </c>
      <c r="AR615" s="213" t="s">
        <v>1827</v>
      </c>
      <c r="AU615" s="343"/>
      <c r="AV615" s="343"/>
      <c r="AW615" s="328"/>
      <c r="AX615" s="329"/>
      <c r="AY615" s="328"/>
      <c r="AZ615" s="328"/>
      <c r="BA615" s="330"/>
      <c r="BB615" s="328"/>
      <c r="BC615" s="328"/>
      <c r="BD615" s="328"/>
      <c r="BE615" s="330"/>
      <c r="BF615" s="330"/>
      <c r="BG615" s="344"/>
      <c r="BH615" s="383"/>
      <c r="BI615" s="330"/>
      <c r="BJ615" s="330"/>
      <c r="BK615" s="330"/>
      <c r="BL615" s="330"/>
      <c r="BM615" s="330"/>
      <c r="BN615" s="330"/>
      <c r="BO615" s="330"/>
      <c r="BP615" s="331"/>
      <c r="BQ615" s="332"/>
      <c r="BR615" s="333"/>
    </row>
    <row r="616" spans="2:70" ht="15.75" customHeight="1">
      <c r="B616" s="216" t="s">
        <v>1417</v>
      </c>
      <c r="C616" s="212">
        <v>542527</v>
      </c>
      <c r="D616" s="223">
        <v>30630299000129</v>
      </c>
      <c r="E616" s="217" t="s">
        <v>28</v>
      </c>
      <c r="F616" s="217" t="s">
        <v>957</v>
      </c>
      <c r="G616" s="217"/>
      <c r="H616" s="218"/>
      <c r="I616" s="217" t="s">
        <v>1259</v>
      </c>
      <c r="J616" s="217" t="s">
        <v>66</v>
      </c>
      <c r="K616" s="218" t="s">
        <v>951</v>
      </c>
      <c r="L616" s="212" t="s">
        <v>87</v>
      </c>
      <c r="M616" s="250"/>
      <c r="N616" s="239">
        <v>43334</v>
      </c>
      <c r="O616" s="210" t="s">
        <v>102</v>
      </c>
      <c r="P616" s="210" t="s">
        <v>1083</v>
      </c>
      <c r="Q616" s="210" t="s">
        <v>102</v>
      </c>
      <c r="R616" s="210" t="s">
        <v>1077</v>
      </c>
      <c r="S616" s="210" t="s">
        <v>1078</v>
      </c>
      <c r="T616" s="210" t="s">
        <v>1079</v>
      </c>
      <c r="U616" s="210" t="s">
        <v>957</v>
      </c>
      <c r="V616" s="210" t="s">
        <v>1080</v>
      </c>
      <c r="W616" s="211" t="s">
        <v>1007</v>
      </c>
      <c r="X616" s="211">
        <v>5000</v>
      </c>
      <c r="Y616" s="211">
        <v>1</v>
      </c>
      <c r="Z616" s="212">
        <v>1</v>
      </c>
      <c r="AA616" s="240">
        <v>23</v>
      </c>
      <c r="AB616" s="213">
        <v>0.02</v>
      </c>
      <c r="AC616" s="213">
        <v>0.2</v>
      </c>
      <c r="AD616" s="213" t="s">
        <v>1014</v>
      </c>
      <c r="AE616" s="213">
        <v>4.6666666666666662E-3</v>
      </c>
      <c r="AF616" s="241">
        <v>1072690.8500000001</v>
      </c>
      <c r="AG616" s="241">
        <v>1072690.8500000001</v>
      </c>
      <c r="AH616" s="213">
        <v>-6.3899999999999998E-2</v>
      </c>
      <c r="AI616" s="352">
        <v>-0.98450000000000004</v>
      </c>
      <c r="AJ616" s="213">
        <v>-0.1988</v>
      </c>
      <c r="AK616" s="352">
        <v>-2.1128999999999998</v>
      </c>
      <c r="AL616" s="213">
        <v>-0.1027</v>
      </c>
      <c r="AM616" s="352">
        <v>-0.84989999999999999</v>
      </c>
      <c r="AN616" s="213">
        <v>-0.24129999999999999</v>
      </c>
      <c r="AO616" s="352">
        <v>-1.4321999999999999</v>
      </c>
      <c r="AP616" s="213">
        <v>0.1109</v>
      </c>
      <c r="AQ616" s="219">
        <v>-2.75358001015903</v>
      </c>
      <c r="AR616" s="213" t="s">
        <v>1827</v>
      </c>
      <c r="AV616" s="343"/>
      <c r="AW616" s="328"/>
      <c r="AX616" s="329"/>
      <c r="AY616" s="328"/>
      <c r="AZ616" s="328"/>
      <c r="BA616" s="330"/>
      <c r="BB616" s="328"/>
      <c r="BC616" s="328"/>
      <c r="BD616" s="328"/>
      <c r="BE616" s="330"/>
      <c r="BF616" s="330"/>
      <c r="BG616" s="344"/>
      <c r="BH616" s="330"/>
      <c r="BI616" s="330"/>
      <c r="BJ616" s="330"/>
      <c r="BK616" s="330"/>
      <c r="BL616" s="330"/>
      <c r="BM616" s="330"/>
      <c r="BN616" s="330"/>
      <c r="BO616" s="330"/>
      <c r="BP616" s="331"/>
      <c r="BQ616" s="332"/>
      <c r="BR616" s="333"/>
    </row>
    <row r="617" spans="2:70" ht="15.75" customHeight="1">
      <c r="B617" s="216" t="s">
        <v>1772</v>
      </c>
      <c r="C617" s="212">
        <v>4117655</v>
      </c>
      <c r="D617" s="223">
        <v>39773639000145</v>
      </c>
      <c r="E617" s="217" t="s">
        <v>19</v>
      </c>
      <c r="F617" s="217" t="s">
        <v>963</v>
      </c>
      <c r="G617" s="217" t="s">
        <v>962</v>
      </c>
      <c r="H617" s="218" t="s">
        <v>1113</v>
      </c>
      <c r="I617" s="217" t="s">
        <v>66</v>
      </c>
      <c r="J617" s="217"/>
      <c r="K617" s="218" t="s">
        <v>951</v>
      </c>
      <c r="L617" s="212" t="s">
        <v>87</v>
      </c>
      <c r="M617" s="250"/>
      <c r="N617" s="239">
        <v>44712</v>
      </c>
      <c r="O617" s="210" t="s">
        <v>1773</v>
      </c>
      <c r="P617" s="210" t="s">
        <v>1774</v>
      </c>
      <c r="Q617" s="210" t="s">
        <v>1773</v>
      </c>
      <c r="R617" s="210" t="s">
        <v>1745</v>
      </c>
      <c r="S617" s="210" t="s">
        <v>1078</v>
      </c>
      <c r="T617" s="210" t="s">
        <v>349</v>
      </c>
      <c r="U617" s="210" t="s">
        <v>1078</v>
      </c>
      <c r="V617" s="210" t="s">
        <v>1746</v>
      </c>
      <c r="W617" s="211" t="s">
        <v>1747</v>
      </c>
      <c r="X617" s="211">
        <v>100</v>
      </c>
      <c r="Y617" s="211">
        <v>1</v>
      </c>
      <c r="Z617" s="212">
        <v>100</v>
      </c>
      <c r="AA617" s="240">
        <v>1</v>
      </c>
      <c r="AB617" s="213">
        <v>8.9999999999999993E-3</v>
      </c>
      <c r="AC617" s="213">
        <v>0.2</v>
      </c>
      <c r="AD617" s="213" t="s">
        <v>109</v>
      </c>
      <c r="AE617" s="213">
        <v>2.0999999999999994E-3</v>
      </c>
      <c r="AF617" s="241">
        <v>4679694.47</v>
      </c>
      <c r="AG617" s="241">
        <v>4679694.47</v>
      </c>
      <c r="AH617" s="213" t="s">
        <v>66</v>
      </c>
      <c r="AI617" s="352" t="s">
        <v>66</v>
      </c>
      <c r="AJ617" s="213" t="s">
        <v>66</v>
      </c>
      <c r="AK617" s="352" t="s">
        <v>66</v>
      </c>
      <c r="AL617" s="213" t="s">
        <v>66</v>
      </c>
      <c r="AM617" s="352" t="s">
        <v>66</v>
      </c>
      <c r="AN617" s="213" t="s">
        <v>66</v>
      </c>
      <c r="AO617" s="352" t="s">
        <v>66</v>
      </c>
      <c r="AP617" s="213" t="s">
        <v>66</v>
      </c>
      <c r="AQ617" s="219" t="s">
        <v>66</v>
      </c>
      <c r="AR617" s="213" t="s">
        <v>1827</v>
      </c>
      <c r="AV617" s="343"/>
      <c r="AW617" s="328"/>
      <c r="AX617" s="329"/>
      <c r="AY617" s="328"/>
      <c r="AZ617" s="328"/>
      <c r="BA617" s="330"/>
      <c r="BB617" s="328"/>
      <c r="BC617" s="328"/>
      <c r="BD617" s="328"/>
      <c r="BE617" s="330"/>
      <c r="BF617" s="330"/>
      <c r="BG617" s="344"/>
      <c r="BH617" s="330"/>
      <c r="BI617" s="330"/>
      <c r="BJ617" s="330"/>
      <c r="BK617" s="330"/>
      <c r="BL617" s="330"/>
      <c r="BM617" s="330"/>
      <c r="BN617" s="330"/>
      <c r="BO617" s="330"/>
      <c r="BP617" s="331"/>
      <c r="BQ617" s="332"/>
      <c r="BR617" s="333"/>
    </row>
    <row r="618" spans="2:70" ht="15.75" customHeight="1">
      <c r="B618" s="216" t="s">
        <v>775</v>
      </c>
      <c r="C618" s="212">
        <v>545832</v>
      </c>
      <c r="D618" s="223">
        <v>41993440000174</v>
      </c>
      <c r="E618" s="217" t="s">
        <v>19</v>
      </c>
      <c r="F618" s="217" t="s">
        <v>963</v>
      </c>
      <c r="G618" s="217" t="s">
        <v>1011</v>
      </c>
      <c r="H618" s="218" t="s">
        <v>1113</v>
      </c>
      <c r="I618" s="217" t="s">
        <v>66</v>
      </c>
      <c r="J618" s="217"/>
      <c r="K618" s="218"/>
      <c r="L618" s="212" t="s">
        <v>87</v>
      </c>
      <c r="M618" s="250"/>
      <c r="N618" s="239">
        <v>44439</v>
      </c>
      <c r="O618" s="210" t="s">
        <v>102</v>
      </c>
      <c r="P618" s="210" t="s">
        <v>1083</v>
      </c>
      <c r="Q618" s="210" t="s">
        <v>102</v>
      </c>
      <c r="R618" s="210" t="s">
        <v>1084</v>
      </c>
      <c r="S618" s="210" t="s">
        <v>1078</v>
      </c>
      <c r="T618" s="210" t="s">
        <v>1275</v>
      </c>
      <c r="U618" s="210" t="s">
        <v>1078</v>
      </c>
      <c r="V618" s="210" t="s">
        <v>19</v>
      </c>
      <c r="W618" s="211" t="s">
        <v>1017</v>
      </c>
      <c r="X618" s="211">
        <v>100</v>
      </c>
      <c r="Y618" s="211">
        <v>1</v>
      </c>
      <c r="Z618" s="212">
        <v>100</v>
      </c>
      <c r="AA618" s="240">
        <v>1</v>
      </c>
      <c r="AB618" s="213">
        <v>8.9999999999999993E-3</v>
      </c>
      <c r="AC618" s="213">
        <v>0.2</v>
      </c>
      <c r="AD618" s="213" t="s">
        <v>109</v>
      </c>
      <c r="AE618" s="213">
        <v>2.0996999999999999E-3</v>
      </c>
      <c r="AF618" s="241">
        <v>98827218.510000005</v>
      </c>
      <c r="AG618" s="241">
        <v>98827218.510000005</v>
      </c>
      <c r="AH618" s="213">
        <v>6.0199999999999997E-2</v>
      </c>
      <c r="AI618" s="352">
        <v>0.92700000000000005</v>
      </c>
      <c r="AJ618" s="213" t="s">
        <v>66</v>
      </c>
      <c r="AK618" s="352" t="s">
        <v>66</v>
      </c>
      <c r="AL618" s="213" t="s">
        <v>66</v>
      </c>
      <c r="AM618" s="352" t="s">
        <v>66</v>
      </c>
      <c r="AN618" s="213" t="s">
        <v>66</v>
      </c>
      <c r="AO618" s="352" t="s">
        <v>66</v>
      </c>
      <c r="AP618" s="213" t="s">
        <v>66</v>
      </c>
      <c r="AQ618" s="219" t="s">
        <v>66</v>
      </c>
      <c r="AR618" s="213" t="s">
        <v>1827</v>
      </c>
      <c r="AV618" s="343"/>
      <c r="AW618" s="328"/>
      <c r="AX618" s="329"/>
      <c r="AY618" s="328"/>
      <c r="AZ618" s="328"/>
      <c r="BA618" s="330"/>
      <c r="BB618" s="328"/>
      <c r="BC618" s="328"/>
      <c r="BD618" s="328"/>
      <c r="BE618" s="330"/>
      <c r="BF618" s="330"/>
      <c r="BG618" s="344"/>
      <c r="BH618" s="330"/>
      <c r="BI618" s="330"/>
      <c r="BJ618" s="330"/>
      <c r="BK618" s="330"/>
      <c r="BL618" s="330"/>
      <c r="BM618" s="330"/>
      <c r="BN618" s="330"/>
      <c r="BO618" s="330"/>
      <c r="BP618" s="331"/>
      <c r="BQ618" s="332"/>
      <c r="BR618" s="333"/>
    </row>
    <row r="619" spans="2:70" ht="15.75" customHeight="1">
      <c r="B619" s="216" t="s">
        <v>410</v>
      </c>
      <c r="C619" s="212">
        <v>1403125</v>
      </c>
      <c r="D619" s="223">
        <v>35727276000150</v>
      </c>
      <c r="E619" s="217" t="s">
        <v>25</v>
      </c>
      <c r="F619" s="217" t="s">
        <v>958</v>
      </c>
      <c r="G619" s="217" t="s">
        <v>962</v>
      </c>
      <c r="H619" s="218"/>
      <c r="I619" s="217" t="s">
        <v>1841</v>
      </c>
      <c r="J619" s="217" t="s">
        <v>66</v>
      </c>
      <c r="K619" s="218" t="s">
        <v>951</v>
      </c>
      <c r="L619" s="212" t="s">
        <v>87</v>
      </c>
      <c r="M619" s="250"/>
      <c r="N619" s="239">
        <v>44316</v>
      </c>
      <c r="O619" s="210" t="s">
        <v>102</v>
      </c>
      <c r="P619" s="210" t="s">
        <v>1083</v>
      </c>
      <c r="Q619" s="210" t="s">
        <v>102</v>
      </c>
      <c r="R619" s="210" t="s">
        <v>1084</v>
      </c>
      <c r="S619" s="210" t="s">
        <v>1085</v>
      </c>
      <c r="T619" s="210" t="s">
        <v>1082</v>
      </c>
      <c r="U619" s="210" t="s">
        <v>958</v>
      </c>
      <c r="V619" s="210" t="s">
        <v>25</v>
      </c>
      <c r="W619" s="211" t="s">
        <v>1016</v>
      </c>
      <c r="X619" s="211">
        <v>100</v>
      </c>
      <c r="Y619" s="211">
        <v>1</v>
      </c>
      <c r="Z619" s="212">
        <v>100</v>
      </c>
      <c r="AA619" s="240">
        <v>22</v>
      </c>
      <c r="AB619" s="213">
        <v>0.02</v>
      </c>
      <c r="AC619" s="213">
        <v>0.2</v>
      </c>
      <c r="AD619" s="213" t="s">
        <v>109</v>
      </c>
      <c r="AE619" s="213">
        <v>4.6666666666666662E-3</v>
      </c>
      <c r="AF619" s="241">
        <v>144972978.03</v>
      </c>
      <c r="AG619" s="241">
        <v>144972978.03</v>
      </c>
      <c r="AH619" s="213">
        <v>0.1215</v>
      </c>
      <c r="AI619" s="352">
        <v>1.8721000000000001</v>
      </c>
      <c r="AJ619" s="213">
        <v>0.21640000000000001</v>
      </c>
      <c r="AK619" s="352">
        <v>2.3005</v>
      </c>
      <c r="AL619" s="213" t="s">
        <v>66</v>
      </c>
      <c r="AM619" s="352" t="s">
        <v>66</v>
      </c>
      <c r="AN619" s="213" t="s">
        <v>66</v>
      </c>
      <c r="AO619" s="352" t="s">
        <v>66</v>
      </c>
      <c r="AP619" s="213">
        <v>3.1E-2</v>
      </c>
      <c r="AQ619" s="219">
        <v>3.4389598204060778</v>
      </c>
      <c r="AR619" s="213" t="s">
        <v>1827</v>
      </c>
      <c r="AV619" s="343"/>
      <c r="AW619" s="328"/>
      <c r="AX619" s="329"/>
      <c r="AY619" s="328"/>
      <c r="AZ619" s="328"/>
      <c r="BA619" s="330"/>
      <c r="BB619" s="328"/>
      <c r="BC619" s="328"/>
      <c r="BD619" s="328"/>
      <c r="BE619" s="330"/>
      <c r="BF619" s="330"/>
      <c r="BG619" s="344"/>
      <c r="BH619" s="330"/>
      <c r="BI619" s="330"/>
      <c r="BJ619" s="330"/>
      <c r="BK619" s="330"/>
      <c r="BL619" s="330"/>
      <c r="BM619" s="330"/>
      <c r="BN619" s="330"/>
      <c r="BO619" s="330"/>
      <c r="BP619" s="331"/>
      <c r="BQ619" s="332"/>
      <c r="BR619" s="333"/>
    </row>
    <row r="620" spans="2:70" ht="15.75" customHeight="1">
      <c r="B620" s="216" t="s">
        <v>1418</v>
      </c>
      <c r="C620" s="212">
        <v>2105226</v>
      </c>
      <c r="D620" s="223">
        <v>41745741000189</v>
      </c>
      <c r="E620" s="217" t="s">
        <v>19</v>
      </c>
      <c r="F620" s="217" t="s">
        <v>963</v>
      </c>
      <c r="G620" s="217" t="s">
        <v>1021</v>
      </c>
      <c r="H620" s="218" t="s">
        <v>1113</v>
      </c>
      <c r="I620" s="217" t="s">
        <v>66</v>
      </c>
      <c r="J620" s="217" t="s">
        <v>1794</v>
      </c>
      <c r="K620" s="218"/>
      <c r="L620" s="212" t="s">
        <v>87</v>
      </c>
      <c r="M620" s="250"/>
      <c r="N620" s="239">
        <v>44498</v>
      </c>
      <c r="O620" s="210" t="s">
        <v>1412</v>
      </c>
      <c r="P620" s="210" t="s">
        <v>1083</v>
      </c>
      <c r="Q620" s="210" t="s">
        <v>102</v>
      </c>
      <c r="R620" s="210" t="s">
        <v>1084</v>
      </c>
      <c r="S620" s="210" t="s">
        <v>1078</v>
      </c>
      <c r="T620" s="210" t="s">
        <v>349</v>
      </c>
      <c r="U620" s="210" t="s">
        <v>1114</v>
      </c>
      <c r="V620" s="210" t="s">
        <v>19</v>
      </c>
      <c r="W620" s="211" t="s">
        <v>1010</v>
      </c>
      <c r="X620" s="211">
        <v>100</v>
      </c>
      <c r="Y620" s="211">
        <v>1</v>
      </c>
      <c r="Z620" s="212">
        <v>100</v>
      </c>
      <c r="AA620" s="240">
        <v>0</v>
      </c>
      <c r="AB620" s="213">
        <v>3.0000000000000001E-3</v>
      </c>
      <c r="AC620" s="213">
        <v>0</v>
      </c>
      <c r="AD620" s="213" t="s">
        <v>109</v>
      </c>
      <c r="AE620" s="213">
        <v>6.9999999999999999E-4</v>
      </c>
      <c r="AF620" s="241">
        <v>184270697.80000001</v>
      </c>
      <c r="AG620" s="241">
        <v>184270697.80000001</v>
      </c>
      <c r="AH620" s="213">
        <v>6.9500000000000006E-2</v>
      </c>
      <c r="AI620" s="352">
        <v>1.0705</v>
      </c>
      <c r="AJ620" s="213" t="s">
        <v>66</v>
      </c>
      <c r="AK620" s="352" t="s">
        <v>66</v>
      </c>
      <c r="AL620" s="213" t="s">
        <v>66</v>
      </c>
      <c r="AM620" s="352" t="s">
        <v>66</v>
      </c>
      <c r="AN620" s="213" t="s">
        <v>66</v>
      </c>
      <c r="AO620" s="352" t="s">
        <v>66</v>
      </c>
      <c r="AP620" s="213" t="s">
        <v>66</v>
      </c>
      <c r="AQ620" s="219" t="s">
        <v>66</v>
      </c>
      <c r="AR620" s="213" t="s">
        <v>1827</v>
      </c>
      <c r="AU620" s="343"/>
      <c r="AV620" s="343"/>
      <c r="AW620" s="328"/>
      <c r="AX620" s="329"/>
      <c r="AY620" s="328"/>
      <c r="AZ620" s="328"/>
      <c r="BA620" s="330"/>
      <c r="BB620" s="328"/>
      <c r="BC620" s="328"/>
      <c r="BD620" s="328"/>
      <c r="BE620" s="330"/>
      <c r="BF620" s="330"/>
      <c r="BG620" s="344"/>
      <c r="BH620" s="383"/>
      <c r="BI620" s="330"/>
      <c r="BJ620" s="330"/>
      <c r="BK620" s="330"/>
      <c r="BL620" s="330"/>
      <c r="BM620" s="330"/>
      <c r="BN620" s="330"/>
      <c r="BO620" s="330"/>
      <c r="BP620" s="331"/>
      <c r="BQ620" s="332"/>
      <c r="BR620" s="333"/>
    </row>
    <row r="621" spans="2:70" ht="15.75" customHeight="1">
      <c r="B621" s="216" t="s">
        <v>1419</v>
      </c>
      <c r="C621" s="212">
        <v>2105264</v>
      </c>
      <c r="D621" s="223">
        <v>41483966000104</v>
      </c>
      <c r="E621" s="217" t="s">
        <v>28</v>
      </c>
      <c r="F621" s="217" t="s">
        <v>950</v>
      </c>
      <c r="G621" s="217"/>
      <c r="H621" s="218" t="s">
        <v>1260</v>
      </c>
      <c r="I621" s="217" t="s">
        <v>66</v>
      </c>
      <c r="J621" s="217" t="s">
        <v>66</v>
      </c>
      <c r="K621" s="218" t="s">
        <v>1040</v>
      </c>
      <c r="L621" s="212"/>
      <c r="M621" s="250"/>
      <c r="N621" s="239">
        <v>44343</v>
      </c>
      <c r="O621" s="210" t="s">
        <v>102</v>
      </c>
      <c r="P621" s="210" t="s">
        <v>1083</v>
      </c>
      <c r="Q621" s="210" t="s">
        <v>102</v>
      </c>
      <c r="R621" s="210" t="s">
        <v>1077</v>
      </c>
      <c r="S621" s="210" t="s">
        <v>1078</v>
      </c>
      <c r="T621" s="210" t="s">
        <v>1079</v>
      </c>
      <c r="U621" s="210" t="s">
        <v>65</v>
      </c>
      <c r="V621" s="210" t="s">
        <v>1080</v>
      </c>
      <c r="W621" s="211" t="s">
        <v>1036</v>
      </c>
      <c r="X621" s="211">
        <v>100</v>
      </c>
      <c r="Y621" s="211">
        <v>100</v>
      </c>
      <c r="Z621" s="212">
        <v>100</v>
      </c>
      <c r="AA621" s="240">
        <v>6</v>
      </c>
      <c r="AB621" s="213">
        <v>8.0000000000000002E-3</v>
      </c>
      <c r="AC621" s="213">
        <v>0</v>
      </c>
      <c r="AD621" s="213" t="s">
        <v>1014</v>
      </c>
      <c r="AE621" s="213" t="s">
        <v>66</v>
      </c>
      <c r="AF621" s="241">
        <v>12206216.710000001</v>
      </c>
      <c r="AG621" s="241">
        <v>12206216.710000001</v>
      </c>
      <c r="AH621" s="213">
        <v>-0.20530000000000001</v>
      </c>
      <c r="AI621" s="352">
        <v>-3.1621999999999999</v>
      </c>
      <c r="AJ621" s="213">
        <v>-0.15359999999999999</v>
      </c>
      <c r="AK621" s="352">
        <v>-1.6329</v>
      </c>
      <c r="AL621" s="213" t="s">
        <v>66</v>
      </c>
      <c r="AM621" s="352" t="s">
        <v>66</v>
      </c>
      <c r="AN621" s="213" t="s">
        <v>66</v>
      </c>
      <c r="AO621" s="352" t="s">
        <v>66</v>
      </c>
      <c r="AP621" s="213">
        <v>0.32700000000000001</v>
      </c>
      <c r="AQ621" s="219">
        <v>-0.62188539780421792</v>
      </c>
      <c r="AR621" s="213" t="s">
        <v>1827</v>
      </c>
      <c r="AV621" s="343"/>
      <c r="AW621" s="328"/>
      <c r="AX621" s="329"/>
      <c r="AY621" s="328"/>
      <c r="AZ621" s="328"/>
      <c r="BA621" s="330"/>
      <c r="BB621" s="328"/>
      <c r="BC621" s="328"/>
      <c r="BD621" s="328"/>
      <c r="BE621" s="330"/>
      <c r="BF621" s="330"/>
      <c r="BG621" s="344"/>
      <c r="BH621" s="330"/>
      <c r="BI621" s="330"/>
      <c r="BJ621" s="330"/>
      <c r="BK621" s="330"/>
      <c r="BL621" s="330"/>
      <c r="BM621" s="330"/>
      <c r="BN621" s="330"/>
      <c r="BO621" s="330"/>
      <c r="BP621" s="331"/>
      <c r="BQ621" s="332"/>
      <c r="BR621" s="333"/>
    </row>
    <row r="622" spans="2:70" ht="15.75" customHeight="1">
      <c r="B622" s="216" t="s">
        <v>1420</v>
      </c>
      <c r="C622" s="212">
        <v>3843066</v>
      </c>
      <c r="D622" s="223">
        <v>19628842000110</v>
      </c>
      <c r="E622" s="217" t="s">
        <v>28</v>
      </c>
      <c r="F622" s="217" t="s">
        <v>957</v>
      </c>
      <c r="G622" s="217"/>
      <c r="H622" s="218"/>
      <c r="I622" s="217" t="s">
        <v>1842</v>
      </c>
      <c r="J622" s="217" t="s">
        <v>66</v>
      </c>
      <c r="K622" s="218" t="s">
        <v>954</v>
      </c>
      <c r="L622" s="212" t="s">
        <v>87</v>
      </c>
      <c r="M622" s="250"/>
      <c r="N622" s="239">
        <v>41739</v>
      </c>
      <c r="O622" s="210" t="s">
        <v>411</v>
      </c>
      <c r="P622" s="210" t="s">
        <v>1090</v>
      </c>
      <c r="Q622" s="210" t="s">
        <v>1091</v>
      </c>
      <c r="R622" s="210" t="s">
        <v>1077</v>
      </c>
      <c r="S622" s="210" t="s">
        <v>1078</v>
      </c>
      <c r="T622" s="210" t="s">
        <v>1079</v>
      </c>
      <c r="U622" s="210" t="s">
        <v>957</v>
      </c>
      <c r="V622" s="210" t="s">
        <v>1080</v>
      </c>
      <c r="W622" s="211" t="s">
        <v>1007</v>
      </c>
      <c r="X622" s="211">
        <v>5000</v>
      </c>
      <c r="Y622" s="211">
        <v>1000</v>
      </c>
      <c r="Z622" s="212">
        <v>5000</v>
      </c>
      <c r="AA622" s="240">
        <v>32</v>
      </c>
      <c r="AB622" s="213">
        <v>0.02</v>
      </c>
      <c r="AC622" s="213">
        <v>0.2</v>
      </c>
      <c r="AD622" s="213" t="s">
        <v>1014</v>
      </c>
      <c r="AE622" s="213">
        <v>5.3333333333333332E-3</v>
      </c>
      <c r="AF622" s="241">
        <v>152538019.13999999</v>
      </c>
      <c r="AG622" s="241">
        <v>152538019.13999999</v>
      </c>
      <c r="AH622" s="213">
        <v>-0.15340000000000001</v>
      </c>
      <c r="AI622" s="352">
        <v>-2.3631000000000002</v>
      </c>
      <c r="AJ622" s="213">
        <v>-0.30559999999999998</v>
      </c>
      <c r="AK622" s="352">
        <v>-3.2483</v>
      </c>
      <c r="AL622" s="213">
        <v>-0.21940000000000001</v>
      </c>
      <c r="AM622" s="352">
        <v>-1.8160000000000001</v>
      </c>
      <c r="AN622" s="213">
        <v>-3.1699999999999999E-2</v>
      </c>
      <c r="AO622" s="352">
        <v>-0.18820000000000001</v>
      </c>
      <c r="AP622" s="213">
        <v>0.2455</v>
      </c>
      <c r="AQ622" s="219">
        <v>-1.7280498866951088</v>
      </c>
      <c r="AR622" s="213" t="s">
        <v>1827</v>
      </c>
      <c r="AV622" s="343"/>
      <c r="AW622" s="328"/>
      <c r="AX622" s="329"/>
      <c r="AY622" s="328"/>
      <c r="AZ622" s="328"/>
      <c r="BA622" s="330"/>
      <c r="BB622" s="328"/>
      <c r="BC622" s="328"/>
      <c r="BD622" s="328"/>
      <c r="BE622" s="330"/>
      <c r="BF622" s="330"/>
      <c r="BG622" s="344"/>
      <c r="BH622" s="330"/>
      <c r="BI622" s="330"/>
      <c r="BJ622" s="330"/>
      <c r="BK622" s="330"/>
      <c r="BL622" s="330"/>
      <c r="BM622" s="330"/>
      <c r="BN622" s="330"/>
      <c r="BO622" s="330"/>
      <c r="BP622" s="331"/>
      <c r="BQ622" s="332"/>
      <c r="BR622" s="333"/>
    </row>
    <row r="623" spans="2:70" ht="15.75" customHeight="1">
      <c r="B623" s="216" t="s">
        <v>389</v>
      </c>
      <c r="C623" s="212">
        <v>545843</v>
      </c>
      <c r="D623" s="223">
        <v>29319740000177</v>
      </c>
      <c r="E623" s="217" t="s">
        <v>25</v>
      </c>
      <c r="F623" s="217" t="s">
        <v>959</v>
      </c>
      <c r="G623" s="217" t="s">
        <v>953</v>
      </c>
      <c r="H623" s="218" t="s">
        <v>66</v>
      </c>
      <c r="I623" s="217" t="s">
        <v>1841</v>
      </c>
      <c r="J623" s="217" t="s">
        <v>66</v>
      </c>
      <c r="K623" s="218"/>
      <c r="L623" s="212" t="s">
        <v>87</v>
      </c>
      <c r="M623" s="250"/>
      <c r="N623" s="239">
        <v>43348</v>
      </c>
      <c r="O623" s="210" t="s">
        <v>330</v>
      </c>
      <c r="P623" s="210" t="s">
        <v>1322</v>
      </c>
      <c r="Q623" s="210" t="s">
        <v>1148</v>
      </c>
      <c r="R623" s="210" t="s">
        <v>1084</v>
      </c>
      <c r="S623" s="210" t="s">
        <v>1078</v>
      </c>
      <c r="T623" s="210" t="s">
        <v>1082</v>
      </c>
      <c r="U623" s="210" t="s">
        <v>1086</v>
      </c>
      <c r="V623" s="210" t="s">
        <v>25</v>
      </c>
      <c r="W623" s="211" t="s">
        <v>1016</v>
      </c>
      <c r="X623" s="211">
        <v>1000</v>
      </c>
      <c r="Y623" s="211">
        <v>1000</v>
      </c>
      <c r="Z623" s="212">
        <v>1000</v>
      </c>
      <c r="AA623" s="240">
        <v>16</v>
      </c>
      <c r="AB623" s="213">
        <v>0.02</v>
      </c>
      <c r="AC623" s="213">
        <v>0.2</v>
      </c>
      <c r="AD623" s="213" t="s">
        <v>109</v>
      </c>
      <c r="AE623" s="213">
        <v>4.0000000000000001E-3</v>
      </c>
      <c r="AF623" s="241">
        <v>4379249.9800000004</v>
      </c>
      <c r="AG623" s="241">
        <v>4379249.9800000004</v>
      </c>
      <c r="AH623" s="213">
        <v>1.9099999999999999E-2</v>
      </c>
      <c r="AI623" s="352">
        <v>0.29449999999999998</v>
      </c>
      <c r="AJ623" s="213">
        <v>7.3499999999999996E-2</v>
      </c>
      <c r="AK623" s="352">
        <v>0.78139999999999998</v>
      </c>
      <c r="AL623" s="213">
        <v>8.9999999999999993E-3</v>
      </c>
      <c r="AM623" s="352">
        <v>7.4399999999999994E-2</v>
      </c>
      <c r="AN623" s="213">
        <v>0.1113</v>
      </c>
      <c r="AO623" s="352">
        <v>0.66039999999999999</v>
      </c>
      <c r="AP623" s="213">
        <v>3.7199999999999997E-2</v>
      </c>
      <c r="AQ623" s="219">
        <v>-0.49207627167747292</v>
      </c>
      <c r="AR623" s="213" t="s">
        <v>1827</v>
      </c>
      <c r="AV623" s="343"/>
      <c r="AW623" s="328"/>
      <c r="AX623" s="329"/>
      <c r="AY623" s="328"/>
      <c r="AZ623" s="328"/>
      <c r="BA623" s="330"/>
      <c r="BB623" s="328"/>
      <c r="BC623" s="328"/>
      <c r="BD623" s="328"/>
      <c r="BE623" s="330"/>
      <c r="BF623" s="330"/>
      <c r="BG623" s="344"/>
      <c r="BH623" s="330"/>
      <c r="BI623" s="330"/>
      <c r="BJ623" s="330"/>
      <c r="BK623" s="330"/>
      <c r="BL623" s="330"/>
      <c r="BM623" s="330"/>
      <c r="BN623" s="330"/>
      <c r="BO623" s="330"/>
      <c r="BP623" s="331"/>
      <c r="BQ623" s="332"/>
      <c r="BR623" s="333"/>
    </row>
    <row r="624" spans="2:70" ht="15.75" customHeight="1">
      <c r="B624" s="216" t="s">
        <v>412</v>
      </c>
      <c r="C624" s="212">
        <v>1115972</v>
      </c>
      <c r="D624" s="223">
        <v>38318178000158</v>
      </c>
      <c r="E624" s="217" t="s">
        <v>28</v>
      </c>
      <c r="F624" s="217" t="s">
        <v>950</v>
      </c>
      <c r="G624" s="217"/>
      <c r="H624" s="218" t="s">
        <v>1260</v>
      </c>
      <c r="I624" s="217" t="s">
        <v>66</v>
      </c>
      <c r="J624" s="217" t="s">
        <v>66</v>
      </c>
      <c r="K624" s="218" t="s">
        <v>954</v>
      </c>
      <c r="L624" s="212"/>
      <c r="M624" s="250"/>
      <c r="N624" s="239">
        <v>44293</v>
      </c>
      <c r="O624" s="210" t="s">
        <v>249</v>
      </c>
      <c r="P624" s="210" t="s">
        <v>1075</v>
      </c>
      <c r="Q624" s="210" t="s">
        <v>1076</v>
      </c>
      <c r="R624" s="210" t="s">
        <v>1077</v>
      </c>
      <c r="S624" s="210" t="s">
        <v>1078</v>
      </c>
      <c r="T624" s="210" t="s">
        <v>1079</v>
      </c>
      <c r="U624" s="210" t="s">
        <v>65</v>
      </c>
      <c r="V624" s="210" t="s">
        <v>1080</v>
      </c>
      <c r="W624" s="211" t="s">
        <v>1036</v>
      </c>
      <c r="X624" s="211">
        <v>5000</v>
      </c>
      <c r="Y624" s="211">
        <v>5000</v>
      </c>
      <c r="Z624" s="212">
        <v>5000</v>
      </c>
      <c r="AA624" s="240">
        <v>5</v>
      </c>
      <c r="AB624" s="213">
        <v>0.01</v>
      </c>
      <c r="AC624" s="213">
        <v>0</v>
      </c>
      <c r="AD624" s="213" t="s">
        <v>113</v>
      </c>
      <c r="AE624" s="213">
        <v>6.6669999999999993E-3</v>
      </c>
      <c r="AF624" s="241">
        <v>646766.89</v>
      </c>
      <c r="AG624" s="241">
        <v>646766.89</v>
      </c>
      <c r="AH624" s="213">
        <v>-0.30620000000000003</v>
      </c>
      <c r="AI624" s="352">
        <v>-4.7168000000000001</v>
      </c>
      <c r="AJ624" s="213">
        <v>-0.22570000000000001</v>
      </c>
      <c r="AK624" s="352">
        <v>-2.3988</v>
      </c>
      <c r="AL624" s="213" t="s">
        <v>66</v>
      </c>
      <c r="AM624" s="352" t="s">
        <v>66</v>
      </c>
      <c r="AN624" s="213" t="s">
        <v>66</v>
      </c>
      <c r="AO624" s="352" t="s">
        <v>66</v>
      </c>
      <c r="AP624" s="213">
        <v>0.25259999999999999</v>
      </c>
      <c r="AQ624" s="219">
        <v>-1.2419134968680858</v>
      </c>
      <c r="AR624" s="213" t="s">
        <v>1824</v>
      </c>
      <c r="AV624" s="343"/>
      <c r="AW624" s="328"/>
      <c r="AX624" s="329"/>
      <c r="AY624" s="328"/>
      <c r="AZ624" s="328"/>
      <c r="BA624" s="330"/>
      <c r="BB624" s="328"/>
      <c r="BC624" s="328"/>
      <c r="BD624" s="328"/>
      <c r="BE624" s="330"/>
      <c r="BF624" s="330"/>
      <c r="BG624" s="344"/>
      <c r="BH624" s="330"/>
      <c r="BI624" s="330"/>
      <c r="BJ624" s="330"/>
      <c r="BK624" s="330"/>
      <c r="BL624" s="330"/>
      <c r="BM624" s="330"/>
      <c r="BN624" s="330"/>
      <c r="BO624" s="330"/>
      <c r="BP624" s="331"/>
      <c r="BQ624" s="332"/>
      <c r="BR624" s="333"/>
    </row>
    <row r="625" spans="2:70" ht="15.75" customHeight="1">
      <c r="B625" s="216" t="s">
        <v>413</v>
      </c>
      <c r="C625" s="212">
        <v>580522</v>
      </c>
      <c r="D625" s="223">
        <v>7266253000150</v>
      </c>
      <c r="E625" s="217" t="s">
        <v>28</v>
      </c>
      <c r="F625" s="217" t="s">
        <v>950</v>
      </c>
      <c r="G625" s="217"/>
      <c r="H625" s="218"/>
      <c r="I625" s="217" t="s">
        <v>66</v>
      </c>
      <c r="J625" s="217" t="s">
        <v>66</v>
      </c>
      <c r="K625" s="218" t="s">
        <v>951</v>
      </c>
      <c r="L625" s="212" t="s">
        <v>87</v>
      </c>
      <c r="M625" s="250"/>
      <c r="N625" s="239">
        <v>38611</v>
      </c>
      <c r="O625" s="210" t="s">
        <v>414</v>
      </c>
      <c r="P625" s="210" t="s">
        <v>1075</v>
      </c>
      <c r="Q625" s="210" t="s">
        <v>1076</v>
      </c>
      <c r="R625" s="210" t="s">
        <v>1084</v>
      </c>
      <c r="S625" s="210" t="s">
        <v>1078</v>
      </c>
      <c r="T625" s="210" t="s">
        <v>1079</v>
      </c>
      <c r="U625" s="210" t="s">
        <v>950</v>
      </c>
      <c r="V625" s="210" t="s">
        <v>1080</v>
      </c>
      <c r="W625" s="211" t="s">
        <v>1007</v>
      </c>
      <c r="X625" s="211">
        <v>1000</v>
      </c>
      <c r="Y625" s="211">
        <v>1000</v>
      </c>
      <c r="Z625" s="212">
        <v>1000</v>
      </c>
      <c r="AA625" s="240">
        <v>14</v>
      </c>
      <c r="AB625" s="213">
        <v>0.02</v>
      </c>
      <c r="AC625" s="213">
        <v>0.2</v>
      </c>
      <c r="AD625" s="213" t="s">
        <v>113</v>
      </c>
      <c r="AE625" s="213">
        <v>4.6666666666666662E-3</v>
      </c>
      <c r="AF625" s="241">
        <v>22029155.559999999</v>
      </c>
      <c r="AG625" s="241">
        <v>22029155.559999999</v>
      </c>
      <c r="AH625" s="213">
        <v>-0.114</v>
      </c>
      <c r="AI625" s="352">
        <v>-1.7562</v>
      </c>
      <c r="AJ625" s="213">
        <v>-0.28299999999999997</v>
      </c>
      <c r="AK625" s="352">
        <v>-3.0082</v>
      </c>
      <c r="AL625" s="213">
        <v>-0.224</v>
      </c>
      <c r="AM625" s="352">
        <v>-1.8540000000000001</v>
      </c>
      <c r="AN625" s="213">
        <v>-0.1401</v>
      </c>
      <c r="AO625" s="352">
        <v>-0.83150000000000002</v>
      </c>
      <c r="AP625" s="213">
        <v>0.2369</v>
      </c>
      <c r="AQ625" s="219">
        <v>-1.6651150931394734</v>
      </c>
      <c r="AR625" s="213" t="s">
        <v>1827</v>
      </c>
      <c r="AV625" s="343"/>
      <c r="AW625" s="328"/>
      <c r="AX625" s="329"/>
      <c r="AY625" s="328"/>
      <c r="AZ625" s="328"/>
      <c r="BA625" s="330"/>
      <c r="BB625" s="328"/>
      <c r="BC625" s="328"/>
      <c r="BD625" s="328"/>
      <c r="BE625" s="330"/>
      <c r="BF625" s="330"/>
      <c r="BG625" s="344"/>
      <c r="BH625" s="330"/>
      <c r="BI625" s="330"/>
      <c r="BJ625" s="330"/>
      <c r="BK625" s="330"/>
      <c r="BL625" s="330"/>
      <c r="BM625" s="330"/>
      <c r="BN625" s="330"/>
      <c r="BO625" s="330"/>
      <c r="BP625" s="331"/>
      <c r="BQ625" s="332"/>
      <c r="BR625" s="333"/>
    </row>
    <row r="626" spans="2:70" ht="15.75" customHeight="1">
      <c r="B626" s="216" t="s">
        <v>1422</v>
      </c>
      <c r="C626" s="212">
        <v>4117655</v>
      </c>
      <c r="D626" s="223">
        <v>38281372000106</v>
      </c>
      <c r="E626" s="217" t="s">
        <v>19</v>
      </c>
      <c r="F626" s="217" t="s">
        <v>963</v>
      </c>
      <c r="G626" s="217" t="s">
        <v>1011</v>
      </c>
      <c r="H626" s="218" t="s">
        <v>1113</v>
      </c>
      <c r="I626" s="217" t="s">
        <v>66</v>
      </c>
      <c r="J626" s="217"/>
      <c r="K626" s="218" t="s">
        <v>951</v>
      </c>
      <c r="L626" s="212" t="s">
        <v>87</v>
      </c>
      <c r="M626" s="250"/>
      <c r="N626" s="239">
        <v>44138</v>
      </c>
      <c r="O626" s="210" t="s">
        <v>415</v>
      </c>
      <c r="P626" s="210" t="s">
        <v>1090</v>
      </c>
      <c r="Q626" s="210" t="s">
        <v>1091</v>
      </c>
      <c r="R626" s="210" t="s">
        <v>1077</v>
      </c>
      <c r="S626" s="210" t="s">
        <v>1078</v>
      </c>
      <c r="T626" s="210" t="s">
        <v>1275</v>
      </c>
      <c r="U626" s="210" t="s">
        <v>1114</v>
      </c>
      <c r="V626" s="210" t="s">
        <v>25</v>
      </c>
      <c r="W626" s="211" t="s">
        <v>1019</v>
      </c>
      <c r="X626" s="211">
        <v>100000</v>
      </c>
      <c r="Y626" s="211">
        <v>50000</v>
      </c>
      <c r="Z626" s="212">
        <v>100000</v>
      </c>
      <c r="AA626" s="240">
        <v>181</v>
      </c>
      <c r="AB626" s="213">
        <v>6.0000000000000001E-3</v>
      </c>
      <c r="AC626" s="213">
        <v>0.2</v>
      </c>
      <c r="AD626" s="213" t="s">
        <v>113</v>
      </c>
      <c r="AE626" s="213">
        <v>6.0000000000000006E-4</v>
      </c>
      <c r="AF626" s="241">
        <v>71718741.530000001</v>
      </c>
      <c r="AG626" s="241">
        <v>71718741.530000001</v>
      </c>
      <c r="AH626" s="213">
        <v>8.2199999999999995E-2</v>
      </c>
      <c r="AI626" s="352">
        <v>1.2659</v>
      </c>
      <c r="AJ626" s="213">
        <v>0.1188</v>
      </c>
      <c r="AK626" s="352">
        <v>1.2630999999999999</v>
      </c>
      <c r="AL626" s="213" t="s">
        <v>66</v>
      </c>
      <c r="AM626" s="352" t="s">
        <v>66</v>
      </c>
      <c r="AN626" s="213" t="s">
        <v>66</v>
      </c>
      <c r="AO626" s="352" t="s">
        <v>66</v>
      </c>
      <c r="AP626" s="213">
        <v>6.0000000000000001E-3</v>
      </c>
      <c r="AQ626" s="219">
        <v>3.7442940966446989</v>
      </c>
      <c r="AR626" s="213" t="s">
        <v>1827</v>
      </c>
      <c r="AV626" s="343"/>
      <c r="AW626" s="328"/>
      <c r="AX626" s="329"/>
      <c r="AY626" s="328"/>
      <c r="AZ626" s="328"/>
      <c r="BA626" s="330"/>
      <c r="BB626" s="328"/>
      <c r="BC626" s="328"/>
      <c r="BD626" s="328"/>
      <c r="BE626" s="330"/>
      <c r="BF626" s="330"/>
      <c r="BG626" s="344"/>
      <c r="BH626" s="330"/>
      <c r="BI626" s="330"/>
      <c r="BJ626" s="330"/>
      <c r="BK626" s="330"/>
      <c r="BL626" s="330"/>
      <c r="BM626" s="330"/>
      <c r="BN626" s="330"/>
      <c r="BO626" s="330"/>
      <c r="BP626" s="331"/>
      <c r="BQ626" s="332"/>
      <c r="BR626" s="333"/>
    </row>
    <row r="627" spans="2:70" ht="15.75" customHeight="1">
      <c r="B627" s="216" t="s">
        <v>1423</v>
      </c>
      <c r="C627" s="212">
        <v>2521679</v>
      </c>
      <c r="D627" s="223">
        <v>32227355000104</v>
      </c>
      <c r="E627" s="217" t="s">
        <v>19</v>
      </c>
      <c r="F627" s="217" t="s">
        <v>963</v>
      </c>
      <c r="G627" s="217" t="s">
        <v>1042</v>
      </c>
      <c r="H627" s="218" t="s">
        <v>1113</v>
      </c>
      <c r="I627" s="217" t="s">
        <v>66</v>
      </c>
      <c r="J627" s="217"/>
      <c r="K627" s="218" t="s">
        <v>951</v>
      </c>
      <c r="L627" s="212" t="s">
        <v>87</v>
      </c>
      <c r="M627" s="250"/>
      <c r="N627" s="239">
        <v>43544</v>
      </c>
      <c r="O627" s="210" t="s">
        <v>415</v>
      </c>
      <c r="P627" s="210" t="s">
        <v>1090</v>
      </c>
      <c r="Q627" s="210" t="s">
        <v>1091</v>
      </c>
      <c r="R627" s="210" t="s">
        <v>1077</v>
      </c>
      <c r="S627" s="210" t="s">
        <v>1078</v>
      </c>
      <c r="T627" s="210" t="s">
        <v>1275</v>
      </c>
      <c r="U627" s="210" t="s">
        <v>1114</v>
      </c>
      <c r="V627" s="210" t="s">
        <v>19</v>
      </c>
      <c r="W627" s="211" t="s">
        <v>1024</v>
      </c>
      <c r="X627" s="211">
        <v>20000</v>
      </c>
      <c r="Y627" s="211">
        <v>1000</v>
      </c>
      <c r="Z627" s="212">
        <v>5000</v>
      </c>
      <c r="AA627" s="240">
        <v>46</v>
      </c>
      <c r="AB627" s="213">
        <v>4.4999999999999997E-3</v>
      </c>
      <c r="AC627" s="213">
        <v>0.2</v>
      </c>
      <c r="AD627" s="213" t="s">
        <v>109</v>
      </c>
      <c r="AE627" s="213">
        <v>8.1809999999999988E-4</v>
      </c>
      <c r="AF627" s="241">
        <v>13052548.1</v>
      </c>
      <c r="AG627" s="241">
        <v>13052548.1</v>
      </c>
      <c r="AH627" s="213">
        <v>6.5500000000000003E-2</v>
      </c>
      <c r="AI627" s="352">
        <v>1.0082</v>
      </c>
      <c r="AJ627" s="213">
        <v>9.4500000000000001E-2</v>
      </c>
      <c r="AK627" s="352">
        <v>1.0044</v>
      </c>
      <c r="AL627" s="213">
        <v>0.1716</v>
      </c>
      <c r="AM627" s="352">
        <v>1.4205000000000001</v>
      </c>
      <c r="AN627" s="213">
        <v>0.1774</v>
      </c>
      <c r="AO627" s="352">
        <v>1.0528999999999999</v>
      </c>
      <c r="AP627" s="213">
        <v>1.5599999999999999E-2</v>
      </c>
      <c r="AQ627" s="219">
        <v>3.1750068443028863E-2</v>
      </c>
      <c r="AR627" s="213" t="s">
        <v>1827</v>
      </c>
      <c r="AV627" s="343"/>
      <c r="AW627" s="328"/>
      <c r="AX627" s="329"/>
      <c r="AY627" s="328"/>
      <c r="AZ627" s="328"/>
      <c r="BA627" s="330"/>
      <c r="BB627" s="328"/>
      <c r="BC627" s="328"/>
      <c r="BD627" s="328"/>
      <c r="BE627" s="330"/>
      <c r="BF627" s="330"/>
      <c r="BG627" s="344"/>
      <c r="BH627" s="330"/>
      <c r="BI627" s="330"/>
      <c r="BJ627" s="330"/>
      <c r="BK627" s="330"/>
      <c r="BL627" s="330"/>
      <c r="BM627" s="330"/>
      <c r="BN627" s="330"/>
      <c r="BO627" s="330"/>
      <c r="BP627" s="331"/>
      <c r="BQ627" s="332"/>
      <c r="BR627" s="333"/>
    </row>
    <row r="628" spans="2:70" ht="15.75" customHeight="1">
      <c r="B628" s="216" t="s">
        <v>1424</v>
      </c>
      <c r="C628" s="212">
        <v>1774692</v>
      </c>
      <c r="D628" s="223">
        <v>41594333000173</v>
      </c>
      <c r="E628" s="217" t="s">
        <v>19</v>
      </c>
      <c r="F628" s="217" t="s">
        <v>964</v>
      </c>
      <c r="G628" s="217" t="s">
        <v>1042</v>
      </c>
      <c r="H628" s="218" t="s">
        <v>1113</v>
      </c>
      <c r="I628" s="217" t="s">
        <v>66</v>
      </c>
      <c r="J628" s="217"/>
      <c r="K628" s="218" t="s">
        <v>951</v>
      </c>
      <c r="L628" s="212" t="s">
        <v>87</v>
      </c>
      <c r="M628" s="250"/>
      <c r="N628" s="239">
        <v>44397</v>
      </c>
      <c r="O628" s="210" t="s">
        <v>415</v>
      </c>
      <c r="P628" s="210" t="s">
        <v>1090</v>
      </c>
      <c r="Q628" s="210" t="s">
        <v>1091</v>
      </c>
      <c r="R628" s="210" t="s">
        <v>1084</v>
      </c>
      <c r="S628" s="210" t="s">
        <v>1078</v>
      </c>
      <c r="T628" s="210" t="s">
        <v>1275</v>
      </c>
      <c r="U628" s="210" t="s">
        <v>964</v>
      </c>
      <c r="V628" s="210" t="s">
        <v>25</v>
      </c>
      <c r="W628" s="211" t="s">
        <v>1016</v>
      </c>
      <c r="X628" s="211">
        <v>20000</v>
      </c>
      <c r="Y628" s="211">
        <v>1000</v>
      </c>
      <c r="Z628" s="212">
        <v>5000</v>
      </c>
      <c r="AA628" s="240">
        <v>31</v>
      </c>
      <c r="AB628" s="213">
        <v>8.5000000000000006E-3</v>
      </c>
      <c r="AC628" s="213">
        <v>0.2</v>
      </c>
      <c r="AD628" s="213" t="s">
        <v>1425</v>
      </c>
      <c r="AE628" s="213">
        <v>2.2669500000000002E-3</v>
      </c>
      <c r="AF628" s="241">
        <v>11445915.15</v>
      </c>
      <c r="AG628" s="241">
        <v>11445915.15</v>
      </c>
      <c r="AH628" s="213">
        <v>6.8599999999999994E-2</v>
      </c>
      <c r="AI628" s="352">
        <v>1.0564</v>
      </c>
      <c r="AJ628" s="213">
        <v>0.11119999999999999</v>
      </c>
      <c r="AK628" s="352">
        <v>1.1816</v>
      </c>
      <c r="AL628" s="213" t="s">
        <v>66</v>
      </c>
      <c r="AM628" s="352" t="s">
        <v>66</v>
      </c>
      <c r="AN628" s="213" t="s">
        <v>66</v>
      </c>
      <c r="AO628" s="352" t="s">
        <v>66</v>
      </c>
      <c r="AP628" s="213">
        <v>2.5899999999999999E-2</v>
      </c>
      <c r="AQ628" s="219">
        <v>0.61237373377797144</v>
      </c>
      <c r="AR628" s="213" t="s">
        <v>1827</v>
      </c>
      <c r="AV628" s="343"/>
      <c r="AW628" s="328"/>
      <c r="AX628" s="329"/>
      <c r="AY628" s="328"/>
      <c r="AZ628" s="328"/>
      <c r="BA628" s="330"/>
      <c r="BB628" s="328"/>
      <c r="BC628" s="328"/>
      <c r="BD628" s="328"/>
      <c r="BE628" s="330"/>
      <c r="BF628" s="330"/>
      <c r="BG628" s="344"/>
      <c r="BH628" s="330"/>
      <c r="BI628" s="330"/>
      <c r="BJ628" s="330"/>
      <c r="BK628" s="330"/>
      <c r="BL628" s="330"/>
      <c r="BM628" s="330"/>
      <c r="BN628" s="330"/>
      <c r="BO628" s="330"/>
      <c r="BP628" s="331"/>
      <c r="BQ628" s="332"/>
      <c r="BR628" s="333"/>
    </row>
    <row r="629" spans="2:70" ht="15.75" customHeight="1">
      <c r="B629" s="216" t="s">
        <v>1426</v>
      </c>
      <c r="C629" s="212">
        <v>1774721</v>
      </c>
      <c r="D629" s="223">
        <v>13106980000153</v>
      </c>
      <c r="E629" s="217" t="s">
        <v>28</v>
      </c>
      <c r="F629" s="217" t="s">
        <v>950</v>
      </c>
      <c r="G629" s="217"/>
      <c r="H629" s="218"/>
      <c r="I629" s="217" t="s">
        <v>66</v>
      </c>
      <c r="J629" s="217" t="s">
        <v>66</v>
      </c>
      <c r="K629" s="218" t="s">
        <v>951</v>
      </c>
      <c r="L629" s="212" t="s">
        <v>87</v>
      </c>
      <c r="M629" s="250"/>
      <c r="N629" s="239">
        <v>40633</v>
      </c>
      <c r="O629" s="210" t="s">
        <v>415</v>
      </c>
      <c r="P629" s="210" t="s">
        <v>1090</v>
      </c>
      <c r="Q629" s="210" t="s">
        <v>1091</v>
      </c>
      <c r="R629" s="210" t="s">
        <v>1077</v>
      </c>
      <c r="S629" s="210" t="s">
        <v>1078</v>
      </c>
      <c r="T629" s="210" t="s">
        <v>1079</v>
      </c>
      <c r="U629" s="210" t="s">
        <v>957</v>
      </c>
      <c r="V629" s="210" t="s">
        <v>1080</v>
      </c>
      <c r="W629" s="211" t="s">
        <v>1007</v>
      </c>
      <c r="X629" s="211">
        <v>20000</v>
      </c>
      <c r="Y629" s="211">
        <v>1000</v>
      </c>
      <c r="Z629" s="212">
        <v>5000</v>
      </c>
      <c r="AA629" s="240">
        <v>32</v>
      </c>
      <c r="AB629" s="213">
        <v>1.8499999999999999E-2</v>
      </c>
      <c r="AC629" s="213">
        <v>0.2</v>
      </c>
      <c r="AD629" s="213" t="s">
        <v>203</v>
      </c>
      <c r="AE629" s="213">
        <v>2.4666666666666665E-3</v>
      </c>
      <c r="AF629" s="241">
        <v>105577763.09</v>
      </c>
      <c r="AG629" s="241">
        <v>105577763.09</v>
      </c>
      <c r="AH629" s="213">
        <v>-8.2199999999999995E-2</v>
      </c>
      <c r="AI629" s="352">
        <v>-1.2659</v>
      </c>
      <c r="AJ629" s="213">
        <v>-0.2397</v>
      </c>
      <c r="AK629" s="352">
        <v>-2.5476999999999999</v>
      </c>
      <c r="AL629" s="213">
        <v>-8.3699999999999997E-2</v>
      </c>
      <c r="AM629" s="352">
        <v>-0.69320000000000004</v>
      </c>
      <c r="AN629" s="213">
        <v>3.7999999999999999E-2</v>
      </c>
      <c r="AO629" s="352">
        <v>0.22550000000000001</v>
      </c>
      <c r="AP629" s="213">
        <v>0.23080000000000001</v>
      </c>
      <c r="AQ629" s="219">
        <v>-1.4612738283917288</v>
      </c>
      <c r="AR629" s="213" t="s">
        <v>1827</v>
      </c>
      <c r="AV629" s="343"/>
      <c r="AW629" s="328"/>
      <c r="AX629" s="329"/>
      <c r="AY629" s="328"/>
      <c r="AZ629" s="328"/>
      <c r="BA629" s="330"/>
      <c r="BB629" s="328"/>
      <c r="BC629" s="328"/>
      <c r="BD629" s="328"/>
      <c r="BE629" s="330"/>
      <c r="BF629" s="330"/>
      <c r="BG629" s="344"/>
      <c r="BH629" s="330"/>
      <c r="BI629" s="330"/>
      <c r="BJ629" s="330"/>
      <c r="BK629" s="330"/>
      <c r="BL629" s="330"/>
      <c r="BM629" s="330"/>
      <c r="BN629" s="330"/>
      <c r="BO629" s="330"/>
      <c r="BP629" s="331"/>
      <c r="BQ629" s="332"/>
      <c r="BR629" s="333"/>
    </row>
    <row r="630" spans="2:70" ht="15.75" customHeight="1">
      <c r="B630" s="216" t="s">
        <v>417</v>
      </c>
      <c r="C630" s="212">
        <v>3682204</v>
      </c>
      <c r="D630" s="223">
        <v>9143318000104</v>
      </c>
      <c r="E630" s="217" t="s">
        <v>28</v>
      </c>
      <c r="F630" s="217" t="s">
        <v>957</v>
      </c>
      <c r="G630" s="217"/>
      <c r="H630" s="218"/>
      <c r="I630" s="217" t="s">
        <v>1842</v>
      </c>
      <c r="J630" s="217" t="s">
        <v>66</v>
      </c>
      <c r="K630" s="218" t="s">
        <v>951</v>
      </c>
      <c r="L630" s="212" t="s">
        <v>87</v>
      </c>
      <c r="M630" s="250"/>
      <c r="N630" s="239">
        <v>39598</v>
      </c>
      <c r="O630" s="210" t="s">
        <v>415</v>
      </c>
      <c r="P630" s="210" t="s">
        <v>1090</v>
      </c>
      <c r="Q630" s="210" t="s">
        <v>1091</v>
      </c>
      <c r="R630" s="210" t="s">
        <v>1084</v>
      </c>
      <c r="S630" s="210" t="s">
        <v>1078</v>
      </c>
      <c r="T630" s="210" t="s">
        <v>1079</v>
      </c>
      <c r="U630" s="210" t="s">
        <v>957</v>
      </c>
      <c r="V630" s="210" t="s">
        <v>25</v>
      </c>
      <c r="W630" s="211" t="s">
        <v>1019</v>
      </c>
      <c r="X630" s="211">
        <v>20000</v>
      </c>
      <c r="Y630" s="211">
        <v>1000</v>
      </c>
      <c r="Z630" s="212">
        <v>5000</v>
      </c>
      <c r="AA630" s="240">
        <v>32</v>
      </c>
      <c r="AB630" s="213">
        <v>1.8499999999999999E-2</v>
      </c>
      <c r="AC630" s="213">
        <v>0.2</v>
      </c>
      <c r="AD630" s="213" t="s">
        <v>203</v>
      </c>
      <c r="AE630" s="213">
        <v>2.4666666666666665E-3</v>
      </c>
      <c r="AF630" s="241">
        <v>403314135.11000001</v>
      </c>
      <c r="AG630" s="241">
        <v>403314135.11000001</v>
      </c>
      <c r="AH630" s="213">
        <v>-8.2100000000000006E-2</v>
      </c>
      <c r="AI630" s="352">
        <v>-1.2642</v>
      </c>
      <c r="AJ630" s="213">
        <v>-0.2414</v>
      </c>
      <c r="AK630" s="352">
        <v>-2.5661</v>
      </c>
      <c r="AL630" s="213">
        <v>-8.4599999999999995E-2</v>
      </c>
      <c r="AM630" s="352">
        <v>-0.70009999999999994</v>
      </c>
      <c r="AN630" s="213">
        <v>3.4299999999999997E-2</v>
      </c>
      <c r="AO630" s="352">
        <v>0.20369999999999999</v>
      </c>
      <c r="AP630" s="213">
        <v>0.23089999999999999</v>
      </c>
      <c r="AQ630" s="219">
        <v>-1.4702704521922867</v>
      </c>
      <c r="AR630" s="213" t="s">
        <v>1827</v>
      </c>
      <c r="AV630" s="343"/>
      <c r="AW630" s="328"/>
      <c r="AX630" s="329"/>
      <c r="AY630" s="328"/>
      <c r="AZ630" s="328"/>
      <c r="BA630" s="330"/>
      <c r="BB630" s="328"/>
      <c r="BC630" s="328"/>
      <c r="BD630" s="328"/>
      <c r="BE630" s="330"/>
      <c r="BF630" s="330"/>
      <c r="BG630" s="344"/>
      <c r="BH630" s="330"/>
      <c r="BI630" s="330"/>
      <c r="BJ630" s="330"/>
      <c r="BK630" s="330"/>
      <c r="BL630" s="330"/>
      <c r="BM630" s="330"/>
      <c r="BN630" s="330"/>
      <c r="BO630" s="330"/>
      <c r="BP630" s="331"/>
      <c r="BQ630" s="332"/>
      <c r="BR630" s="333"/>
    </row>
    <row r="631" spans="2:70" ht="15.75" customHeight="1">
      <c r="B631" s="216" t="s">
        <v>418</v>
      </c>
      <c r="C631" s="212">
        <v>2200745</v>
      </c>
      <c r="D631" s="223">
        <v>35956906000169</v>
      </c>
      <c r="E631" s="217" t="s">
        <v>28</v>
      </c>
      <c r="F631" s="217" t="s">
        <v>950</v>
      </c>
      <c r="G631" s="217"/>
      <c r="H631" s="218"/>
      <c r="I631" s="217" t="s">
        <v>66</v>
      </c>
      <c r="J631" s="217" t="s">
        <v>66</v>
      </c>
      <c r="K631" s="218" t="s">
        <v>951</v>
      </c>
      <c r="L631" s="212" t="s">
        <v>87</v>
      </c>
      <c r="M631" s="250"/>
      <c r="N631" s="239">
        <v>43957</v>
      </c>
      <c r="O631" s="210" t="s">
        <v>415</v>
      </c>
      <c r="P631" s="210" t="s">
        <v>1090</v>
      </c>
      <c r="Q631" s="210" t="s">
        <v>1091</v>
      </c>
      <c r="R631" s="210" t="s">
        <v>1084</v>
      </c>
      <c r="S631" s="210" t="s">
        <v>1078</v>
      </c>
      <c r="T631" s="210" t="s">
        <v>1079</v>
      </c>
      <c r="U631" s="210" t="s">
        <v>950</v>
      </c>
      <c r="V631" s="210" t="s">
        <v>1080</v>
      </c>
      <c r="W631" s="211" t="s">
        <v>1031</v>
      </c>
      <c r="X631" s="211">
        <v>20000</v>
      </c>
      <c r="Y631" s="211">
        <v>1000</v>
      </c>
      <c r="Z631" s="212">
        <v>5000</v>
      </c>
      <c r="AA631" s="240">
        <v>32</v>
      </c>
      <c r="AB631" s="213">
        <v>1.8499999999999999E-2</v>
      </c>
      <c r="AC631" s="213">
        <v>0.2</v>
      </c>
      <c r="AD631" s="213" t="s">
        <v>113</v>
      </c>
      <c r="AE631" s="213">
        <v>2.4666666666666665E-3</v>
      </c>
      <c r="AF631" s="241">
        <v>12267711.560000001</v>
      </c>
      <c r="AG631" s="241">
        <v>12267711.560000001</v>
      </c>
      <c r="AH631" s="213">
        <v>-0.1163</v>
      </c>
      <c r="AI631" s="352">
        <v>-1.7912999999999999</v>
      </c>
      <c r="AJ631" s="213">
        <v>-0.27389999999999998</v>
      </c>
      <c r="AK631" s="352">
        <v>-2.9114</v>
      </c>
      <c r="AL631" s="213">
        <v>-0.1263</v>
      </c>
      <c r="AM631" s="352">
        <v>-1.0456000000000001</v>
      </c>
      <c r="AN631" s="213" t="s">
        <v>66</v>
      </c>
      <c r="AO631" s="352" t="s">
        <v>66</v>
      </c>
      <c r="AP631" s="213">
        <v>0.2258</v>
      </c>
      <c r="AQ631" s="219">
        <v>-1.7027426657794154</v>
      </c>
      <c r="AR631" s="213" t="s">
        <v>1827</v>
      </c>
      <c r="AV631" s="343"/>
      <c r="AW631" s="328"/>
      <c r="AX631" s="329"/>
      <c r="AY631" s="328"/>
      <c r="AZ631" s="328"/>
      <c r="BA631" s="330"/>
      <c r="BB631" s="328"/>
      <c r="BC631" s="328"/>
      <c r="BD631" s="328"/>
      <c r="BE631" s="330"/>
      <c r="BF631" s="330"/>
      <c r="BG631" s="344"/>
      <c r="BH631" s="330"/>
      <c r="BI631" s="330"/>
      <c r="BJ631" s="330"/>
      <c r="BK631" s="330"/>
      <c r="BL631" s="330"/>
      <c r="BM631" s="330"/>
      <c r="BN631" s="330"/>
      <c r="BO631" s="330"/>
      <c r="BP631" s="331"/>
      <c r="BQ631" s="332"/>
      <c r="BR631" s="333"/>
    </row>
    <row r="632" spans="2:70" ht="15.75" customHeight="1">
      <c r="B632" s="216" t="s">
        <v>1427</v>
      </c>
      <c r="C632" s="212">
        <v>559398</v>
      </c>
      <c r="D632" s="223">
        <v>37888003000113</v>
      </c>
      <c r="E632" s="217" t="s">
        <v>28</v>
      </c>
      <c r="F632" s="217" t="s">
        <v>950</v>
      </c>
      <c r="G632" s="217"/>
      <c r="H632" s="218"/>
      <c r="I632" s="217" t="s">
        <v>66</v>
      </c>
      <c r="J632" s="217" t="s">
        <v>66</v>
      </c>
      <c r="K632" s="218" t="s">
        <v>951</v>
      </c>
      <c r="L632" s="212" t="s">
        <v>87</v>
      </c>
      <c r="M632" s="250"/>
      <c r="N632" s="239">
        <v>44095</v>
      </c>
      <c r="O632" s="210" t="s">
        <v>415</v>
      </c>
      <c r="P632" s="210" t="s">
        <v>1090</v>
      </c>
      <c r="Q632" s="210" t="s">
        <v>1091</v>
      </c>
      <c r="R632" s="210" t="s">
        <v>1084</v>
      </c>
      <c r="S632" s="210" t="s">
        <v>1078</v>
      </c>
      <c r="T632" s="210" t="s">
        <v>1079</v>
      </c>
      <c r="U632" s="210" t="s">
        <v>950</v>
      </c>
      <c r="V632" s="210" t="s">
        <v>1080</v>
      </c>
      <c r="W632" s="211" t="s">
        <v>1031</v>
      </c>
      <c r="X632" s="211">
        <v>20000</v>
      </c>
      <c r="Y632" s="211">
        <v>1000</v>
      </c>
      <c r="Z632" s="212">
        <v>5000</v>
      </c>
      <c r="AA632" s="240">
        <v>32</v>
      </c>
      <c r="AB632" s="213">
        <v>1.8499999999999999E-2</v>
      </c>
      <c r="AC632" s="213">
        <v>0.2</v>
      </c>
      <c r="AD632" s="213" t="s">
        <v>113</v>
      </c>
      <c r="AE632" s="213">
        <v>2.4666666666666665E-3</v>
      </c>
      <c r="AF632" s="241">
        <v>2865105.32</v>
      </c>
      <c r="AG632" s="241">
        <v>2865105.32</v>
      </c>
      <c r="AH632" s="213">
        <v>-0.1212</v>
      </c>
      <c r="AI632" s="352">
        <v>-1.8668</v>
      </c>
      <c r="AJ632" s="213">
        <v>-0.30620000000000003</v>
      </c>
      <c r="AK632" s="352">
        <v>-3.2545999999999999</v>
      </c>
      <c r="AL632" s="213" t="s">
        <v>66</v>
      </c>
      <c r="AM632" s="352" t="s">
        <v>66</v>
      </c>
      <c r="AN632" s="213" t="s">
        <v>66</v>
      </c>
      <c r="AO632" s="352" t="s">
        <v>66</v>
      </c>
      <c r="AP632" s="213">
        <v>0.22639999999999999</v>
      </c>
      <c r="AQ632" s="219">
        <v>-1.8982942995634846</v>
      </c>
      <c r="AR632" s="213" t="s">
        <v>1824</v>
      </c>
      <c r="AV632" s="343"/>
      <c r="AW632" s="328"/>
      <c r="AX632" s="329"/>
      <c r="AY632" s="328"/>
      <c r="AZ632" s="328"/>
      <c r="BA632" s="330"/>
      <c r="BB632" s="328"/>
      <c r="BC632" s="328"/>
      <c r="BD632" s="328"/>
      <c r="BE632" s="330"/>
      <c r="BF632" s="330"/>
      <c r="BG632" s="344"/>
      <c r="BH632" s="330"/>
      <c r="BI632" s="330"/>
      <c r="BJ632" s="330"/>
      <c r="BK632" s="330"/>
      <c r="BL632" s="330"/>
      <c r="BM632" s="330"/>
      <c r="BN632" s="330"/>
      <c r="BO632" s="330"/>
      <c r="BP632" s="331"/>
      <c r="BQ632" s="332"/>
      <c r="BR632" s="333"/>
    </row>
    <row r="633" spans="2:70" ht="15.75" customHeight="1">
      <c r="B633" s="216" t="s">
        <v>1428</v>
      </c>
      <c r="C633" s="212">
        <v>1035177</v>
      </c>
      <c r="D633" s="223">
        <v>18628905000176</v>
      </c>
      <c r="E633" s="217" t="s">
        <v>28</v>
      </c>
      <c r="F633" s="217" t="s">
        <v>950</v>
      </c>
      <c r="G633" s="217" t="s">
        <v>1254</v>
      </c>
      <c r="H633" s="218"/>
      <c r="I633" s="217" t="s">
        <v>66</v>
      </c>
      <c r="J633" s="217" t="s">
        <v>66</v>
      </c>
      <c r="K633" s="218" t="s">
        <v>954</v>
      </c>
      <c r="L633" s="212"/>
      <c r="M633" s="250"/>
      <c r="N633" s="239">
        <v>42457</v>
      </c>
      <c r="O633" s="210" t="s">
        <v>415</v>
      </c>
      <c r="P633" s="210" t="s">
        <v>1090</v>
      </c>
      <c r="Q633" s="210" t="s">
        <v>1091</v>
      </c>
      <c r="R633" s="210" t="s">
        <v>1077</v>
      </c>
      <c r="S633" s="210" t="s">
        <v>1078</v>
      </c>
      <c r="T633" s="210" t="s">
        <v>1079</v>
      </c>
      <c r="U633" s="210" t="s">
        <v>65</v>
      </c>
      <c r="V633" s="210" t="s">
        <v>1080</v>
      </c>
      <c r="W633" s="211" t="s">
        <v>1036</v>
      </c>
      <c r="X633" s="211">
        <v>20000</v>
      </c>
      <c r="Y633" s="211">
        <v>1000</v>
      </c>
      <c r="Z633" s="212">
        <v>5000</v>
      </c>
      <c r="AA633" s="240">
        <v>65</v>
      </c>
      <c r="AB633" s="213">
        <v>1.7500000000000002E-2</v>
      </c>
      <c r="AC633" s="213">
        <v>0</v>
      </c>
      <c r="AD633" s="213" t="s">
        <v>1157</v>
      </c>
      <c r="AE633" s="213">
        <v>3.5000000000000005E-3</v>
      </c>
      <c r="AF633" s="241">
        <v>26911939.960000001</v>
      </c>
      <c r="AG633" s="241">
        <v>26911939.960000001</v>
      </c>
      <c r="AH633" s="213">
        <v>-0.1915</v>
      </c>
      <c r="AI633" s="352">
        <v>-2.9496000000000002</v>
      </c>
      <c r="AJ633" s="213">
        <v>-0.1137</v>
      </c>
      <c r="AK633" s="352">
        <v>-1.2081999999999999</v>
      </c>
      <c r="AL633" s="213">
        <v>1.35E-2</v>
      </c>
      <c r="AM633" s="352">
        <v>0.1115</v>
      </c>
      <c r="AN633" s="213">
        <v>0.63639999999999997</v>
      </c>
      <c r="AO633" s="352">
        <v>3.7764000000000002</v>
      </c>
      <c r="AP633" s="213">
        <v>0.2366</v>
      </c>
      <c r="AQ633" s="219">
        <v>-0.77237054482857881</v>
      </c>
      <c r="AR633" s="213" t="s">
        <v>1827</v>
      </c>
      <c r="AV633" s="343"/>
      <c r="AW633" s="328"/>
      <c r="AX633" s="329"/>
      <c r="AY633" s="328"/>
      <c r="AZ633" s="328"/>
      <c r="BA633" s="330"/>
      <c r="BB633" s="328"/>
      <c r="BC633" s="328"/>
      <c r="BD633" s="328"/>
      <c r="BE633" s="330"/>
      <c r="BF633" s="330"/>
      <c r="BG633" s="344"/>
      <c r="BH633" s="330"/>
      <c r="BI633" s="330"/>
      <c r="BJ633" s="330"/>
      <c r="BK633" s="330"/>
      <c r="BL633" s="330"/>
      <c r="BM633" s="330"/>
      <c r="BN633" s="330"/>
      <c r="BO633" s="330"/>
      <c r="BP633" s="331"/>
      <c r="BQ633" s="332"/>
      <c r="BR633" s="333"/>
    </row>
    <row r="634" spans="2:70" ht="15.75" customHeight="1">
      <c r="B634" s="216" t="s">
        <v>419</v>
      </c>
      <c r="C634" s="212">
        <v>2864785</v>
      </c>
      <c r="D634" s="223">
        <v>3119883000141</v>
      </c>
      <c r="E634" s="217" t="s">
        <v>25</v>
      </c>
      <c r="F634" s="217" t="s">
        <v>958</v>
      </c>
      <c r="G634" s="217" t="s">
        <v>962</v>
      </c>
      <c r="H634" s="218" t="s">
        <v>66</v>
      </c>
      <c r="I634" s="217" t="s">
        <v>1841</v>
      </c>
      <c r="J634" s="217" t="s">
        <v>66</v>
      </c>
      <c r="K634" s="218"/>
      <c r="L634" s="212" t="s">
        <v>87</v>
      </c>
      <c r="M634" s="250"/>
      <c r="N634" s="239">
        <v>36342</v>
      </c>
      <c r="O634" s="210" t="s">
        <v>415</v>
      </c>
      <c r="P634" s="210" t="s">
        <v>1090</v>
      </c>
      <c r="Q634" s="210" t="s">
        <v>1091</v>
      </c>
      <c r="R634" s="210" t="s">
        <v>1084</v>
      </c>
      <c r="S634" s="210" t="s">
        <v>1078</v>
      </c>
      <c r="T634" s="210" t="s">
        <v>1082</v>
      </c>
      <c r="U634" s="210" t="s">
        <v>958</v>
      </c>
      <c r="V634" s="210" t="s">
        <v>25</v>
      </c>
      <c r="W634" s="211" t="s">
        <v>1016</v>
      </c>
      <c r="X634" s="211">
        <v>50000</v>
      </c>
      <c r="Y634" s="211">
        <v>10000</v>
      </c>
      <c r="Z634" s="212">
        <v>10000</v>
      </c>
      <c r="AA634" s="240">
        <v>1</v>
      </c>
      <c r="AB634" s="213">
        <v>1.35E-2</v>
      </c>
      <c r="AC634" s="213">
        <v>0.2</v>
      </c>
      <c r="AD634" s="213" t="s">
        <v>109</v>
      </c>
      <c r="AE634" s="213">
        <v>2.6999999999999997E-3</v>
      </c>
      <c r="AF634" s="241">
        <v>49343823.240000002</v>
      </c>
      <c r="AG634" s="241">
        <v>49343823.240000002</v>
      </c>
      <c r="AH634" s="213">
        <v>6.8000000000000005E-2</v>
      </c>
      <c r="AI634" s="352">
        <v>1.0475000000000001</v>
      </c>
      <c r="AJ634" s="213">
        <v>0.09</v>
      </c>
      <c r="AK634" s="352">
        <v>0.95620000000000005</v>
      </c>
      <c r="AL634" s="213">
        <v>0.1045</v>
      </c>
      <c r="AM634" s="352">
        <v>0.86509999999999998</v>
      </c>
      <c r="AN634" s="213">
        <v>0.1701</v>
      </c>
      <c r="AO634" s="352">
        <v>1.0094000000000001</v>
      </c>
      <c r="AP634" s="213">
        <v>8.8999999999999999E-3</v>
      </c>
      <c r="AQ634" s="219">
        <v>-0.4208022569918789</v>
      </c>
      <c r="AR634" s="213" t="s">
        <v>1827</v>
      </c>
      <c r="AV634" s="343"/>
      <c r="AW634" s="328"/>
      <c r="AX634" s="329"/>
      <c r="AY634" s="328"/>
      <c r="AZ634" s="328"/>
      <c r="BA634" s="330"/>
      <c r="BB634" s="328"/>
      <c r="BC634" s="328"/>
      <c r="BD634" s="328"/>
      <c r="BE634" s="330"/>
      <c r="BF634" s="330"/>
      <c r="BG634" s="344"/>
      <c r="BH634" s="330"/>
      <c r="BI634" s="330"/>
      <c r="BJ634" s="330"/>
      <c r="BK634" s="330"/>
      <c r="BL634" s="330"/>
      <c r="BM634" s="330"/>
      <c r="BN634" s="330"/>
      <c r="BO634" s="330"/>
      <c r="BP634" s="331"/>
      <c r="BQ634" s="332"/>
      <c r="BR634" s="333"/>
    </row>
    <row r="635" spans="2:70" ht="15.75" customHeight="1">
      <c r="B635" s="216" t="s">
        <v>420</v>
      </c>
      <c r="C635" s="212">
        <v>783512</v>
      </c>
      <c r="D635" s="223">
        <v>11228311000129</v>
      </c>
      <c r="E635" s="217" t="s">
        <v>28</v>
      </c>
      <c r="F635" s="217" t="s">
        <v>950</v>
      </c>
      <c r="G635" s="217"/>
      <c r="H635" s="218"/>
      <c r="I635" s="217" t="s">
        <v>66</v>
      </c>
      <c r="J635" s="217" t="s">
        <v>66</v>
      </c>
      <c r="K635" s="218" t="s">
        <v>951</v>
      </c>
      <c r="L635" s="212" t="s">
        <v>87</v>
      </c>
      <c r="M635" s="250"/>
      <c r="N635" s="239">
        <v>40147</v>
      </c>
      <c r="O635" s="210" t="s">
        <v>415</v>
      </c>
      <c r="P635" s="210" t="s">
        <v>1090</v>
      </c>
      <c r="Q635" s="210" t="s">
        <v>1091</v>
      </c>
      <c r="R635" s="210" t="s">
        <v>1084</v>
      </c>
      <c r="S635" s="210" t="s">
        <v>1078</v>
      </c>
      <c r="T635" s="210" t="s">
        <v>1079</v>
      </c>
      <c r="U635" s="210" t="s">
        <v>950</v>
      </c>
      <c r="V635" s="210" t="s">
        <v>1080</v>
      </c>
      <c r="W635" s="211" t="s">
        <v>1007</v>
      </c>
      <c r="X635" s="211">
        <v>20000</v>
      </c>
      <c r="Y635" s="211">
        <v>1000</v>
      </c>
      <c r="Z635" s="212">
        <v>5000</v>
      </c>
      <c r="AA635" s="240">
        <v>32</v>
      </c>
      <c r="AB635" s="213">
        <v>2.5999999999999999E-2</v>
      </c>
      <c r="AC635" s="213">
        <v>0</v>
      </c>
      <c r="AD635" s="213" t="s">
        <v>1100</v>
      </c>
      <c r="AE635" s="213">
        <v>5.1999999999999998E-3</v>
      </c>
      <c r="AF635" s="241">
        <v>70086081.450000003</v>
      </c>
      <c r="AG635" s="241">
        <v>70086081.450000003</v>
      </c>
      <c r="AH635" s="213">
        <v>-0.10970000000000001</v>
      </c>
      <c r="AI635" s="352">
        <v>-1.6896</v>
      </c>
      <c r="AJ635" s="213">
        <v>-0.27750000000000002</v>
      </c>
      <c r="AK635" s="352">
        <v>-2.9497</v>
      </c>
      <c r="AL635" s="213">
        <v>-0.12239999999999999</v>
      </c>
      <c r="AM635" s="352">
        <v>-1.0128999999999999</v>
      </c>
      <c r="AN635" s="213">
        <v>5.1000000000000004E-3</v>
      </c>
      <c r="AO635" s="352">
        <v>3.04E-2</v>
      </c>
      <c r="AP635" s="213">
        <v>0.24099999999999999</v>
      </c>
      <c r="AQ635" s="219">
        <v>-1.6008357317328985</v>
      </c>
      <c r="AR635" s="213" t="s">
        <v>1827</v>
      </c>
      <c r="AV635" s="343"/>
      <c r="AW635" s="328"/>
      <c r="AX635" s="329"/>
      <c r="AY635" s="328"/>
      <c r="AZ635" s="328"/>
      <c r="BA635" s="330"/>
      <c r="BB635" s="328"/>
      <c r="BC635" s="328"/>
      <c r="BD635" s="328"/>
      <c r="BE635" s="330"/>
      <c r="BF635" s="330"/>
      <c r="BG635" s="344"/>
      <c r="BH635" s="330"/>
      <c r="BI635" s="330"/>
      <c r="BJ635" s="330"/>
      <c r="BK635" s="330"/>
      <c r="BL635" s="330"/>
      <c r="BM635" s="330"/>
      <c r="BN635" s="330"/>
      <c r="BO635" s="330"/>
      <c r="BP635" s="331"/>
      <c r="BQ635" s="332"/>
      <c r="BR635" s="333"/>
    </row>
    <row r="636" spans="2:70" ht="15.75" customHeight="1">
      <c r="B636" s="216" t="s">
        <v>1429</v>
      </c>
      <c r="C636" s="212">
        <v>556613</v>
      </c>
      <c r="D636" s="223">
        <v>11175745000108</v>
      </c>
      <c r="E636" s="217" t="s">
        <v>28</v>
      </c>
      <c r="F636" s="217" t="s">
        <v>950</v>
      </c>
      <c r="G636" s="217"/>
      <c r="H636" s="218"/>
      <c r="I636" s="217" t="s">
        <v>66</v>
      </c>
      <c r="J636" s="217" t="s">
        <v>66</v>
      </c>
      <c r="K636" s="218" t="s">
        <v>951</v>
      </c>
      <c r="L636" s="212" t="s">
        <v>87</v>
      </c>
      <c r="M636" s="250"/>
      <c r="N636" s="239">
        <v>40323</v>
      </c>
      <c r="O636" s="210" t="s">
        <v>415</v>
      </c>
      <c r="P636" s="210" t="s">
        <v>1090</v>
      </c>
      <c r="Q636" s="210" t="s">
        <v>1091</v>
      </c>
      <c r="R636" s="210" t="s">
        <v>1430</v>
      </c>
      <c r="S636" s="210" t="s">
        <v>1078</v>
      </c>
      <c r="T636" s="210" t="s">
        <v>1079</v>
      </c>
      <c r="U636" s="210" t="s">
        <v>950</v>
      </c>
      <c r="V636" s="210" t="s">
        <v>1080</v>
      </c>
      <c r="W636" s="211" t="s">
        <v>1007</v>
      </c>
      <c r="X636" s="211">
        <v>20000</v>
      </c>
      <c r="Y636" s="211">
        <v>1000</v>
      </c>
      <c r="Z636" s="212">
        <v>5000</v>
      </c>
      <c r="AA636" s="240">
        <v>32</v>
      </c>
      <c r="AB636" s="213">
        <v>2.75E-2</v>
      </c>
      <c r="AC636" s="213">
        <v>0</v>
      </c>
      <c r="AD636" s="213" t="s">
        <v>113</v>
      </c>
      <c r="AE636" s="213">
        <v>5.4999999999999997E-3</v>
      </c>
      <c r="AF636" s="241">
        <v>38878890.090000004</v>
      </c>
      <c r="AG636" s="241">
        <v>38878890.090000004</v>
      </c>
      <c r="AH636" s="213">
        <v>-0.1167</v>
      </c>
      <c r="AI636" s="352">
        <v>-1.7975000000000001</v>
      </c>
      <c r="AJ636" s="213">
        <v>-0.33779999999999999</v>
      </c>
      <c r="AK636" s="352">
        <v>-3.5905</v>
      </c>
      <c r="AL636" s="213">
        <v>-0.19969999999999999</v>
      </c>
      <c r="AM636" s="352">
        <v>-1.6528</v>
      </c>
      <c r="AN636" s="213">
        <v>-0.1003</v>
      </c>
      <c r="AO636" s="352">
        <v>-0.59519999999999995</v>
      </c>
      <c r="AP636" s="213">
        <v>0.2447</v>
      </c>
      <c r="AQ636" s="219">
        <v>-1.9285546616527409</v>
      </c>
      <c r="AR636" s="213" t="s">
        <v>1824</v>
      </c>
      <c r="AV636" s="343"/>
      <c r="AW636" s="328"/>
      <c r="AX636" s="329"/>
      <c r="AY636" s="328"/>
      <c r="AZ636" s="328"/>
      <c r="BA636" s="330"/>
      <c r="BB636" s="328"/>
      <c r="BC636" s="328"/>
      <c r="BD636" s="328"/>
      <c r="BE636" s="330"/>
      <c r="BF636" s="330"/>
      <c r="BG636" s="344"/>
      <c r="BH636" s="330"/>
      <c r="BI636" s="330"/>
      <c r="BJ636" s="330"/>
      <c r="BK636" s="330"/>
      <c r="BL636" s="330"/>
      <c r="BM636" s="330"/>
      <c r="BN636" s="330"/>
      <c r="BO636" s="330"/>
      <c r="BP636" s="331"/>
      <c r="BQ636" s="332"/>
      <c r="BR636" s="333"/>
    </row>
    <row r="637" spans="2:70" ht="15.75" customHeight="1">
      <c r="B637" s="216" t="s">
        <v>1431</v>
      </c>
      <c r="C637" s="212">
        <v>621841</v>
      </c>
      <c r="D637" s="223">
        <v>8912591000185</v>
      </c>
      <c r="E637" s="217" t="s">
        <v>25</v>
      </c>
      <c r="F637" s="217" t="s">
        <v>958</v>
      </c>
      <c r="G637" s="217" t="s">
        <v>962</v>
      </c>
      <c r="H637" s="218" t="s">
        <v>66</v>
      </c>
      <c r="I637" s="217" t="s">
        <v>1841</v>
      </c>
      <c r="J637" s="217" t="s">
        <v>66</v>
      </c>
      <c r="K637" s="218"/>
      <c r="L637" s="212" t="s">
        <v>87</v>
      </c>
      <c r="M637" s="250"/>
      <c r="N637" s="239">
        <v>39295</v>
      </c>
      <c r="O637" s="210" t="s">
        <v>415</v>
      </c>
      <c r="P637" s="210" t="s">
        <v>1090</v>
      </c>
      <c r="Q637" s="210" t="s">
        <v>1091</v>
      </c>
      <c r="R637" s="210" t="s">
        <v>1084</v>
      </c>
      <c r="S637" s="210" t="s">
        <v>1078</v>
      </c>
      <c r="T637" s="210" t="s">
        <v>1082</v>
      </c>
      <c r="U637" s="210" t="s">
        <v>958</v>
      </c>
      <c r="V637" s="210" t="s">
        <v>25</v>
      </c>
      <c r="W637" s="211" t="s">
        <v>1016</v>
      </c>
      <c r="X637" s="211">
        <v>20000</v>
      </c>
      <c r="Y637" s="211">
        <v>1000</v>
      </c>
      <c r="Z637" s="212">
        <v>5000</v>
      </c>
      <c r="AA637" s="240">
        <v>16</v>
      </c>
      <c r="AB637" s="213">
        <v>1.8499999999999999E-2</v>
      </c>
      <c r="AC637" s="213">
        <v>0.2</v>
      </c>
      <c r="AD637" s="213" t="s">
        <v>109</v>
      </c>
      <c r="AE637" s="213">
        <v>2.4666666666666665E-3</v>
      </c>
      <c r="AF637" s="241">
        <v>127909421.38</v>
      </c>
      <c r="AG637" s="241">
        <v>127909421.38</v>
      </c>
      <c r="AH637" s="213">
        <v>7.3800000000000004E-2</v>
      </c>
      <c r="AI637" s="352">
        <v>1.1369</v>
      </c>
      <c r="AJ637" s="213">
        <v>9.3899999999999997E-2</v>
      </c>
      <c r="AK637" s="352">
        <v>0.99780000000000002</v>
      </c>
      <c r="AL637" s="213">
        <v>0.1071</v>
      </c>
      <c r="AM637" s="352">
        <v>0.88639999999999997</v>
      </c>
      <c r="AN637" s="213">
        <v>0.1938</v>
      </c>
      <c r="AO637" s="352">
        <v>1.1501999999999999</v>
      </c>
      <c r="AP637" s="213">
        <v>1.38E-2</v>
      </c>
      <c r="AQ637" s="219">
        <v>-7.0352022488434553E-3</v>
      </c>
      <c r="AR637" s="213" t="s">
        <v>1827</v>
      </c>
      <c r="AV637" s="343"/>
      <c r="AW637" s="328"/>
      <c r="AX637" s="329"/>
      <c r="AY637" s="328"/>
      <c r="AZ637" s="328"/>
      <c r="BA637" s="330"/>
      <c r="BB637" s="328"/>
      <c r="BC637" s="328"/>
      <c r="BD637" s="328"/>
      <c r="BE637" s="330"/>
      <c r="BF637" s="330"/>
      <c r="BG637" s="344"/>
      <c r="BH637" s="330"/>
      <c r="BI637" s="330"/>
      <c r="BJ637" s="330"/>
      <c r="BK637" s="330"/>
      <c r="BL637" s="330"/>
      <c r="BM637" s="330"/>
      <c r="BN637" s="330"/>
      <c r="BO637" s="330"/>
      <c r="BP637" s="331"/>
      <c r="BQ637" s="332"/>
      <c r="BR637" s="333"/>
    </row>
    <row r="638" spans="2:70" ht="15.75" customHeight="1">
      <c r="B638" s="216" t="s">
        <v>421</v>
      </c>
      <c r="C638" s="212">
        <v>3154228</v>
      </c>
      <c r="D638" s="223">
        <v>30005655000113</v>
      </c>
      <c r="E638" s="217" t="s">
        <v>25</v>
      </c>
      <c r="F638" s="217" t="s">
        <v>958</v>
      </c>
      <c r="G638" s="217" t="s">
        <v>962</v>
      </c>
      <c r="H638" s="218" t="s">
        <v>66</v>
      </c>
      <c r="I638" s="217" t="s">
        <v>1841</v>
      </c>
      <c r="J638" s="217" t="s">
        <v>66</v>
      </c>
      <c r="K638" s="218"/>
      <c r="L638" s="212" t="s">
        <v>87</v>
      </c>
      <c r="M638" s="250"/>
      <c r="N638" s="239">
        <v>43318</v>
      </c>
      <c r="O638" s="210" t="s">
        <v>415</v>
      </c>
      <c r="P638" s="210" t="s">
        <v>1090</v>
      </c>
      <c r="Q638" s="210" t="s">
        <v>1091</v>
      </c>
      <c r="R638" s="210" t="s">
        <v>1084</v>
      </c>
      <c r="S638" s="210" t="s">
        <v>1078</v>
      </c>
      <c r="T638" s="210" t="s">
        <v>1082</v>
      </c>
      <c r="U638" s="210" t="s">
        <v>958</v>
      </c>
      <c r="V638" s="210" t="s">
        <v>25</v>
      </c>
      <c r="W638" s="211" t="s">
        <v>1016</v>
      </c>
      <c r="X638" s="211">
        <v>20000</v>
      </c>
      <c r="Y638" s="211">
        <v>1000</v>
      </c>
      <c r="Z638" s="212">
        <v>5000</v>
      </c>
      <c r="AA638" s="240">
        <v>16</v>
      </c>
      <c r="AB638" s="213">
        <v>1.8499999999999999E-2</v>
      </c>
      <c r="AC638" s="213">
        <v>0.2</v>
      </c>
      <c r="AD638" s="213" t="s">
        <v>109</v>
      </c>
      <c r="AE638" s="213">
        <v>2.4666666666666665E-3</v>
      </c>
      <c r="AF638" s="241">
        <v>42646236.689999998</v>
      </c>
      <c r="AG638" s="241">
        <v>42646236.689999998</v>
      </c>
      <c r="AH638" s="213">
        <v>7.3700000000000002E-2</v>
      </c>
      <c r="AI638" s="352">
        <v>1.1347</v>
      </c>
      <c r="AJ638" s="213">
        <v>9.3700000000000006E-2</v>
      </c>
      <c r="AK638" s="352">
        <v>0.99629999999999996</v>
      </c>
      <c r="AL638" s="213">
        <v>0.1069</v>
      </c>
      <c r="AM638" s="352">
        <v>0.88480000000000003</v>
      </c>
      <c r="AN638" s="213">
        <v>0.1918</v>
      </c>
      <c r="AO638" s="352">
        <v>1.1383000000000001</v>
      </c>
      <c r="AP638" s="213">
        <v>1.37E-2</v>
      </c>
      <c r="AQ638" s="219">
        <v>-1.6843452987783881E-2</v>
      </c>
      <c r="AR638" s="213" t="s">
        <v>1827</v>
      </c>
      <c r="AV638" s="343"/>
      <c r="AW638" s="328"/>
      <c r="AX638" s="329"/>
      <c r="AY638" s="328"/>
      <c r="AZ638" s="328"/>
      <c r="BA638" s="330"/>
      <c r="BB638" s="328"/>
      <c r="BC638" s="328"/>
      <c r="BD638" s="328"/>
      <c r="BE638" s="330"/>
      <c r="BF638" s="330"/>
      <c r="BG638" s="344"/>
      <c r="BH638" s="330"/>
      <c r="BI638" s="330"/>
      <c r="BJ638" s="330"/>
      <c r="BK638" s="330"/>
      <c r="BL638" s="330"/>
      <c r="BM638" s="330"/>
      <c r="BN638" s="330"/>
      <c r="BO638" s="330"/>
      <c r="BP638" s="331"/>
      <c r="BQ638" s="332"/>
      <c r="BR638" s="333"/>
    </row>
    <row r="639" spans="2:70" ht="15.75" customHeight="1">
      <c r="B639" s="216" t="s">
        <v>422</v>
      </c>
      <c r="C639" s="212">
        <v>621861</v>
      </c>
      <c r="D639" s="223">
        <v>21946695000179</v>
      </c>
      <c r="E639" s="217" t="s">
        <v>19</v>
      </c>
      <c r="F639" s="217" t="s">
        <v>963</v>
      </c>
      <c r="G639" s="217" t="s">
        <v>1011</v>
      </c>
      <c r="H639" s="218" t="s">
        <v>1113</v>
      </c>
      <c r="I639" s="217" t="s">
        <v>66</v>
      </c>
      <c r="J639" s="217"/>
      <c r="K639" s="218" t="s">
        <v>951</v>
      </c>
      <c r="L639" s="212" t="s">
        <v>87</v>
      </c>
      <c r="M639" s="250"/>
      <c r="N639" s="239">
        <v>42118</v>
      </c>
      <c r="O639" s="210" t="s">
        <v>415</v>
      </c>
      <c r="P639" s="210" t="s">
        <v>1090</v>
      </c>
      <c r="Q639" s="210" t="s">
        <v>1091</v>
      </c>
      <c r="R639" s="210" t="s">
        <v>1084</v>
      </c>
      <c r="S639" s="210" t="s">
        <v>1078</v>
      </c>
      <c r="T639" s="210" t="s">
        <v>349</v>
      </c>
      <c r="U639" s="210" t="s">
        <v>1114</v>
      </c>
      <c r="V639" s="210" t="s">
        <v>25</v>
      </c>
      <c r="W639" s="211" t="s">
        <v>1019</v>
      </c>
      <c r="X639" s="211">
        <v>20000</v>
      </c>
      <c r="Y639" s="211">
        <v>1000</v>
      </c>
      <c r="Z639" s="212">
        <v>5000</v>
      </c>
      <c r="AA639" s="240">
        <v>1</v>
      </c>
      <c r="AB639" s="213">
        <v>8.5000000000000006E-3</v>
      </c>
      <c r="AC639" s="213">
        <v>0.2</v>
      </c>
      <c r="AD639" s="213" t="s">
        <v>109</v>
      </c>
      <c r="AE639" s="213">
        <v>1.6665666666666665E-3</v>
      </c>
      <c r="AF639" s="241">
        <v>331075901.38</v>
      </c>
      <c r="AG639" s="241">
        <v>331075901.38</v>
      </c>
      <c r="AH639" s="213">
        <v>6.9699999999999998E-2</v>
      </c>
      <c r="AI639" s="352">
        <v>1.0743</v>
      </c>
      <c r="AJ639" s="213">
        <v>0.1008</v>
      </c>
      <c r="AK639" s="352">
        <v>1.0717000000000001</v>
      </c>
      <c r="AL639" s="213">
        <v>0.219</v>
      </c>
      <c r="AM639" s="352">
        <v>1.8124</v>
      </c>
      <c r="AN639" s="213">
        <v>0.16270000000000001</v>
      </c>
      <c r="AO639" s="352">
        <v>0.96540000000000004</v>
      </c>
      <c r="AP639" s="213">
        <v>6.4999999999999997E-3</v>
      </c>
      <c r="AQ639" s="219">
        <v>0.95179984825520492</v>
      </c>
      <c r="AR639" s="213" t="s">
        <v>1827</v>
      </c>
      <c r="AV639" s="343"/>
      <c r="AW639" s="328"/>
      <c r="AX639" s="329"/>
      <c r="AY639" s="328"/>
      <c r="AZ639" s="328"/>
      <c r="BA639" s="330"/>
      <c r="BB639" s="328"/>
      <c r="BC639" s="328"/>
      <c r="BD639" s="328"/>
      <c r="BE639" s="330"/>
      <c r="BF639" s="330"/>
      <c r="BG639" s="344"/>
      <c r="BH639" s="330"/>
      <c r="BI639" s="330"/>
      <c r="BJ639" s="330"/>
      <c r="BK639" s="330"/>
      <c r="BL639" s="330"/>
      <c r="BM639" s="330"/>
      <c r="BN639" s="330"/>
      <c r="BO639" s="330"/>
      <c r="BP639" s="331"/>
      <c r="BQ639" s="332"/>
      <c r="BR639" s="333"/>
    </row>
    <row r="640" spans="2:70" ht="15.75" customHeight="1">
      <c r="B640" s="216" t="s">
        <v>1432</v>
      </c>
      <c r="C640" s="212">
        <v>3193241</v>
      </c>
      <c r="D640" s="223">
        <v>26525450000191</v>
      </c>
      <c r="E640" s="217" t="s">
        <v>19</v>
      </c>
      <c r="F640" s="217" t="s">
        <v>1009</v>
      </c>
      <c r="G640" s="217" t="s">
        <v>1011</v>
      </c>
      <c r="H640" s="218"/>
      <c r="I640" s="217" t="s">
        <v>66</v>
      </c>
      <c r="J640" s="217"/>
      <c r="K640" s="218" t="s">
        <v>954</v>
      </c>
      <c r="L640" s="212" t="s">
        <v>87</v>
      </c>
      <c r="M640" s="250"/>
      <c r="N640" s="239">
        <v>42754</v>
      </c>
      <c r="O640" s="210" t="s">
        <v>415</v>
      </c>
      <c r="P640" s="210" t="s">
        <v>1090</v>
      </c>
      <c r="Q640" s="210" t="s">
        <v>1091</v>
      </c>
      <c r="R640" s="210" t="s">
        <v>1099</v>
      </c>
      <c r="S640" s="210" t="s">
        <v>1078</v>
      </c>
      <c r="T640" s="210" t="s">
        <v>349</v>
      </c>
      <c r="U640" s="210" t="s">
        <v>65</v>
      </c>
      <c r="V640" s="210" t="s">
        <v>25</v>
      </c>
      <c r="W640" s="211" t="s">
        <v>1028</v>
      </c>
      <c r="X640" s="211">
        <v>20000</v>
      </c>
      <c r="Y640" s="211">
        <v>1000</v>
      </c>
      <c r="Z640" s="212">
        <v>5000</v>
      </c>
      <c r="AA640" s="240">
        <v>0</v>
      </c>
      <c r="AB640" s="213">
        <v>1.2999999999999999E-2</v>
      </c>
      <c r="AC640" s="213">
        <v>0.2</v>
      </c>
      <c r="AD640" s="213" t="s">
        <v>109</v>
      </c>
      <c r="AE640" s="213">
        <v>2.0002666666666664E-3</v>
      </c>
      <c r="AF640" s="241">
        <v>121254026.3</v>
      </c>
      <c r="AG640" s="241">
        <v>121254026.3</v>
      </c>
      <c r="AH640" s="213">
        <v>6.1100000000000002E-2</v>
      </c>
      <c r="AI640" s="352">
        <v>0.94110000000000005</v>
      </c>
      <c r="AJ640" s="213">
        <v>8.5099999999999995E-2</v>
      </c>
      <c r="AK640" s="352">
        <v>0.9042</v>
      </c>
      <c r="AL640" s="213">
        <v>0.2283</v>
      </c>
      <c r="AM640" s="352">
        <v>1.8900999999999999</v>
      </c>
      <c r="AN640" s="213">
        <v>0.12130000000000001</v>
      </c>
      <c r="AO640" s="352">
        <v>0.71989999999999998</v>
      </c>
      <c r="AP640" s="213">
        <v>1.2800000000000001E-2</v>
      </c>
      <c r="AQ640" s="219">
        <v>-0.63951323453036146</v>
      </c>
      <c r="AR640" s="213" t="s">
        <v>1827</v>
      </c>
      <c r="AV640" s="343"/>
      <c r="AW640" s="328"/>
      <c r="AX640" s="329"/>
      <c r="AY640" s="328"/>
      <c r="AZ640" s="328"/>
      <c r="BA640" s="330"/>
      <c r="BB640" s="328"/>
      <c r="BC640" s="328"/>
      <c r="BD640" s="328"/>
      <c r="BE640" s="330"/>
      <c r="BF640" s="330"/>
      <c r="BG640" s="344"/>
      <c r="BH640" s="330"/>
      <c r="BI640" s="330"/>
      <c r="BJ640" s="330"/>
      <c r="BK640" s="330"/>
      <c r="BL640" s="330"/>
      <c r="BM640" s="330"/>
      <c r="BN640" s="330"/>
      <c r="BO640" s="330"/>
      <c r="BP640" s="331"/>
      <c r="BQ640" s="332"/>
      <c r="BR640" s="333"/>
    </row>
    <row r="641" spans="2:70" ht="15.75" customHeight="1">
      <c r="B641" s="216" t="s">
        <v>423</v>
      </c>
      <c r="C641" s="212">
        <v>830499</v>
      </c>
      <c r="D641" s="223">
        <v>13812165000100</v>
      </c>
      <c r="E641" s="217" t="s">
        <v>25</v>
      </c>
      <c r="F641" s="217" t="s">
        <v>958</v>
      </c>
      <c r="G641" s="217" t="s">
        <v>962</v>
      </c>
      <c r="H641" s="218" t="s">
        <v>66</v>
      </c>
      <c r="I641" s="217" t="s">
        <v>1841</v>
      </c>
      <c r="J641" s="217" t="s">
        <v>66</v>
      </c>
      <c r="K641" s="218"/>
      <c r="L641" s="212" t="s">
        <v>87</v>
      </c>
      <c r="M641" s="250"/>
      <c r="N641" s="239">
        <v>40786</v>
      </c>
      <c r="O641" s="210" t="s">
        <v>415</v>
      </c>
      <c r="P641" s="210" t="s">
        <v>1090</v>
      </c>
      <c r="Q641" s="210" t="s">
        <v>1091</v>
      </c>
      <c r="R641" s="210" t="s">
        <v>1084</v>
      </c>
      <c r="S641" s="210" t="s">
        <v>1085</v>
      </c>
      <c r="T641" s="210" t="s">
        <v>1082</v>
      </c>
      <c r="U641" s="210" t="s">
        <v>958</v>
      </c>
      <c r="V641" s="210" t="s">
        <v>25</v>
      </c>
      <c r="W641" s="211" t="s">
        <v>1016</v>
      </c>
      <c r="X641" s="211">
        <v>20000</v>
      </c>
      <c r="Y641" s="211">
        <v>1000</v>
      </c>
      <c r="Z641" s="212">
        <v>5000</v>
      </c>
      <c r="AA641" s="240">
        <v>31</v>
      </c>
      <c r="AB641" s="213">
        <v>1.8499999999999999E-2</v>
      </c>
      <c r="AC641" s="213">
        <v>0.2</v>
      </c>
      <c r="AD641" s="213" t="s">
        <v>109</v>
      </c>
      <c r="AE641" s="213">
        <v>2.4666666666666665E-3</v>
      </c>
      <c r="AF641" s="241">
        <v>982318035.48000002</v>
      </c>
      <c r="AG641" s="241">
        <v>982318035.48000002</v>
      </c>
      <c r="AH641" s="213">
        <v>9.0899999999999995E-2</v>
      </c>
      <c r="AI641" s="352">
        <v>1.4005000000000001</v>
      </c>
      <c r="AJ641" s="213">
        <v>0.1113</v>
      </c>
      <c r="AK641" s="352">
        <v>1.1829000000000001</v>
      </c>
      <c r="AL641" s="213">
        <v>0.1176</v>
      </c>
      <c r="AM641" s="352">
        <v>0.97330000000000005</v>
      </c>
      <c r="AN641" s="213">
        <v>0.23400000000000001</v>
      </c>
      <c r="AO641" s="352">
        <v>1.3885000000000001</v>
      </c>
      <c r="AP641" s="213">
        <v>2.3099999999999999E-2</v>
      </c>
      <c r="AQ641" s="219">
        <v>0.68683415223080824</v>
      </c>
      <c r="AR641" s="213" t="s">
        <v>1827</v>
      </c>
      <c r="AV641" s="343"/>
      <c r="AW641" s="328"/>
      <c r="AX641" s="329"/>
      <c r="AY641" s="328"/>
      <c r="AZ641" s="328"/>
      <c r="BA641" s="330"/>
      <c r="BB641" s="328"/>
      <c r="BC641" s="328"/>
      <c r="BD641" s="328"/>
      <c r="BE641" s="330"/>
      <c r="BF641" s="330"/>
      <c r="BG641" s="344"/>
      <c r="BH641" s="330"/>
      <c r="BI641" s="330"/>
      <c r="BJ641" s="330"/>
      <c r="BK641" s="330"/>
      <c r="BL641" s="330"/>
      <c r="BM641" s="330"/>
      <c r="BN641" s="330"/>
      <c r="BO641" s="330"/>
      <c r="BP641" s="331"/>
      <c r="BQ641" s="332"/>
      <c r="BR641" s="333"/>
    </row>
    <row r="642" spans="2:70" ht="15.75" customHeight="1">
      <c r="B642" s="216" t="s">
        <v>878</v>
      </c>
      <c r="C642" s="212">
        <v>1008447</v>
      </c>
      <c r="D642" s="223">
        <v>41956196000170</v>
      </c>
      <c r="E642" s="217" t="s">
        <v>28</v>
      </c>
      <c r="F642" s="217" t="s">
        <v>950</v>
      </c>
      <c r="G642" s="217"/>
      <c r="H642" s="218"/>
      <c r="I642" s="217" t="s">
        <v>66</v>
      </c>
      <c r="J642" s="217" t="s">
        <v>66</v>
      </c>
      <c r="K642" s="218" t="s">
        <v>951</v>
      </c>
      <c r="L642" s="212" t="s">
        <v>87</v>
      </c>
      <c r="M642" s="250"/>
      <c r="N642" s="239">
        <v>44497</v>
      </c>
      <c r="O642" s="210" t="s">
        <v>424</v>
      </c>
      <c r="P642" s="210" t="s">
        <v>1331</v>
      </c>
      <c r="Q642" s="210" t="s">
        <v>1331</v>
      </c>
      <c r="R642" s="210" t="s">
        <v>1084</v>
      </c>
      <c r="S642" s="210" t="s">
        <v>1078</v>
      </c>
      <c r="T642" s="210" t="s">
        <v>1079</v>
      </c>
      <c r="U642" s="210" t="s">
        <v>950</v>
      </c>
      <c r="V642" s="210" t="s">
        <v>1080</v>
      </c>
      <c r="W642" s="211" t="s">
        <v>1007</v>
      </c>
      <c r="X642" s="211">
        <v>300000</v>
      </c>
      <c r="Y642" s="211">
        <v>300</v>
      </c>
      <c r="Z642" s="212">
        <v>0</v>
      </c>
      <c r="AA642" s="240">
        <v>4</v>
      </c>
      <c r="AB642" s="213">
        <v>1.35E-2</v>
      </c>
      <c r="AC642" s="213">
        <v>0.2</v>
      </c>
      <c r="AD642" s="213" t="s">
        <v>1014</v>
      </c>
      <c r="AE642" s="213">
        <v>3.1499999999999996E-3</v>
      </c>
      <c r="AF642" s="241">
        <v>99589943.260000005</v>
      </c>
      <c r="AG642" s="241">
        <v>99589943.260000005</v>
      </c>
      <c r="AH642" s="213">
        <v>-0.25009999999999999</v>
      </c>
      <c r="AI642" s="352">
        <v>-3.8521000000000001</v>
      </c>
      <c r="AJ642" s="213" t="s">
        <v>66</v>
      </c>
      <c r="AK642" s="352" t="s">
        <v>66</v>
      </c>
      <c r="AL642" s="213" t="s">
        <v>66</v>
      </c>
      <c r="AM642" s="352" t="s">
        <v>66</v>
      </c>
      <c r="AN642" s="213" t="s">
        <v>66</v>
      </c>
      <c r="AO642" s="352" t="s">
        <v>66</v>
      </c>
      <c r="AP642" s="213" t="s">
        <v>66</v>
      </c>
      <c r="AQ642" s="219" t="s">
        <v>66</v>
      </c>
      <c r="AR642" s="213" t="s">
        <v>1827</v>
      </c>
      <c r="AV642" s="343"/>
      <c r="AW642" s="328"/>
      <c r="AX642" s="329"/>
      <c r="AY642" s="328"/>
      <c r="AZ642" s="328"/>
      <c r="BA642" s="330"/>
      <c r="BB642" s="328"/>
      <c r="BC642" s="328"/>
      <c r="BD642" s="328"/>
      <c r="BE642" s="330"/>
      <c r="BF642" s="330"/>
      <c r="BG642" s="344"/>
      <c r="BH642" s="330"/>
      <c r="BI642" s="330"/>
      <c r="BJ642" s="330"/>
      <c r="BK642" s="330"/>
      <c r="BL642" s="330"/>
      <c r="BM642" s="330"/>
      <c r="BN642" s="330"/>
      <c r="BO642" s="330"/>
      <c r="BP642" s="331"/>
      <c r="BQ642" s="332"/>
      <c r="BR642" s="333"/>
    </row>
    <row r="643" spans="2:70" ht="15.75" customHeight="1">
      <c r="B643" s="216" t="s">
        <v>1434</v>
      </c>
      <c r="C643" s="212">
        <v>1327092</v>
      </c>
      <c r="D643" s="223">
        <v>31120420000135</v>
      </c>
      <c r="E643" s="217" t="s">
        <v>19</v>
      </c>
      <c r="F643" s="217" t="s">
        <v>963</v>
      </c>
      <c r="G643" s="217" t="s">
        <v>1042</v>
      </c>
      <c r="H643" s="218" t="s">
        <v>1113</v>
      </c>
      <c r="I643" s="217" t="s">
        <v>66</v>
      </c>
      <c r="J643" s="217"/>
      <c r="K643" s="218" t="s">
        <v>951</v>
      </c>
      <c r="L643" s="212" t="s">
        <v>87</v>
      </c>
      <c r="M643" s="250"/>
      <c r="N643" s="239">
        <v>43433</v>
      </c>
      <c r="O643" s="210" t="s">
        <v>425</v>
      </c>
      <c r="P643" s="210" t="s">
        <v>1075</v>
      </c>
      <c r="Q643" s="210" t="s">
        <v>1076</v>
      </c>
      <c r="R643" s="210" t="s">
        <v>1084</v>
      </c>
      <c r="S643" s="210" t="s">
        <v>1078</v>
      </c>
      <c r="T643" s="210" t="s">
        <v>349</v>
      </c>
      <c r="U643" s="210" t="s">
        <v>1114</v>
      </c>
      <c r="V643" s="210" t="s">
        <v>19</v>
      </c>
      <c r="W643" s="211" t="s">
        <v>1300</v>
      </c>
      <c r="X643" s="211">
        <v>500</v>
      </c>
      <c r="Y643" s="211">
        <v>100</v>
      </c>
      <c r="Z643" s="212">
        <v>100</v>
      </c>
      <c r="AA643" s="240">
        <v>30</v>
      </c>
      <c r="AB643" s="213">
        <v>0.01</v>
      </c>
      <c r="AC643" s="213">
        <v>0</v>
      </c>
      <c r="AD643" s="213" t="s">
        <v>113</v>
      </c>
      <c r="AE643" s="213">
        <v>3.0000000000000001E-3</v>
      </c>
      <c r="AF643" s="241">
        <v>49713659.659999996</v>
      </c>
      <c r="AG643" s="241">
        <v>49713659.659999996</v>
      </c>
      <c r="AH643" s="213">
        <v>5.7200000000000001E-2</v>
      </c>
      <c r="AI643" s="352">
        <v>0.88170000000000004</v>
      </c>
      <c r="AJ643" s="213">
        <v>8.8300000000000003E-2</v>
      </c>
      <c r="AK643" s="352">
        <v>0.93830000000000002</v>
      </c>
      <c r="AL643" s="213">
        <v>0.15920000000000001</v>
      </c>
      <c r="AM643" s="352">
        <v>1.3181</v>
      </c>
      <c r="AN643" s="213">
        <v>0.14410000000000001</v>
      </c>
      <c r="AO643" s="352">
        <v>0.85540000000000005</v>
      </c>
      <c r="AP643" s="213">
        <v>2.01E-2</v>
      </c>
      <c r="AQ643" s="219">
        <v>-0.25437170359494149</v>
      </c>
      <c r="AR643" s="213" t="s">
        <v>1827</v>
      </c>
      <c r="AV643" s="343"/>
      <c r="AW643" s="328"/>
      <c r="AX643" s="329"/>
      <c r="AY643" s="328"/>
      <c r="AZ643" s="328"/>
      <c r="BA643" s="330"/>
      <c r="BB643" s="328"/>
      <c r="BC643" s="328"/>
      <c r="BD643" s="328"/>
      <c r="BE643" s="330"/>
      <c r="BF643" s="330"/>
      <c r="BG643" s="344"/>
      <c r="BH643" s="330"/>
      <c r="BI643" s="330"/>
      <c r="BJ643" s="330"/>
      <c r="BK643" s="330"/>
      <c r="BL643" s="330"/>
      <c r="BM643" s="330"/>
      <c r="BN643" s="330"/>
      <c r="BO643" s="330"/>
      <c r="BP643" s="331"/>
      <c r="BQ643" s="332"/>
      <c r="BR643" s="333"/>
    </row>
    <row r="644" spans="2:70" ht="15.75" customHeight="1">
      <c r="B644" s="216" t="s">
        <v>769</v>
      </c>
      <c r="C644" s="212">
        <v>1310071</v>
      </c>
      <c r="D644" s="223">
        <v>41088594000111</v>
      </c>
      <c r="E644" s="217" t="s">
        <v>19</v>
      </c>
      <c r="F644" s="217" t="s">
        <v>964</v>
      </c>
      <c r="G644" s="217" t="s">
        <v>1042</v>
      </c>
      <c r="H644" s="218" t="s">
        <v>1113</v>
      </c>
      <c r="I644" s="217" t="s">
        <v>66</v>
      </c>
      <c r="J644" s="217"/>
      <c r="K644" s="218" t="s">
        <v>951</v>
      </c>
      <c r="L644" s="212" t="s">
        <v>87</v>
      </c>
      <c r="M644" s="250"/>
      <c r="N644" s="239">
        <v>44287</v>
      </c>
      <c r="O644" s="210" t="s">
        <v>425</v>
      </c>
      <c r="P644" s="210" t="s">
        <v>1075</v>
      </c>
      <c r="Q644" s="210" t="s">
        <v>1076</v>
      </c>
      <c r="R644" s="210" t="s">
        <v>1084</v>
      </c>
      <c r="S644" s="210" t="s">
        <v>1078</v>
      </c>
      <c r="T644" s="210" t="s">
        <v>349</v>
      </c>
      <c r="U644" s="210" t="s">
        <v>964</v>
      </c>
      <c r="V644" s="210" t="s">
        <v>19</v>
      </c>
      <c r="W644" s="211" t="s">
        <v>1024</v>
      </c>
      <c r="X644" s="211">
        <v>500</v>
      </c>
      <c r="Y644" s="211">
        <v>100</v>
      </c>
      <c r="Z644" s="212">
        <v>100</v>
      </c>
      <c r="AA644" s="240">
        <v>46</v>
      </c>
      <c r="AB644" s="213">
        <v>8.0000000000000002E-3</v>
      </c>
      <c r="AC644" s="213">
        <v>0.2</v>
      </c>
      <c r="AD644" s="213" t="s">
        <v>113</v>
      </c>
      <c r="AE644" s="213">
        <v>1.8664E-3</v>
      </c>
      <c r="AF644" s="241">
        <v>3320545.54</v>
      </c>
      <c r="AG644" s="241">
        <v>3320545.54</v>
      </c>
      <c r="AH644" s="213">
        <v>4.53E-2</v>
      </c>
      <c r="AI644" s="352">
        <v>0.69840000000000002</v>
      </c>
      <c r="AJ644" s="213">
        <v>7.3800000000000004E-2</v>
      </c>
      <c r="AK644" s="352">
        <v>0.78390000000000004</v>
      </c>
      <c r="AL644" s="213" t="s">
        <v>66</v>
      </c>
      <c r="AM644" s="352" t="s">
        <v>66</v>
      </c>
      <c r="AN644" s="213" t="s">
        <v>66</v>
      </c>
      <c r="AO644" s="352" t="s">
        <v>66</v>
      </c>
      <c r="AP644" s="213">
        <v>3.3300000000000003E-2</v>
      </c>
      <c r="AQ644" s="219">
        <v>-0.54713090835361677</v>
      </c>
      <c r="AR644" s="213" t="s">
        <v>1827</v>
      </c>
      <c r="AV644" s="343"/>
      <c r="AW644" s="328"/>
      <c r="AX644" s="329"/>
      <c r="AY644" s="328"/>
      <c r="AZ644" s="328"/>
      <c r="BA644" s="330"/>
      <c r="BB644" s="328"/>
      <c r="BC644" s="328"/>
      <c r="BD644" s="328"/>
      <c r="BE644" s="330"/>
      <c r="BF644" s="330"/>
      <c r="BG644" s="344"/>
      <c r="BH644" s="330"/>
      <c r="BI644" s="330"/>
      <c r="BJ644" s="330"/>
      <c r="BK644" s="330"/>
      <c r="BL644" s="330"/>
      <c r="BM644" s="330"/>
      <c r="BN644" s="330"/>
      <c r="BO644" s="330"/>
      <c r="BP644" s="331"/>
      <c r="BQ644" s="332"/>
      <c r="BR644" s="333"/>
    </row>
    <row r="645" spans="2:70" ht="15.75" customHeight="1">
      <c r="B645" s="216" t="s">
        <v>1435</v>
      </c>
      <c r="C645" s="212">
        <v>1040354</v>
      </c>
      <c r="D645" s="223">
        <v>24454718000116</v>
      </c>
      <c r="E645" s="217" t="s">
        <v>25</v>
      </c>
      <c r="F645" s="217" t="s">
        <v>958</v>
      </c>
      <c r="G645" s="217" t="s">
        <v>962</v>
      </c>
      <c r="H645" s="218" t="s">
        <v>66</v>
      </c>
      <c r="I645" s="217" t="s">
        <v>1842</v>
      </c>
      <c r="J645" s="217" t="s">
        <v>66</v>
      </c>
      <c r="K645" s="218" t="s">
        <v>954</v>
      </c>
      <c r="L645" s="212" t="s">
        <v>88</v>
      </c>
      <c r="M645" s="250"/>
      <c r="N645" s="239">
        <v>42507</v>
      </c>
      <c r="O645" s="210" t="s">
        <v>364</v>
      </c>
      <c r="P645" s="210" t="s">
        <v>1090</v>
      </c>
      <c r="Q645" s="210" t="s">
        <v>1091</v>
      </c>
      <c r="R645" s="210" t="s">
        <v>1077</v>
      </c>
      <c r="S645" s="210" t="s">
        <v>1078</v>
      </c>
      <c r="T645" s="210" t="s">
        <v>1082</v>
      </c>
      <c r="U645" s="210" t="s">
        <v>65</v>
      </c>
      <c r="V645" s="210" t="s">
        <v>25</v>
      </c>
      <c r="W645" s="211" t="s">
        <v>1028</v>
      </c>
      <c r="X645" s="211">
        <v>5000</v>
      </c>
      <c r="Y645" s="211">
        <v>1000</v>
      </c>
      <c r="Z645" s="212">
        <v>1000</v>
      </c>
      <c r="AA645" s="240">
        <v>5</v>
      </c>
      <c r="AB645" s="213">
        <v>1.4E-2</v>
      </c>
      <c r="AC645" s="213">
        <v>0</v>
      </c>
      <c r="AD645" s="213" t="s">
        <v>1157</v>
      </c>
      <c r="AE645" s="213">
        <v>7.4666666666666666E-3</v>
      </c>
      <c r="AF645" s="241">
        <v>348163094.94999999</v>
      </c>
      <c r="AG645" s="241">
        <v>348163094.94999999</v>
      </c>
      <c r="AH645" s="213">
        <v>-0.16639999999999999</v>
      </c>
      <c r="AI645" s="352">
        <v>-2.5636999999999999</v>
      </c>
      <c r="AJ645" s="213">
        <v>-8.2299999999999998E-2</v>
      </c>
      <c r="AK645" s="352">
        <v>-0.87490000000000001</v>
      </c>
      <c r="AL645" s="213">
        <v>8.0000000000000002E-3</v>
      </c>
      <c r="AM645" s="352">
        <v>6.6400000000000001E-2</v>
      </c>
      <c r="AN645" s="213">
        <v>0.38350000000000001</v>
      </c>
      <c r="AO645" s="352">
        <v>2.2755000000000001</v>
      </c>
      <c r="AP645" s="213">
        <v>0.1636</v>
      </c>
      <c r="AQ645" s="219">
        <v>-0.9931298409727598</v>
      </c>
      <c r="AR645" s="213" t="s">
        <v>1827</v>
      </c>
      <c r="AV645" s="343"/>
      <c r="AW645" s="328"/>
      <c r="AX645" s="329"/>
      <c r="AY645" s="328"/>
      <c r="AZ645" s="328"/>
      <c r="BA645" s="330"/>
      <c r="BB645" s="328"/>
      <c r="BC645" s="328"/>
      <c r="BD645" s="328"/>
      <c r="BE645" s="330"/>
      <c r="BF645" s="330"/>
      <c r="BG645" s="344"/>
      <c r="BH645" s="330"/>
      <c r="BI645" s="330"/>
      <c r="BJ645" s="330"/>
      <c r="BK645" s="330"/>
      <c r="BL645" s="330"/>
      <c r="BM645" s="330"/>
      <c r="BN645" s="330"/>
      <c r="BO645" s="330"/>
      <c r="BP645" s="331"/>
      <c r="BQ645" s="332"/>
      <c r="BR645" s="333"/>
    </row>
    <row r="646" spans="2:70" ht="15.75" customHeight="1">
      <c r="B646" s="216" t="s">
        <v>1436</v>
      </c>
      <c r="C646" s="212">
        <v>830500</v>
      </c>
      <c r="D646" s="223">
        <v>29587389000103</v>
      </c>
      <c r="E646" s="217" t="s">
        <v>19</v>
      </c>
      <c r="F646" s="217" t="s">
        <v>1009</v>
      </c>
      <c r="G646" s="217"/>
      <c r="H646" s="218"/>
      <c r="I646" s="217" t="s">
        <v>66</v>
      </c>
      <c r="J646" s="217"/>
      <c r="K646" s="218" t="s">
        <v>954</v>
      </c>
      <c r="L646" s="212" t="s">
        <v>87</v>
      </c>
      <c r="M646" s="250"/>
      <c r="N646" s="239">
        <v>43234</v>
      </c>
      <c r="O646" s="210" t="s">
        <v>364</v>
      </c>
      <c r="P646" s="210" t="s">
        <v>1090</v>
      </c>
      <c r="Q646" s="210" t="s">
        <v>1091</v>
      </c>
      <c r="R646" s="210" t="s">
        <v>1077</v>
      </c>
      <c r="S646" s="210" t="s">
        <v>1078</v>
      </c>
      <c r="T646" s="210" t="s">
        <v>349</v>
      </c>
      <c r="U646" s="210" t="s">
        <v>65</v>
      </c>
      <c r="V646" s="210" t="s">
        <v>25</v>
      </c>
      <c r="W646" s="211" t="s">
        <v>1028</v>
      </c>
      <c r="X646" s="211">
        <v>5000</v>
      </c>
      <c r="Y646" s="211">
        <v>1000</v>
      </c>
      <c r="Z646" s="212">
        <v>1000</v>
      </c>
      <c r="AA646" s="240">
        <v>5</v>
      </c>
      <c r="AB646" s="213">
        <v>8.9999999999999993E-3</v>
      </c>
      <c r="AC646" s="213">
        <v>0</v>
      </c>
      <c r="AD646" s="213" t="s">
        <v>113</v>
      </c>
      <c r="AE646" s="213">
        <v>4.7999999999999996E-3</v>
      </c>
      <c r="AF646" s="241">
        <v>17195959.010000002</v>
      </c>
      <c r="AG646" s="241">
        <v>17195959.010000002</v>
      </c>
      <c r="AH646" s="213">
        <v>-2.0500000000000001E-2</v>
      </c>
      <c r="AI646" s="352">
        <v>-0.31590000000000001</v>
      </c>
      <c r="AJ646" s="213">
        <v>1.2999999999999999E-3</v>
      </c>
      <c r="AK646" s="352">
        <v>1.3899999999999999E-2</v>
      </c>
      <c r="AL646" s="213">
        <v>5.96E-2</v>
      </c>
      <c r="AM646" s="352">
        <v>0.49320000000000003</v>
      </c>
      <c r="AN646" s="213">
        <v>9.9000000000000005E-2</v>
      </c>
      <c r="AO646" s="352">
        <v>0.5877</v>
      </c>
      <c r="AP646" s="213">
        <v>3.7900000000000003E-2</v>
      </c>
      <c r="AQ646" s="219">
        <v>-2.3226035187896383</v>
      </c>
      <c r="AR646" s="213" t="s">
        <v>1827</v>
      </c>
      <c r="AV646" s="343"/>
      <c r="AW646" s="328"/>
      <c r="AX646" s="329"/>
      <c r="AY646" s="328"/>
      <c r="AZ646" s="328"/>
      <c r="BA646" s="330"/>
      <c r="BB646" s="328"/>
      <c r="BC646" s="328"/>
      <c r="BD646" s="328"/>
      <c r="BE646" s="330"/>
      <c r="BF646" s="330"/>
      <c r="BG646" s="344"/>
      <c r="BH646" s="330"/>
      <c r="BI646" s="330"/>
      <c r="BJ646" s="330"/>
      <c r="BK646" s="330"/>
      <c r="BL646" s="330"/>
      <c r="BM646" s="330"/>
      <c r="BN646" s="330"/>
      <c r="BO646" s="330"/>
      <c r="BP646" s="331"/>
      <c r="BQ646" s="332"/>
      <c r="BR646" s="333"/>
    </row>
    <row r="647" spans="2:70" ht="15.75" customHeight="1">
      <c r="B647" s="216" t="s">
        <v>1437</v>
      </c>
      <c r="C647" s="212">
        <v>1327084</v>
      </c>
      <c r="D647" s="223">
        <v>26112046000196</v>
      </c>
      <c r="E647" s="217" t="s">
        <v>19</v>
      </c>
      <c r="F647" s="217" t="s">
        <v>1009</v>
      </c>
      <c r="G647" s="217"/>
      <c r="H647" s="218"/>
      <c r="I647" s="217" t="s">
        <v>66</v>
      </c>
      <c r="J647" s="217"/>
      <c r="K647" s="218" t="s">
        <v>954</v>
      </c>
      <c r="L647" s="212"/>
      <c r="M647" s="250"/>
      <c r="N647" s="239">
        <v>43048</v>
      </c>
      <c r="O647" s="210" t="s">
        <v>364</v>
      </c>
      <c r="P647" s="210" t="s">
        <v>1090</v>
      </c>
      <c r="Q647" s="210" t="s">
        <v>1091</v>
      </c>
      <c r="R647" s="210" t="s">
        <v>1077</v>
      </c>
      <c r="S647" s="210" t="s">
        <v>1078</v>
      </c>
      <c r="T647" s="210" t="s">
        <v>349</v>
      </c>
      <c r="U647" s="210" t="s">
        <v>65</v>
      </c>
      <c r="V647" s="210" t="s">
        <v>25</v>
      </c>
      <c r="W647" s="211" t="s">
        <v>1028</v>
      </c>
      <c r="X647" s="211">
        <v>10000</v>
      </c>
      <c r="Y647" s="211">
        <v>1000</v>
      </c>
      <c r="Z647" s="212">
        <v>1000</v>
      </c>
      <c r="AA647" s="240">
        <v>5</v>
      </c>
      <c r="AB647" s="213">
        <v>8.9999999999999993E-3</v>
      </c>
      <c r="AC647" s="213">
        <v>0</v>
      </c>
      <c r="AD647" s="213" t="s">
        <v>113</v>
      </c>
      <c r="AE647" s="213">
        <v>4.7999999999999996E-3</v>
      </c>
      <c r="AF647" s="241">
        <v>84986866.359999999</v>
      </c>
      <c r="AG647" s="241">
        <v>84986866.359999999</v>
      </c>
      <c r="AH647" s="213">
        <v>-4.5400000000000003E-2</v>
      </c>
      <c r="AI647" s="352">
        <v>-0.69969999999999999</v>
      </c>
      <c r="AJ647" s="213">
        <v>-2.7000000000000001E-3</v>
      </c>
      <c r="AK647" s="352">
        <v>-2.8500000000000001E-2</v>
      </c>
      <c r="AL647" s="213">
        <v>0.1578</v>
      </c>
      <c r="AM647" s="352">
        <v>1.3063</v>
      </c>
      <c r="AN647" s="213">
        <v>0.13400000000000001</v>
      </c>
      <c r="AO647" s="352">
        <v>0.79500000000000004</v>
      </c>
      <c r="AP647" s="213">
        <v>7.6300000000000007E-2</v>
      </c>
      <c r="AQ647" s="219">
        <v>-1.1749964187998883</v>
      </c>
      <c r="AR647" s="213" t="s">
        <v>1827</v>
      </c>
      <c r="AV647" s="343"/>
      <c r="AW647" s="328"/>
      <c r="AX647" s="329"/>
      <c r="AY647" s="328"/>
      <c r="AZ647" s="328"/>
      <c r="BA647" s="330"/>
      <c r="BB647" s="328"/>
      <c r="BC647" s="328"/>
      <c r="BD647" s="328"/>
      <c r="BE647" s="330"/>
      <c r="BF647" s="330"/>
      <c r="BG647" s="344"/>
      <c r="BH647" s="330"/>
      <c r="BI647" s="330"/>
      <c r="BJ647" s="330"/>
      <c r="BK647" s="330"/>
      <c r="BL647" s="330"/>
      <c r="BM647" s="330"/>
      <c r="BN647" s="330"/>
      <c r="BO647" s="330"/>
      <c r="BP647" s="331"/>
      <c r="BQ647" s="332"/>
      <c r="BR647" s="333"/>
    </row>
    <row r="648" spans="2:70" ht="15.75" customHeight="1">
      <c r="B648" s="216" t="s">
        <v>1438</v>
      </c>
      <c r="C648" s="212">
        <v>3239903</v>
      </c>
      <c r="D648" s="223">
        <v>19821469000110</v>
      </c>
      <c r="E648" s="217" t="s">
        <v>25</v>
      </c>
      <c r="F648" s="217" t="s">
        <v>958</v>
      </c>
      <c r="G648" s="217" t="s">
        <v>962</v>
      </c>
      <c r="H648" s="218" t="s">
        <v>66</v>
      </c>
      <c r="I648" s="217" t="s">
        <v>1259</v>
      </c>
      <c r="J648" s="217" t="s">
        <v>66</v>
      </c>
      <c r="K648" s="218" t="s">
        <v>954</v>
      </c>
      <c r="L648" s="212" t="s">
        <v>87</v>
      </c>
      <c r="M648" s="250"/>
      <c r="N648" s="239">
        <v>42278</v>
      </c>
      <c r="O648" s="210" t="s">
        <v>364</v>
      </c>
      <c r="P648" s="210" t="s">
        <v>1090</v>
      </c>
      <c r="Q648" s="210" t="s">
        <v>1091</v>
      </c>
      <c r="R648" s="210" t="s">
        <v>1077</v>
      </c>
      <c r="S648" s="210" t="s">
        <v>1078</v>
      </c>
      <c r="T648" s="210" t="s">
        <v>1082</v>
      </c>
      <c r="U648" s="210" t="s">
        <v>65</v>
      </c>
      <c r="V648" s="210" t="s">
        <v>25</v>
      </c>
      <c r="W648" s="211" t="s">
        <v>1028</v>
      </c>
      <c r="X648" s="211">
        <v>5000</v>
      </c>
      <c r="Y648" s="211">
        <v>5000</v>
      </c>
      <c r="Z648" s="212">
        <v>5000</v>
      </c>
      <c r="AA648" s="240">
        <v>5</v>
      </c>
      <c r="AB648" s="213">
        <v>1.2500000000000001E-2</v>
      </c>
      <c r="AC648" s="213">
        <v>0</v>
      </c>
      <c r="AD648" s="213" t="s">
        <v>113</v>
      </c>
      <c r="AE648" s="213">
        <v>6.6666666666666671E-3</v>
      </c>
      <c r="AF648" s="241">
        <v>153155087.09</v>
      </c>
      <c r="AG648" s="241">
        <v>153155087.09</v>
      </c>
      <c r="AH648" s="213">
        <v>-5.4899999999999997E-2</v>
      </c>
      <c r="AI648" s="352">
        <v>-0.84630000000000005</v>
      </c>
      <c r="AJ648" s="213">
        <v>-2.7699999999999999E-2</v>
      </c>
      <c r="AK648" s="352">
        <v>-0.29409999999999997</v>
      </c>
      <c r="AL648" s="213">
        <v>0.09</v>
      </c>
      <c r="AM648" s="352">
        <v>0.74490000000000001</v>
      </c>
      <c r="AN648" s="213">
        <v>0.1217</v>
      </c>
      <c r="AO648" s="352">
        <v>0.72209999999999996</v>
      </c>
      <c r="AP648" s="213">
        <v>6.0100000000000001E-2</v>
      </c>
      <c r="AQ648" s="219">
        <v>-1.9348384607944573</v>
      </c>
      <c r="AR648" s="213" t="s">
        <v>1827</v>
      </c>
      <c r="AU648" s="343"/>
      <c r="AV648" s="343"/>
      <c r="AW648" s="328"/>
      <c r="AX648" s="329"/>
      <c r="AY648" s="328"/>
      <c r="AZ648" s="328"/>
      <c r="BA648" s="330"/>
      <c r="BB648" s="328"/>
      <c r="BC648" s="328"/>
      <c r="BD648" s="328"/>
      <c r="BE648" s="330"/>
      <c r="BF648" s="330"/>
      <c r="BG648" s="344"/>
      <c r="BH648" s="383"/>
      <c r="BI648" s="330"/>
      <c r="BJ648" s="330"/>
      <c r="BK648" s="330"/>
      <c r="BL648" s="330"/>
      <c r="BM648" s="330"/>
      <c r="BN648" s="330"/>
      <c r="BO648" s="330"/>
      <c r="BP648" s="331"/>
      <c r="BQ648" s="332"/>
      <c r="BR648" s="333"/>
    </row>
    <row r="649" spans="2:70" ht="15.75" customHeight="1">
      <c r="B649" s="216" t="s">
        <v>1439</v>
      </c>
      <c r="C649" s="212">
        <v>532120</v>
      </c>
      <c r="D649" s="223">
        <v>17340392000130</v>
      </c>
      <c r="E649" s="217" t="s">
        <v>28</v>
      </c>
      <c r="F649" s="217" t="s">
        <v>950</v>
      </c>
      <c r="G649" s="217"/>
      <c r="H649" s="218"/>
      <c r="I649" s="217" t="s">
        <v>66</v>
      </c>
      <c r="J649" s="217" t="s">
        <v>66</v>
      </c>
      <c r="K649" s="218" t="s">
        <v>954</v>
      </c>
      <c r="L649" s="212"/>
      <c r="M649" s="250"/>
      <c r="N649" s="239">
        <v>41710</v>
      </c>
      <c r="O649" s="210" t="s">
        <v>364</v>
      </c>
      <c r="P649" s="210" t="s">
        <v>1090</v>
      </c>
      <c r="Q649" s="210" t="s">
        <v>1091</v>
      </c>
      <c r="R649" s="210" t="s">
        <v>1077</v>
      </c>
      <c r="S649" s="210" t="s">
        <v>1078</v>
      </c>
      <c r="T649" s="210" t="s">
        <v>1079</v>
      </c>
      <c r="U649" s="210" t="s">
        <v>65</v>
      </c>
      <c r="V649" s="210" t="s">
        <v>1080</v>
      </c>
      <c r="W649" s="211" t="s">
        <v>1036</v>
      </c>
      <c r="X649" s="211">
        <v>5000</v>
      </c>
      <c r="Y649" s="211">
        <v>1000</v>
      </c>
      <c r="Z649" s="212">
        <v>1000</v>
      </c>
      <c r="AA649" s="240">
        <v>5</v>
      </c>
      <c r="AB649" s="213">
        <v>3.0000000000000001E-3</v>
      </c>
      <c r="AC649" s="213">
        <v>0</v>
      </c>
      <c r="AD649" s="213" t="s">
        <v>1157</v>
      </c>
      <c r="AE649" s="213">
        <v>0</v>
      </c>
      <c r="AF649" s="241">
        <v>150125510.31999999</v>
      </c>
      <c r="AG649" s="241">
        <v>150125510.31999999</v>
      </c>
      <c r="AH649" s="213">
        <v>-0.2026</v>
      </c>
      <c r="AI649" s="352">
        <v>-3.1202999999999999</v>
      </c>
      <c r="AJ649" s="213">
        <v>-7.3599999999999999E-2</v>
      </c>
      <c r="AK649" s="352">
        <v>-0.78180000000000005</v>
      </c>
      <c r="AL649" s="213">
        <v>0.24310000000000001</v>
      </c>
      <c r="AM649" s="352">
        <v>2.0121000000000002</v>
      </c>
      <c r="AN649" s="213">
        <v>0.78290000000000004</v>
      </c>
      <c r="AO649" s="352">
        <v>4.6460999999999997</v>
      </c>
      <c r="AP649" s="213">
        <v>0.19850000000000001</v>
      </c>
      <c r="AQ649" s="219">
        <v>-0.73897630277446891</v>
      </c>
      <c r="AR649" s="213" t="s">
        <v>1827</v>
      </c>
      <c r="AU649" s="343"/>
      <c r="AV649" s="343"/>
      <c r="AW649" s="328"/>
      <c r="AX649" s="329"/>
      <c r="AY649" s="328"/>
      <c r="AZ649" s="328"/>
      <c r="BA649" s="330"/>
      <c r="BB649" s="328"/>
      <c r="BC649" s="328"/>
      <c r="BD649" s="328"/>
      <c r="BE649" s="330"/>
      <c r="BF649" s="330"/>
      <c r="BG649" s="344"/>
      <c r="BH649" s="383"/>
      <c r="BI649" s="330"/>
      <c r="BJ649" s="330"/>
      <c r="BK649" s="330"/>
      <c r="BL649" s="330"/>
      <c r="BM649" s="330"/>
      <c r="BN649" s="330"/>
      <c r="BO649" s="330"/>
      <c r="BP649" s="331"/>
      <c r="BQ649" s="332"/>
      <c r="BR649" s="333"/>
    </row>
    <row r="650" spans="2:70" ht="15.75" customHeight="1">
      <c r="B650" s="216" t="s">
        <v>1915</v>
      </c>
      <c r="C650" s="212">
        <v>621859</v>
      </c>
      <c r="D650" s="223">
        <v>43778868000120</v>
      </c>
      <c r="E650" s="217" t="s">
        <v>19</v>
      </c>
      <c r="F650" s="217" t="s">
        <v>964</v>
      </c>
      <c r="G650" s="217" t="s">
        <v>1021</v>
      </c>
      <c r="H650" s="218" t="s">
        <v>1260</v>
      </c>
      <c r="I650" s="217" t="s">
        <v>66</v>
      </c>
      <c r="J650" s="217"/>
      <c r="K650" s="218" t="s">
        <v>951</v>
      </c>
      <c r="L650" s="212" t="s">
        <v>87</v>
      </c>
      <c r="M650" s="250"/>
      <c r="N650" s="239">
        <v>44543</v>
      </c>
      <c r="O650" s="210" t="s">
        <v>427</v>
      </c>
      <c r="P650" s="210" t="s">
        <v>1090</v>
      </c>
      <c r="Q650" s="210" t="s">
        <v>1091</v>
      </c>
      <c r="R650" s="210" t="s">
        <v>1084</v>
      </c>
      <c r="S650" s="210" t="s">
        <v>1078</v>
      </c>
      <c r="T650" s="210" t="s">
        <v>349</v>
      </c>
      <c r="U650" s="210" t="s">
        <v>964</v>
      </c>
      <c r="V650" s="210" t="s">
        <v>19</v>
      </c>
      <c r="W650" s="211" t="s">
        <v>1032</v>
      </c>
      <c r="X650" s="211">
        <v>50</v>
      </c>
      <c r="Y650" s="211">
        <v>50</v>
      </c>
      <c r="Z650" s="212">
        <v>50</v>
      </c>
      <c r="AA650" s="240">
        <v>6</v>
      </c>
      <c r="AB650" s="213">
        <v>7.4999999999999997E-3</v>
      </c>
      <c r="AC650" s="213">
        <v>0.2</v>
      </c>
      <c r="AD650" s="213" t="s">
        <v>981</v>
      </c>
      <c r="AE650" s="213">
        <v>2.0002499999999999E-3</v>
      </c>
      <c r="AF650" s="241">
        <v>59731199.119999997</v>
      </c>
      <c r="AG650" s="241">
        <v>59731199.119999997</v>
      </c>
      <c r="AH650" s="213">
        <v>1.6799999999999999E-2</v>
      </c>
      <c r="AI650" s="352">
        <v>0.25829999999999997</v>
      </c>
      <c r="AJ650" s="213" t="s">
        <v>66</v>
      </c>
      <c r="AK650" s="352" t="s">
        <v>66</v>
      </c>
      <c r="AL650" s="213" t="s">
        <v>66</v>
      </c>
      <c r="AM650" s="352" t="s">
        <v>66</v>
      </c>
      <c r="AN650" s="213" t="s">
        <v>66</v>
      </c>
      <c r="AO650" s="352" t="s">
        <v>66</v>
      </c>
      <c r="AP650" s="213" t="s">
        <v>66</v>
      </c>
      <c r="AQ650" s="219" t="s">
        <v>66</v>
      </c>
      <c r="AR650" s="213" t="s">
        <v>1827</v>
      </c>
      <c r="AV650" s="343"/>
      <c r="AW650" s="328"/>
      <c r="AX650" s="329"/>
      <c r="AY650" s="328"/>
      <c r="AZ650" s="328"/>
      <c r="BA650" s="330"/>
      <c r="BB650" s="328"/>
      <c r="BC650" s="328"/>
      <c r="BD650" s="328"/>
      <c r="BE650" s="330"/>
      <c r="BF650" s="330"/>
      <c r="BG650" s="344"/>
      <c r="BH650" s="330"/>
      <c r="BI650" s="330"/>
      <c r="BJ650" s="330"/>
      <c r="BK650" s="330"/>
      <c r="BL650" s="330"/>
      <c r="BM650" s="330"/>
      <c r="BN650" s="330"/>
      <c r="BO650" s="330"/>
      <c r="BP650" s="331"/>
      <c r="BQ650" s="332"/>
      <c r="BR650" s="333"/>
    </row>
    <row r="651" spans="2:70" ht="15.75" customHeight="1">
      <c r="B651" s="216" t="s">
        <v>426</v>
      </c>
      <c r="C651" s="212">
        <v>1176357</v>
      </c>
      <c r="D651" s="223">
        <v>12845796000162</v>
      </c>
      <c r="E651" s="217" t="s">
        <v>28</v>
      </c>
      <c r="F651" s="217" t="s">
        <v>950</v>
      </c>
      <c r="G651" s="217"/>
      <c r="H651" s="218"/>
      <c r="I651" s="217" t="s">
        <v>66</v>
      </c>
      <c r="J651" s="217" t="s">
        <v>66</v>
      </c>
      <c r="K651" s="218" t="s">
        <v>951</v>
      </c>
      <c r="L651" s="212" t="s">
        <v>87</v>
      </c>
      <c r="M651" s="250"/>
      <c r="N651" s="239">
        <v>40529</v>
      </c>
      <c r="O651" s="210" t="s">
        <v>427</v>
      </c>
      <c r="P651" s="210" t="s">
        <v>1075</v>
      </c>
      <c r="Q651" s="210" t="s">
        <v>1091</v>
      </c>
      <c r="R651" s="210" t="s">
        <v>1084</v>
      </c>
      <c r="S651" s="210" t="s">
        <v>1078</v>
      </c>
      <c r="T651" s="210" t="s">
        <v>1079</v>
      </c>
      <c r="U651" s="210" t="s">
        <v>950</v>
      </c>
      <c r="V651" s="210" t="s">
        <v>1080</v>
      </c>
      <c r="W651" s="211" t="s">
        <v>1007</v>
      </c>
      <c r="X651" s="211">
        <v>500</v>
      </c>
      <c r="Y651" s="211">
        <v>500</v>
      </c>
      <c r="Z651" s="212">
        <v>500</v>
      </c>
      <c r="AA651" s="240">
        <v>7</v>
      </c>
      <c r="AB651" s="213">
        <v>1.35E-2</v>
      </c>
      <c r="AC651" s="213">
        <v>0.2</v>
      </c>
      <c r="AD651" s="213" t="s">
        <v>1014</v>
      </c>
      <c r="AE651" s="213">
        <v>5.3333333333333332E-3</v>
      </c>
      <c r="AF651" s="241">
        <v>67958239.549999997</v>
      </c>
      <c r="AG651" s="241">
        <v>67958239.549999997</v>
      </c>
      <c r="AH651" s="213">
        <v>-3.2099999999999997E-2</v>
      </c>
      <c r="AI651" s="352">
        <v>-0.49459999999999998</v>
      </c>
      <c r="AJ651" s="213">
        <v>-0.151</v>
      </c>
      <c r="AK651" s="352">
        <v>-1.6045</v>
      </c>
      <c r="AL651" s="213">
        <v>0.1993</v>
      </c>
      <c r="AM651" s="352">
        <v>1.65</v>
      </c>
      <c r="AN651" s="213">
        <v>0.27839999999999998</v>
      </c>
      <c r="AO651" s="352">
        <v>1.6523000000000001</v>
      </c>
      <c r="AP651" s="213">
        <v>0.1759</v>
      </c>
      <c r="AQ651" s="219">
        <v>-1.3531306597461472</v>
      </c>
      <c r="AR651" s="213" t="s">
        <v>1824</v>
      </c>
      <c r="AV651" s="343"/>
      <c r="AW651" s="328"/>
      <c r="AX651" s="329"/>
      <c r="AY651" s="328"/>
      <c r="AZ651" s="328"/>
      <c r="BA651" s="330"/>
      <c r="BB651" s="328"/>
      <c r="BC651" s="328"/>
      <c r="BD651" s="328"/>
      <c r="BE651" s="330"/>
      <c r="BF651" s="330"/>
      <c r="BG651" s="344"/>
      <c r="BH651" s="330"/>
      <c r="BI651" s="330"/>
      <c r="BJ651" s="330"/>
      <c r="BK651" s="330"/>
      <c r="BL651" s="330"/>
      <c r="BM651" s="330"/>
      <c r="BN651" s="330"/>
      <c r="BO651" s="330"/>
      <c r="BP651" s="331"/>
      <c r="BQ651" s="332"/>
      <c r="BR651" s="333"/>
    </row>
    <row r="652" spans="2:70" ht="15.75" customHeight="1">
      <c r="B652" s="216" t="s">
        <v>1440</v>
      </c>
      <c r="C652" s="212">
        <v>1564257</v>
      </c>
      <c r="D652" s="223">
        <v>8773805000180</v>
      </c>
      <c r="E652" s="217" t="s">
        <v>25</v>
      </c>
      <c r="F652" s="217" t="s">
        <v>959</v>
      </c>
      <c r="G652" s="217" t="s">
        <v>953</v>
      </c>
      <c r="H652" s="218" t="s">
        <v>66</v>
      </c>
      <c r="I652" s="217" t="s">
        <v>1841</v>
      </c>
      <c r="J652" s="217" t="s">
        <v>66</v>
      </c>
      <c r="K652" s="218"/>
      <c r="L652" s="212" t="s">
        <v>87</v>
      </c>
      <c r="M652" s="250"/>
      <c r="N652" s="239">
        <v>39213</v>
      </c>
      <c r="O652" s="210" t="s">
        <v>427</v>
      </c>
      <c r="P652" s="210" t="s">
        <v>1090</v>
      </c>
      <c r="Q652" s="210" t="s">
        <v>1091</v>
      </c>
      <c r="R652" s="210" t="s">
        <v>1084</v>
      </c>
      <c r="S652" s="210" t="s">
        <v>1078</v>
      </c>
      <c r="T652" s="210" t="s">
        <v>1082</v>
      </c>
      <c r="U652" s="210" t="s">
        <v>1086</v>
      </c>
      <c r="V652" s="210" t="s">
        <v>25</v>
      </c>
      <c r="W652" s="211" t="s">
        <v>1016</v>
      </c>
      <c r="X652" s="211">
        <v>50000</v>
      </c>
      <c r="Y652" s="211">
        <v>5000</v>
      </c>
      <c r="Z652" s="212">
        <v>25000</v>
      </c>
      <c r="AA652" s="240">
        <v>1</v>
      </c>
      <c r="AB652" s="213">
        <v>0.02</v>
      </c>
      <c r="AC652" s="213">
        <v>0.2</v>
      </c>
      <c r="AD652" s="213" t="s">
        <v>109</v>
      </c>
      <c r="AE652" s="213">
        <v>5.3333333333333332E-3</v>
      </c>
      <c r="AF652" s="241">
        <v>31271731.039999999</v>
      </c>
      <c r="AG652" s="241">
        <v>31271731.039999999</v>
      </c>
      <c r="AH652" s="213">
        <v>4.19E-2</v>
      </c>
      <c r="AI652" s="352">
        <v>0.64610000000000001</v>
      </c>
      <c r="AJ652" s="213">
        <v>7.7700000000000005E-2</v>
      </c>
      <c r="AK652" s="352">
        <v>0.82589999999999997</v>
      </c>
      <c r="AL652" s="213">
        <v>8.3699999999999997E-2</v>
      </c>
      <c r="AM652" s="352">
        <v>0.69259999999999999</v>
      </c>
      <c r="AN652" s="213">
        <v>0.17030000000000001</v>
      </c>
      <c r="AO652" s="352">
        <v>1.0105999999999999</v>
      </c>
      <c r="AP652" s="213">
        <v>3.4799999999999998E-2</v>
      </c>
      <c r="AQ652" s="219">
        <v>-0.41619278783865682</v>
      </c>
      <c r="AR652" s="213" t="s">
        <v>1827</v>
      </c>
      <c r="AV652" s="343"/>
      <c r="AW652" s="328"/>
      <c r="AX652" s="329"/>
      <c r="AY652" s="328"/>
      <c r="AZ652" s="328"/>
      <c r="BA652" s="330"/>
      <c r="BB652" s="328"/>
      <c r="BC652" s="328"/>
      <c r="BD652" s="328"/>
      <c r="BE652" s="330"/>
      <c r="BF652" s="330"/>
      <c r="BG652" s="344"/>
      <c r="BH652" s="330"/>
      <c r="BI652" s="330"/>
      <c r="BJ652" s="330"/>
      <c r="BK652" s="330"/>
      <c r="BL652" s="330"/>
      <c r="BM652" s="330"/>
      <c r="BN652" s="330"/>
      <c r="BO652" s="330"/>
      <c r="BP652" s="331"/>
      <c r="BQ652" s="332"/>
      <c r="BR652" s="333"/>
    </row>
    <row r="653" spans="2:70" ht="15.75" customHeight="1">
      <c r="B653" s="216" t="s">
        <v>1441</v>
      </c>
      <c r="C653" s="212">
        <v>2911026</v>
      </c>
      <c r="D653" s="223">
        <v>14146496000110</v>
      </c>
      <c r="E653" s="217" t="s">
        <v>25</v>
      </c>
      <c r="F653" s="217" t="s">
        <v>959</v>
      </c>
      <c r="G653" s="217" t="s">
        <v>953</v>
      </c>
      <c r="H653" s="218" t="s">
        <v>66</v>
      </c>
      <c r="I653" s="217" t="s">
        <v>1259</v>
      </c>
      <c r="J653" s="217" t="s">
        <v>66</v>
      </c>
      <c r="K653" s="218"/>
      <c r="L653" s="212" t="s">
        <v>87</v>
      </c>
      <c r="M653" s="250"/>
      <c r="N653" s="239">
        <v>40991</v>
      </c>
      <c r="O653" s="210" t="s">
        <v>427</v>
      </c>
      <c r="P653" s="210" t="s">
        <v>1090</v>
      </c>
      <c r="Q653" s="210" t="s">
        <v>1091</v>
      </c>
      <c r="R653" s="210" t="s">
        <v>1077</v>
      </c>
      <c r="S653" s="210" t="s">
        <v>1085</v>
      </c>
      <c r="T653" s="210" t="s">
        <v>1082</v>
      </c>
      <c r="U653" s="210" t="s">
        <v>1086</v>
      </c>
      <c r="V653" s="210" t="s">
        <v>25</v>
      </c>
      <c r="W653" s="211" t="s">
        <v>1016</v>
      </c>
      <c r="X653" s="211">
        <v>20000</v>
      </c>
      <c r="Y653" s="211">
        <v>1000</v>
      </c>
      <c r="Z653" s="212">
        <v>20000</v>
      </c>
      <c r="AA653" s="240">
        <v>11</v>
      </c>
      <c r="AB653" s="213">
        <v>0.02</v>
      </c>
      <c r="AC653" s="213">
        <v>0.2</v>
      </c>
      <c r="AD653" s="213" t="s">
        <v>1100</v>
      </c>
      <c r="AE653" s="213">
        <v>5.3333333333333332E-3</v>
      </c>
      <c r="AF653" s="241">
        <v>1118053309.46</v>
      </c>
      <c r="AG653" s="241">
        <v>1118053309.46</v>
      </c>
      <c r="AH653" s="213">
        <v>3.3700000000000001E-2</v>
      </c>
      <c r="AI653" s="352">
        <v>0.51839999999999997</v>
      </c>
      <c r="AJ653" s="213">
        <v>7.2800000000000004E-2</v>
      </c>
      <c r="AK653" s="352">
        <v>0.77410000000000001</v>
      </c>
      <c r="AL653" s="213">
        <v>6.4699999999999994E-2</v>
      </c>
      <c r="AM653" s="352">
        <v>0.5353</v>
      </c>
      <c r="AN653" s="213">
        <v>0.17469999999999999</v>
      </c>
      <c r="AO653" s="352">
        <v>1.0366</v>
      </c>
      <c r="AP653" s="213">
        <v>6.6100000000000006E-2</v>
      </c>
      <c r="AQ653" s="219">
        <v>-0.26392236439657779</v>
      </c>
      <c r="AR653" s="213" t="s">
        <v>1827</v>
      </c>
      <c r="AV653" s="343"/>
      <c r="AW653" s="328"/>
      <c r="AX653" s="329"/>
      <c r="AY653" s="328"/>
      <c r="AZ653" s="328"/>
      <c r="BA653" s="330"/>
      <c r="BB653" s="328"/>
      <c r="BC653" s="328"/>
      <c r="BD653" s="328"/>
      <c r="BE653" s="330"/>
      <c r="BF653" s="330"/>
      <c r="BG653" s="344"/>
      <c r="BH653" s="330"/>
      <c r="BI653" s="330"/>
      <c r="BJ653" s="330"/>
      <c r="BK653" s="330"/>
      <c r="BL653" s="330"/>
      <c r="BM653" s="330"/>
      <c r="BN653" s="330"/>
      <c r="BO653" s="330"/>
      <c r="BP653" s="331"/>
      <c r="BQ653" s="332"/>
      <c r="BR653" s="333"/>
    </row>
    <row r="654" spans="2:70" ht="15.75" customHeight="1">
      <c r="B654" s="216" t="s">
        <v>428</v>
      </c>
      <c r="C654" s="212">
        <v>570214</v>
      </c>
      <c r="D654" s="223">
        <v>9441308000147</v>
      </c>
      <c r="E654" s="217" t="s">
        <v>25</v>
      </c>
      <c r="F654" s="217" t="s">
        <v>959</v>
      </c>
      <c r="G654" s="217" t="s">
        <v>953</v>
      </c>
      <c r="H654" s="218" t="s">
        <v>66</v>
      </c>
      <c r="I654" s="217" t="s">
        <v>1841</v>
      </c>
      <c r="J654" s="217" t="s">
        <v>66</v>
      </c>
      <c r="K654" s="218"/>
      <c r="L654" s="212" t="s">
        <v>87</v>
      </c>
      <c r="M654" s="250"/>
      <c r="N654" s="239">
        <v>39568</v>
      </c>
      <c r="O654" s="210" t="s">
        <v>427</v>
      </c>
      <c r="P654" s="210" t="s">
        <v>1090</v>
      </c>
      <c r="Q654" s="210" t="s">
        <v>1091</v>
      </c>
      <c r="R654" s="210" t="s">
        <v>1084</v>
      </c>
      <c r="S654" s="210" t="s">
        <v>1078</v>
      </c>
      <c r="T654" s="210" t="s">
        <v>1082</v>
      </c>
      <c r="U654" s="210" t="s">
        <v>1086</v>
      </c>
      <c r="V654" s="210" t="s">
        <v>25</v>
      </c>
      <c r="W654" s="211" t="s">
        <v>1016</v>
      </c>
      <c r="X654" s="211">
        <v>500</v>
      </c>
      <c r="Y654" s="211">
        <v>500</v>
      </c>
      <c r="Z654" s="212">
        <v>500</v>
      </c>
      <c r="AA654" s="240">
        <v>11</v>
      </c>
      <c r="AB654" s="213">
        <v>0.02</v>
      </c>
      <c r="AC654" s="213">
        <v>0.2</v>
      </c>
      <c r="AD654" s="213" t="s">
        <v>109</v>
      </c>
      <c r="AE654" s="213">
        <v>5.3333333333333332E-3</v>
      </c>
      <c r="AF654" s="241">
        <v>431812204.25</v>
      </c>
      <c r="AG654" s="241">
        <v>431812204.25</v>
      </c>
      <c r="AH654" s="213">
        <v>4.2299999999999997E-2</v>
      </c>
      <c r="AI654" s="352">
        <v>0.6512</v>
      </c>
      <c r="AJ654" s="213">
        <v>7.8E-2</v>
      </c>
      <c r="AK654" s="352">
        <v>0.82889999999999997</v>
      </c>
      <c r="AL654" s="213">
        <v>8.4099999999999994E-2</v>
      </c>
      <c r="AM654" s="352">
        <v>0.69610000000000005</v>
      </c>
      <c r="AN654" s="213">
        <v>0.1701</v>
      </c>
      <c r="AO654" s="352">
        <v>1.0094000000000001</v>
      </c>
      <c r="AP654" s="213">
        <v>3.44E-2</v>
      </c>
      <c r="AQ654" s="219">
        <v>-0.41448917647428696</v>
      </c>
      <c r="AR654" s="213" t="s">
        <v>1827</v>
      </c>
      <c r="AV654" s="343"/>
      <c r="AW654" s="328"/>
      <c r="AX654" s="329"/>
      <c r="AY654" s="328"/>
      <c r="AZ654" s="328"/>
      <c r="BA654" s="330"/>
      <c r="BB654" s="328"/>
      <c r="BC654" s="328"/>
      <c r="BD654" s="328"/>
      <c r="BE654" s="330"/>
      <c r="BF654" s="330"/>
      <c r="BG654" s="344"/>
      <c r="BH654" s="330"/>
      <c r="BI654" s="330"/>
      <c r="BJ654" s="330"/>
      <c r="BK654" s="330"/>
      <c r="BL654" s="330"/>
      <c r="BM654" s="330"/>
      <c r="BN654" s="330"/>
      <c r="BO654" s="330"/>
      <c r="BP654" s="331"/>
      <c r="BQ654" s="332"/>
      <c r="BR654" s="333"/>
    </row>
    <row r="655" spans="2:70" ht="15.75" customHeight="1">
      <c r="B655" s="216" t="s">
        <v>888</v>
      </c>
      <c r="C655" s="212">
        <v>2351334</v>
      </c>
      <c r="D655" s="223">
        <v>33378392000186</v>
      </c>
      <c r="E655" s="217" t="s">
        <v>28</v>
      </c>
      <c r="F655" s="217" t="s">
        <v>957</v>
      </c>
      <c r="G655" s="217"/>
      <c r="H655" s="218"/>
      <c r="I655" s="217" t="s">
        <v>1259</v>
      </c>
      <c r="J655" s="217" t="s">
        <v>66</v>
      </c>
      <c r="K655" s="218" t="s">
        <v>951</v>
      </c>
      <c r="L655" s="212" t="s">
        <v>87</v>
      </c>
      <c r="M655" s="250"/>
      <c r="N655" s="239">
        <v>43703</v>
      </c>
      <c r="O655" s="210" t="s">
        <v>427</v>
      </c>
      <c r="P655" s="210" t="s">
        <v>1090</v>
      </c>
      <c r="Q655" s="210" t="s">
        <v>1091</v>
      </c>
      <c r="R655" s="210" t="s">
        <v>1084</v>
      </c>
      <c r="S655" s="210" t="s">
        <v>1078</v>
      </c>
      <c r="T655" s="210" t="s">
        <v>1079</v>
      </c>
      <c r="U655" s="210" t="s">
        <v>957</v>
      </c>
      <c r="V655" s="210" t="s">
        <v>25</v>
      </c>
      <c r="W655" s="211" t="s">
        <v>1016</v>
      </c>
      <c r="X655" s="211">
        <v>500</v>
      </c>
      <c r="Y655" s="211">
        <v>500</v>
      </c>
      <c r="Z655" s="212">
        <v>500</v>
      </c>
      <c r="AA655" s="240">
        <v>12</v>
      </c>
      <c r="AB655" s="213">
        <v>1.7500000000000002E-2</v>
      </c>
      <c r="AC655" s="213">
        <v>0.2</v>
      </c>
      <c r="AD655" s="213" t="s">
        <v>109</v>
      </c>
      <c r="AE655" s="213">
        <v>4.6666666666666671E-3</v>
      </c>
      <c r="AF655" s="241">
        <v>36153645.670000002</v>
      </c>
      <c r="AG655" s="241">
        <v>36153645.670000002</v>
      </c>
      <c r="AH655" s="213">
        <v>-2.6700000000000002E-2</v>
      </c>
      <c r="AI655" s="352">
        <v>-0.41070000000000001</v>
      </c>
      <c r="AJ655" s="213">
        <v>-5.4300000000000001E-2</v>
      </c>
      <c r="AK655" s="352">
        <v>-0.57709999999999995</v>
      </c>
      <c r="AL655" s="213">
        <v>0.22539999999999999</v>
      </c>
      <c r="AM655" s="352">
        <v>1.8654999999999999</v>
      </c>
      <c r="AN655" s="213" t="s">
        <v>66</v>
      </c>
      <c r="AO655" s="352" t="s">
        <v>66</v>
      </c>
      <c r="AP655" s="213">
        <v>0.1361</v>
      </c>
      <c r="AQ655" s="219">
        <v>-1.002665687737063</v>
      </c>
      <c r="AR655" s="213" t="s">
        <v>1827</v>
      </c>
      <c r="AV655" s="343"/>
      <c r="AW655" s="328"/>
      <c r="AX655" s="329"/>
      <c r="AY655" s="328"/>
      <c r="AZ655" s="328"/>
      <c r="BA655" s="330"/>
      <c r="BB655" s="328"/>
      <c r="BC655" s="328"/>
      <c r="BD655" s="328"/>
      <c r="BE655" s="330"/>
      <c r="BF655" s="330"/>
      <c r="BG655" s="344"/>
      <c r="BH655" s="330"/>
      <c r="BI655" s="330"/>
      <c r="BJ655" s="330"/>
      <c r="BK655" s="330"/>
      <c r="BL655" s="330"/>
      <c r="BM655" s="330"/>
      <c r="BN655" s="330"/>
      <c r="BO655" s="330"/>
      <c r="BP655" s="331"/>
      <c r="BQ655" s="332"/>
      <c r="BR655" s="333"/>
    </row>
    <row r="656" spans="2:70" ht="15.75" customHeight="1">
      <c r="B656" s="216" t="s">
        <v>1442</v>
      </c>
      <c r="C656" s="212">
        <v>1139246</v>
      </c>
      <c r="D656" s="223">
        <v>31455960000170</v>
      </c>
      <c r="E656" s="217" t="s">
        <v>25</v>
      </c>
      <c r="F656" s="217" t="s">
        <v>959</v>
      </c>
      <c r="G656" s="217" t="s">
        <v>960</v>
      </c>
      <c r="H656" s="218" t="s">
        <v>66</v>
      </c>
      <c r="I656" s="217" t="s">
        <v>1259</v>
      </c>
      <c r="J656" s="217" t="s">
        <v>66</v>
      </c>
      <c r="K656" s="218" t="s">
        <v>951</v>
      </c>
      <c r="L656" s="212" t="s">
        <v>87</v>
      </c>
      <c r="M656" s="250"/>
      <c r="N656" s="239">
        <v>43410</v>
      </c>
      <c r="O656" s="210" t="s">
        <v>427</v>
      </c>
      <c r="P656" s="210" t="s">
        <v>1090</v>
      </c>
      <c r="Q656" s="210" t="s">
        <v>1091</v>
      </c>
      <c r="R656" s="210" t="s">
        <v>1077</v>
      </c>
      <c r="S656" s="210" t="s">
        <v>1078</v>
      </c>
      <c r="T656" s="210" t="s">
        <v>1082</v>
      </c>
      <c r="U656" s="210" t="s">
        <v>1086</v>
      </c>
      <c r="V656" s="210" t="s">
        <v>1080</v>
      </c>
      <c r="W656" s="211" t="s">
        <v>1007</v>
      </c>
      <c r="X656" s="211">
        <v>500</v>
      </c>
      <c r="Y656" s="211">
        <v>500</v>
      </c>
      <c r="Z656" s="212">
        <v>500</v>
      </c>
      <c r="AA656" s="240">
        <v>12</v>
      </c>
      <c r="AB656" s="213">
        <v>0.02</v>
      </c>
      <c r="AC656" s="213">
        <v>0.2</v>
      </c>
      <c r="AD656" s="213" t="s">
        <v>1100</v>
      </c>
      <c r="AE656" s="213">
        <v>5.3333333333333332E-3</v>
      </c>
      <c r="AF656" s="241">
        <v>195596151.43000001</v>
      </c>
      <c r="AG656" s="241">
        <v>195596151.43000001</v>
      </c>
      <c r="AH656" s="213">
        <v>5.1499999999999997E-2</v>
      </c>
      <c r="AI656" s="352">
        <v>0.79249999999999998</v>
      </c>
      <c r="AJ656" s="213">
        <v>8.77E-2</v>
      </c>
      <c r="AK656" s="352">
        <v>0.93240000000000001</v>
      </c>
      <c r="AL656" s="213">
        <v>0.1636</v>
      </c>
      <c r="AM656" s="352">
        <v>1.3542000000000001</v>
      </c>
      <c r="AN656" s="213">
        <v>0.2893</v>
      </c>
      <c r="AO656" s="352">
        <v>1.7164999999999999</v>
      </c>
      <c r="AP656" s="213">
        <v>5.1200000000000002E-2</v>
      </c>
      <c r="AQ656" s="219">
        <v>-8.8541798767363747E-2</v>
      </c>
      <c r="AR656" s="213" t="s">
        <v>1827</v>
      </c>
      <c r="AV656" s="343"/>
      <c r="AW656" s="328"/>
      <c r="AX656" s="329"/>
      <c r="AY656" s="328"/>
      <c r="AZ656" s="328"/>
      <c r="BA656" s="330"/>
      <c r="BB656" s="328"/>
      <c r="BC656" s="328"/>
      <c r="BD656" s="328"/>
      <c r="BE656" s="330"/>
      <c r="BF656" s="330"/>
      <c r="BG656" s="344"/>
      <c r="BH656" s="330"/>
      <c r="BI656" s="330"/>
      <c r="BJ656" s="330"/>
      <c r="BK656" s="330"/>
      <c r="BL656" s="330"/>
      <c r="BM656" s="330"/>
      <c r="BN656" s="330"/>
      <c r="BO656" s="330"/>
      <c r="BP656" s="331"/>
      <c r="BQ656" s="332"/>
      <c r="BR656" s="333"/>
    </row>
    <row r="657" spans="2:70" ht="15.75" customHeight="1">
      <c r="B657" s="216" t="s">
        <v>429</v>
      </c>
      <c r="C657" s="212">
        <v>1139247</v>
      </c>
      <c r="D657" s="223">
        <v>31923761000149</v>
      </c>
      <c r="E657" s="217" t="s">
        <v>25</v>
      </c>
      <c r="F657" s="217" t="s">
        <v>32</v>
      </c>
      <c r="G657" s="217" t="s">
        <v>953</v>
      </c>
      <c r="H657" s="218"/>
      <c r="I657" s="217" t="s">
        <v>1842</v>
      </c>
      <c r="J657" s="217" t="s">
        <v>66</v>
      </c>
      <c r="K657" s="218" t="s">
        <v>951</v>
      </c>
      <c r="L657" s="212" t="s">
        <v>87</v>
      </c>
      <c r="M657" s="250"/>
      <c r="N657" s="239">
        <v>43467</v>
      </c>
      <c r="O657" s="210" t="s">
        <v>427</v>
      </c>
      <c r="P657" s="210" t="s">
        <v>1090</v>
      </c>
      <c r="Q657" s="210" t="s">
        <v>1091</v>
      </c>
      <c r="R657" s="210" t="s">
        <v>1084</v>
      </c>
      <c r="S657" s="210" t="s">
        <v>1078</v>
      </c>
      <c r="T657" s="210" t="s">
        <v>1079</v>
      </c>
      <c r="U657" s="210" t="s">
        <v>950</v>
      </c>
      <c r="V657" s="210" t="s">
        <v>25</v>
      </c>
      <c r="W657" s="211" t="s">
        <v>1016</v>
      </c>
      <c r="X657" s="211">
        <v>500</v>
      </c>
      <c r="Y657" s="211">
        <v>500</v>
      </c>
      <c r="Z657" s="212">
        <v>500</v>
      </c>
      <c r="AA657" s="240">
        <v>11</v>
      </c>
      <c r="AB657" s="213">
        <v>0.02</v>
      </c>
      <c r="AC657" s="213">
        <v>0.2</v>
      </c>
      <c r="AD657" s="213" t="s">
        <v>109</v>
      </c>
      <c r="AE657" s="213">
        <v>6.6666666666666662E-3</v>
      </c>
      <c r="AF657" s="241">
        <v>49941363</v>
      </c>
      <c r="AG657" s="241">
        <v>49941363</v>
      </c>
      <c r="AH657" s="213">
        <v>4.48E-2</v>
      </c>
      <c r="AI657" s="352">
        <v>0.69020000000000004</v>
      </c>
      <c r="AJ657" s="213">
        <v>0.1827</v>
      </c>
      <c r="AK657" s="352">
        <v>1.9417</v>
      </c>
      <c r="AL657" s="213">
        <v>0.1236</v>
      </c>
      <c r="AM657" s="352">
        <v>1.0227999999999999</v>
      </c>
      <c r="AN657" s="213">
        <v>0.23849999999999999</v>
      </c>
      <c r="AO657" s="352">
        <v>1.415</v>
      </c>
      <c r="AP657" s="213">
        <v>7.7600000000000002E-2</v>
      </c>
      <c r="AQ657" s="219">
        <v>1.0424478160926693</v>
      </c>
      <c r="AR657" s="213" t="s">
        <v>1827</v>
      </c>
      <c r="AV657" s="343"/>
      <c r="AW657" s="328"/>
      <c r="AX657" s="329"/>
      <c r="AY657" s="328"/>
      <c r="AZ657" s="328"/>
      <c r="BA657" s="330"/>
      <c r="BB657" s="328"/>
      <c r="BC657" s="328"/>
      <c r="BD657" s="328"/>
      <c r="BE657" s="330"/>
      <c r="BF657" s="330"/>
      <c r="BG657" s="344"/>
      <c r="BH657" s="330"/>
      <c r="BI657" s="330"/>
      <c r="BJ657" s="330"/>
      <c r="BK657" s="330"/>
      <c r="BL657" s="330"/>
      <c r="BM657" s="330"/>
      <c r="BN657" s="330"/>
      <c r="BO657" s="330"/>
      <c r="BP657" s="331"/>
      <c r="BQ657" s="332"/>
      <c r="BR657" s="333"/>
    </row>
    <row r="658" spans="2:70" ht="15.75" customHeight="1">
      <c r="B658" s="216" t="s">
        <v>1443</v>
      </c>
      <c r="C658" s="212">
        <v>971224</v>
      </c>
      <c r="D658" s="223">
        <v>32754593000178</v>
      </c>
      <c r="E658" s="217" t="s">
        <v>25</v>
      </c>
      <c r="F658" s="217" t="s">
        <v>958</v>
      </c>
      <c r="G658" s="217" t="s">
        <v>962</v>
      </c>
      <c r="H658" s="218" t="s">
        <v>66</v>
      </c>
      <c r="I658" s="217" t="s">
        <v>1259</v>
      </c>
      <c r="J658" s="217" t="s">
        <v>66</v>
      </c>
      <c r="K658" s="218"/>
      <c r="L658" s="212" t="s">
        <v>87</v>
      </c>
      <c r="M658" s="250"/>
      <c r="N658" s="239">
        <v>43585</v>
      </c>
      <c r="O658" s="210" t="s">
        <v>114</v>
      </c>
      <c r="P658" s="210" t="s">
        <v>1075</v>
      </c>
      <c r="Q658" s="210" t="s">
        <v>1076</v>
      </c>
      <c r="R658" s="210" t="s">
        <v>1084</v>
      </c>
      <c r="S658" s="210" t="s">
        <v>1078</v>
      </c>
      <c r="T658" s="210" t="s">
        <v>1082</v>
      </c>
      <c r="U658" s="210" t="s">
        <v>958</v>
      </c>
      <c r="V658" s="210" t="s">
        <v>25</v>
      </c>
      <c r="W658" s="211" t="s">
        <v>1012</v>
      </c>
      <c r="X658" s="211">
        <v>500</v>
      </c>
      <c r="Y658" s="211">
        <v>500</v>
      </c>
      <c r="Z658" s="212">
        <v>0</v>
      </c>
      <c r="AA658" s="240">
        <v>31</v>
      </c>
      <c r="AB658" s="213">
        <v>1.9E-2</v>
      </c>
      <c r="AC658" s="213">
        <v>0.2</v>
      </c>
      <c r="AD658" s="213" t="s">
        <v>113</v>
      </c>
      <c r="AE658" s="213">
        <v>3.8E-3</v>
      </c>
      <c r="AF658" s="241">
        <v>687919.44</v>
      </c>
      <c r="AG658" s="241">
        <v>687919.44</v>
      </c>
      <c r="AH658" s="213">
        <v>0.13850000000000001</v>
      </c>
      <c r="AI658" s="352">
        <v>2.1331000000000002</v>
      </c>
      <c r="AJ658" s="213">
        <v>0.10580000000000001</v>
      </c>
      <c r="AK658" s="352">
        <v>1.1246</v>
      </c>
      <c r="AL658" s="213">
        <v>0.1656</v>
      </c>
      <c r="AM658" s="352">
        <v>1.3704000000000001</v>
      </c>
      <c r="AN658" s="213">
        <v>0.1953</v>
      </c>
      <c r="AO658" s="352">
        <v>1.1588000000000001</v>
      </c>
      <c r="AP658" s="213">
        <v>6.6900000000000001E-2</v>
      </c>
      <c r="AQ658" s="219">
        <v>0.19282441623366667</v>
      </c>
      <c r="AR658" s="213" t="s">
        <v>1827</v>
      </c>
      <c r="AV658" s="343"/>
      <c r="AW658" s="328"/>
      <c r="AX658" s="329"/>
      <c r="AY658" s="328"/>
      <c r="AZ658" s="328"/>
      <c r="BA658" s="330"/>
      <c r="BB658" s="328"/>
      <c r="BC658" s="328"/>
      <c r="BD658" s="328"/>
      <c r="BE658" s="330"/>
      <c r="BF658" s="330"/>
      <c r="BG658" s="344"/>
      <c r="BH658" s="330"/>
      <c r="BI658" s="330"/>
      <c r="BJ658" s="330"/>
      <c r="BK658" s="330"/>
      <c r="BL658" s="330"/>
      <c r="BM658" s="330"/>
      <c r="BN658" s="330"/>
      <c r="BO658" s="330"/>
      <c r="BP658" s="331"/>
      <c r="BQ658" s="332"/>
      <c r="BR658" s="333"/>
    </row>
    <row r="659" spans="2:70" ht="15.75" customHeight="1">
      <c r="B659" s="216" t="s">
        <v>430</v>
      </c>
      <c r="C659" s="212">
        <v>560422</v>
      </c>
      <c r="D659" s="223">
        <v>28558421000151</v>
      </c>
      <c r="E659" s="217" t="s">
        <v>25</v>
      </c>
      <c r="F659" s="217" t="s">
        <v>959</v>
      </c>
      <c r="G659" s="217" t="s">
        <v>962</v>
      </c>
      <c r="H659" s="218" t="s">
        <v>66</v>
      </c>
      <c r="I659" s="217" t="s">
        <v>1259</v>
      </c>
      <c r="J659" s="217" t="s">
        <v>66</v>
      </c>
      <c r="K659" s="218" t="s">
        <v>954</v>
      </c>
      <c r="L659" s="212" t="s">
        <v>87</v>
      </c>
      <c r="M659" s="250"/>
      <c r="N659" s="239">
        <v>43046</v>
      </c>
      <c r="O659" s="210" t="s">
        <v>431</v>
      </c>
      <c r="P659" s="210" t="s">
        <v>1088</v>
      </c>
      <c r="Q659" s="210" t="s">
        <v>1089</v>
      </c>
      <c r="R659" s="210" t="s">
        <v>1077</v>
      </c>
      <c r="S659" s="210" t="s">
        <v>1078</v>
      </c>
      <c r="T659" s="210" t="s">
        <v>1082</v>
      </c>
      <c r="U659" s="210" t="s">
        <v>65</v>
      </c>
      <c r="V659" s="210" t="s">
        <v>25</v>
      </c>
      <c r="W659" s="211" t="s">
        <v>1012</v>
      </c>
      <c r="X659" s="211">
        <v>25000</v>
      </c>
      <c r="Y659" s="211">
        <v>10000</v>
      </c>
      <c r="Z659" s="212">
        <v>10000</v>
      </c>
      <c r="AA659" s="240">
        <v>31</v>
      </c>
      <c r="AB659" s="213">
        <v>0.02</v>
      </c>
      <c r="AC659" s="213">
        <v>0.2</v>
      </c>
      <c r="AD659" s="213" t="s">
        <v>109</v>
      </c>
      <c r="AE659" s="213">
        <v>4.0000000000000001E-3</v>
      </c>
      <c r="AF659" s="241">
        <v>39549046.420000002</v>
      </c>
      <c r="AG659" s="241">
        <v>39549046.420000002</v>
      </c>
      <c r="AH659" s="213">
        <v>0.2034</v>
      </c>
      <c r="AI659" s="352">
        <v>3.1332</v>
      </c>
      <c r="AJ659" s="213">
        <v>0.29249999999999998</v>
      </c>
      <c r="AK659" s="352">
        <v>3.1093999999999999</v>
      </c>
      <c r="AL659" s="213">
        <v>0.37330000000000002</v>
      </c>
      <c r="AM659" s="352">
        <v>3.09</v>
      </c>
      <c r="AN659" s="213">
        <v>0.3911</v>
      </c>
      <c r="AO659" s="352">
        <v>2.3208000000000002</v>
      </c>
      <c r="AP659" s="213">
        <v>5.62E-2</v>
      </c>
      <c r="AQ659" s="219">
        <v>2.9944967996868153</v>
      </c>
      <c r="AR659" s="213" t="s">
        <v>1827</v>
      </c>
      <c r="AU659" s="343"/>
      <c r="AV659" s="343"/>
      <c r="AW659" s="328"/>
      <c r="AX659" s="329"/>
      <c r="AY659" s="328"/>
      <c r="AZ659" s="328"/>
      <c r="BA659" s="330"/>
      <c r="BB659" s="328"/>
      <c r="BC659" s="328"/>
      <c r="BD659" s="328"/>
      <c r="BE659" s="330"/>
      <c r="BF659" s="330"/>
      <c r="BG659" s="344"/>
      <c r="BH659" s="383"/>
      <c r="BI659" s="330"/>
      <c r="BJ659" s="330"/>
      <c r="BK659" s="330"/>
      <c r="BL659" s="330"/>
      <c r="BM659" s="330"/>
      <c r="BN659" s="330"/>
      <c r="BO659" s="330"/>
      <c r="BP659" s="331"/>
      <c r="BQ659" s="332"/>
      <c r="BR659" s="333"/>
    </row>
    <row r="660" spans="2:70" ht="15.75" customHeight="1">
      <c r="B660" s="216" t="s">
        <v>432</v>
      </c>
      <c r="C660" s="212">
        <v>1139240</v>
      </c>
      <c r="D660" s="223">
        <v>36521802000194</v>
      </c>
      <c r="E660" s="217" t="s">
        <v>25</v>
      </c>
      <c r="F660" s="217" t="s">
        <v>959</v>
      </c>
      <c r="G660" s="217" t="s">
        <v>953</v>
      </c>
      <c r="H660" s="218" t="s">
        <v>66</v>
      </c>
      <c r="I660" s="217" t="s">
        <v>1842</v>
      </c>
      <c r="J660" s="217" t="s">
        <v>66</v>
      </c>
      <c r="K660" s="218"/>
      <c r="L660" s="212" t="s">
        <v>87</v>
      </c>
      <c r="M660" s="250"/>
      <c r="N660" s="239">
        <v>43980</v>
      </c>
      <c r="O660" s="210" t="s">
        <v>431</v>
      </c>
      <c r="P660" s="210" t="s">
        <v>1088</v>
      </c>
      <c r="Q660" s="210" t="s">
        <v>1089</v>
      </c>
      <c r="R660" s="210" t="s">
        <v>1077</v>
      </c>
      <c r="S660" s="210" t="s">
        <v>1078</v>
      </c>
      <c r="T660" s="210" t="s">
        <v>1082</v>
      </c>
      <c r="U660" s="210" t="s">
        <v>1086</v>
      </c>
      <c r="V660" s="210" t="s">
        <v>25</v>
      </c>
      <c r="W660" s="211" t="s">
        <v>1012</v>
      </c>
      <c r="X660" s="211">
        <v>10000</v>
      </c>
      <c r="Y660" s="211">
        <v>10000</v>
      </c>
      <c r="Z660" s="212">
        <v>10000</v>
      </c>
      <c r="AA660" s="240">
        <v>31</v>
      </c>
      <c r="AB660" s="213">
        <v>0.02</v>
      </c>
      <c r="AC660" s="213">
        <v>0.2</v>
      </c>
      <c r="AD660" s="213" t="s">
        <v>109</v>
      </c>
      <c r="AE660" s="213">
        <v>4.0000000000000001E-3</v>
      </c>
      <c r="AF660" s="241">
        <v>8480393.0600000005</v>
      </c>
      <c r="AG660" s="241">
        <v>8480393.0600000005</v>
      </c>
      <c r="AH660" s="213">
        <v>0.25469999999999998</v>
      </c>
      <c r="AI660" s="352">
        <v>3.9237000000000002</v>
      </c>
      <c r="AJ660" s="213">
        <v>0.15029999999999999</v>
      </c>
      <c r="AK660" s="352">
        <v>1.597</v>
      </c>
      <c r="AL660" s="213">
        <v>0.1573</v>
      </c>
      <c r="AM660" s="352">
        <v>1.3017000000000001</v>
      </c>
      <c r="AN660" s="213" t="s">
        <v>66</v>
      </c>
      <c r="AO660" s="352" t="s">
        <v>66</v>
      </c>
      <c r="AP660" s="213">
        <v>0.10780000000000001</v>
      </c>
      <c r="AQ660" s="219">
        <v>0.51777349806127571</v>
      </c>
      <c r="AR660" s="213" t="s">
        <v>1827</v>
      </c>
      <c r="AU660" s="343"/>
      <c r="AV660" s="343"/>
      <c r="AW660" s="328"/>
      <c r="AX660" s="329"/>
      <c r="AY660" s="328"/>
      <c r="AZ660" s="328"/>
      <c r="BA660" s="330"/>
      <c r="BB660" s="328"/>
      <c r="BC660" s="328"/>
      <c r="BD660" s="328"/>
      <c r="BE660" s="330"/>
      <c r="BF660" s="330"/>
      <c r="BG660" s="344"/>
      <c r="BH660" s="383"/>
      <c r="BI660" s="330"/>
      <c r="BJ660" s="330"/>
      <c r="BK660" s="330"/>
      <c r="BL660" s="330"/>
      <c r="BM660" s="330"/>
      <c r="BN660" s="330"/>
      <c r="BO660" s="330"/>
      <c r="BP660" s="331"/>
      <c r="BQ660" s="332"/>
      <c r="BR660" s="333"/>
    </row>
    <row r="661" spans="2:70" ht="15.75" customHeight="1">
      <c r="B661" s="216" t="s">
        <v>433</v>
      </c>
      <c r="C661" s="212">
        <v>2455224</v>
      </c>
      <c r="D661" s="223">
        <v>29726133000121</v>
      </c>
      <c r="E661" s="217" t="s">
        <v>25</v>
      </c>
      <c r="F661" s="217" t="s">
        <v>958</v>
      </c>
      <c r="G661" s="217" t="s">
        <v>962</v>
      </c>
      <c r="H661" s="218" t="s">
        <v>66</v>
      </c>
      <c r="I661" s="217" t="s">
        <v>1259</v>
      </c>
      <c r="J661" s="217" t="s">
        <v>66</v>
      </c>
      <c r="K661" s="218"/>
      <c r="L661" s="212" t="s">
        <v>87</v>
      </c>
      <c r="M661" s="250"/>
      <c r="N661" s="239">
        <v>43236</v>
      </c>
      <c r="O661" s="210" t="s">
        <v>431</v>
      </c>
      <c r="P661" s="210" t="s">
        <v>1088</v>
      </c>
      <c r="Q661" s="210" t="s">
        <v>1089</v>
      </c>
      <c r="R661" s="210" t="s">
        <v>1084</v>
      </c>
      <c r="S661" s="210" t="s">
        <v>1078</v>
      </c>
      <c r="T661" s="210" t="s">
        <v>1082</v>
      </c>
      <c r="U661" s="210" t="s">
        <v>958</v>
      </c>
      <c r="V661" s="210" t="s">
        <v>25</v>
      </c>
      <c r="W661" s="211" t="s">
        <v>1012</v>
      </c>
      <c r="X661" s="211">
        <v>500</v>
      </c>
      <c r="Y661" s="211">
        <v>100</v>
      </c>
      <c r="Z661" s="212">
        <v>100</v>
      </c>
      <c r="AA661" s="240">
        <v>31</v>
      </c>
      <c r="AB661" s="213">
        <v>0.02</v>
      </c>
      <c r="AC661" s="213">
        <v>0.2</v>
      </c>
      <c r="AD661" s="213" t="s">
        <v>109</v>
      </c>
      <c r="AE661" s="213">
        <v>4.0000000000000001E-3</v>
      </c>
      <c r="AF661" s="241">
        <v>2228979759.3400002</v>
      </c>
      <c r="AG661" s="241">
        <v>2228979759.3400002</v>
      </c>
      <c r="AH661" s="213">
        <v>0.12989999999999999</v>
      </c>
      <c r="AI661" s="352">
        <v>2.0007999999999999</v>
      </c>
      <c r="AJ661" s="213">
        <v>0.2064</v>
      </c>
      <c r="AK661" s="352">
        <v>2.1943000000000001</v>
      </c>
      <c r="AL661" s="213">
        <v>0.38140000000000002</v>
      </c>
      <c r="AM661" s="352">
        <v>3.1570999999999998</v>
      </c>
      <c r="AN661" s="213">
        <v>0.50719999999999998</v>
      </c>
      <c r="AO661" s="352">
        <v>3.0095999999999998</v>
      </c>
      <c r="AP661" s="213">
        <v>5.5899999999999998E-2</v>
      </c>
      <c r="AQ661" s="219">
        <v>1.7762688557506026</v>
      </c>
      <c r="AR661" s="213" t="s">
        <v>1827</v>
      </c>
      <c r="AU661" s="343"/>
      <c r="AV661" s="343"/>
      <c r="AW661" s="328"/>
      <c r="AX661" s="329"/>
      <c r="AY661" s="328"/>
      <c r="AZ661" s="328"/>
      <c r="BA661" s="330"/>
      <c r="BB661" s="328"/>
      <c r="BC661" s="328"/>
      <c r="BD661" s="328"/>
      <c r="BE661" s="330"/>
      <c r="BF661" s="330"/>
      <c r="BG661" s="344"/>
      <c r="BH661" s="383"/>
      <c r="BI661" s="330"/>
      <c r="BJ661" s="330"/>
      <c r="BK661" s="330"/>
      <c r="BL661" s="330"/>
      <c r="BM661" s="330"/>
      <c r="BN661" s="330"/>
      <c r="BO661" s="330"/>
      <c r="BP661" s="331"/>
      <c r="BQ661" s="332"/>
      <c r="BR661" s="333"/>
    </row>
    <row r="662" spans="2:70" ht="15.75" customHeight="1">
      <c r="B662" s="216" t="s">
        <v>1445</v>
      </c>
      <c r="C662" s="212">
        <v>626519</v>
      </c>
      <c r="D662" s="223">
        <v>29726019000100</v>
      </c>
      <c r="E662" s="217" t="s">
        <v>25</v>
      </c>
      <c r="F662" s="217" t="s">
        <v>958</v>
      </c>
      <c r="G662" s="217" t="s">
        <v>962</v>
      </c>
      <c r="H662" s="218" t="s">
        <v>66</v>
      </c>
      <c r="I662" s="217" t="s">
        <v>1841</v>
      </c>
      <c r="J662" s="217" t="s">
        <v>66</v>
      </c>
      <c r="K662" s="218"/>
      <c r="L662" s="212" t="s">
        <v>87</v>
      </c>
      <c r="M662" s="250"/>
      <c r="N662" s="239">
        <v>43228</v>
      </c>
      <c r="O662" s="210" t="s">
        <v>431</v>
      </c>
      <c r="P662" s="210" t="s">
        <v>1088</v>
      </c>
      <c r="Q662" s="210" t="s">
        <v>1089</v>
      </c>
      <c r="R662" s="210" t="s">
        <v>1084</v>
      </c>
      <c r="S662" s="210" t="s">
        <v>1085</v>
      </c>
      <c r="T662" s="210" t="s">
        <v>1082</v>
      </c>
      <c r="U662" s="210" t="s">
        <v>958</v>
      </c>
      <c r="V662" s="210" t="s">
        <v>25</v>
      </c>
      <c r="W662" s="211" t="s">
        <v>1012</v>
      </c>
      <c r="X662" s="211">
        <v>10000</v>
      </c>
      <c r="Y662" s="211">
        <v>10000</v>
      </c>
      <c r="Z662" s="212">
        <v>10000</v>
      </c>
      <c r="AA662" s="240">
        <v>31</v>
      </c>
      <c r="AB662" s="213">
        <v>0.02</v>
      </c>
      <c r="AC662" s="213">
        <v>0.2</v>
      </c>
      <c r="AD662" s="213" t="s">
        <v>1157</v>
      </c>
      <c r="AE662" s="213">
        <v>4.0000000000000001E-3</v>
      </c>
      <c r="AF662" s="241">
        <v>93957565.700000003</v>
      </c>
      <c r="AG662" s="241">
        <v>93957565.700000003</v>
      </c>
      <c r="AH662" s="213">
        <v>0.10150000000000001</v>
      </c>
      <c r="AI662" s="352">
        <v>1.5631999999999999</v>
      </c>
      <c r="AJ662" s="213">
        <v>0.14219999999999999</v>
      </c>
      <c r="AK662" s="352">
        <v>1.5113000000000001</v>
      </c>
      <c r="AL662" s="213">
        <v>0.2462</v>
      </c>
      <c r="AM662" s="352">
        <v>2.0383</v>
      </c>
      <c r="AN662" s="213">
        <v>0.25009999999999999</v>
      </c>
      <c r="AO662" s="352">
        <v>1.4841</v>
      </c>
      <c r="AP662" s="213">
        <v>4.4499999999999998E-2</v>
      </c>
      <c r="AQ662" s="219">
        <v>0.99046739141683593</v>
      </c>
      <c r="AR662" s="213" t="s">
        <v>1827</v>
      </c>
      <c r="AU662" s="343"/>
      <c r="AV662" s="343"/>
      <c r="AW662" s="328"/>
      <c r="AX662" s="329"/>
      <c r="AY662" s="328"/>
      <c r="AZ662" s="328"/>
      <c r="BA662" s="330"/>
      <c r="BB662" s="328"/>
      <c r="BC662" s="328"/>
      <c r="BD662" s="328"/>
      <c r="BE662" s="330"/>
      <c r="BF662" s="330"/>
      <c r="BG662" s="344"/>
      <c r="BH662" s="383"/>
      <c r="BI662" s="330"/>
      <c r="BJ662" s="330"/>
      <c r="BK662" s="330"/>
      <c r="BL662" s="330"/>
      <c r="BM662" s="330"/>
      <c r="BN662" s="330"/>
      <c r="BO662" s="330"/>
      <c r="BP662" s="331"/>
      <c r="BQ662" s="332"/>
      <c r="BR662" s="333"/>
    </row>
    <row r="663" spans="2:70" ht="15.75" customHeight="1">
      <c r="B663" s="216" t="s">
        <v>434</v>
      </c>
      <c r="C663" s="212">
        <v>3140560</v>
      </c>
      <c r="D663" s="223">
        <v>12105940000124</v>
      </c>
      <c r="E663" s="217" t="s">
        <v>25</v>
      </c>
      <c r="F663" s="217" t="s">
        <v>958</v>
      </c>
      <c r="G663" s="217" t="s">
        <v>962</v>
      </c>
      <c r="H663" s="218" t="s">
        <v>66</v>
      </c>
      <c r="I663" s="217" t="s">
        <v>1841</v>
      </c>
      <c r="J663" s="217" t="s">
        <v>66</v>
      </c>
      <c r="K663" s="218"/>
      <c r="L663" s="212" t="s">
        <v>87</v>
      </c>
      <c r="M663" s="250"/>
      <c r="N663" s="239">
        <v>40435</v>
      </c>
      <c r="O663" s="210" t="s">
        <v>431</v>
      </c>
      <c r="P663" s="210" t="s">
        <v>1088</v>
      </c>
      <c r="Q663" s="210" t="s">
        <v>1089</v>
      </c>
      <c r="R663" s="210" t="s">
        <v>1084</v>
      </c>
      <c r="S663" s="210" t="s">
        <v>1085</v>
      </c>
      <c r="T663" s="210" t="s">
        <v>1082</v>
      </c>
      <c r="U663" s="210" t="s">
        <v>958</v>
      </c>
      <c r="V663" s="210" t="s">
        <v>25</v>
      </c>
      <c r="W663" s="211" t="s">
        <v>1016</v>
      </c>
      <c r="X663" s="211">
        <v>10000</v>
      </c>
      <c r="Y663" s="211">
        <v>10000</v>
      </c>
      <c r="Z663" s="212">
        <v>10000</v>
      </c>
      <c r="AA663" s="240">
        <v>31</v>
      </c>
      <c r="AB663" s="213">
        <v>0.02</v>
      </c>
      <c r="AC663" s="213">
        <v>0.2</v>
      </c>
      <c r="AD663" s="213" t="s">
        <v>109</v>
      </c>
      <c r="AE663" s="213">
        <v>4.0000000000000001E-3</v>
      </c>
      <c r="AF663" s="241">
        <v>554254059.67999995</v>
      </c>
      <c r="AG663" s="241">
        <v>554254059.67999995</v>
      </c>
      <c r="AH663" s="213">
        <v>0.1024</v>
      </c>
      <c r="AI663" s="352">
        <v>1.5772999999999999</v>
      </c>
      <c r="AJ663" s="213">
        <v>0.1434</v>
      </c>
      <c r="AK663" s="352">
        <v>1.5242</v>
      </c>
      <c r="AL663" s="213">
        <v>0.24729999999999999</v>
      </c>
      <c r="AM663" s="352">
        <v>2.0470000000000002</v>
      </c>
      <c r="AN663" s="213">
        <v>0.25209999999999999</v>
      </c>
      <c r="AO663" s="352">
        <v>1.4957</v>
      </c>
      <c r="AP663" s="213">
        <v>4.4600000000000001E-2</v>
      </c>
      <c r="AQ663" s="219">
        <v>1.0112810511576005</v>
      </c>
      <c r="AR663" s="213" t="s">
        <v>1827</v>
      </c>
      <c r="AV663" s="343"/>
      <c r="AW663" s="328"/>
      <c r="AX663" s="329"/>
      <c r="AY663" s="328"/>
      <c r="AZ663" s="328"/>
      <c r="BA663" s="330"/>
      <c r="BB663" s="328"/>
      <c r="BC663" s="328"/>
      <c r="BD663" s="328"/>
      <c r="BE663" s="330"/>
      <c r="BF663" s="330"/>
      <c r="BG663" s="344"/>
      <c r="BH663" s="330"/>
      <c r="BI663" s="330"/>
      <c r="BJ663" s="330"/>
      <c r="BK663" s="330"/>
      <c r="BL663" s="330"/>
      <c r="BM663" s="330"/>
      <c r="BN663" s="330"/>
      <c r="BO663" s="330"/>
      <c r="BP663" s="331"/>
      <c r="BQ663" s="332"/>
      <c r="BR663" s="333"/>
    </row>
    <row r="664" spans="2:70" ht="15.75" customHeight="1">
      <c r="B664" s="216" t="s">
        <v>1446</v>
      </c>
      <c r="C664" s="212">
        <v>549487</v>
      </c>
      <c r="D664" s="223">
        <v>28747685000153</v>
      </c>
      <c r="E664" s="217" t="s">
        <v>28</v>
      </c>
      <c r="F664" s="217" t="s">
        <v>950</v>
      </c>
      <c r="G664" s="217"/>
      <c r="H664" s="218"/>
      <c r="I664" s="217" t="s">
        <v>66</v>
      </c>
      <c r="J664" s="217" t="s">
        <v>66</v>
      </c>
      <c r="K664" s="218" t="s">
        <v>951</v>
      </c>
      <c r="L664" s="212" t="s">
        <v>87</v>
      </c>
      <c r="M664" s="250"/>
      <c r="N664" s="239">
        <v>43045</v>
      </c>
      <c r="O664" s="210" t="s">
        <v>431</v>
      </c>
      <c r="P664" s="210" t="s">
        <v>1088</v>
      </c>
      <c r="Q664" s="210" t="s">
        <v>1089</v>
      </c>
      <c r="R664" s="210" t="s">
        <v>1077</v>
      </c>
      <c r="S664" s="210" t="s">
        <v>1078</v>
      </c>
      <c r="T664" s="210" t="s">
        <v>1079</v>
      </c>
      <c r="U664" s="210" t="s">
        <v>950</v>
      </c>
      <c r="V664" s="210" t="s">
        <v>1080</v>
      </c>
      <c r="W664" s="211" t="s">
        <v>1007</v>
      </c>
      <c r="X664" s="211">
        <v>10000</v>
      </c>
      <c r="Y664" s="211">
        <v>10000</v>
      </c>
      <c r="Z664" s="212">
        <v>10000</v>
      </c>
      <c r="AA664" s="240">
        <v>32</v>
      </c>
      <c r="AB664" s="213">
        <v>0.02</v>
      </c>
      <c r="AC664" s="213">
        <v>0.2</v>
      </c>
      <c r="AD664" s="213" t="s">
        <v>1014</v>
      </c>
      <c r="AE664" s="213">
        <v>4.0000000000000001E-3</v>
      </c>
      <c r="AF664" s="241">
        <v>201245399.84999999</v>
      </c>
      <c r="AG664" s="241">
        <v>201245399.84999999</v>
      </c>
      <c r="AH664" s="213">
        <v>-9.98E-2</v>
      </c>
      <c r="AI664" s="352">
        <v>-1.5376000000000001</v>
      </c>
      <c r="AJ664" s="213">
        <v>-0.18770000000000001</v>
      </c>
      <c r="AK664" s="352">
        <v>-1.9944999999999999</v>
      </c>
      <c r="AL664" s="213">
        <v>-1.6E-2</v>
      </c>
      <c r="AM664" s="352">
        <v>-0.1328</v>
      </c>
      <c r="AN664" s="213">
        <v>-2.3300000000000001E-2</v>
      </c>
      <c r="AO664" s="352">
        <v>-0.1384</v>
      </c>
      <c r="AP664" s="213">
        <v>0.2185</v>
      </c>
      <c r="AQ664" s="219">
        <v>-1.2535700917495534</v>
      </c>
      <c r="AR664" s="213" t="s">
        <v>1827</v>
      </c>
      <c r="AV664" s="343"/>
      <c r="AW664" s="328"/>
      <c r="AX664" s="329"/>
      <c r="AY664" s="328"/>
      <c r="AZ664" s="328"/>
      <c r="BA664" s="330"/>
      <c r="BB664" s="328"/>
      <c r="BC664" s="328"/>
      <c r="BD664" s="328"/>
      <c r="BE664" s="330"/>
      <c r="BF664" s="330"/>
      <c r="BG664" s="344"/>
      <c r="BH664" s="330"/>
      <c r="BI664" s="330"/>
      <c r="BJ664" s="330"/>
      <c r="BK664" s="330"/>
      <c r="BL664" s="330"/>
      <c r="BM664" s="330"/>
      <c r="BN664" s="330"/>
      <c r="BO664" s="330"/>
      <c r="BP664" s="331"/>
      <c r="BQ664" s="332"/>
      <c r="BR664" s="333"/>
    </row>
    <row r="665" spans="2:70" ht="15.75" customHeight="1">
      <c r="B665" s="216" t="s">
        <v>1447</v>
      </c>
      <c r="C665" s="212">
        <v>2101564</v>
      </c>
      <c r="D665" s="223">
        <v>35088117000153</v>
      </c>
      <c r="E665" s="217" t="s">
        <v>25</v>
      </c>
      <c r="F665" s="217" t="s">
        <v>958</v>
      </c>
      <c r="G665" s="217" t="s">
        <v>962</v>
      </c>
      <c r="H665" s="218" t="s">
        <v>66</v>
      </c>
      <c r="I665" s="217" t="s">
        <v>1842</v>
      </c>
      <c r="J665" s="217" t="s">
        <v>66</v>
      </c>
      <c r="K665" s="218" t="s">
        <v>954</v>
      </c>
      <c r="L665" s="212" t="s">
        <v>87</v>
      </c>
      <c r="M665" s="250"/>
      <c r="N665" s="239">
        <v>43822</v>
      </c>
      <c r="O665" s="210" t="s">
        <v>114</v>
      </c>
      <c r="P665" s="210" t="s">
        <v>1075</v>
      </c>
      <c r="Q665" s="210" t="s">
        <v>1076</v>
      </c>
      <c r="R665" s="210" t="s">
        <v>1077</v>
      </c>
      <c r="S665" s="210" t="s">
        <v>1085</v>
      </c>
      <c r="T665" s="210" t="s">
        <v>1082</v>
      </c>
      <c r="U665" s="210" t="s">
        <v>958</v>
      </c>
      <c r="V665" s="210" t="s">
        <v>25</v>
      </c>
      <c r="W665" s="211" t="s">
        <v>1012</v>
      </c>
      <c r="X665" s="211">
        <v>10000</v>
      </c>
      <c r="Y665" s="211">
        <v>10000</v>
      </c>
      <c r="Z665" s="212">
        <v>10000</v>
      </c>
      <c r="AA665" s="240">
        <v>61</v>
      </c>
      <c r="AB665" s="213">
        <v>0.02</v>
      </c>
      <c r="AC665" s="213">
        <v>0.2</v>
      </c>
      <c r="AD665" s="213" t="s">
        <v>113</v>
      </c>
      <c r="AE665" s="213" t="s">
        <v>66</v>
      </c>
      <c r="AF665" s="241">
        <v>196263283.09</v>
      </c>
      <c r="AG665" s="241">
        <v>196263283.09</v>
      </c>
      <c r="AH665" s="213">
        <v>0.12820000000000001</v>
      </c>
      <c r="AI665" s="352">
        <v>1.9748000000000001</v>
      </c>
      <c r="AJ665" s="213">
        <v>0.18229999999999999</v>
      </c>
      <c r="AK665" s="352">
        <v>1.9378</v>
      </c>
      <c r="AL665" s="213">
        <v>0.35070000000000001</v>
      </c>
      <c r="AM665" s="352">
        <v>2.9030999999999998</v>
      </c>
      <c r="AN665" s="213" t="s">
        <v>66</v>
      </c>
      <c r="AO665" s="352" t="s">
        <v>66</v>
      </c>
      <c r="AP665" s="213">
        <v>7.2700000000000001E-2</v>
      </c>
      <c r="AQ665" s="219">
        <v>1.1039181519976138</v>
      </c>
      <c r="AR665" s="213" t="s">
        <v>1827</v>
      </c>
      <c r="AV665" s="343"/>
      <c r="AW665" s="328"/>
      <c r="AX665" s="329"/>
      <c r="AY665" s="328"/>
      <c r="AZ665" s="328"/>
      <c r="BA665" s="330"/>
      <c r="BB665" s="328"/>
      <c r="BC665" s="328"/>
      <c r="BD665" s="328"/>
      <c r="BE665" s="330"/>
      <c r="BF665" s="330"/>
      <c r="BG665" s="344"/>
      <c r="BH665" s="330"/>
      <c r="BI665" s="330"/>
      <c r="BJ665" s="330"/>
      <c r="BK665" s="330"/>
      <c r="BL665" s="330"/>
      <c r="BM665" s="330"/>
      <c r="BN665" s="330"/>
      <c r="BO665" s="330"/>
      <c r="BP665" s="331"/>
      <c r="BQ665" s="332"/>
      <c r="BR665" s="333"/>
    </row>
    <row r="666" spans="2:70" ht="15.75" customHeight="1">
      <c r="B666" s="216" t="s">
        <v>1775</v>
      </c>
      <c r="C666" s="212">
        <v>4266311</v>
      </c>
      <c r="D666" s="223">
        <v>42831231000197</v>
      </c>
      <c r="E666" s="217" t="s">
        <v>25</v>
      </c>
      <c r="F666" s="217" t="s">
        <v>958</v>
      </c>
      <c r="G666" s="217" t="s">
        <v>962</v>
      </c>
      <c r="H666" s="218" t="s">
        <v>66</v>
      </c>
      <c r="I666" s="217" t="s">
        <v>1842</v>
      </c>
      <c r="J666" s="217" t="s">
        <v>66</v>
      </c>
      <c r="K666" s="218" t="s">
        <v>951</v>
      </c>
      <c r="L666" s="212" t="s">
        <v>87</v>
      </c>
      <c r="M666" s="250"/>
      <c r="N666" s="239">
        <v>44676</v>
      </c>
      <c r="O666" s="210" t="s">
        <v>1776</v>
      </c>
      <c r="P666" s="210" t="s">
        <v>1777</v>
      </c>
      <c r="Q666" s="210" t="s">
        <v>1752</v>
      </c>
      <c r="R666" s="210" t="s">
        <v>1738</v>
      </c>
      <c r="S666" s="210" t="s">
        <v>1078</v>
      </c>
      <c r="T666" s="210" t="s">
        <v>1082</v>
      </c>
      <c r="U666" s="210" t="s">
        <v>958</v>
      </c>
      <c r="V666" s="210" t="s">
        <v>25</v>
      </c>
      <c r="W666" s="211" t="s">
        <v>1768</v>
      </c>
      <c r="X666" s="211">
        <v>100000</v>
      </c>
      <c r="Y666" s="211">
        <v>50000</v>
      </c>
      <c r="Z666" s="212">
        <v>100000</v>
      </c>
      <c r="AA666" s="240">
        <v>62</v>
      </c>
      <c r="AB666" s="213">
        <v>0.02</v>
      </c>
      <c r="AC666" s="213">
        <v>0.2</v>
      </c>
      <c r="AD666" s="213" t="s">
        <v>109</v>
      </c>
      <c r="AE666" s="213" t="s">
        <v>66</v>
      </c>
      <c r="AF666" s="241">
        <v>73716544.379999995</v>
      </c>
      <c r="AG666" s="241">
        <v>73716544.379999995</v>
      </c>
      <c r="AH666" s="213" t="s">
        <v>66</v>
      </c>
      <c r="AI666" s="352" t="s">
        <v>66</v>
      </c>
      <c r="AJ666" s="213" t="s">
        <v>66</v>
      </c>
      <c r="AK666" s="352" t="s">
        <v>66</v>
      </c>
      <c r="AL666" s="213" t="s">
        <v>66</v>
      </c>
      <c r="AM666" s="352" t="s">
        <v>66</v>
      </c>
      <c r="AN666" s="213" t="s">
        <v>66</v>
      </c>
      <c r="AO666" s="352" t="s">
        <v>66</v>
      </c>
      <c r="AP666" s="213" t="s">
        <v>66</v>
      </c>
      <c r="AQ666" s="219" t="s">
        <v>66</v>
      </c>
      <c r="AR666" s="213" t="s">
        <v>1827</v>
      </c>
      <c r="AV666" s="343"/>
      <c r="AW666" s="328"/>
      <c r="AX666" s="329"/>
      <c r="AY666" s="328"/>
      <c r="AZ666" s="328"/>
      <c r="BA666" s="330"/>
      <c r="BB666" s="328"/>
      <c r="BC666" s="328"/>
      <c r="BD666" s="328"/>
      <c r="BE666" s="330"/>
      <c r="BF666" s="330"/>
      <c r="BG666" s="344"/>
      <c r="BH666" s="330"/>
      <c r="BI666" s="330"/>
      <c r="BJ666" s="330"/>
      <c r="BK666" s="330"/>
      <c r="BL666" s="330"/>
      <c r="BM666" s="330"/>
      <c r="BN666" s="330"/>
      <c r="BO666" s="330"/>
      <c r="BP666" s="331"/>
      <c r="BQ666" s="332"/>
      <c r="BR666" s="333"/>
    </row>
    <row r="667" spans="2:70" ht="15.75" customHeight="1">
      <c r="B667" s="216" t="s">
        <v>829</v>
      </c>
      <c r="C667" s="212">
        <v>1065277</v>
      </c>
      <c r="D667" s="223">
        <v>34687662000101</v>
      </c>
      <c r="E667" s="217" t="s">
        <v>25</v>
      </c>
      <c r="F667" s="217" t="s">
        <v>958</v>
      </c>
      <c r="G667" s="217" t="s">
        <v>962</v>
      </c>
      <c r="H667" s="218" t="s">
        <v>66</v>
      </c>
      <c r="I667" s="217" t="s">
        <v>1841</v>
      </c>
      <c r="J667" s="217" t="s">
        <v>66</v>
      </c>
      <c r="K667" s="218"/>
      <c r="L667" s="212" t="s">
        <v>87</v>
      </c>
      <c r="M667" s="250"/>
      <c r="N667" s="239">
        <v>43798</v>
      </c>
      <c r="O667" s="210" t="s">
        <v>436</v>
      </c>
      <c r="P667" s="210" t="s">
        <v>1083</v>
      </c>
      <c r="Q667" s="210" t="s">
        <v>102</v>
      </c>
      <c r="R667" s="210" t="s">
        <v>1084</v>
      </c>
      <c r="S667" s="210" t="s">
        <v>1078</v>
      </c>
      <c r="T667" s="210" t="s">
        <v>1082</v>
      </c>
      <c r="U667" s="210" t="s">
        <v>958</v>
      </c>
      <c r="V667" s="210" t="s">
        <v>25</v>
      </c>
      <c r="W667" s="211" t="s">
        <v>1012</v>
      </c>
      <c r="X667" s="211">
        <v>1</v>
      </c>
      <c r="Y667" s="211">
        <v>1</v>
      </c>
      <c r="Z667" s="212">
        <v>1</v>
      </c>
      <c r="AA667" s="240">
        <v>1</v>
      </c>
      <c r="AB667" s="213">
        <v>8.0000000000000002E-3</v>
      </c>
      <c r="AC667" s="213">
        <v>0.25</v>
      </c>
      <c r="AD667" s="213" t="s">
        <v>109</v>
      </c>
      <c r="AE667" s="213">
        <v>2.1333333333333334E-3</v>
      </c>
      <c r="AF667" s="241">
        <v>868826364.66999996</v>
      </c>
      <c r="AG667" s="241">
        <v>868826364.66999996</v>
      </c>
      <c r="AH667" s="213">
        <v>7.1199999999999999E-2</v>
      </c>
      <c r="AI667" s="352">
        <v>1.0968</v>
      </c>
      <c r="AJ667" s="213">
        <v>0.1004</v>
      </c>
      <c r="AK667" s="352">
        <v>1.0671999999999999</v>
      </c>
      <c r="AL667" s="213">
        <v>0.14030000000000001</v>
      </c>
      <c r="AM667" s="352">
        <v>1.1615</v>
      </c>
      <c r="AN667" s="213" t="s">
        <v>66</v>
      </c>
      <c r="AO667" s="352" t="s">
        <v>66</v>
      </c>
      <c r="AP667" s="213">
        <v>7.0000000000000001E-3</v>
      </c>
      <c r="AQ667" s="219">
        <v>0.83138559337006035</v>
      </c>
      <c r="AR667" s="213" t="s">
        <v>1827</v>
      </c>
      <c r="AV667" s="343"/>
      <c r="AW667" s="328"/>
      <c r="AX667" s="329"/>
      <c r="AY667" s="328"/>
      <c r="AZ667" s="328"/>
      <c r="BA667" s="330"/>
      <c r="BB667" s="328"/>
      <c r="BC667" s="328"/>
      <c r="BD667" s="328"/>
      <c r="BE667" s="330"/>
      <c r="BF667" s="330"/>
      <c r="BG667" s="344"/>
      <c r="BH667" s="330"/>
      <c r="BI667" s="330"/>
      <c r="BJ667" s="330"/>
      <c r="BK667" s="330"/>
      <c r="BL667" s="330"/>
      <c r="BM667" s="330"/>
      <c r="BN667" s="330"/>
      <c r="BO667" s="330"/>
      <c r="BP667" s="331"/>
      <c r="BQ667" s="332"/>
      <c r="BR667" s="333"/>
    </row>
    <row r="668" spans="2:70" ht="15.75" customHeight="1">
      <c r="B668" s="216" t="s">
        <v>437</v>
      </c>
      <c r="C668" s="212">
        <v>1065280</v>
      </c>
      <c r="D668" s="223">
        <v>29762315000158</v>
      </c>
      <c r="E668" s="217" t="s">
        <v>25</v>
      </c>
      <c r="F668" s="217" t="s">
        <v>958</v>
      </c>
      <c r="G668" s="217" t="s">
        <v>962</v>
      </c>
      <c r="H668" s="218" t="s">
        <v>66</v>
      </c>
      <c r="I668" s="217" t="s">
        <v>1841</v>
      </c>
      <c r="J668" s="217" t="s">
        <v>66</v>
      </c>
      <c r="K668" s="218"/>
      <c r="L668" s="212" t="s">
        <v>87</v>
      </c>
      <c r="M668" s="250"/>
      <c r="N668" s="239">
        <v>43199</v>
      </c>
      <c r="O668" s="210" t="s">
        <v>436</v>
      </c>
      <c r="P668" s="210" t="s">
        <v>1083</v>
      </c>
      <c r="Q668" s="210" t="s">
        <v>102</v>
      </c>
      <c r="R668" s="210" t="s">
        <v>1084</v>
      </c>
      <c r="S668" s="210" t="s">
        <v>1078</v>
      </c>
      <c r="T668" s="210" t="s">
        <v>1082</v>
      </c>
      <c r="U668" s="210" t="s">
        <v>958</v>
      </c>
      <c r="V668" s="210" t="s">
        <v>25</v>
      </c>
      <c r="W668" s="211" t="s">
        <v>1012</v>
      </c>
      <c r="X668" s="211">
        <v>1</v>
      </c>
      <c r="Y668" s="211">
        <v>1</v>
      </c>
      <c r="Z668" s="212">
        <v>1</v>
      </c>
      <c r="AA668" s="240">
        <v>30</v>
      </c>
      <c r="AB668" s="213">
        <v>0.02</v>
      </c>
      <c r="AC668" s="213">
        <v>0.2</v>
      </c>
      <c r="AD668" s="213" t="s">
        <v>109</v>
      </c>
      <c r="AE668" s="213">
        <v>4.6666666666666662E-3</v>
      </c>
      <c r="AF668" s="241">
        <v>1973209513.77</v>
      </c>
      <c r="AG668" s="241">
        <v>1973209513.77</v>
      </c>
      <c r="AH668" s="213">
        <v>0.1022</v>
      </c>
      <c r="AI668" s="352">
        <v>1.575</v>
      </c>
      <c r="AJ668" s="213">
        <v>0.1338</v>
      </c>
      <c r="AK668" s="352">
        <v>1.4217</v>
      </c>
      <c r="AL668" s="213">
        <v>0.1968</v>
      </c>
      <c r="AM668" s="352">
        <v>1.6286</v>
      </c>
      <c r="AN668" s="213">
        <v>0.25319999999999998</v>
      </c>
      <c r="AO668" s="352">
        <v>1.5026999999999999</v>
      </c>
      <c r="AP668" s="213">
        <v>3.6999999999999998E-2</v>
      </c>
      <c r="AQ668" s="219">
        <v>0.98170382823188806</v>
      </c>
      <c r="AR668" s="213" t="s">
        <v>1827</v>
      </c>
      <c r="AV668" s="343"/>
      <c r="AW668" s="328"/>
      <c r="AX668" s="329"/>
      <c r="AY668" s="328"/>
      <c r="AZ668" s="328"/>
      <c r="BA668" s="330"/>
      <c r="BB668" s="328"/>
      <c r="BC668" s="328"/>
      <c r="BD668" s="328"/>
      <c r="BE668" s="330"/>
      <c r="BF668" s="330"/>
      <c r="BG668" s="344"/>
      <c r="BH668" s="330"/>
      <c r="BI668" s="330"/>
      <c r="BJ668" s="330"/>
      <c r="BK668" s="330"/>
      <c r="BL668" s="330"/>
      <c r="BM668" s="330"/>
      <c r="BN668" s="330"/>
      <c r="BO668" s="330"/>
      <c r="BP668" s="331"/>
      <c r="BQ668" s="332"/>
      <c r="BR668" s="333"/>
    </row>
    <row r="669" spans="2:70" ht="15.75" customHeight="1">
      <c r="B669" s="216" t="s">
        <v>1448</v>
      </c>
      <c r="C669" s="212">
        <v>1180206</v>
      </c>
      <c r="D669" s="223">
        <v>21624757000126</v>
      </c>
      <c r="E669" s="217" t="s">
        <v>25</v>
      </c>
      <c r="F669" s="217" t="s">
        <v>958</v>
      </c>
      <c r="G669" s="217" t="s">
        <v>962</v>
      </c>
      <c r="H669" s="218" t="s">
        <v>66</v>
      </c>
      <c r="I669" s="217" t="s">
        <v>1841</v>
      </c>
      <c r="J669" s="217" t="s">
        <v>66</v>
      </c>
      <c r="K669" s="218"/>
      <c r="L669" s="212" t="s">
        <v>87</v>
      </c>
      <c r="M669" s="250"/>
      <c r="N669" s="239">
        <v>42160</v>
      </c>
      <c r="O669" s="210" t="s">
        <v>436</v>
      </c>
      <c r="P669" s="210" t="s">
        <v>1083</v>
      </c>
      <c r="Q669" s="210" t="s">
        <v>102</v>
      </c>
      <c r="R669" s="210" t="s">
        <v>1084</v>
      </c>
      <c r="S669" s="210" t="s">
        <v>1078</v>
      </c>
      <c r="T669" s="210" t="s">
        <v>1082</v>
      </c>
      <c r="U669" s="210" t="s">
        <v>958</v>
      </c>
      <c r="V669" s="210" t="s">
        <v>25</v>
      </c>
      <c r="W669" s="211" t="s">
        <v>1012</v>
      </c>
      <c r="X669" s="211">
        <v>1</v>
      </c>
      <c r="Y669" s="211">
        <v>1</v>
      </c>
      <c r="Z669" s="212">
        <v>1</v>
      </c>
      <c r="AA669" s="240">
        <v>6</v>
      </c>
      <c r="AB669" s="213">
        <v>0.02</v>
      </c>
      <c r="AC669" s="213">
        <v>0.2</v>
      </c>
      <c r="AD669" s="213" t="s">
        <v>109</v>
      </c>
      <c r="AE669" s="213">
        <v>4.6666666666666662E-3</v>
      </c>
      <c r="AF669" s="241">
        <v>3260515722.2199998</v>
      </c>
      <c r="AG669" s="241">
        <v>3260515722.2199998</v>
      </c>
      <c r="AH669" s="213">
        <v>8.5099999999999995E-2</v>
      </c>
      <c r="AI669" s="352">
        <v>1.3113999999999999</v>
      </c>
      <c r="AJ669" s="213">
        <v>0.1123</v>
      </c>
      <c r="AK669" s="352">
        <v>1.1932</v>
      </c>
      <c r="AL669" s="213">
        <v>0.1555</v>
      </c>
      <c r="AM669" s="352">
        <v>1.2874000000000001</v>
      </c>
      <c r="AN669" s="213">
        <v>0.1956</v>
      </c>
      <c r="AO669" s="352">
        <v>1.161</v>
      </c>
      <c r="AP669" s="213">
        <v>2.3E-2</v>
      </c>
      <c r="AQ669" s="219">
        <v>0.72728074845066548</v>
      </c>
      <c r="AR669" s="213" t="s">
        <v>1827</v>
      </c>
      <c r="AV669" s="343"/>
      <c r="AW669" s="328"/>
      <c r="AX669" s="329"/>
      <c r="AY669" s="328"/>
      <c r="AZ669" s="328"/>
      <c r="BA669" s="330"/>
      <c r="BB669" s="328"/>
      <c r="BC669" s="328"/>
      <c r="BD669" s="328"/>
      <c r="BE669" s="330"/>
      <c r="BF669" s="330"/>
      <c r="BG669" s="344"/>
      <c r="BH669" s="330"/>
      <c r="BI669" s="330"/>
      <c r="BJ669" s="330"/>
      <c r="BK669" s="330"/>
      <c r="BL669" s="330"/>
      <c r="BM669" s="330"/>
      <c r="BN669" s="330"/>
      <c r="BO669" s="330"/>
      <c r="BP669" s="331"/>
      <c r="BQ669" s="332"/>
      <c r="BR669" s="333"/>
    </row>
    <row r="670" spans="2:70" ht="15.75" customHeight="1">
      <c r="B670" s="216" t="s">
        <v>1449</v>
      </c>
      <c r="C670" s="212">
        <v>523892</v>
      </c>
      <c r="D670" s="223">
        <v>35372675000146</v>
      </c>
      <c r="E670" s="217" t="s">
        <v>28</v>
      </c>
      <c r="F670" s="217" t="s">
        <v>950</v>
      </c>
      <c r="G670" s="217"/>
      <c r="H670" s="218"/>
      <c r="I670" s="217" t="s">
        <v>66</v>
      </c>
      <c r="J670" s="217" t="s">
        <v>66</v>
      </c>
      <c r="K670" s="218" t="s">
        <v>951</v>
      </c>
      <c r="L670" s="212" t="s">
        <v>87</v>
      </c>
      <c r="M670" s="250"/>
      <c r="N670" s="239">
        <v>43819</v>
      </c>
      <c r="O670" s="210" t="s">
        <v>436</v>
      </c>
      <c r="P670" s="210" t="s">
        <v>1083</v>
      </c>
      <c r="Q670" s="210" t="s">
        <v>102</v>
      </c>
      <c r="R670" s="210" t="s">
        <v>1084</v>
      </c>
      <c r="S670" s="210" t="s">
        <v>1078</v>
      </c>
      <c r="T670" s="210" t="s">
        <v>1079</v>
      </c>
      <c r="U670" s="210" t="s">
        <v>950</v>
      </c>
      <c r="V670" s="210" t="s">
        <v>1080</v>
      </c>
      <c r="W670" s="211" t="s">
        <v>1007</v>
      </c>
      <c r="X670" s="211">
        <v>1</v>
      </c>
      <c r="Y670" s="211">
        <v>1</v>
      </c>
      <c r="Z670" s="212">
        <v>1</v>
      </c>
      <c r="AA670" s="240">
        <v>17</v>
      </c>
      <c r="AB670" s="213">
        <v>0.02</v>
      </c>
      <c r="AC670" s="213">
        <v>0.2</v>
      </c>
      <c r="AD670" s="213" t="s">
        <v>1014</v>
      </c>
      <c r="AE670" s="213">
        <v>4.6666666666666662E-3</v>
      </c>
      <c r="AF670" s="241">
        <v>358016085.70999998</v>
      </c>
      <c r="AG670" s="241">
        <v>358016085.70999998</v>
      </c>
      <c r="AH670" s="213">
        <v>3.5000000000000001E-3</v>
      </c>
      <c r="AI670" s="352">
        <v>5.4399999999999997E-2</v>
      </c>
      <c r="AJ670" s="213">
        <v>-0.18690000000000001</v>
      </c>
      <c r="AK670" s="352">
        <v>-1.9866999999999999</v>
      </c>
      <c r="AL670" s="213">
        <v>0.1176</v>
      </c>
      <c r="AM670" s="352">
        <v>0.97350000000000003</v>
      </c>
      <c r="AN670" s="213" t="s">
        <v>66</v>
      </c>
      <c r="AO670" s="352" t="s">
        <v>66</v>
      </c>
      <c r="AP670" s="213">
        <v>0.20130000000000001</v>
      </c>
      <c r="AQ670" s="219">
        <v>-1.3734636414897132</v>
      </c>
      <c r="AR670" s="213" t="s">
        <v>1827</v>
      </c>
      <c r="AV670" s="343"/>
      <c r="AW670" s="328"/>
      <c r="AX670" s="329"/>
      <c r="AY670" s="328"/>
      <c r="AZ670" s="328"/>
      <c r="BA670" s="330"/>
      <c r="BB670" s="328"/>
      <c r="BC670" s="328"/>
      <c r="BD670" s="328"/>
      <c r="BE670" s="330"/>
      <c r="BF670" s="330"/>
      <c r="BG670" s="344"/>
      <c r="BH670" s="330"/>
      <c r="BI670" s="330"/>
      <c r="BJ670" s="330"/>
      <c r="BK670" s="330"/>
      <c r="BL670" s="330"/>
      <c r="BM670" s="330"/>
      <c r="BN670" s="330"/>
      <c r="BO670" s="330"/>
      <c r="BP670" s="331"/>
      <c r="BQ670" s="332"/>
      <c r="BR670" s="333"/>
    </row>
    <row r="671" spans="2:70" ht="15.75" customHeight="1">
      <c r="B671" s="216" t="s">
        <v>1778</v>
      </c>
      <c r="C671" s="212">
        <v>4299986</v>
      </c>
      <c r="D671" s="223">
        <v>38145457000167</v>
      </c>
      <c r="E671" s="217" t="s">
        <v>19</v>
      </c>
      <c r="F671" s="217" t="s">
        <v>964</v>
      </c>
      <c r="G671" s="217" t="s">
        <v>1011</v>
      </c>
      <c r="H671" s="218" t="s">
        <v>1113</v>
      </c>
      <c r="I671" s="217" t="s">
        <v>66</v>
      </c>
      <c r="J671" s="217"/>
      <c r="K671" s="218" t="s">
        <v>951</v>
      </c>
      <c r="L671" s="212" t="s">
        <v>87</v>
      </c>
      <c r="M671" s="250"/>
      <c r="N671" s="239">
        <v>44165</v>
      </c>
      <c r="O671" s="210" t="s">
        <v>1779</v>
      </c>
      <c r="P671" s="210" t="s">
        <v>1774</v>
      </c>
      <c r="Q671" s="210" t="s">
        <v>1773</v>
      </c>
      <c r="R671" s="210" t="s">
        <v>1745</v>
      </c>
      <c r="S671" s="210" t="s">
        <v>1078</v>
      </c>
      <c r="T671" s="210" t="s">
        <v>349</v>
      </c>
      <c r="U671" s="210" t="s">
        <v>1114</v>
      </c>
      <c r="V671" s="210" t="s">
        <v>1746</v>
      </c>
      <c r="W671" s="211" t="s">
        <v>1753</v>
      </c>
      <c r="X671" s="211">
        <v>1</v>
      </c>
      <c r="Y671" s="211">
        <v>1</v>
      </c>
      <c r="Z671" s="212">
        <v>1</v>
      </c>
      <c r="AA671" s="240">
        <v>1</v>
      </c>
      <c r="AB671" s="213">
        <v>9.1999999999999998E-3</v>
      </c>
      <c r="AC671" s="213" t="s">
        <v>1741</v>
      </c>
      <c r="AD671" s="213" t="s">
        <v>203</v>
      </c>
      <c r="AE671" s="213" t="s">
        <v>66</v>
      </c>
      <c r="AF671" s="241">
        <v>1820079909.3099999</v>
      </c>
      <c r="AG671" s="241">
        <v>1820079909.3099999</v>
      </c>
      <c r="AH671" s="213">
        <v>9.9699999999999997E-2</v>
      </c>
      <c r="AI671" s="352">
        <v>1.5351999999999999</v>
      </c>
      <c r="AJ671" s="213">
        <v>0.13539999999999999</v>
      </c>
      <c r="AK671" s="352">
        <v>1.4386000000000001</v>
      </c>
      <c r="AL671" s="213" t="s">
        <v>66</v>
      </c>
      <c r="AM671" s="352" t="s">
        <v>66</v>
      </c>
      <c r="AN671" s="213" t="s">
        <v>66</v>
      </c>
      <c r="AO671" s="352" t="s">
        <v>66</v>
      </c>
      <c r="AP671" s="213">
        <v>4.1599999999999998E-2</v>
      </c>
      <c r="AQ671" s="219">
        <v>0.91016468237608739</v>
      </c>
      <c r="AR671" s="213" t="s">
        <v>1827</v>
      </c>
      <c r="AV671" s="343"/>
      <c r="AW671" s="328"/>
      <c r="AX671" s="329"/>
      <c r="AY671" s="328"/>
      <c r="AZ671" s="328"/>
      <c r="BA671" s="330"/>
      <c r="BB671" s="328"/>
      <c r="BC671" s="328"/>
      <c r="BD671" s="328"/>
      <c r="BE671" s="330"/>
      <c r="BF671" s="330"/>
      <c r="BG671" s="344"/>
      <c r="BH671" s="330"/>
      <c r="BI671" s="330"/>
      <c r="BJ671" s="330"/>
      <c r="BK671" s="330"/>
      <c r="BL671" s="330"/>
      <c r="BM671" s="330"/>
      <c r="BN671" s="330"/>
      <c r="BO671" s="330"/>
      <c r="BP671" s="331"/>
      <c r="BQ671" s="332"/>
      <c r="BR671" s="333"/>
    </row>
    <row r="672" spans="2:70" ht="15.75" customHeight="1">
      <c r="B672" s="216" t="s">
        <v>439</v>
      </c>
      <c r="C672" s="212">
        <v>1035196</v>
      </c>
      <c r="D672" s="223">
        <v>32990051000102</v>
      </c>
      <c r="E672" s="217" t="s">
        <v>19</v>
      </c>
      <c r="F672" s="217" t="s">
        <v>963</v>
      </c>
      <c r="G672" s="217" t="s">
        <v>1011</v>
      </c>
      <c r="H672" s="218" t="s">
        <v>1113</v>
      </c>
      <c r="I672" s="217" t="s">
        <v>66</v>
      </c>
      <c r="J672" s="217"/>
      <c r="K672" s="218" t="s">
        <v>951</v>
      </c>
      <c r="L672" s="212" t="s">
        <v>87</v>
      </c>
      <c r="M672" s="250"/>
      <c r="N672" s="239">
        <v>43935</v>
      </c>
      <c r="O672" s="210" t="s">
        <v>436</v>
      </c>
      <c r="P672" s="210" t="s">
        <v>1083</v>
      </c>
      <c r="Q672" s="210" t="s">
        <v>102</v>
      </c>
      <c r="R672" s="210" t="s">
        <v>1077</v>
      </c>
      <c r="S672" s="210" t="s">
        <v>1078</v>
      </c>
      <c r="T672" s="210" t="s">
        <v>349</v>
      </c>
      <c r="U672" s="210" t="s">
        <v>1114</v>
      </c>
      <c r="V672" s="210" t="s">
        <v>19</v>
      </c>
      <c r="W672" s="211" t="s">
        <v>1024</v>
      </c>
      <c r="X672" s="211">
        <v>100</v>
      </c>
      <c r="Y672" s="211">
        <v>100</v>
      </c>
      <c r="Z672" s="212">
        <v>100</v>
      </c>
      <c r="AA672" s="240">
        <v>91</v>
      </c>
      <c r="AB672" s="213">
        <v>8.0000000000000002E-3</v>
      </c>
      <c r="AC672" s="213">
        <v>0</v>
      </c>
      <c r="AD672" s="213" t="s">
        <v>109</v>
      </c>
      <c r="AE672" s="213">
        <v>1.92E-3</v>
      </c>
      <c r="AF672" s="241">
        <v>107707272.48</v>
      </c>
      <c r="AG672" s="241">
        <v>107707272.48</v>
      </c>
      <c r="AH672" s="213">
        <v>7.2099999999999997E-2</v>
      </c>
      <c r="AI672" s="352">
        <v>1.1104000000000001</v>
      </c>
      <c r="AJ672" s="213">
        <v>0.112</v>
      </c>
      <c r="AK672" s="352">
        <v>1.1904999999999999</v>
      </c>
      <c r="AL672" s="213">
        <v>0.18099999999999999</v>
      </c>
      <c r="AM672" s="352">
        <v>1.4985999999999999</v>
      </c>
      <c r="AN672" s="213" t="s">
        <v>66</v>
      </c>
      <c r="AO672" s="352" t="s">
        <v>66</v>
      </c>
      <c r="AP672" s="213">
        <v>3.7000000000000002E-3</v>
      </c>
      <c r="AQ672" s="219">
        <v>4.4049783677630927</v>
      </c>
      <c r="AR672" s="213" t="s">
        <v>1827</v>
      </c>
      <c r="AV672" s="343"/>
      <c r="AW672" s="328"/>
      <c r="AX672" s="329"/>
      <c r="AY672" s="328"/>
      <c r="AZ672" s="328"/>
      <c r="BA672" s="330"/>
      <c r="BB672" s="328"/>
      <c r="BC672" s="328"/>
      <c r="BD672" s="328"/>
      <c r="BE672" s="330"/>
      <c r="BF672" s="330"/>
      <c r="BG672" s="344"/>
      <c r="BH672" s="330"/>
      <c r="BI672" s="330"/>
      <c r="BJ672" s="330"/>
      <c r="BK672" s="330"/>
      <c r="BL672" s="330"/>
      <c r="BM672" s="330"/>
      <c r="BN672" s="330"/>
      <c r="BO672" s="330"/>
      <c r="BP672" s="331"/>
      <c r="BQ672" s="332"/>
      <c r="BR672" s="333"/>
    </row>
    <row r="673" spans="2:70" ht="15.75" customHeight="1">
      <c r="B673" s="216" t="s">
        <v>1450</v>
      </c>
      <c r="C673" s="212">
        <v>760746</v>
      </c>
      <c r="D673" s="223">
        <v>27945264000174</v>
      </c>
      <c r="E673" s="217" t="s">
        <v>19</v>
      </c>
      <c r="F673" s="217" t="s">
        <v>963</v>
      </c>
      <c r="G673" s="217" t="s">
        <v>1011</v>
      </c>
      <c r="H673" s="218" t="s">
        <v>1113</v>
      </c>
      <c r="I673" s="217" t="s">
        <v>66</v>
      </c>
      <c r="J673" s="217"/>
      <c r="K673" s="218" t="s">
        <v>951</v>
      </c>
      <c r="L673" s="212" t="s">
        <v>87</v>
      </c>
      <c r="M673" s="250"/>
      <c r="N673" s="239">
        <v>43131</v>
      </c>
      <c r="O673" s="210" t="s">
        <v>436</v>
      </c>
      <c r="P673" s="210" t="s">
        <v>1083</v>
      </c>
      <c r="Q673" s="210" t="s">
        <v>102</v>
      </c>
      <c r="R673" s="210" t="s">
        <v>1084</v>
      </c>
      <c r="S673" s="210" t="s">
        <v>1078</v>
      </c>
      <c r="T673" s="210" t="s">
        <v>349</v>
      </c>
      <c r="U673" s="210" t="s">
        <v>1114</v>
      </c>
      <c r="V673" s="210" t="s">
        <v>19</v>
      </c>
      <c r="W673" s="211" t="s">
        <v>1024</v>
      </c>
      <c r="X673" s="211">
        <v>1</v>
      </c>
      <c r="Y673" s="211">
        <v>1</v>
      </c>
      <c r="Z673" s="212">
        <v>1</v>
      </c>
      <c r="AA673" s="240">
        <v>1</v>
      </c>
      <c r="AB673" s="213">
        <v>8.0000000000000002E-3</v>
      </c>
      <c r="AC673" s="213">
        <v>0.2</v>
      </c>
      <c r="AD673" s="213" t="s">
        <v>109</v>
      </c>
      <c r="AE673" s="213">
        <v>1.9258666666666664E-3</v>
      </c>
      <c r="AF673" s="241">
        <v>3839772251.29</v>
      </c>
      <c r="AG673" s="241">
        <v>3839772251.29</v>
      </c>
      <c r="AH673" s="213">
        <v>7.17E-2</v>
      </c>
      <c r="AI673" s="352">
        <v>1.1045</v>
      </c>
      <c r="AJ673" s="213">
        <v>0.1</v>
      </c>
      <c r="AK673" s="352">
        <v>1.0629999999999999</v>
      </c>
      <c r="AL673" s="213">
        <v>0.12809999999999999</v>
      </c>
      <c r="AM673" s="352">
        <v>1.0601</v>
      </c>
      <c r="AN673" s="213">
        <v>0.1651</v>
      </c>
      <c r="AO673" s="352">
        <v>0.97960000000000003</v>
      </c>
      <c r="AP673" s="213">
        <v>9.2999999999999992E-3</v>
      </c>
      <c r="AQ673" s="219">
        <v>0.58322841528882818</v>
      </c>
      <c r="AR673" s="213" t="s">
        <v>1827</v>
      </c>
      <c r="AV673" s="343"/>
      <c r="AW673" s="328"/>
      <c r="AX673" s="329"/>
      <c r="AY673" s="328"/>
      <c r="AZ673" s="328"/>
      <c r="BA673" s="330"/>
      <c r="BB673" s="328"/>
      <c r="BC673" s="328"/>
      <c r="BD673" s="328"/>
      <c r="BE673" s="330"/>
      <c r="BF673" s="330"/>
      <c r="BG673" s="344"/>
      <c r="BH673" s="330"/>
      <c r="BI673" s="330"/>
      <c r="BJ673" s="330"/>
      <c r="BK673" s="330"/>
      <c r="BL673" s="330"/>
      <c r="BM673" s="330"/>
      <c r="BN673" s="330"/>
      <c r="BO673" s="330"/>
      <c r="BP673" s="331"/>
      <c r="BQ673" s="332"/>
      <c r="BR673" s="333"/>
    </row>
    <row r="674" spans="2:70" ht="15.75" customHeight="1">
      <c r="B674" s="216" t="s">
        <v>848</v>
      </c>
      <c r="C674" s="212">
        <v>1187750</v>
      </c>
      <c r="D674" s="223">
        <v>42731202000153</v>
      </c>
      <c r="E674" s="217" t="s">
        <v>25</v>
      </c>
      <c r="F674" s="217" t="s">
        <v>958</v>
      </c>
      <c r="G674" s="217" t="s">
        <v>962</v>
      </c>
      <c r="H674" s="218" t="s">
        <v>66</v>
      </c>
      <c r="I674" s="217" t="s">
        <v>1842</v>
      </c>
      <c r="J674" s="217" t="s">
        <v>66</v>
      </c>
      <c r="K674" s="218"/>
      <c r="L674" s="212" t="s">
        <v>87</v>
      </c>
      <c r="M674" s="250"/>
      <c r="N674" s="239">
        <v>44413</v>
      </c>
      <c r="O674" s="210" t="s">
        <v>849</v>
      </c>
      <c r="P674" s="210" t="s">
        <v>1075</v>
      </c>
      <c r="Q674" s="210" t="s">
        <v>1076</v>
      </c>
      <c r="R674" s="210" t="s">
        <v>1084</v>
      </c>
      <c r="S674" s="210" t="s">
        <v>1078</v>
      </c>
      <c r="T674" s="210" t="s">
        <v>1082</v>
      </c>
      <c r="U674" s="210" t="s">
        <v>958</v>
      </c>
      <c r="V674" s="210" t="s">
        <v>25</v>
      </c>
      <c r="W674" s="211" t="s">
        <v>1016</v>
      </c>
      <c r="X674" s="211">
        <v>5000</v>
      </c>
      <c r="Y674" s="211">
        <v>1000</v>
      </c>
      <c r="Z674" s="212">
        <v>1000</v>
      </c>
      <c r="AA674" s="240">
        <v>31</v>
      </c>
      <c r="AB674" s="213">
        <v>0.02</v>
      </c>
      <c r="AC674" s="213">
        <v>0.2</v>
      </c>
      <c r="AD674" s="213" t="s">
        <v>109</v>
      </c>
      <c r="AE674" s="213">
        <v>4.0000000000000001E-3</v>
      </c>
      <c r="AF674" s="241">
        <v>267142378.25999999</v>
      </c>
      <c r="AG674" s="241">
        <v>267142378.25999999</v>
      </c>
      <c r="AH674" s="213">
        <v>7.3400000000000007E-2</v>
      </c>
      <c r="AI674" s="352">
        <v>1.1313</v>
      </c>
      <c r="AJ674" s="213" t="s">
        <v>66</v>
      </c>
      <c r="AK674" s="352" t="s">
        <v>66</v>
      </c>
      <c r="AL674" s="213" t="s">
        <v>66</v>
      </c>
      <c r="AM674" s="352" t="s">
        <v>66</v>
      </c>
      <c r="AN674" s="213" t="s">
        <v>66</v>
      </c>
      <c r="AO674" s="352" t="s">
        <v>66</v>
      </c>
      <c r="AP674" s="213" t="s">
        <v>66</v>
      </c>
      <c r="AQ674" s="219" t="s">
        <v>66</v>
      </c>
      <c r="AR674" s="213" t="s">
        <v>1827</v>
      </c>
      <c r="AU674" s="343"/>
      <c r="AV674" s="343"/>
      <c r="AW674" s="328"/>
      <c r="AX674" s="329"/>
      <c r="AY674" s="328"/>
      <c r="AZ674" s="328"/>
      <c r="BA674" s="330"/>
      <c r="BB674" s="328"/>
      <c r="BC674" s="328"/>
      <c r="BD674" s="328"/>
      <c r="BE674" s="330"/>
      <c r="BF674" s="330"/>
      <c r="BG674" s="344"/>
      <c r="BH674" s="383"/>
      <c r="BI674" s="330"/>
      <c r="BJ674" s="330"/>
      <c r="BK674" s="330"/>
      <c r="BL674" s="330"/>
      <c r="BM674" s="330"/>
      <c r="BN674" s="330"/>
      <c r="BO674" s="330"/>
      <c r="BP674" s="331"/>
      <c r="BQ674" s="332"/>
      <c r="BR674" s="333"/>
    </row>
    <row r="675" spans="2:70" ht="15.75" customHeight="1">
      <c r="B675" s="216" t="s">
        <v>1451</v>
      </c>
      <c r="C675" s="212">
        <v>526400</v>
      </c>
      <c r="D675" s="223">
        <v>27749572000124</v>
      </c>
      <c r="E675" s="217" t="s">
        <v>28</v>
      </c>
      <c r="F675" s="217" t="s">
        <v>950</v>
      </c>
      <c r="G675" s="217"/>
      <c r="H675" s="218"/>
      <c r="I675" s="217" t="s">
        <v>66</v>
      </c>
      <c r="J675" s="217" t="s">
        <v>66</v>
      </c>
      <c r="K675" s="218" t="s">
        <v>951</v>
      </c>
      <c r="L675" s="212" t="s">
        <v>87</v>
      </c>
      <c r="M675" s="250"/>
      <c r="N675" s="239">
        <v>43580</v>
      </c>
      <c r="O675" s="210" t="s">
        <v>849</v>
      </c>
      <c r="P675" s="210" t="s">
        <v>1075</v>
      </c>
      <c r="Q675" s="210" t="s">
        <v>1091</v>
      </c>
      <c r="R675" s="210" t="s">
        <v>1084</v>
      </c>
      <c r="S675" s="210" t="s">
        <v>1078</v>
      </c>
      <c r="T675" s="210" t="s">
        <v>1079</v>
      </c>
      <c r="U675" s="210" t="s">
        <v>950</v>
      </c>
      <c r="V675" s="210" t="s">
        <v>1080</v>
      </c>
      <c r="W675" s="211" t="s">
        <v>1007</v>
      </c>
      <c r="X675" s="211">
        <v>1000</v>
      </c>
      <c r="Y675" s="211">
        <v>1000</v>
      </c>
      <c r="Z675" s="212">
        <v>1000</v>
      </c>
      <c r="AA675" s="240">
        <v>5</v>
      </c>
      <c r="AB675" s="213">
        <v>0.02</v>
      </c>
      <c r="AC675" s="213">
        <v>0.2</v>
      </c>
      <c r="AD675" s="213" t="s">
        <v>1100</v>
      </c>
      <c r="AE675" s="213">
        <v>4.0000000000000001E-3</v>
      </c>
      <c r="AF675" s="241">
        <v>36137061.329999998</v>
      </c>
      <c r="AG675" s="241">
        <v>36137061.329999998</v>
      </c>
      <c r="AH675" s="213">
        <v>-0.13589999999999999</v>
      </c>
      <c r="AI675" s="352">
        <v>-2.0939000000000001</v>
      </c>
      <c r="AJ675" s="213">
        <v>-0.33189999999999997</v>
      </c>
      <c r="AK675" s="352">
        <v>-3.5272000000000001</v>
      </c>
      <c r="AL675" s="213">
        <v>-8.0500000000000002E-2</v>
      </c>
      <c r="AM675" s="352">
        <v>-0.66659999999999997</v>
      </c>
      <c r="AN675" s="213">
        <v>1.11E-2</v>
      </c>
      <c r="AO675" s="352">
        <v>6.59E-2</v>
      </c>
      <c r="AP675" s="213">
        <v>0.28210000000000002</v>
      </c>
      <c r="AQ675" s="219">
        <v>-1.6059710774514178</v>
      </c>
      <c r="AR675" s="213" t="s">
        <v>1824</v>
      </c>
      <c r="AV675" s="343"/>
      <c r="AW675" s="328"/>
      <c r="AX675" s="329"/>
      <c r="AY675" s="328"/>
      <c r="AZ675" s="328"/>
      <c r="BA675" s="330"/>
      <c r="BB675" s="328"/>
      <c r="BC675" s="328"/>
      <c r="BD675" s="328"/>
      <c r="BE675" s="330"/>
      <c r="BF675" s="330"/>
      <c r="BG675" s="344"/>
      <c r="BH675" s="330"/>
      <c r="BI675" s="330"/>
      <c r="BJ675" s="330"/>
      <c r="BK675" s="330"/>
      <c r="BL675" s="330"/>
      <c r="BM675" s="330"/>
      <c r="BN675" s="330"/>
      <c r="BO675" s="330"/>
      <c r="BP675" s="331"/>
      <c r="BQ675" s="332"/>
      <c r="BR675" s="333"/>
    </row>
    <row r="676" spans="2:70" ht="15.75" customHeight="1">
      <c r="B676" s="216" t="s">
        <v>1452</v>
      </c>
      <c r="C676" s="212">
        <v>551361</v>
      </c>
      <c r="D676" s="223">
        <v>13503226000157</v>
      </c>
      <c r="E676" s="217" t="s">
        <v>25</v>
      </c>
      <c r="F676" s="217" t="s">
        <v>958</v>
      </c>
      <c r="G676" s="217" t="s">
        <v>962</v>
      </c>
      <c r="H676" s="218" t="s">
        <v>66</v>
      </c>
      <c r="I676" s="217" t="s">
        <v>1841</v>
      </c>
      <c r="J676" s="217" t="s">
        <v>66</v>
      </c>
      <c r="K676" s="218"/>
      <c r="L676" s="212" t="s">
        <v>87</v>
      </c>
      <c r="M676" s="250"/>
      <c r="N676" s="239">
        <v>40667</v>
      </c>
      <c r="O676" s="210" t="s">
        <v>849</v>
      </c>
      <c r="P676" s="210" t="s">
        <v>1075</v>
      </c>
      <c r="Q676" s="210" t="s">
        <v>1091</v>
      </c>
      <c r="R676" s="210" t="s">
        <v>1084</v>
      </c>
      <c r="S676" s="210" t="s">
        <v>1078</v>
      </c>
      <c r="T676" s="210" t="s">
        <v>1082</v>
      </c>
      <c r="U676" s="210" t="s">
        <v>958</v>
      </c>
      <c r="V676" s="210" t="s">
        <v>25</v>
      </c>
      <c r="W676" s="211" t="s">
        <v>1016</v>
      </c>
      <c r="X676" s="211">
        <v>5000</v>
      </c>
      <c r="Y676" s="211">
        <v>1000</v>
      </c>
      <c r="Z676" s="212">
        <v>1000</v>
      </c>
      <c r="AA676" s="240">
        <v>5</v>
      </c>
      <c r="AB676" s="213">
        <v>0.02</v>
      </c>
      <c r="AC676" s="213">
        <v>0.2</v>
      </c>
      <c r="AD676" s="213" t="s">
        <v>1100</v>
      </c>
      <c r="AE676" s="213">
        <v>4.0000000000000001E-3</v>
      </c>
      <c r="AF676" s="241">
        <v>39483155.740000002</v>
      </c>
      <c r="AG676" s="241">
        <v>39483155.740000002</v>
      </c>
      <c r="AH676" s="213">
        <v>5.67E-2</v>
      </c>
      <c r="AI676" s="352">
        <v>0.873</v>
      </c>
      <c r="AJ676" s="213">
        <v>6.4500000000000002E-2</v>
      </c>
      <c r="AK676" s="352">
        <v>0.6855</v>
      </c>
      <c r="AL676" s="213">
        <v>0.10539999999999999</v>
      </c>
      <c r="AM676" s="352">
        <v>0.87229999999999996</v>
      </c>
      <c r="AN676" s="213">
        <v>0.1202</v>
      </c>
      <c r="AO676" s="352">
        <v>0.71319999999999995</v>
      </c>
      <c r="AP676" s="213">
        <v>2.1299999999999999E-2</v>
      </c>
      <c r="AQ676" s="219">
        <v>-1.2756687000579443</v>
      </c>
      <c r="AR676" s="213" t="s">
        <v>1827</v>
      </c>
      <c r="AV676" s="343"/>
      <c r="AW676" s="328"/>
      <c r="AX676" s="329"/>
      <c r="AY676" s="328"/>
      <c r="AZ676" s="328"/>
      <c r="BA676" s="330"/>
      <c r="BB676" s="328"/>
      <c r="BC676" s="328"/>
      <c r="BD676" s="328"/>
      <c r="BE676" s="330"/>
      <c r="BF676" s="330"/>
      <c r="BG676" s="344"/>
      <c r="BH676" s="330"/>
      <c r="BI676" s="330"/>
      <c r="BJ676" s="330"/>
      <c r="BK676" s="330"/>
      <c r="BL676" s="330"/>
      <c r="BM676" s="330"/>
      <c r="BN676" s="330"/>
      <c r="BO676" s="330"/>
      <c r="BP676" s="331"/>
      <c r="BQ676" s="332"/>
      <c r="BR676" s="333"/>
    </row>
    <row r="677" spans="2:70" ht="15.75" customHeight="1">
      <c r="B677" s="216" t="s">
        <v>440</v>
      </c>
      <c r="C677" s="212">
        <v>524819</v>
      </c>
      <c r="D677" s="223">
        <v>25213366000170</v>
      </c>
      <c r="E677" s="217" t="s">
        <v>28</v>
      </c>
      <c r="F677" s="217" t="s">
        <v>950</v>
      </c>
      <c r="G677" s="217"/>
      <c r="H677" s="218"/>
      <c r="I677" s="217" t="s">
        <v>66</v>
      </c>
      <c r="J677" s="217" t="s">
        <v>66</v>
      </c>
      <c r="K677" s="218" t="s">
        <v>951</v>
      </c>
      <c r="L677" s="212" t="s">
        <v>87</v>
      </c>
      <c r="M677" s="250"/>
      <c r="N677" s="239">
        <v>42621</v>
      </c>
      <c r="O677" s="210" t="s">
        <v>438</v>
      </c>
      <c r="P677" s="210" t="s">
        <v>1090</v>
      </c>
      <c r="Q677" s="210" t="s">
        <v>1091</v>
      </c>
      <c r="R677" s="210" t="s">
        <v>1077</v>
      </c>
      <c r="S677" s="210" t="s">
        <v>1078</v>
      </c>
      <c r="T677" s="210" t="s">
        <v>1079</v>
      </c>
      <c r="U677" s="210" t="s">
        <v>950</v>
      </c>
      <c r="V677" s="210" t="s">
        <v>1080</v>
      </c>
      <c r="W677" s="211" t="s">
        <v>1007</v>
      </c>
      <c r="X677" s="211">
        <v>10000</v>
      </c>
      <c r="Y677" s="211">
        <v>10000</v>
      </c>
      <c r="Z677" s="212">
        <v>10000</v>
      </c>
      <c r="AA677" s="240">
        <v>32</v>
      </c>
      <c r="AB677" s="213">
        <v>1.7999999999999999E-2</v>
      </c>
      <c r="AC677" s="213">
        <v>0.2</v>
      </c>
      <c r="AD677" s="213" t="s">
        <v>1014</v>
      </c>
      <c r="AE677" s="213">
        <v>4.7999999999999996E-3</v>
      </c>
      <c r="AF677" s="241">
        <v>382198701.37</v>
      </c>
      <c r="AG677" s="241">
        <v>382198701.37</v>
      </c>
      <c r="AH677" s="213">
        <v>-1.49E-2</v>
      </c>
      <c r="AI677" s="352">
        <v>-0.23</v>
      </c>
      <c r="AJ677" s="213">
        <v>-0.23799999999999999</v>
      </c>
      <c r="AK677" s="352">
        <v>-2.5295999999999998</v>
      </c>
      <c r="AL677" s="213">
        <v>-0.16539999999999999</v>
      </c>
      <c r="AM677" s="352">
        <v>-1.369</v>
      </c>
      <c r="AN677" s="213">
        <v>-1.1599999999999999E-2</v>
      </c>
      <c r="AO677" s="352">
        <v>-6.88E-2</v>
      </c>
      <c r="AP677" s="213">
        <v>0.22889999999999999</v>
      </c>
      <c r="AQ677" s="219">
        <v>-1.4653409542770695</v>
      </c>
      <c r="AR677" s="213" t="s">
        <v>1827</v>
      </c>
      <c r="AV677" s="343"/>
      <c r="AW677" s="328"/>
      <c r="AX677" s="329"/>
      <c r="AY677" s="328"/>
      <c r="AZ677" s="328"/>
      <c r="BA677" s="330"/>
      <c r="BB677" s="328"/>
      <c r="BC677" s="328"/>
      <c r="BD677" s="328"/>
      <c r="BE677" s="330"/>
      <c r="BF677" s="330"/>
      <c r="BG677" s="344"/>
      <c r="BH677" s="330"/>
      <c r="BI677" s="330"/>
      <c r="BJ677" s="330"/>
      <c r="BK677" s="330"/>
      <c r="BL677" s="330"/>
      <c r="BM677" s="330"/>
      <c r="BN677" s="330"/>
      <c r="BO677" s="330"/>
      <c r="BP677" s="331"/>
      <c r="BQ677" s="332"/>
      <c r="BR677" s="333"/>
    </row>
    <row r="678" spans="2:70" ht="15.75" customHeight="1">
      <c r="B678" s="216" t="s">
        <v>441</v>
      </c>
      <c r="C678" s="212">
        <v>1035195</v>
      </c>
      <c r="D678" s="223">
        <v>28626275000154</v>
      </c>
      <c r="E678" s="217" t="s">
        <v>28</v>
      </c>
      <c r="F678" s="217" t="s">
        <v>950</v>
      </c>
      <c r="G678" s="217"/>
      <c r="H678" s="218"/>
      <c r="I678" s="217" t="s">
        <v>66</v>
      </c>
      <c r="J678" s="217" t="s">
        <v>66</v>
      </c>
      <c r="K678" s="218" t="s">
        <v>951</v>
      </c>
      <c r="L678" s="212" t="s">
        <v>87</v>
      </c>
      <c r="M678" s="250"/>
      <c r="N678" s="239">
        <v>43039</v>
      </c>
      <c r="O678" s="210" t="s">
        <v>438</v>
      </c>
      <c r="P678" s="210" t="s">
        <v>1090</v>
      </c>
      <c r="Q678" s="210" t="s">
        <v>1091</v>
      </c>
      <c r="R678" s="210" t="s">
        <v>1077</v>
      </c>
      <c r="S678" s="210" t="s">
        <v>1078</v>
      </c>
      <c r="T678" s="210" t="s">
        <v>1079</v>
      </c>
      <c r="U678" s="210" t="s">
        <v>950</v>
      </c>
      <c r="V678" s="210" t="s">
        <v>1080</v>
      </c>
      <c r="W678" s="211" t="s">
        <v>1007</v>
      </c>
      <c r="X678" s="211">
        <v>10000</v>
      </c>
      <c r="Y678" s="211">
        <v>10000</v>
      </c>
      <c r="Z678" s="212">
        <v>10000</v>
      </c>
      <c r="AA678" s="240">
        <v>32</v>
      </c>
      <c r="AB678" s="213">
        <v>1.7999999999999999E-2</v>
      </c>
      <c r="AC678" s="213">
        <v>0.2</v>
      </c>
      <c r="AD678" s="213" t="s">
        <v>109</v>
      </c>
      <c r="AE678" s="213">
        <v>4.7999999999999996E-3</v>
      </c>
      <c r="AF678" s="241">
        <v>4247348.08</v>
      </c>
      <c r="AG678" s="241">
        <v>4247348.08</v>
      </c>
      <c r="AH678" s="213">
        <v>-1.7399999999999999E-2</v>
      </c>
      <c r="AI678" s="352">
        <v>-0.26850000000000002</v>
      </c>
      <c r="AJ678" s="213">
        <v>-0.23719999999999999</v>
      </c>
      <c r="AK678" s="352">
        <v>-2.5211000000000001</v>
      </c>
      <c r="AL678" s="213">
        <v>-0.1709</v>
      </c>
      <c r="AM678" s="352">
        <v>-1.4148000000000001</v>
      </c>
      <c r="AN678" s="213">
        <v>-0.02</v>
      </c>
      <c r="AO678" s="352">
        <v>-0.1187</v>
      </c>
      <c r="AP678" s="213">
        <v>0.22750000000000001</v>
      </c>
      <c r="AQ678" s="219">
        <v>-1.4712312197483259</v>
      </c>
      <c r="AR678" s="213" t="s">
        <v>1827</v>
      </c>
      <c r="AV678" s="343"/>
      <c r="AW678" s="328"/>
      <c r="AX678" s="329"/>
      <c r="AY678" s="328"/>
      <c r="AZ678" s="328"/>
      <c r="BA678" s="330"/>
      <c r="BB678" s="328"/>
      <c r="BC678" s="328"/>
      <c r="BD678" s="328"/>
      <c r="BE678" s="330"/>
      <c r="BF678" s="330"/>
      <c r="BG678" s="344"/>
      <c r="BH678" s="330"/>
      <c r="BI678" s="330"/>
      <c r="BJ678" s="330"/>
      <c r="BK678" s="330"/>
      <c r="BL678" s="330"/>
      <c r="BM678" s="330"/>
      <c r="BN678" s="330"/>
      <c r="BO678" s="330"/>
      <c r="BP678" s="331"/>
      <c r="BQ678" s="332"/>
      <c r="BR678" s="333"/>
    </row>
    <row r="679" spans="2:70" ht="15.75" customHeight="1">
      <c r="B679" s="216" t="s">
        <v>442</v>
      </c>
      <c r="C679" s="212">
        <v>2830360</v>
      </c>
      <c r="D679" s="223">
        <v>29054793000103</v>
      </c>
      <c r="E679" s="217" t="s">
        <v>28</v>
      </c>
      <c r="F679" s="217" t="s">
        <v>950</v>
      </c>
      <c r="G679" s="217"/>
      <c r="H679" s="218"/>
      <c r="I679" s="217" t="s">
        <v>66</v>
      </c>
      <c r="J679" s="217" t="s">
        <v>66</v>
      </c>
      <c r="K679" s="218" t="s">
        <v>951</v>
      </c>
      <c r="L679" s="212" t="s">
        <v>87</v>
      </c>
      <c r="M679" s="250"/>
      <c r="N679" s="239">
        <v>43181</v>
      </c>
      <c r="O679" s="210" t="s">
        <v>438</v>
      </c>
      <c r="P679" s="210" t="s">
        <v>1090</v>
      </c>
      <c r="Q679" s="210" t="s">
        <v>1091</v>
      </c>
      <c r="R679" s="210" t="s">
        <v>1084</v>
      </c>
      <c r="S679" s="210" t="s">
        <v>1078</v>
      </c>
      <c r="T679" s="210" t="s">
        <v>1079</v>
      </c>
      <c r="U679" s="210" t="s">
        <v>950</v>
      </c>
      <c r="V679" s="210" t="s">
        <v>1080</v>
      </c>
      <c r="W679" s="211" t="s">
        <v>1018</v>
      </c>
      <c r="X679" s="211">
        <v>10000</v>
      </c>
      <c r="Y679" s="211">
        <v>10000</v>
      </c>
      <c r="Z679" s="212">
        <v>10000</v>
      </c>
      <c r="AA679" s="240">
        <v>32</v>
      </c>
      <c r="AB679" s="213">
        <v>0.02</v>
      </c>
      <c r="AC679" s="213">
        <v>0.2</v>
      </c>
      <c r="AD679" s="213" t="s">
        <v>1170</v>
      </c>
      <c r="AE679" s="213">
        <v>5.3333333333333332E-3</v>
      </c>
      <c r="AF679" s="241">
        <v>50821558.189999998</v>
      </c>
      <c r="AG679" s="241">
        <v>50821558.189999998</v>
      </c>
      <c r="AH679" s="213">
        <v>2.5000000000000001E-2</v>
      </c>
      <c r="AI679" s="352">
        <v>0.38490000000000002</v>
      </c>
      <c r="AJ679" s="213">
        <v>-0.2001</v>
      </c>
      <c r="AK679" s="352">
        <v>-2.1271</v>
      </c>
      <c r="AL679" s="213">
        <v>-0.1263</v>
      </c>
      <c r="AM679" s="352">
        <v>-1.0451999999999999</v>
      </c>
      <c r="AN679" s="213">
        <v>1.54E-2</v>
      </c>
      <c r="AO679" s="352">
        <v>9.1499999999999998E-2</v>
      </c>
      <c r="AP679" s="213">
        <v>0.23119999999999999</v>
      </c>
      <c r="AQ679" s="219">
        <v>-1.2387225657327461</v>
      </c>
      <c r="AR679" s="213" t="s">
        <v>1824</v>
      </c>
      <c r="AV679" s="343"/>
      <c r="AW679" s="328"/>
      <c r="AX679" s="329"/>
      <c r="AY679" s="328"/>
      <c r="AZ679" s="328"/>
      <c r="BA679" s="330"/>
      <c r="BB679" s="328"/>
      <c r="BC679" s="328"/>
      <c r="BD679" s="328"/>
      <c r="BE679" s="330"/>
      <c r="BF679" s="330"/>
      <c r="BG679" s="344"/>
      <c r="BH679" s="330"/>
      <c r="BI679" s="330"/>
      <c r="BJ679" s="330"/>
      <c r="BK679" s="330"/>
      <c r="BL679" s="330"/>
      <c r="BM679" s="330"/>
      <c r="BN679" s="330"/>
      <c r="BO679" s="330"/>
      <c r="BP679" s="331"/>
      <c r="BQ679" s="332"/>
      <c r="BR679" s="333"/>
    </row>
    <row r="680" spans="2:70" ht="15.75" customHeight="1">
      <c r="B680" s="216" t="s">
        <v>443</v>
      </c>
      <c r="C680" s="212">
        <v>4266311</v>
      </c>
      <c r="D680" s="223">
        <v>13429264000107</v>
      </c>
      <c r="E680" s="217" t="s">
        <v>25</v>
      </c>
      <c r="F680" s="217" t="s">
        <v>958</v>
      </c>
      <c r="G680" s="217" t="s">
        <v>962</v>
      </c>
      <c r="H680" s="218" t="s">
        <v>66</v>
      </c>
      <c r="I680" s="217" t="s">
        <v>1841</v>
      </c>
      <c r="J680" s="217" t="s">
        <v>66</v>
      </c>
      <c r="K680" s="218"/>
      <c r="L680" s="212" t="s">
        <v>87</v>
      </c>
      <c r="M680" s="250"/>
      <c r="N680" s="239">
        <v>40662</v>
      </c>
      <c r="O680" s="210" t="s">
        <v>444</v>
      </c>
      <c r="P680" s="210" t="s">
        <v>1088</v>
      </c>
      <c r="Q680" s="210" t="s">
        <v>1089</v>
      </c>
      <c r="R680" s="210" t="s">
        <v>1084</v>
      </c>
      <c r="S680" s="210" t="s">
        <v>1078</v>
      </c>
      <c r="T680" s="210" t="s">
        <v>1082</v>
      </c>
      <c r="U680" s="210" t="s">
        <v>958</v>
      </c>
      <c r="V680" s="210" t="s">
        <v>25</v>
      </c>
      <c r="W680" s="211" t="s">
        <v>1012</v>
      </c>
      <c r="X680" s="211">
        <v>10000</v>
      </c>
      <c r="Y680" s="211">
        <v>10000</v>
      </c>
      <c r="Z680" s="212">
        <v>10000</v>
      </c>
      <c r="AA680" s="240">
        <v>31</v>
      </c>
      <c r="AB680" s="213">
        <v>1.9199999999999998E-2</v>
      </c>
      <c r="AC680" s="213">
        <v>0.2</v>
      </c>
      <c r="AD680" s="213" t="s">
        <v>109</v>
      </c>
      <c r="AE680" s="213">
        <v>3.2006399999999994E-3</v>
      </c>
      <c r="AF680" s="241">
        <v>34310497.090000004</v>
      </c>
      <c r="AG680" s="241">
        <v>34310497.090000004</v>
      </c>
      <c r="AH680" s="213">
        <v>6.3899999999999998E-2</v>
      </c>
      <c r="AI680" s="352">
        <v>0.98450000000000004</v>
      </c>
      <c r="AJ680" s="213">
        <v>7.5600000000000001E-2</v>
      </c>
      <c r="AK680" s="352">
        <v>0.80369999999999997</v>
      </c>
      <c r="AL680" s="213">
        <v>9.11E-2</v>
      </c>
      <c r="AM680" s="352">
        <v>0.75439999999999996</v>
      </c>
      <c r="AN680" s="213">
        <v>0.16789999999999999</v>
      </c>
      <c r="AO680" s="352">
        <v>0.99650000000000005</v>
      </c>
      <c r="AP680" s="213">
        <v>1.5699999999999999E-2</v>
      </c>
      <c r="AQ680" s="219">
        <v>-1.0803691227751182</v>
      </c>
      <c r="AR680" s="213" t="s">
        <v>1827</v>
      </c>
      <c r="AV680" s="343"/>
      <c r="AW680" s="328"/>
      <c r="AX680" s="329"/>
      <c r="AY680" s="328"/>
      <c r="AZ680" s="328"/>
      <c r="BA680" s="330"/>
      <c r="BB680" s="328"/>
      <c r="BC680" s="328"/>
      <c r="BD680" s="328"/>
      <c r="BE680" s="330"/>
      <c r="BF680" s="330"/>
      <c r="BG680" s="344"/>
      <c r="BH680" s="330"/>
      <c r="BI680" s="330"/>
      <c r="BJ680" s="330"/>
      <c r="BK680" s="330"/>
      <c r="BL680" s="330"/>
      <c r="BM680" s="330"/>
      <c r="BN680" s="330"/>
      <c r="BO680" s="330"/>
      <c r="BP680" s="331"/>
      <c r="BQ680" s="332"/>
      <c r="BR680" s="333"/>
    </row>
    <row r="681" spans="2:70" ht="15.75" customHeight="1">
      <c r="B681" s="216" t="s">
        <v>1780</v>
      </c>
      <c r="C681" s="212">
        <v>950669</v>
      </c>
      <c r="D681" s="223">
        <v>31848144000126</v>
      </c>
      <c r="E681" s="217" t="s">
        <v>28</v>
      </c>
      <c r="F681" s="217" t="s">
        <v>950</v>
      </c>
      <c r="G681" s="217"/>
      <c r="H681" s="218"/>
      <c r="I681" s="217" t="s">
        <v>66</v>
      </c>
      <c r="J681" s="217" t="s">
        <v>66</v>
      </c>
      <c r="K681" s="218" t="s">
        <v>951</v>
      </c>
      <c r="L681" s="212" t="s">
        <v>87</v>
      </c>
      <c r="M681" s="250"/>
      <c r="N681" s="239">
        <v>43524</v>
      </c>
      <c r="O681" s="210" t="s">
        <v>1781</v>
      </c>
      <c r="P681" s="210" t="s">
        <v>1782</v>
      </c>
      <c r="Q681" s="210" t="s">
        <v>1752</v>
      </c>
      <c r="R681" s="210" t="s">
        <v>1738</v>
      </c>
      <c r="S681" s="210" t="s">
        <v>1078</v>
      </c>
      <c r="T681" s="210" t="s">
        <v>1079</v>
      </c>
      <c r="U681" s="210" t="s">
        <v>1739</v>
      </c>
      <c r="V681" s="210" t="s">
        <v>1080</v>
      </c>
      <c r="W681" s="211" t="s">
        <v>1740</v>
      </c>
      <c r="X681" s="211">
        <v>100</v>
      </c>
      <c r="Y681" s="211">
        <v>100</v>
      </c>
      <c r="Z681" s="212">
        <v>0</v>
      </c>
      <c r="AA681" s="240">
        <v>12</v>
      </c>
      <c r="AB681" s="213">
        <v>0.02</v>
      </c>
      <c r="AC681" s="213">
        <v>0.2</v>
      </c>
      <c r="AD681" s="213" t="s">
        <v>1014</v>
      </c>
      <c r="AE681" s="213">
        <v>6.6666666666666662E-3</v>
      </c>
      <c r="AF681" s="241">
        <v>34051498.469999999</v>
      </c>
      <c r="AG681" s="241">
        <v>34051498.469999999</v>
      </c>
      <c r="AH681" s="213">
        <v>3.04E-2</v>
      </c>
      <c r="AI681" s="352">
        <v>0.46879999999999999</v>
      </c>
      <c r="AJ681" s="213">
        <v>0.2046</v>
      </c>
      <c r="AK681" s="352">
        <v>2.1747999999999998</v>
      </c>
      <c r="AL681" s="213">
        <v>0.22109999999999999</v>
      </c>
      <c r="AM681" s="352">
        <v>1.8301000000000001</v>
      </c>
      <c r="AN681" s="213">
        <v>0.2455</v>
      </c>
      <c r="AO681" s="352">
        <v>1.4570000000000001</v>
      </c>
      <c r="AP681" s="213">
        <v>0.14910000000000001</v>
      </c>
      <c r="AQ681" s="219">
        <v>0.71994255658157924</v>
      </c>
      <c r="AR681" s="213" t="s">
        <v>1827</v>
      </c>
      <c r="AV681" s="343"/>
      <c r="AW681" s="328"/>
      <c r="AX681" s="329"/>
      <c r="AY681" s="328"/>
      <c r="AZ681" s="328"/>
      <c r="BA681" s="330"/>
      <c r="BB681" s="328"/>
      <c r="BC681" s="328"/>
      <c r="BD681" s="328"/>
      <c r="BE681" s="330"/>
      <c r="BF681" s="330"/>
      <c r="BG681" s="344"/>
      <c r="BH681" s="330"/>
      <c r="BI681" s="330"/>
      <c r="BJ681" s="330"/>
      <c r="BK681" s="330"/>
      <c r="BL681" s="330"/>
      <c r="BM681" s="330"/>
      <c r="BN681" s="330"/>
      <c r="BO681" s="330"/>
      <c r="BP681" s="331"/>
      <c r="BQ681" s="332"/>
      <c r="BR681" s="333"/>
    </row>
    <row r="682" spans="2:70" ht="15.75" customHeight="1">
      <c r="B682" s="216" t="s">
        <v>445</v>
      </c>
      <c r="C682" s="212">
        <v>2906611</v>
      </c>
      <c r="D682" s="223">
        <v>38221267000181</v>
      </c>
      <c r="E682" s="217" t="s">
        <v>19</v>
      </c>
      <c r="F682" s="217" t="s">
        <v>963</v>
      </c>
      <c r="G682" s="217" t="s">
        <v>1034</v>
      </c>
      <c r="H682" s="218" t="s">
        <v>1113</v>
      </c>
      <c r="I682" s="217" t="s">
        <v>66</v>
      </c>
      <c r="J682" s="217" t="s">
        <v>1822</v>
      </c>
      <c r="K682" s="218" t="s">
        <v>951</v>
      </c>
      <c r="L682" s="212" t="s">
        <v>87</v>
      </c>
      <c r="M682" s="250"/>
      <c r="N682" s="239">
        <v>44134</v>
      </c>
      <c r="O682" s="210" t="s">
        <v>446</v>
      </c>
      <c r="P682" s="210" t="s">
        <v>1140</v>
      </c>
      <c r="Q682" s="210" t="s">
        <v>1089</v>
      </c>
      <c r="R682" s="210" t="s">
        <v>1077</v>
      </c>
      <c r="S682" s="210" t="s">
        <v>1078</v>
      </c>
      <c r="T682" s="210" t="s">
        <v>32</v>
      </c>
      <c r="U682" s="210" t="s">
        <v>1150</v>
      </c>
      <c r="V682" s="210" t="s">
        <v>25</v>
      </c>
      <c r="W682" s="211" t="s">
        <v>1016</v>
      </c>
      <c r="X682" s="211">
        <v>1000</v>
      </c>
      <c r="Y682" s="211">
        <v>1000</v>
      </c>
      <c r="Z682" s="212">
        <v>0</v>
      </c>
      <c r="AA682" s="240">
        <v>35</v>
      </c>
      <c r="AB682" s="213">
        <v>0.02</v>
      </c>
      <c r="AC682" s="213">
        <v>0.2</v>
      </c>
      <c r="AD682" s="213" t="s">
        <v>109</v>
      </c>
      <c r="AE682" s="213">
        <v>6.6666666666666662E-3</v>
      </c>
      <c r="AF682" s="241">
        <v>419839671.11000001</v>
      </c>
      <c r="AG682" s="241">
        <v>419839671.11000001</v>
      </c>
      <c r="AH682" s="213">
        <v>8.43E-2</v>
      </c>
      <c r="AI682" s="352">
        <v>1.2986</v>
      </c>
      <c r="AJ682" s="213">
        <v>0.1313</v>
      </c>
      <c r="AK682" s="352">
        <v>1.3951</v>
      </c>
      <c r="AL682" s="213" t="s">
        <v>66</v>
      </c>
      <c r="AM682" s="352" t="s">
        <v>66</v>
      </c>
      <c r="AN682" s="213" t="s">
        <v>66</v>
      </c>
      <c r="AO682" s="352" t="s">
        <v>66</v>
      </c>
      <c r="AP682" s="213">
        <v>1.6000000000000001E-3</v>
      </c>
      <c r="AQ682" s="219">
        <v>21.015659904077882</v>
      </c>
      <c r="AR682" s="213" t="s">
        <v>1827</v>
      </c>
      <c r="AV682" s="343"/>
      <c r="AW682" s="328"/>
      <c r="AX682" s="329"/>
      <c r="AY682" s="328"/>
      <c r="AZ682" s="328"/>
      <c r="BA682" s="330"/>
      <c r="BB682" s="328"/>
      <c r="BC682" s="328"/>
      <c r="BD682" s="328"/>
      <c r="BE682" s="330"/>
      <c r="BF682" s="330"/>
      <c r="BG682" s="344"/>
      <c r="BH682" s="330"/>
      <c r="BI682" s="330"/>
      <c r="BJ682" s="330"/>
      <c r="BK682" s="330"/>
      <c r="BL682" s="330"/>
      <c r="BM682" s="330"/>
      <c r="BN682" s="330"/>
      <c r="BO682" s="330"/>
      <c r="BP682" s="331"/>
      <c r="BQ682" s="332"/>
      <c r="BR682" s="333"/>
    </row>
    <row r="683" spans="2:70" ht="15.75" customHeight="1">
      <c r="B683" s="216" t="s">
        <v>1453</v>
      </c>
      <c r="C683" s="212">
        <v>559382</v>
      </c>
      <c r="D683" s="223">
        <v>28903657000188</v>
      </c>
      <c r="E683" s="217" t="s">
        <v>19</v>
      </c>
      <c r="F683" s="217" t="s">
        <v>963</v>
      </c>
      <c r="G683" s="217" t="s">
        <v>1034</v>
      </c>
      <c r="H683" s="218" t="s">
        <v>1113</v>
      </c>
      <c r="I683" s="217" t="s">
        <v>66</v>
      </c>
      <c r="J683" s="217" t="s">
        <v>1822</v>
      </c>
      <c r="K683" s="218" t="s">
        <v>951</v>
      </c>
      <c r="L683" s="212" t="s">
        <v>87</v>
      </c>
      <c r="M683" s="250"/>
      <c r="N683" s="239">
        <v>43042</v>
      </c>
      <c r="O683" s="210" t="s">
        <v>446</v>
      </c>
      <c r="P683" s="210" t="s">
        <v>1140</v>
      </c>
      <c r="Q683" s="210" t="s">
        <v>1089</v>
      </c>
      <c r="R683" s="210" t="s">
        <v>1077</v>
      </c>
      <c r="S683" s="210" t="s">
        <v>1078</v>
      </c>
      <c r="T683" s="210" t="s">
        <v>32</v>
      </c>
      <c r="U683" s="210" t="s">
        <v>1150</v>
      </c>
      <c r="V683" s="210" t="s">
        <v>25</v>
      </c>
      <c r="W683" s="211" t="s">
        <v>1016</v>
      </c>
      <c r="X683" s="211">
        <v>1000</v>
      </c>
      <c r="Y683" s="211">
        <v>1000</v>
      </c>
      <c r="Z683" s="212">
        <v>0</v>
      </c>
      <c r="AA683" s="240">
        <v>91</v>
      </c>
      <c r="AB683" s="213">
        <v>0.02</v>
      </c>
      <c r="AC683" s="213">
        <v>0.2</v>
      </c>
      <c r="AD683" s="213" t="s">
        <v>109</v>
      </c>
      <c r="AE683" s="213">
        <v>6.6666666666666662E-3</v>
      </c>
      <c r="AF683" s="241">
        <v>198197355.52000001</v>
      </c>
      <c r="AG683" s="241">
        <v>198197355.52000001</v>
      </c>
      <c r="AH683" s="213">
        <v>8.2299999999999998E-2</v>
      </c>
      <c r="AI683" s="352">
        <v>1.2672000000000001</v>
      </c>
      <c r="AJ683" s="213">
        <v>0.1275</v>
      </c>
      <c r="AK683" s="352">
        <v>1.3556999999999999</v>
      </c>
      <c r="AL683" s="213">
        <v>0.19420000000000001</v>
      </c>
      <c r="AM683" s="352">
        <v>1.6075999999999999</v>
      </c>
      <c r="AN683" s="213">
        <v>0.28310000000000002</v>
      </c>
      <c r="AO683" s="352">
        <v>1.6798</v>
      </c>
      <c r="AP683" s="213">
        <v>1.5E-3</v>
      </c>
      <c r="AQ683" s="219">
        <v>20.082097308735538</v>
      </c>
      <c r="AR683" s="213" t="s">
        <v>1827</v>
      </c>
      <c r="AV683" s="343"/>
      <c r="AW683" s="328"/>
      <c r="AX683" s="329"/>
      <c r="AY683" s="328"/>
      <c r="AZ683" s="328"/>
      <c r="BA683" s="330"/>
      <c r="BB683" s="328"/>
      <c r="BC683" s="328"/>
      <c r="BD683" s="328"/>
      <c r="BE683" s="330"/>
      <c r="BF683" s="330"/>
      <c r="BG683" s="344"/>
      <c r="BH683" s="330"/>
      <c r="BI683" s="330"/>
      <c r="BJ683" s="330"/>
      <c r="BK683" s="330"/>
      <c r="BL683" s="330"/>
      <c r="BM683" s="330"/>
      <c r="BN683" s="330"/>
      <c r="BO683" s="330"/>
      <c r="BP683" s="331"/>
      <c r="BQ683" s="332"/>
      <c r="BR683" s="333"/>
    </row>
    <row r="684" spans="2:70" ht="15.75" customHeight="1">
      <c r="B684" s="216" t="s">
        <v>447</v>
      </c>
      <c r="C684" s="212">
        <v>528296</v>
      </c>
      <c r="D684" s="223">
        <v>26725138000141</v>
      </c>
      <c r="E684" s="217" t="s">
        <v>25</v>
      </c>
      <c r="F684" s="217" t="s">
        <v>958</v>
      </c>
      <c r="G684" s="217" t="s">
        <v>962</v>
      </c>
      <c r="H684" s="218" t="s">
        <v>66</v>
      </c>
      <c r="I684" s="217" t="s">
        <v>1842</v>
      </c>
      <c r="J684" s="217" t="s">
        <v>66</v>
      </c>
      <c r="K684" s="218"/>
      <c r="L684" s="212" t="s">
        <v>87</v>
      </c>
      <c r="M684" s="250"/>
      <c r="N684" s="239">
        <v>42762</v>
      </c>
      <c r="O684" s="210" t="s">
        <v>448</v>
      </c>
      <c r="P684" s="210" t="s">
        <v>1088</v>
      </c>
      <c r="Q684" s="210" t="s">
        <v>1089</v>
      </c>
      <c r="R684" s="210" t="s">
        <v>1084</v>
      </c>
      <c r="S684" s="210" t="s">
        <v>1078</v>
      </c>
      <c r="T684" s="210" t="s">
        <v>1082</v>
      </c>
      <c r="U684" s="210" t="s">
        <v>958</v>
      </c>
      <c r="V684" s="210" t="s">
        <v>25</v>
      </c>
      <c r="W684" s="211" t="s">
        <v>1016</v>
      </c>
      <c r="X684" s="211">
        <v>5000</v>
      </c>
      <c r="Y684" s="211">
        <v>1000</v>
      </c>
      <c r="Z684" s="212">
        <v>4000</v>
      </c>
      <c r="AA684" s="240">
        <v>7</v>
      </c>
      <c r="AB684" s="213">
        <v>1.4999999999999999E-2</v>
      </c>
      <c r="AC684" s="213">
        <v>0.2</v>
      </c>
      <c r="AD684" s="213" t="s">
        <v>109</v>
      </c>
      <c r="AE684" s="213">
        <v>4.9999999999999992E-3</v>
      </c>
      <c r="AF684" s="241">
        <v>29914702.02</v>
      </c>
      <c r="AG684" s="241">
        <v>29914702.02</v>
      </c>
      <c r="AH684" s="213">
        <v>4.8099999999999997E-2</v>
      </c>
      <c r="AI684" s="352">
        <v>0.74099999999999999</v>
      </c>
      <c r="AJ684" s="213">
        <v>3.4599999999999999E-2</v>
      </c>
      <c r="AK684" s="352">
        <v>0.3679</v>
      </c>
      <c r="AL684" s="213">
        <v>5.2299999999999999E-2</v>
      </c>
      <c r="AM684" s="352">
        <v>0.43290000000000001</v>
      </c>
      <c r="AN684" s="213">
        <v>0.23580000000000001</v>
      </c>
      <c r="AO684" s="352">
        <v>1.3992</v>
      </c>
      <c r="AP684" s="213">
        <v>7.6999999999999999E-2</v>
      </c>
      <c r="AQ684" s="219">
        <v>-0.68766958917427179</v>
      </c>
      <c r="AR684" s="213" t="s">
        <v>1827</v>
      </c>
      <c r="AV684" s="343"/>
      <c r="AW684" s="328"/>
      <c r="AX684" s="329"/>
      <c r="AY684" s="328"/>
      <c r="AZ684" s="328"/>
      <c r="BA684" s="330"/>
      <c r="BB684" s="328"/>
      <c r="BC684" s="328"/>
      <c r="BD684" s="328"/>
      <c r="BE684" s="330"/>
      <c r="BF684" s="330"/>
      <c r="BG684" s="344"/>
      <c r="BH684" s="330"/>
      <c r="BI684" s="330"/>
      <c r="BJ684" s="330"/>
      <c r="BK684" s="330"/>
      <c r="BL684" s="330"/>
      <c r="BM684" s="330"/>
      <c r="BN684" s="330"/>
      <c r="BO684" s="330"/>
      <c r="BP684" s="331"/>
      <c r="BQ684" s="332"/>
      <c r="BR684" s="333"/>
    </row>
    <row r="685" spans="2:70" ht="15.75" customHeight="1">
      <c r="B685" s="216" t="s">
        <v>449</v>
      </c>
      <c r="C685" s="212">
        <v>1386218</v>
      </c>
      <c r="D685" s="223">
        <v>37008385000143</v>
      </c>
      <c r="E685" s="217" t="s">
        <v>25</v>
      </c>
      <c r="F685" s="217" t="s">
        <v>959</v>
      </c>
      <c r="G685" s="217" t="s">
        <v>962</v>
      </c>
      <c r="H685" s="218" t="s">
        <v>66</v>
      </c>
      <c r="I685" s="217" t="s">
        <v>1842</v>
      </c>
      <c r="J685" s="217" t="s">
        <v>66</v>
      </c>
      <c r="K685" s="218" t="s">
        <v>954</v>
      </c>
      <c r="L685" s="212" t="s">
        <v>87</v>
      </c>
      <c r="M685" s="250"/>
      <c r="N685" s="239">
        <v>43971</v>
      </c>
      <c r="O685" s="210" t="s">
        <v>450</v>
      </c>
      <c r="P685" s="210" t="s">
        <v>1075</v>
      </c>
      <c r="Q685" s="210" t="s">
        <v>1076</v>
      </c>
      <c r="R685" s="210" t="s">
        <v>1084</v>
      </c>
      <c r="S685" s="210" t="s">
        <v>1078</v>
      </c>
      <c r="T685" s="210" t="s">
        <v>1082</v>
      </c>
      <c r="U685" s="210" t="s">
        <v>65</v>
      </c>
      <c r="V685" s="210" t="s">
        <v>25</v>
      </c>
      <c r="W685" s="211" t="s">
        <v>1016</v>
      </c>
      <c r="X685" s="211">
        <v>10000</v>
      </c>
      <c r="Y685" s="211">
        <v>1000</v>
      </c>
      <c r="Z685" s="212">
        <v>5000</v>
      </c>
      <c r="AA685" s="240">
        <v>95</v>
      </c>
      <c r="AB685" s="213">
        <v>1.4999999999999999E-2</v>
      </c>
      <c r="AC685" s="213">
        <v>0.2</v>
      </c>
      <c r="AD685" s="213" t="s">
        <v>109</v>
      </c>
      <c r="AE685" s="213">
        <v>4.0000000000000001E-3</v>
      </c>
      <c r="AF685" s="241">
        <v>29189986.07</v>
      </c>
      <c r="AG685" s="241">
        <v>29189986.07</v>
      </c>
      <c r="AH685" s="213">
        <v>-8.4900000000000003E-2</v>
      </c>
      <c r="AI685" s="352">
        <v>-1.3076000000000001</v>
      </c>
      <c r="AJ685" s="213">
        <v>5.6899999999999999E-2</v>
      </c>
      <c r="AK685" s="352">
        <v>0.60489999999999999</v>
      </c>
      <c r="AL685" s="213">
        <v>0.2142</v>
      </c>
      <c r="AM685" s="352">
        <v>1.7730999999999999</v>
      </c>
      <c r="AN685" s="213" t="s">
        <v>66</v>
      </c>
      <c r="AO685" s="352" t="s">
        <v>66</v>
      </c>
      <c r="AP685" s="213">
        <v>0.25900000000000001</v>
      </c>
      <c r="AQ685" s="219">
        <v>-4.6787053778279209E-3</v>
      </c>
      <c r="AR685" s="213" t="s">
        <v>1827</v>
      </c>
      <c r="AV685" s="343"/>
      <c r="AW685" s="328"/>
      <c r="AX685" s="329"/>
      <c r="AY685" s="328"/>
      <c r="AZ685" s="328"/>
      <c r="BA685" s="330"/>
      <c r="BB685" s="328"/>
      <c r="BC685" s="328"/>
      <c r="BD685" s="328"/>
      <c r="BE685" s="330"/>
      <c r="BF685" s="330"/>
      <c r="BG685" s="344"/>
      <c r="BH685" s="330"/>
      <c r="BI685" s="330"/>
      <c r="BJ685" s="330"/>
      <c r="BK685" s="330"/>
      <c r="BL685" s="330"/>
      <c r="BM685" s="330"/>
      <c r="BN685" s="330"/>
      <c r="BO685" s="330"/>
      <c r="BP685" s="331"/>
      <c r="BQ685" s="332"/>
      <c r="BR685" s="333"/>
    </row>
    <row r="686" spans="2:70" ht="15.75" customHeight="1">
      <c r="B686" s="216" t="s">
        <v>1454</v>
      </c>
      <c r="C686" s="212">
        <v>4299986</v>
      </c>
      <c r="D686" s="223">
        <v>35343303000191</v>
      </c>
      <c r="E686" s="217" t="s">
        <v>28</v>
      </c>
      <c r="F686" s="217" t="s">
        <v>950</v>
      </c>
      <c r="G686" s="217"/>
      <c r="H686" s="218"/>
      <c r="I686" s="217" t="s">
        <v>66</v>
      </c>
      <c r="J686" s="217" t="s">
        <v>66</v>
      </c>
      <c r="K686" s="218" t="s">
        <v>951</v>
      </c>
      <c r="L686" s="212" t="s">
        <v>87</v>
      </c>
      <c r="M686" s="250"/>
      <c r="N686" s="239">
        <v>43822</v>
      </c>
      <c r="O686" s="210" t="s">
        <v>453</v>
      </c>
      <c r="P686" s="210" t="s">
        <v>1075</v>
      </c>
      <c r="Q686" s="210" t="s">
        <v>1076</v>
      </c>
      <c r="R686" s="210" t="s">
        <v>1099</v>
      </c>
      <c r="S686" s="210" t="s">
        <v>1078</v>
      </c>
      <c r="T686" s="210" t="s">
        <v>1079</v>
      </c>
      <c r="U686" s="210" t="s">
        <v>950</v>
      </c>
      <c r="V686" s="210" t="s">
        <v>1080</v>
      </c>
      <c r="W686" s="211" t="s">
        <v>1036</v>
      </c>
      <c r="X686" s="211">
        <v>100000</v>
      </c>
      <c r="Y686" s="211">
        <v>10000</v>
      </c>
      <c r="Z686" s="212">
        <v>100000</v>
      </c>
      <c r="AA686" s="240">
        <v>102</v>
      </c>
      <c r="AB686" s="213">
        <v>1.6E-2</v>
      </c>
      <c r="AC686" s="213">
        <v>0.2</v>
      </c>
      <c r="AD686" s="213" t="s">
        <v>113</v>
      </c>
      <c r="AE686" s="213">
        <v>3.2000000000000002E-3</v>
      </c>
      <c r="AF686" s="241" t="s">
        <v>66</v>
      </c>
      <c r="AG686" s="241" t="s">
        <v>66</v>
      </c>
      <c r="AH686" s="213" t="s">
        <v>66</v>
      </c>
      <c r="AI686" s="352" t="s">
        <v>66</v>
      </c>
      <c r="AJ686" s="213" t="s">
        <v>66</v>
      </c>
      <c r="AK686" s="352" t="s">
        <v>66</v>
      </c>
      <c r="AL686" s="213" t="s">
        <v>66</v>
      </c>
      <c r="AM686" s="352" t="s">
        <v>66</v>
      </c>
      <c r="AN686" s="213" t="s">
        <v>66</v>
      </c>
      <c r="AO686" s="352" t="s">
        <v>66</v>
      </c>
      <c r="AP686" s="213" t="s">
        <v>66</v>
      </c>
      <c r="AQ686" s="219" t="s">
        <v>66</v>
      </c>
      <c r="AR686" s="213" t="s">
        <v>1827</v>
      </c>
      <c r="AV686" s="343"/>
      <c r="AW686" s="328"/>
      <c r="AX686" s="329"/>
      <c r="AY686" s="328"/>
      <c r="AZ686" s="328"/>
      <c r="BA686" s="330"/>
      <c r="BB686" s="328"/>
      <c r="BC686" s="328"/>
      <c r="BD686" s="328"/>
      <c r="BE686" s="330"/>
      <c r="BF686" s="330"/>
      <c r="BG686" s="344"/>
      <c r="BH686" s="330"/>
      <c r="BI686" s="330"/>
      <c r="BJ686" s="330"/>
      <c r="BK686" s="330"/>
      <c r="BL686" s="330"/>
      <c r="BM686" s="330"/>
      <c r="BN686" s="330"/>
      <c r="BO686" s="330"/>
      <c r="BP686" s="331"/>
      <c r="BQ686" s="332"/>
      <c r="BR686" s="333"/>
    </row>
    <row r="687" spans="2:70" ht="15.75" customHeight="1">
      <c r="B687" s="216" t="s">
        <v>452</v>
      </c>
      <c r="C687" s="212">
        <v>1919322</v>
      </c>
      <c r="D687" s="223">
        <v>36828894000150</v>
      </c>
      <c r="E687" s="217" t="s">
        <v>28</v>
      </c>
      <c r="F687" s="217" t="s">
        <v>950</v>
      </c>
      <c r="G687" s="217"/>
      <c r="H687" s="218"/>
      <c r="I687" s="217" t="s">
        <v>66</v>
      </c>
      <c r="J687" s="217" t="s">
        <v>66</v>
      </c>
      <c r="K687" s="218" t="s">
        <v>951</v>
      </c>
      <c r="L687" s="212" t="s">
        <v>87</v>
      </c>
      <c r="M687" s="250"/>
      <c r="N687" s="239">
        <v>43986</v>
      </c>
      <c r="O687" s="210" t="s">
        <v>453</v>
      </c>
      <c r="P687" s="210" t="s">
        <v>1075</v>
      </c>
      <c r="Q687" s="210" t="s">
        <v>1076</v>
      </c>
      <c r="R687" s="210" t="s">
        <v>1077</v>
      </c>
      <c r="S687" s="210" t="s">
        <v>1078</v>
      </c>
      <c r="T687" s="210" t="s">
        <v>1079</v>
      </c>
      <c r="U687" s="210" t="s">
        <v>950</v>
      </c>
      <c r="V687" s="210" t="s">
        <v>1080</v>
      </c>
      <c r="W687" s="211" t="s">
        <v>1007</v>
      </c>
      <c r="X687" s="211">
        <v>5000</v>
      </c>
      <c r="Y687" s="211">
        <v>1000</v>
      </c>
      <c r="Z687" s="212">
        <v>5000</v>
      </c>
      <c r="AA687" s="240">
        <v>60</v>
      </c>
      <c r="AB687" s="213">
        <v>1.7999999999999999E-2</v>
      </c>
      <c r="AC687" s="213">
        <v>0.2</v>
      </c>
      <c r="AD687" s="213" t="s">
        <v>113</v>
      </c>
      <c r="AE687" s="213">
        <v>3.5999999999999999E-3</v>
      </c>
      <c r="AF687" s="241">
        <v>10575894.68</v>
      </c>
      <c r="AG687" s="241">
        <v>10575894.68</v>
      </c>
      <c r="AH687" s="213">
        <v>-0.16009999999999999</v>
      </c>
      <c r="AI687" s="352">
        <v>-2.4664999999999999</v>
      </c>
      <c r="AJ687" s="213">
        <v>-0.30020000000000002</v>
      </c>
      <c r="AK687" s="352">
        <v>-3.1903999999999999</v>
      </c>
      <c r="AL687" s="213">
        <v>-0.27360000000000001</v>
      </c>
      <c r="AM687" s="352">
        <v>-2.2650999999999999</v>
      </c>
      <c r="AN687" s="213" t="s">
        <v>66</v>
      </c>
      <c r="AO687" s="352" t="s">
        <v>66</v>
      </c>
      <c r="AP687" s="213">
        <v>0.26740000000000003</v>
      </c>
      <c r="AQ687" s="219">
        <v>-1.5371887071112176</v>
      </c>
      <c r="AR687" s="213" t="s">
        <v>1827</v>
      </c>
      <c r="AV687" s="343"/>
      <c r="AW687" s="328"/>
      <c r="AX687" s="329"/>
      <c r="AY687" s="328"/>
      <c r="AZ687" s="328"/>
      <c r="BA687" s="330"/>
      <c r="BB687" s="328"/>
      <c r="BC687" s="328"/>
      <c r="BD687" s="328"/>
      <c r="BE687" s="330"/>
      <c r="BF687" s="330"/>
      <c r="BG687" s="344"/>
      <c r="BH687" s="330"/>
      <c r="BI687" s="330"/>
      <c r="BJ687" s="330"/>
      <c r="BK687" s="330"/>
      <c r="BL687" s="330"/>
      <c r="BM687" s="330"/>
      <c r="BN687" s="330"/>
      <c r="BO687" s="330"/>
      <c r="BP687" s="331"/>
      <c r="BQ687" s="332"/>
      <c r="BR687" s="333"/>
    </row>
    <row r="688" spans="2:70" ht="15.75" customHeight="1">
      <c r="B688" s="216" t="s">
        <v>879</v>
      </c>
      <c r="C688" s="212">
        <v>524975</v>
      </c>
      <c r="D688" s="223">
        <v>41881117000109</v>
      </c>
      <c r="E688" s="217" t="s">
        <v>28</v>
      </c>
      <c r="F688" s="217" t="s">
        <v>950</v>
      </c>
      <c r="G688" s="217"/>
      <c r="H688" s="218"/>
      <c r="I688" s="217" t="s">
        <v>66</v>
      </c>
      <c r="J688" s="217" t="s">
        <v>66</v>
      </c>
      <c r="K688" s="218" t="s">
        <v>951</v>
      </c>
      <c r="L688" s="212" t="s">
        <v>87</v>
      </c>
      <c r="M688" s="250"/>
      <c r="N688" s="239">
        <v>44340</v>
      </c>
      <c r="O688" s="210" t="s">
        <v>453</v>
      </c>
      <c r="P688" s="210" t="s">
        <v>1075</v>
      </c>
      <c r="Q688" s="210" t="s">
        <v>1076</v>
      </c>
      <c r="R688" s="210" t="s">
        <v>231</v>
      </c>
      <c r="S688" s="210" t="s">
        <v>1078</v>
      </c>
      <c r="T688" s="210" t="s">
        <v>1079</v>
      </c>
      <c r="U688" s="210" t="s">
        <v>950</v>
      </c>
      <c r="V688" s="210" t="s">
        <v>1080</v>
      </c>
      <c r="W688" s="211" t="s">
        <v>1007</v>
      </c>
      <c r="X688" s="211">
        <v>5000</v>
      </c>
      <c r="Y688" s="211">
        <v>5000</v>
      </c>
      <c r="Z688" s="212">
        <v>5000</v>
      </c>
      <c r="AA688" s="240">
        <v>362</v>
      </c>
      <c r="AB688" s="213">
        <v>1.2999999999999999E-3</v>
      </c>
      <c r="AC688" s="213">
        <v>0.1</v>
      </c>
      <c r="AD688" s="213" t="s">
        <v>113</v>
      </c>
      <c r="AE688" s="213">
        <v>2.5999999999999998E-4</v>
      </c>
      <c r="AF688" s="241">
        <v>2039457.08</v>
      </c>
      <c r="AG688" s="241">
        <v>2039457.08</v>
      </c>
      <c r="AH688" s="213">
        <v>-0.69359999999999999</v>
      </c>
      <c r="AI688" s="352">
        <v>-10.6829</v>
      </c>
      <c r="AJ688" s="213">
        <v>-0.7772</v>
      </c>
      <c r="AK688" s="352">
        <v>-8.2607999999999997</v>
      </c>
      <c r="AL688" s="213" t="s">
        <v>66</v>
      </c>
      <c r="AM688" s="352" t="s">
        <v>66</v>
      </c>
      <c r="AN688" s="213" t="s">
        <v>66</v>
      </c>
      <c r="AO688" s="352" t="s">
        <v>66</v>
      </c>
      <c r="AP688" s="213">
        <v>0.58020000000000005</v>
      </c>
      <c r="AQ688" s="219">
        <v>-2.4362327336600362</v>
      </c>
      <c r="AR688" s="213" t="s">
        <v>1827</v>
      </c>
      <c r="AV688" s="343"/>
      <c r="AW688" s="328"/>
      <c r="AX688" s="329"/>
      <c r="AY688" s="328"/>
      <c r="AZ688" s="328"/>
      <c r="BA688" s="330"/>
      <c r="BB688" s="328"/>
      <c r="BC688" s="328"/>
      <c r="BD688" s="328"/>
      <c r="BE688" s="330"/>
      <c r="BF688" s="330"/>
      <c r="BG688" s="344"/>
      <c r="BH688" s="330"/>
      <c r="BI688" s="330"/>
      <c r="BJ688" s="330"/>
      <c r="BK688" s="330"/>
      <c r="BL688" s="330"/>
      <c r="BM688" s="330"/>
      <c r="BN688" s="330"/>
      <c r="BO688" s="330"/>
      <c r="BP688" s="331"/>
      <c r="BQ688" s="332"/>
      <c r="BR688" s="333"/>
    </row>
    <row r="689" spans="2:70" ht="15.75" customHeight="1">
      <c r="B689" s="216" t="s">
        <v>454</v>
      </c>
      <c r="C689" s="212">
        <v>2509837</v>
      </c>
      <c r="D689" s="223">
        <v>37429375000181</v>
      </c>
      <c r="E689" s="217" t="s">
        <v>28</v>
      </c>
      <c r="F689" s="217" t="s">
        <v>950</v>
      </c>
      <c r="G689" s="217"/>
      <c r="H689" s="218"/>
      <c r="I689" s="217" t="s">
        <v>66</v>
      </c>
      <c r="J689" s="217" t="s">
        <v>66</v>
      </c>
      <c r="K689" s="218" t="s">
        <v>951</v>
      </c>
      <c r="L689" s="212" t="s">
        <v>87</v>
      </c>
      <c r="M689" s="250"/>
      <c r="N689" s="239">
        <v>44028</v>
      </c>
      <c r="O689" s="210" t="s">
        <v>1455</v>
      </c>
      <c r="P689" s="210" t="s">
        <v>1075</v>
      </c>
      <c r="Q689" s="210" t="s">
        <v>1076</v>
      </c>
      <c r="R689" s="210" t="s">
        <v>1099</v>
      </c>
      <c r="S689" s="210" t="s">
        <v>1085</v>
      </c>
      <c r="T689" s="210" t="s">
        <v>1079</v>
      </c>
      <c r="U689" s="210" t="s">
        <v>950</v>
      </c>
      <c r="V689" s="210" t="s">
        <v>1080</v>
      </c>
      <c r="W689" s="211" t="s">
        <v>1036</v>
      </c>
      <c r="X689" s="211">
        <v>50000</v>
      </c>
      <c r="Y689" s="211">
        <v>1000</v>
      </c>
      <c r="Z689" s="212">
        <v>1000</v>
      </c>
      <c r="AA689" s="240">
        <v>32</v>
      </c>
      <c r="AB689" s="213">
        <v>5.0000000000000001E-3</v>
      </c>
      <c r="AC689" s="213">
        <v>0.2</v>
      </c>
      <c r="AD689" s="213" t="s">
        <v>113</v>
      </c>
      <c r="AE689" s="213" t="s">
        <v>66</v>
      </c>
      <c r="AF689" s="241">
        <v>14515023.16</v>
      </c>
      <c r="AG689" s="241">
        <v>14515023.16</v>
      </c>
      <c r="AH689" s="213">
        <v>-0.4027</v>
      </c>
      <c r="AI689" s="352">
        <v>-6.2035999999999998</v>
      </c>
      <c r="AJ689" s="213">
        <v>-0.44069999999999998</v>
      </c>
      <c r="AK689" s="352">
        <v>-4.6844999999999999</v>
      </c>
      <c r="AL689" s="213">
        <v>-0.1663</v>
      </c>
      <c r="AM689" s="352">
        <v>-1.3762000000000001</v>
      </c>
      <c r="AN689" s="213" t="s">
        <v>66</v>
      </c>
      <c r="AO689" s="352" t="s">
        <v>66</v>
      </c>
      <c r="AP689" s="213">
        <v>0.42730000000000001</v>
      </c>
      <c r="AQ689" s="219">
        <v>-1.35676843769438</v>
      </c>
      <c r="AR689" s="213" t="s">
        <v>1827</v>
      </c>
      <c r="AV689" s="343"/>
      <c r="AW689" s="328"/>
      <c r="AX689" s="329"/>
      <c r="AY689" s="328"/>
      <c r="AZ689" s="328"/>
      <c r="BA689" s="330"/>
      <c r="BB689" s="328"/>
      <c r="BC689" s="328"/>
      <c r="BD689" s="328"/>
      <c r="BE689" s="330"/>
      <c r="BF689" s="330"/>
      <c r="BG689" s="344"/>
      <c r="BH689" s="330"/>
      <c r="BI689" s="330"/>
      <c r="BJ689" s="330"/>
      <c r="BK689" s="330"/>
      <c r="BL689" s="330"/>
      <c r="BM689" s="330"/>
      <c r="BN689" s="330"/>
      <c r="BO689" s="330"/>
      <c r="BP689" s="331"/>
      <c r="BQ689" s="332"/>
      <c r="BR689" s="333"/>
    </row>
    <row r="690" spans="2:70" ht="15.75" customHeight="1">
      <c r="B690" s="216" t="s">
        <v>455</v>
      </c>
      <c r="C690" s="212">
        <v>1136161</v>
      </c>
      <c r="D690" s="223">
        <v>10320151000180</v>
      </c>
      <c r="E690" s="217" t="s">
        <v>28</v>
      </c>
      <c r="F690" s="217" t="s">
        <v>950</v>
      </c>
      <c r="G690" s="217"/>
      <c r="H690" s="218"/>
      <c r="I690" s="217" t="s">
        <v>66</v>
      </c>
      <c r="J690" s="217" t="s">
        <v>66</v>
      </c>
      <c r="K690" s="218" t="s">
        <v>951</v>
      </c>
      <c r="L690" s="212" t="s">
        <v>87</v>
      </c>
      <c r="M690" s="250"/>
      <c r="N690" s="239">
        <v>39721</v>
      </c>
      <c r="O690" s="210" t="s">
        <v>456</v>
      </c>
      <c r="P690" s="210" t="s">
        <v>1090</v>
      </c>
      <c r="Q690" s="210" t="s">
        <v>1091</v>
      </c>
      <c r="R690" s="210" t="s">
        <v>1077</v>
      </c>
      <c r="S690" s="210" t="s">
        <v>1078</v>
      </c>
      <c r="T690" s="210" t="s">
        <v>1079</v>
      </c>
      <c r="U690" s="210" t="s">
        <v>950</v>
      </c>
      <c r="V690" s="210" t="s">
        <v>1080</v>
      </c>
      <c r="W690" s="211" t="s">
        <v>1007</v>
      </c>
      <c r="X690" s="211">
        <v>1000</v>
      </c>
      <c r="Y690" s="211">
        <v>1000</v>
      </c>
      <c r="Z690" s="212">
        <v>100</v>
      </c>
      <c r="AA690" s="240">
        <v>30</v>
      </c>
      <c r="AB690" s="213">
        <v>0.02</v>
      </c>
      <c r="AC690" s="213">
        <v>0.15</v>
      </c>
      <c r="AD690" s="213" t="s">
        <v>203</v>
      </c>
      <c r="AE690" s="213">
        <v>5.0000000000000001E-3</v>
      </c>
      <c r="AF690" s="241">
        <v>160784561.91999999</v>
      </c>
      <c r="AG690" s="241">
        <v>160784561.91999999</v>
      </c>
      <c r="AH690" s="213">
        <v>-0.155</v>
      </c>
      <c r="AI690" s="352">
        <v>-2.387</v>
      </c>
      <c r="AJ690" s="213">
        <v>-0.34789999999999999</v>
      </c>
      <c r="AK690" s="352">
        <v>-3.698</v>
      </c>
      <c r="AL690" s="213">
        <v>-0.30780000000000002</v>
      </c>
      <c r="AM690" s="352">
        <v>-2.5478000000000001</v>
      </c>
      <c r="AN690" s="213">
        <v>-0.2787</v>
      </c>
      <c r="AO690" s="352">
        <v>-1.6536999999999999</v>
      </c>
      <c r="AP690" s="213">
        <v>0.24099999999999999</v>
      </c>
      <c r="AQ690" s="219">
        <v>-2.0251388887197086</v>
      </c>
      <c r="AR690" s="213" t="s">
        <v>1827</v>
      </c>
      <c r="AV690" s="343"/>
      <c r="AW690" s="328"/>
      <c r="AX690" s="329"/>
      <c r="AY690" s="328"/>
      <c r="AZ690" s="328"/>
      <c r="BA690" s="330"/>
      <c r="BB690" s="328"/>
      <c r="BC690" s="328"/>
      <c r="BD690" s="328"/>
      <c r="BE690" s="330"/>
      <c r="BF690" s="330"/>
      <c r="BG690" s="344"/>
      <c r="BH690" s="330"/>
      <c r="BI690" s="330"/>
      <c r="BJ690" s="330"/>
      <c r="BK690" s="330"/>
      <c r="BL690" s="330"/>
      <c r="BM690" s="330"/>
      <c r="BN690" s="330"/>
      <c r="BO690" s="330"/>
      <c r="BP690" s="331"/>
      <c r="BQ690" s="332"/>
      <c r="BR690" s="333"/>
    </row>
    <row r="691" spans="2:70" ht="15.75" customHeight="1">
      <c r="B691" s="216" t="s">
        <v>1456</v>
      </c>
      <c r="C691" s="212">
        <v>546940</v>
      </c>
      <c r="D691" s="223">
        <v>26768800000140</v>
      </c>
      <c r="E691" s="217" t="s">
        <v>28</v>
      </c>
      <c r="F691" s="217" t="s">
        <v>950</v>
      </c>
      <c r="G691" s="217"/>
      <c r="H691" s="218"/>
      <c r="I691" s="217" t="s">
        <v>66</v>
      </c>
      <c r="J691" s="217" t="s">
        <v>66</v>
      </c>
      <c r="K691" s="218" t="s">
        <v>951</v>
      </c>
      <c r="L691" s="212" t="s">
        <v>87</v>
      </c>
      <c r="M691" s="250"/>
      <c r="N691" s="239">
        <v>42818</v>
      </c>
      <c r="O691" s="210" t="s">
        <v>456</v>
      </c>
      <c r="P691" s="210" t="s">
        <v>1090</v>
      </c>
      <c r="Q691" s="210" t="s">
        <v>1091</v>
      </c>
      <c r="R691" s="210" t="s">
        <v>1084</v>
      </c>
      <c r="S691" s="210" t="s">
        <v>1078</v>
      </c>
      <c r="T691" s="210" t="s">
        <v>1079</v>
      </c>
      <c r="U691" s="210" t="s">
        <v>950</v>
      </c>
      <c r="V691" s="210" t="s">
        <v>1080</v>
      </c>
      <c r="W691" s="211" t="s">
        <v>1007</v>
      </c>
      <c r="X691" s="211">
        <v>1000</v>
      </c>
      <c r="Y691" s="211">
        <v>1000</v>
      </c>
      <c r="Z691" s="212">
        <v>1000</v>
      </c>
      <c r="AA691" s="240">
        <v>30</v>
      </c>
      <c r="AB691" s="213">
        <v>0.02</v>
      </c>
      <c r="AC691" s="213">
        <v>0.2</v>
      </c>
      <c r="AD691" s="213" t="s">
        <v>1100</v>
      </c>
      <c r="AE691" s="213">
        <v>5.0000000000000001E-3</v>
      </c>
      <c r="AF691" s="241">
        <v>467970939.35000002</v>
      </c>
      <c r="AG691" s="241">
        <v>467970939.35000002</v>
      </c>
      <c r="AH691" s="213">
        <v>-7.6499999999999999E-2</v>
      </c>
      <c r="AI691" s="352">
        <v>-1.1779999999999999</v>
      </c>
      <c r="AJ691" s="213">
        <v>-0.31969999999999998</v>
      </c>
      <c r="AK691" s="352">
        <v>-3.3975</v>
      </c>
      <c r="AL691" s="213">
        <v>-0.23949999999999999</v>
      </c>
      <c r="AM691" s="352">
        <v>-1.9821</v>
      </c>
      <c r="AN691" s="213">
        <v>-0.2016</v>
      </c>
      <c r="AO691" s="352">
        <v>-1.1961999999999999</v>
      </c>
      <c r="AP691" s="213">
        <v>0.24929999999999999</v>
      </c>
      <c r="AQ691" s="219">
        <v>-1.779566166833918</v>
      </c>
      <c r="AR691" s="213" t="s">
        <v>1824</v>
      </c>
      <c r="AV691" s="343"/>
      <c r="AW691" s="328"/>
      <c r="AX691" s="329"/>
      <c r="AY691" s="328"/>
      <c r="AZ691" s="328"/>
      <c r="BA691" s="330"/>
      <c r="BB691" s="328"/>
      <c r="BC691" s="328"/>
      <c r="BD691" s="328"/>
      <c r="BE691" s="330"/>
      <c r="BF691" s="330"/>
      <c r="BG691" s="344"/>
      <c r="BH691" s="330"/>
      <c r="BI691" s="330"/>
      <c r="BJ691" s="330"/>
      <c r="BK691" s="330"/>
      <c r="BL691" s="330"/>
      <c r="BM691" s="330"/>
      <c r="BN691" s="330"/>
      <c r="BO691" s="330"/>
      <c r="BP691" s="331"/>
      <c r="BQ691" s="332"/>
      <c r="BR691" s="333"/>
    </row>
    <row r="692" spans="2:70" ht="15.75" customHeight="1">
      <c r="B692" s="216" t="s">
        <v>1457</v>
      </c>
      <c r="C692" s="212">
        <v>620138</v>
      </c>
      <c r="D692" s="223">
        <v>39511032000197</v>
      </c>
      <c r="E692" s="217" t="s">
        <v>19</v>
      </c>
      <c r="F692" s="217" t="s">
        <v>963</v>
      </c>
      <c r="G692" s="217" t="s">
        <v>1011</v>
      </c>
      <c r="H692" s="218" t="s">
        <v>1113</v>
      </c>
      <c r="I692" s="217" t="s">
        <v>66</v>
      </c>
      <c r="J692" s="217"/>
      <c r="K692" s="218"/>
      <c r="L692" s="212" t="s">
        <v>87</v>
      </c>
      <c r="M692" s="250"/>
      <c r="N692" s="239">
        <v>44509</v>
      </c>
      <c r="O692" s="210" t="s">
        <v>458</v>
      </c>
      <c r="P692" s="210" t="s">
        <v>1110</v>
      </c>
      <c r="Q692" s="210" t="s">
        <v>1110</v>
      </c>
      <c r="R692" s="210" t="s">
        <v>1077</v>
      </c>
      <c r="S692" s="210" t="s">
        <v>1078</v>
      </c>
      <c r="T692" s="210" t="s">
        <v>349</v>
      </c>
      <c r="U692" s="210" t="s">
        <v>1114</v>
      </c>
      <c r="V692" s="210" t="s">
        <v>25</v>
      </c>
      <c r="W692" s="211" t="s">
        <v>1019</v>
      </c>
      <c r="X692" s="211">
        <v>1000</v>
      </c>
      <c r="Y692" s="211">
        <v>500</v>
      </c>
      <c r="Z692" s="212">
        <v>1000</v>
      </c>
      <c r="AA692" s="240">
        <v>46</v>
      </c>
      <c r="AB692" s="213">
        <v>6.4999999999999997E-3</v>
      </c>
      <c r="AC692" s="213">
        <v>0.2</v>
      </c>
      <c r="AD692" s="213" t="s">
        <v>109</v>
      </c>
      <c r="AE692" s="213">
        <v>1.2999999999999999E-3</v>
      </c>
      <c r="AF692" s="241">
        <v>31831333.82</v>
      </c>
      <c r="AG692" s="241">
        <v>31831333.82</v>
      </c>
      <c r="AH692" s="213">
        <v>7.5499999999999998E-2</v>
      </c>
      <c r="AI692" s="352">
        <v>1.1636</v>
      </c>
      <c r="AJ692" s="213" t="s">
        <v>66</v>
      </c>
      <c r="AK692" s="352" t="s">
        <v>66</v>
      </c>
      <c r="AL692" s="213" t="s">
        <v>66</v>
      </c>
      <c r="AM692" s="352" t="s">
        <v>66</v>
      </c>
      <c r="AN692" s="213" t="s">
        <v>66</v>
      </c>
      <c r="AO692" s="352" t="s">
        <v>66</v>
      </c>
      <c r="AP692" s="213" t="s">
        <v>66</v>
      </c>
      <c r="AQ692" s="219" t="s">
        <v>66</v>
      </c>
      <c r="AR692" s="213" t="s">
        <v>1827</v>
      </c>
      <c r="AV692" s="343"/>
      <c r="AW692" s="328"/>
      <c r="AX692" s="329"/>
      <c r="AY692" s="328"/>
      <c r="AZ692" s="328"/>
      <c r="BA692" s="330"/>
      <c r="BB692" s="328"/>
      <c r="BC692" s="328"/>
      <c r="BD692" s="328"/>
      <c r="BE692" s="330"/>
      <c r="BF692" s="330"/>
      <c r="BG692" s="344"/>
      <c r="BH692" s="330"/>
      <c r="BI692" s="330"/>
      <c r="BJ692" s="330"/>
      <c r="BK692" s="330"/>
      <c r="BL692" s="330"/>
      <c r="BM692" s="330"/>
      <c r="BN692" s="330"/>
      <c r="BO692" s="330"/>
      <c r="BP692" s="331"/>
      <c r="BQ692" s="332"/>
      <c r="BR692" s="333"/>
    </row>
    <row r="693" spans="2:70" ht="15.75" customHeight="1">
      <c r="B693" s="216" t="s">
        <v>459</v>
      </c>
      <c r="C693" s="212">
        <v>595427</v>
      </c>
      <c r="D693" s="223">
        <v>35711552000192</v>
      </c>
      <c r="E693" s="217" t="s">
        <v>25</v>
      </c>
      <c r="F693" s="217" t="s">
        <v>958</v>
      </c>
      <c r="G693" s="217" t="s">
        <v>962</v>
      </c>
      <c r="H693" s="218" t="s">
        <v>66</v>
      </c>
      <c r="I693" s="217" t="s">
        <v>1259</v>
      </c>
      <c r="J693" s="217" t="s">
        <v>66</v>
      </c>
      <c r="K693" s="218"/>
      <c r="L693" s="212" t="s">
        <v>87</v>
      </c>
      <c r="M693" s="250"/>
      <c r="N693" s="239">
        <v>43872</v>
      </c>
      <c r="O693" s="210" t="s">
        <v>458</v>
      </c>
      <c r="P693" s="210" t="s">
        <v>1090</v>
      </c>
      <c r="Q693" s="210" t="s">
        <v>1091</v>
      </c>
      <c r="R693" s="210" t="s">
        <v>1084</v>
      </c>
      <c r="S693" s="210" t="s">
        <v>1085</v>
      </c>
      <c r="T693" s="210" t="s">
        <v>1082</v>
      </c>
      <c r="U693" s="210" t="s">
        <v>958</v>
      </c>
      <c r="V693" s="210" t="s">
        <v>25</v>
      </c>
      <c r="W693" s="211" t="s">
        <v>1012</v>
      </c>
      <c r="X693" s="211">
        <v>500</v>
      </c>
      <c r="Y693" s="211">
        <v>100</v>
      </c>
      <c r="Z693" s="212">
        <v>100</v>
      </c>
      <c r="AA693" s="240">
        <v>61</v>
      </c>
      <c r="AB693" s="213">
        <v>1.9E-2</v>
      </c>
      <c r="AC693" s="213">
        <v>0.2</v>
      </c>
      <c r="AD693" s="213" t="s">
        <v>113</v>
      </c>
      <c r="AE693" s="213">
        <v>2.5333333333333332E-3</v>
      </c>
      <c r="AF693" s="241">
        <v>337421997.75999999</v>
      </c>
      <c r="AG693" s="241">
        <v>337421997.75999999</v>
      </c>
      <c r="AH693" s="213">
        <v>0.17860000000000001</v>
      </c>
      <c r="AI693" s="352">
        <v>2.7509999999999999</v>
      </c>
      <c r="AJ693" s="213">
        <v>0.21260000000000001</v>
      </c>
      <c r="AK693" s="352">
        <v>2.2599</v>
      </c>
      <c r="AL693" s="213">
        <v>0.27560000000000001</v>
      </c>
      <c r="AM693" s="352">
        <v>2.2814999999999999</v>
      </c>
      <c r="AN693" s="213" t="s">
        <v>66</v>
      </c>
      <c r="AO693" s="352" t="s">
        <v>66</v>
      </c>
      <c r="AP693" s="213">
        <v>5.5500000000000001E-2</v>
      </c>
      <c r="AQ693" s="219">
        <v>1.8835418149060115</v>
      </c>
      <c r="AR693" s="213" t="s">
        <v>1827</v>
      </c>
      <c r="AV693" s="343"/>
      <c r="AW693" s="328"/>
      <c r="AX693" s="329"/>
      <c r="AY693" s="328"/>
      <c r="AZ693" s="328"/>
      <c r="BA693" s="330"/>
      <c r="BB693" s="328"/>
      <c r="BC693" s="328"/>
      <c r="BD693" s="328"/>
      <c r="BE693" s="330"/>
      <c r="BF693" s="330"/>
      <c r="BG693" s="344"/>
      <c r="BH693" s="330"/>
      <c r="BI693" s="330"/>
      <c r="BJ693" s="330"/>
      <c r="BK693" s="330"/>
      <c r="BL693" s="330"/>
      <c r="BM693" s="330"/>
      <c r="BN693" s="330"/>
      <c r="BO693" s="330"/>
      <c r="BP693" s="331"/>
      <c r="BQ693" s="332"/>
      <c r="BR693" s="333"/>
    </row>
    <row r="694" spans="2:70" ht="15.75" customHeight="1">
      <c r="B694" s="216" t="s">
        <v>460</v>
      </c>
      <c r="C694" s="212">
        <v>950669</v>
      </c>
      <c r="D694" s="223">
        <v>33150614000109</v>
      </c>
      <c r="E694" s="217" t="s">
        <v>25</v>
      </c>
      <c r="F694" s="217" t="s">
        <v>958</v>
      </c>
      <c r="G694" s="217" t="s">
        <v>962</v>
      </c>
      <c r="H694" s="218" t="s">
        <v>66</v>
      </c>
      <c r="I694" s="217" t="s">
        <v>1842</v>
      </c>
      <c r="J694" s="217" t="s">
        <v>66</v>
      </c>
      <c r="K694" s="218"/>
      <c r="L694" s="212" t="s">
        <v>87</v>
      </c>
      <c r="M694" s="250"/>
      <c r="N694" s="239">
        <v>43593</v>
      </c>
      <c r="O694" s="210" t="s">
        <v>458</v>
      </c>
      <c r="P694" s="210" t="s">
        <v>1075</v>
      </c>
      <c r="Q694" s="210" t="s">
        <v>1076</v>
      </c>
      <c r="R694" s="210" t="s">
        <v>231</v>
      </c>
      <c r="S694" s="210" t="s">
        <v>1078</v>
      </c>
      <c r="T694" s="210" t="s">
        <v>1082</v>
      </c>
      <c r="U694" s="210" t="s">
        <v>958</v>
      </c>
      <c r="V694" s="210" t="s">
        <v>25</v>
      </c>
      <c r="W694" s="211" t="s">
        <v>1012</v>
      </c>
      <c r="X694" s="211">
        <v>500</v>
      </c>
      <c r="Y694" s="211">
        <v>100</v>
      </c>
      <c r="Z694" s="212">
        <v>100</v>
      </c>
      <c r="AA694" s="240">
        <v>31</v>
      </c>
      <c r="AB694" s="213">
        <v>1.9E-2</v>
      </c>
      <c r="AC694" s="213">
        <v>0.2</v>
      </c>
      <c r="AD694" s="213" t="s">
        <v>109</v>
      </c>
      <c r="AE694" s="213" t="s">
        <v>66</v>
      </c>
      <c r="AF694" s="241" t="s">
        <v>66</v>
      </c>
      <c r="AG694" s="241" t="s">
        <v>66</v>
      </c>
      <c r="AH694" s="213" t="s">
        <v>66</v>
      </c>
      <c r="AI694" s="352" t="s">
        <v>66</v>
      </c>
      <c r="AJ694" s="213" t="s">
        <v>66</v>
      </c>
      <c r="AK694" s="352" t="s">
        <v>66</v>
      </c>
      <c r="AL694" s="213" t="s">
        <v>66</v>
      </c>
      <c r="AM694" s="352" t="s">
        <v>66</v>
      </c>
      <c r="AN694" s="213" t="s">
        <v>66</v>
      </c>
      <c r="AO694" s="352" t="s">
        <v>66</v>
      </c>
      <c r="AP694" s="213" t="s">
        <v>66</v>
      </c>
      <c r="AQ694" s="219" t="s">
        <v>66</v>
      </c>
      <c r="AR694" s="213" t="s">
        <v>66</v>
      </c>
      <c r="AV694" s="343"/>
      <c r="AW694" s="328"/>
      <c r="AX694" s="329"/>
      <c r="AY694" s="328"/>
      <c r="AZ694" s="328"/>
      <c r="BA694" s="330"/>
      <c r="BB694" s="328"/>
      <c r="BC694" s="328"/>
      <c r="BD694" s="328"/>
      <c r="BE694" s="330"/>
      <c r="BF694" s="330"/>
      <c r="BG694" s="344"/>
      <c r="BH694" s="330"/>
      <c r="BI694" s="330"/>
      <c r="BJ694" s="330"/>
      <c r="BK694" s="330"/>
      <c r="BL694" s="330"/>
      <c r="BM694" s="330"/>
      <c r="BN694" s="330"/>
      <c r="BO694" s="330"/>
      <c r="BP694" s="331"/>
      <c r="BQ694" s="332"/>
      <c r="BR694" s="333"/>
    </row>
    <row r="695" spans="2:70" ht="15.75" customHeight="1">
      <c r="B695" s="216" t="s">
        <v>1459</v>
      </c>
      <c r="C695" s="212">
        <v>1239541</v>
      </c>
      <c r="D695" s="223">
        <v>26370141000190</v>
      </c>
      <c r="E695" s="217" t="s">
        <v>19</v>
      </c>
      <c r="F695" s="217" t="s">
        <v>1009</v>
      </c>
      <c r="G695" s="217"/>
      <c r="H695" s="218"/>
      <c r="I695" s="217" t="s">
        <v>66</v>
      </c>
      <c r="J695" s="217"/>
      <c r="K695" s="218" t="s">
        <v>954</v>
      </c>
      <c r="L695" s="212" t="s">
        <v>87</v>
      </c>
      <c r="M695" s="250"/>
      <c r="N695" s="239">
        <v>42958</v>
      </c>
      <c r="O695" s="210" t="s">
        <v>461</v>
      </c>
      <c r="P695" s="210" t="s">
        <v>1102</v>
      </c>
      <c r="Q695" s="210" t="s">
        <v>1102</v>
      </c>
      <c r="R695" s="210" t="s">
        <v>1077</v>
      </c>
      <c r="S695" s="210" t="s">
        <v>1078</v>
      </c>
      <c r="T695" s="210" t="s">
        <v>349</v>
      </c>
      <c r="U695" s="210" t="s">
        <v>65</v>
      </c>
      <c r="V695" s="210" t="s">
        <v>25</v>
      </c>
      <c r="W695" s="211" t="s">
        <v>1028</v>
      </c>
      <c r="X695" s="211">
        <v>5000</v>
      </c>
      <c r="Y695" s="211">
        <v>1000</v>
      </c>
      <c r="Z695" s="212">
        <v>1000</v>
      </c>
      <c r="AA695" s="240">
        <v>5</v>
      </c>
      <c r="AB695" s="213">
        <v>0.01</v>
      </c>
      <c r="AC695" s="213">
        <v>0</v>
      </c>
      <c r="AD695" s="213" t="s">
        <v>113</v>
      </c>
      <c r="AE695" s="213">
        <v>5.3333333333333332E-3</v>
      </c>
      <c r="AF695" s="241">
        <v>11855433.5</v>
      </c>
      <c r="AG695" s="241">
        <v>11855433.5</v>
      </c>
      <c r="AH695" s="213">
        <v>-5.1799999999999999E-2</v>
      </c>
      <c r="AI695" s="352">
        <v>-0.79720000000000002</v>
      </c>
      <c r="AJ695" s="213">
        <v>-4.2900000000000001E-2</v>
      </c>
      <c r="AK695" s="352">
        <v>-0.45600000000000002</v>
      </c>
      <c r="AL695" s="213">
        <v>4.6600000000000003E-2</v>
      </c>
      <c r="AM695" s="352">
        <v>0.38550000000000001</v>
      </c>
      <c r="AN695" s="213">
        <v>-1.21E-2</v>
      </c>
      <c r="AO695" s="352">
        <v>-7.1999999999999995E-2</v>
      </c>
      <c r="AP695" s="213">
        <v>4.1500000000000002E-2</v>
      </c>
      <c r="AQ695" s="219">
        <v>-3.2025080732320799</v>
      </c>
      <c r="AR695" s="213" t="s">
        <v>1824</v>
      </c>
      <c r="AV695" s="343"/>
      <c r="AW695" s="328"/>
      <c r="AX695" s="329"/>
      <c r="AY695" s="328"/>
      <c r="AZ695" s="328"/>
      <c r="BA695" s="330"/>
      <c r="BB695" s="328"/>
      <c r="BC695" s="328"/>
      <c r="BD695" s="328"/>
      <c r="BE695" s="330"/>
      <c r="BF695" s="330"/>
      <c r="BG695" s="344"/>
      <c r="BH695" s="330"/>
      <c r="BI695" s="330"/>
      <c r="BJ695" s="330"/>
      <c r="BK695" s="330"/>
      <c r="BL695" s="330"/>
      <c r="BM695" s="330"/>
      <c r="BN695" s="330"/>
      <c r="BO695" s="330"/>
      <c r="BP695" s="331"/>
      <c r="BQ695" s="332"/>
      <c r="BR695" s="333"/>
    </row>
    <row r="696" spans="2:70" ht="15.75" customHeight="1">
      <c r="B696" s="216" t="s">
        <v>1460</v>
      </c>
      <c r="C696" s="212">
        <v>757679</v>
      </c>
      <c r="D696" s="223">
        <v>28320600000156</v>
      </c>
      <c r="E696" s="217" t="s">
        <v>28</v>
      </c>
      <c r="F696" s="217" t="s">
        <v>950</v>
      </c>
      <c r="G696" s="217"/>
      <c r="H696" s="218" t="s">
        <v>1260</v>
      </c>
      <c r="I696" s="217" t="s">
        <v>66</v>
      </c>
      <c r="J696" s="217" t="s">
        <v>66</v>
      </c>
      <c r="K696" s="218" t="s">
        <v>1040</v>
      </c>
      <c r="L696" s="212"/>
      <c r="M696" s="250"/>
      <c r="N696" s="239">
        <v>43063</v>
      </c>
      <c r="O696" s="210" t="s">
        <v>461</v>
      </c>
      <c r="P696" s="210" t="s">
        <v>1102</v>
      </c>
      <c r="Q696" s="210" t="s">
        <v>1102</v>
      </c>
      <c r="R696" s="210" t="s">
        <v>1077</v>
      </c>
      <c r="S696" s="210" t="s">
        <v>1078</v>
      </c>
      <c r="T696" s="210" t="s">
        <v>1079</v>
      </c>
      <c r="U696" s="210" t="s">
        <v>65</v>
      </c>
      <c r="V696" s="210" t="s">
        <v>1080</v>
      </c>
      <c r="W696" s="211" t="s">
        <v>1036</v>
      </c>
      <c r="X696" s="211">
        <v>5000</v>
      </c>
      <c r="Y696" s="211">
        <v>1000</v>
      </c>
      <c r="Z696" s="212">
        <v>1000</v>
      </c>
      <c r="AA696" s="240">
        <v>5</v>
      </c>
      <c r="AB696" s="213">
        <v>0.01</v>
      </c>
      <c r="AC696" s="213">
        <v>0</v>
      </c>
      <c r="AD696" s="213" t="s">
        <v>1157</v>
      </c>
      <c r="AE696" s="213">
        <v>5.3333333333333332E-3</v>
      </c>
      <c r="AF696" s="241">
        <v>169168864.97999999</v>
      </c>
      <c r="AG696" s="241">
        <v>169168864.97999999</v>
      </c>
      <c r="AH696" s="213">
        <v>-0.21510000000000001</v>
      </c>
      <c r="AI696" s="352">
        <v>-3.3125</v>
      </c>
      <c r="AJ696" s="213">
        <v>-0.14530000000000001</v>
      </c>
      <c r="AK696" s="352">
        <v>-1.5446</v>
      </c>
      <c r="AL696" s="213">
        <v>0.1265</v>
      </c>
      <c r="AM696" s="352">
        <v>1.0469999999999999</v>
      </c>
      <c r="AN696" s="213">
        <v>0.29010000000000002</v>
      </c>
      <c r="AO696" s="352">
        <v>1.7214</v>
      </c>
      <c r="AP696" s="213">
        <v>0.26690000000000003</v>
      </c>
      <c r="AQ696" s="219">
        <v>-0.79169283602239138</v>
      </c>
      <c r="AR696" s="213" t="s">
        <v>1824</v>
      </c>
      <c r="AV696" s="343"/>
      <c r="AW696" s="328"/>
      <c r="AX696" s="329"/>
      <c r="AY696" s="328"/>
      <c r="AZ696" s="328"/>
      <c r="BA696" s="330"/>
      <c r="BB696" s="328"/>
      <c r="BC696" s="328"/>
      <c r="BD696" s="328"/>
      <c r="BE696" s="330"/>
      <c r="BF696" s="330"/>
      <c r="BG696" s="344"/>
      <c r="BH696" s="330"/>
      <c r="BI696" s="330"/>
      <c r="BJ696" s="330"/>
      <c r="BK696" s="330"/>
      <c r="BL696" s="330"/>
      <c r="BM696" s="330"/>
      <c r="BN696" s="330"/>
      <c r="BO696" s="330"/>
      <c r="BP696" s="331"/>
      <c r="BQ696" s="332"/>
      <c r="BR696" s="333"/>
    </row>
    <row r="697" spans="2:70" ht="15.75" customHeight="1">
      <c r="B697" s="216" t="s">
        <v>1461</v>
      </c>
      <c r="C697" s="212">
        <v>931512</v>
      </c>
      <c r="D697" s="223">
        <v>26369994000101</v>
      </c>
      <c r="E697" s="217" t="s">
        <v>28</v>
      </c>
      <c r="F697" s="217" t="s">
        <v>950</v>
      </c>
      <c r="G697" s="217"/>
      <c r="H697" s="218"/>
      <c r="I697" s="217" t="s">
        <v>66</v>
      </c>
      <c r="J697" s="217" t="s">
        <v>66</v>
      </c>
      <c r="K697" s="218" t="s">
        <v>954</v>
      </c>
      <c r="L697" s="212"/>
      <c r="M697" s="250"/>
      <c r="N697" s="239">
        <v>43063</v>
      </c>
      <c r="O697" s="210" t="s">
        <v>461</v>
      </c>
      <c r="P697" s="210" t="s">
        <v>1102</v>
      </c>
      <c r="Q697" s="210" t="s">
        <v>1102</v>
      </c>
      <c r="R697" s="210" t="s">
        <v>1077</v>
      </c>
      <c r="S697" s="210" t="s">
        <v>1078</v>
      </c>
      <c r="T697" s="210" t="s">
        <v>1079</v>
      </c>
      <c r="U697" s="210" t="s">
        <v>65</v>
      </c>
      <c r="V697" s="210" t="s">
        <v>1080</v>
      </c>
      <c r="W697" s="211" t="s">
        <v>1036</v>
      </c>
      <c r="X697" s="211">
        <v>5000</v>
      </c>
      <c r="Y697" s="211">
        <v>1000</v>
      </c>
      <c r="Z697" s="212">
        <v>1000</v>
      </c>
      <c r="AA697" s="240">
        <v>5</v>
      </c>
      <c r="AB697" s="213">
        <v>0.01</v>
      </c>
      <c r="AC697" s="213">
        <v>0</v>
      </c>
      <c r="AD697" s="213" t="s">
        <v>113</v>
      </c>
      <c r="AE697" s="213">
        <v>5.3333333333333332E-3</v>
      </c>
      <c r="AF697" s="241">
        <v>13363252.25</v>
      </c>
      <c r="AG697" s="241">
        <v>13363252.25</v>
      </c>
      <c r="AH697" s="213">
        <v>-0.19900000000000001</v>
      </c>
      <c r="AI697" s="352">
        <v>-3.0651999999999999</v>
      </c>
      <c r="AJ697" s="213">
        <v>-0.14369999999999999</v>
      </c>
      <c r="AK697" s="352">
        <v>-1.5278</v>
      </c>
      <c r="AL697" s="213">
        <v>-1.6299999999999999E-2</v>
      </c>
      <c r="AM697" s="352">
        <v>-0.1351</v>
      </c>
      <c r="AN697" s="213">
        <v>-7.0999999999999994E-2</v>
      </c>
      <c r="AO697" s="352">
        <v>-0.42149999999999999</v>
      </c>
      <c r="AP697" s="213">
        <v>0.25169999999999998</v>
      </c>
      <c r="AQ697" s="219">
        <v>-0.84858030097169002</v>
      </c>
      <c r="AR697" s="213" t="s">
        <v>1824</v>
      </c>
      <c r="AV697" s="343"/>
      <c r="AW697" s="328"/>
      <c r="AX697" s="329"/>
      <c r="AY697" s="328"/>
      <c r="AZ697" s="328"/>
      <c r="BA697" s="330"/>
      <c r="BB697" s="328"/>
      <c r="BC697" s="328"/>
      <c r="BD697" s="328"/>
      <c r="BE697" s="330"/>
      <c r="BF697" s="330"/>
      <c r="BG697" s="344"/>
      <c r="BH697" s="330"/>
      <c r="BI697" s="330"/>
      <c r="BJ697" s="330"/>
      <c r="BK697" s="330"/>
      <c r="BL697" s="330"/>
      <c r="BM697" s="330"/>
      <c r="BN697" s="330"/>
      <c r="BO697" s="330"/>
      <c r="BP697" s="331"/>
      <c r="BQ697" s="332"/>
      <c r="BR697" s="333"/>
    </row>
    <row r="698" spans="2:70" ht="15.75" customHeight="1">
      <c r="B698" s="216" t="s">
        <v>1462</v>
      </c>
      <c r="C698" s="212">
        <v>1019453</v>
      </c>
      <c r="D698" s="223">
        <v>35578945000170</v>
      </c>
      <c r="E698" s="217" t="s">
        <v>28</v>
      </c>
      <c r="F698" s="217" t="s">
        <v>950</v>
      </c>
      <c r="G698" s="217"/>
      <c r="H698" s="218"/>
      <c r="I698" s="217" t="s">
        <v>66</v>
      </c>
      <c r="J698" s="217" t="s">
        <v>66</v>
      </c>
      <c r="K698" s="218" t="s">
        <v>954</v>
      </c>
      <c r="L698" s="212"/>
      <c r="M698" s="250"/>
      <c r="N698" s="239">
        <v>43964</v>
      </c>
      <c r="O698" s="210" t="s">
        <v>461</v>
      </c>
      <c r="P698" s="210" t="s">
        <v>1102</v>
      </c>
      <c r="Q698" s="210" t="s">
        <v>1102</v>
      </c>
      <c r="R698" s="210" t="s">
        <v>1077</v>
      </c>
      <c r="S698" s="210" t="s">
        <v>1078</v>
      </c>
      <c r="T698" s="210" t="s">
        <v>1079</v>
      </c>
      <c r="U698" s="210" t="s">
        <v>65</v>
      </c>
      <c r="V698" s="210" t="s">
        <v>1080</v>
      </c>
      <c r="W698" s="211" t="s">
        <v>1036</v>
      </c>
      <c r="X698" s="211">
        <v>5000</v>
      </c>
      <c r="Y698" s="211">
        <v>1000</v>
      </c>
      <c r="Z698" s="212">
        <v>1000</v>
      </c>
      <c r="AA698" s="240">
        <v>5</v>
      </c>
      <c r="AB698" s="213">
        <v>0.01</v>
      </c>
      <c r="AC698" s="213">
        <v>0</v>
      </c>
      <c r="AD698" s="213" t="s">
        <v>113</v>
      </c>
      <c r="AE698" s="213">
        <v>5.3333333333333332E-3</v>
      </c>
      <c r="AF698" s="241">
        <v>92550662.140000001</v>
      </c>
      <c r="AG698" s="241">
        <v>92550662.140000001</v>
      </c>
      <c r="AH698" s="213">
        <v>-0.31169999999999998</v>
      </c>
      <c r="AI698" s="352">
        <v>-4.8005000000000004</v>
      </c>
      <c r="AJ698" s="213">
        <v>-0.26800000000000002</v>
      </c>
      <c r="AK698" s="352">
        <v>-2.8489</v>
      </c>
      <c r="AL698" s="213">
        <v>-5.0599999999999999E-2</v>
      </c>
      <c r="AM698" s="352">
        <v>-0.41920000000000002</v>
      </c>
      <c r="AN698" s="213" t="s">
        <v>66</v>
      </c>
      <c r="AO698" s="352" t="s">
        <v>66</v>
      </c>
      <c r="AP698" s="213">
        <v>0.25869999999999999</v>
      </c>
      <c r="AQ698" s="219">
        <v>-1.4241921635365915</v>
      </c>
      <c r="AR698" s="213" t="s">
        <v>1824</v>
      </c>
      <c r="AV698" s="343"/>
      <c r="AW698" s="328"/>
      <c r="AX698" s="329"/>
      <c r="AY698" s="328"/>
      <c r="AZ698" s="328"/>
      <c r="BA698" s="330"/>
      <c r="BB698" s="328"/>
      <c r="BC698" s="328"/>
      <c r="BD698" s="328"/>
      <c r="BE698" s="330"/>
      <c r="BF698" s="330"/>
      <c r="BG698" s="344"/>
      <c r="BH698" s="330"/>
      <c r="BI698" s="330"/>
      <c r="BJ698" s="330"/>
      <c r="BK698" s="330"/>
      <c r="BL698" s="330"/>
      <c r="BM698" s="330"/>
      <c r="BN698" s="330"/>
      <c r="BO698" s="330"/>
      <c r="BP698" s="331"/>
      <c r="BQ698" s="332"/>
      <c r="BR698" s="333"/>
    </row>
    <row r="699" spans="2:70" ht="15.75" customHeight="1">
      <c r="B699" s="216" t="s">
        <v>1463</v>
      </c>
      <c r="C699" s="212">
        <v>1019461</v>
      </c>
      <c r="D699" s="223">
        <v>26370126000141</v>
      </c>
      <c r="E699" s="217" t="s">
        <v>28</v>
      </c>
      <c r="F699" s="217" t="s">
        <v>950</v>
      </c>
      <c r="G699" s="217"/>
      <c r="H699" s="218"/>
      <c r="I699" s="217" t="s">
        <v>66</v>
      </c>
      <c r="J699" s="217" t="s">
        <v>66</v>
      </c>
      <c r="K699" s="218" t="s">
        <v>954</v>
      </c>
      <c r="L699" s="212"/>
      <c r="M699" s="250"/>
      <c r="N699" s="239">
        <v>42958</v>
      </c>
      <c r="O699" s="210" t="s">
        <v>461</v>
      </c>
      <c r="P699" s="210" t="s">
        <v>1102</v>
      </c>
      <c r="Q699" s="210" t="s">
        <v>1102</v>
      </c>
      <c r="R699" s="210" t="s">
        <v>1077</v>
      </c>
      <c r="S699" s="210" t="s">
        <v>1078</v>
      </c>
      <c r="T699" s="210" t="s">
        <v>1079</v>
      </c>
      <c r="U699" s="210" t="s">
        <v>65</v>
      </c>
      <c r="V699" s="210" t="s">
        <v>1080</v>
      </c>
      <c r="W699" s="211" t="s">
        <v>1036</v>
      </c>
      <c r="X699" s="211">
        <v>5000</v>
      </c>
      <c r="Y699" s="211">
        <v>1000</v>
      </c>
      <c r="Z699" s="212">
        <v>1000</v>
      </c>
      <c r="AA699" s="240">
        <v>5</v>
      </c>
      <c r="AB699" s="213">
        <v>0.01</v>
      </c>
      <c r="AC699" s="213">
        <v>0</v>
      </c>
      <c r="AD699" s="213" t="s">
        <v>113</v>
      </c>
      <c r="AE699" s="213">
        <v>5.3333333333333332E-3</v>
      </c>
      <c r="AF699" s="241">
        <v>43580466.189999998</v>
      </c>
      <c r="AG699" s="241">
        <v>43580466.189999998</v>
      </c>
      <c r="AH699" s="213">
        <v>0.17780000000000001</v>
      </c>
      <c r="AI699" s="352">
        <v>2.7389000000000001</v>
      </c>
      <c r="AJ699" s="213">
        <v>0.31730000000000003</v>
      </c>
      <c r="AK699" s="352">
        <v>3.3727999999999998</v>
      </c>
      <c r="AL699" s="213">
        <v>0.55169999999999997</v>
      </c>
      <c r="AM699" s="352">
        <v>4.5667999999999997</v>
      </c>
      <c r="AN699" s="213">
        <v>0.52059999999999995</v>
      </c>
      <c r="AO699" s="352">
        <v>3.0895999999999999</v>
      </c>
      <c r="AP699" s="213">
        <v>0.12590000000000001</v>
      </c>
      <c r="AQ699" s="219">
        <v>1.5387792692416529</v>
      </c>
      <c r="AR699" s="213" t="s">
        <v>1824</v>
      </c>
      <c r="AU699" s="343"/>
      <c r="AV699" s="343"/>
      <c r="AW699" s="328"/>
      <c r="AX699" s="329"/>
      <c r="AY699" s="328"/>
      <c r="AZ699" s="328"/>
      <c r="BA699" s="330"/>
      <c r="BB699" s="328"/>
      <c r="BC699" s="328"/>
      <c r="BD699" s="328"/>
      <c r="BE699" s="330"/>
      <c r="BF699" s="330"/>
      <c r="BG699" s="344"/>
      <c r="BH699" s="383"/>
      <c r="BI699" s="330"/>
      <c r="BJ699" s="330"/>
      <c r="BK699" s="330"/>
      <c r="BL699" s="330"/>
      <c r="BM699" s="330"/>
      <c r="BN699" s="330"/>
      <c r="BO699" s="330"/>
      <c r="BP699" s="331"/>
      <c r="BQ699" s="332"/>
      <c r="BR699" s="333"/>
    </row>
    <row r="700" spans="2:70" ht="15.75" customHeight="1">
      <c r="B700" s="216" t="s">
        <v>1464</v>
      </c>
      <c r="C700" s="212">
        <v>1019463</v>
      </c>
      <c r="D700" s="223">
        <v>28320626000102</v>
      </c>
      <c r="E700" s="217" t="s">
        <v>28</v>
      </c>
      <c r="F700" s="217" t="s">
        <v>950</v>
      </c>
      <c r="G700" s="217"/>
      <c r="H700" s="218" t="s">
        <v>1260</v>
      </c>
      <c r="I700" s="217" t="s">
        <v>66</v>
      </c>
      <c r="J700" s="217" t="s">
        <v>66</v>
      </c>
      <c r="K700" s="218" t="s">
        <v>1040</v>
      </c>
      <c r="L700" s="212"/>
      <c r="M700" s="250"/>
      <c r="N700" s="239">
        <v>43063</v>
      </c>
      <c r="O700" s="210" t="s">
        <v>461</v>
      </c>
      <c r="P700" s="210" t="s">
        <v>1102</v>
      </c>
      <c r="Q700" s="210" t="s">
        <v>1102</v>
      </c>
      <c r="R700" s="210" t="s">
        <v>1077</v>
      </c>
      <c r="S700" s="210" t="s">
        <v>1078</v>
      </c>
      <c r="T700" s="210" t="s">
        <v>1079</v>
      </c>
      <c r="U700" s="210" t="s">
        <v>65</v>
      </c>
      <c r="V700" s="210" t="s">
        <v>1080</v>
      </c>
      <c r="W700" s="211" t="s">
        <v>1036</v>
      </c>
      <c r="X700" s="211">
        <v>5000</v>
      </c>
      <c r="Y700" s="211">
        <v>1000</v>
      </c>
      <c r="Z700" s="212">
        <v>1000</v>
      </c>
      <c r="AA700" s="240">
        <v>5</v>
      </c>
      <c r="AB700" s="213">
        <v>0.01</v>
      </c>
      <c r="AC700" s="213">
        <v>0</v>
      </c>
      <c r="AD700" s="213" t="s">
        <v>113</v>
      </c>
      <c r="AE700" s="213">
        <v>5.3333333333333332E-3</v>
      </c>
      <c r="AF700" s="241">
        <v>56239954.579999998</v>
      </c>
      <c r="AG700" s="241">
        <v>56239954.579999998</v>
      </c>
      <c r="AH700" s="213">
        <v>-0.10290000000000001</v>
      </c>
      <c r="AI700" s="352">
        <v>-1.5846</v>
      </c>
      <c r="AJ700" s="213">
        <v>-7.4300000000000005E-2</v>
      </c>
      <c r="AK700" s="352">
        <v>-0.78949999999999998</v>
      </c>
      <c r="AL700" s="213">
        <v>0.66320000000000001</v>
      </c>
      <c r="AM700" s="352">
        <v>5.4896000000000003</v>
      </c>
      <c r="AN700" s="213">
        <v>0.50239999999999996</v>
      </c>
      <c r="AO700" s="352">
        <v>2.9811000000000001</v>
      </c>
      <c r="AP700" s="213">
        <v>0.25280000000000002</v>
      </c>
      <c r="AQ700" s="219">
        <v>-0.5348554597618258</v>
      </c>
      <c r="AR700" s="213" t="s">
        <v>1824</v>
      </c>
      <c r="AV700" s="343"/>
      <c r="AW700" s="328"/>
      <c r="AX700" s="329"/>
      <c r="AY700" s="328"/>
      <c r="AZ700" s="328"/>
      <c r="BA700" s="330"/>
      <c r="BB700" s="328"/>
      <c r="BC700" s="328"/>
      <c r="BD700" s="328"/>
      <c r="BE700" s="330"/>
      <c r="BF700" s="330"/>
      <c r="BG700" s="344"/>
      <c r="BH700" s="330"/>
      <c r="BI700" s="330"/>
      <c r="BJ700" s="330"/>
      <c r="BK700" s="330"/>
      <c r="BL700" s="330"/>
      <c r="BM700" s="330"/>
      <c r="BN700" s="330"/>
      <c r="BO700" s="330"/>
      <c r="BP700" s="331"/>
      <c r="BQ700" s="332"/>
      <c r="BR700" s="333"/>
    </row>
    <row r="701" spans="2:70" ht="15.75" customHeight="1">
      <c r="B701" s="216" t="s">
        <v>880</v>
      </c>
      <c r="C701" s="212">
        <v>1949600</v>
      </c>
      <c r="D701" s="223">
        <v>41044877000161</v>
      </c>
      <c r="E701" s="217" t="s">
        <v>28</v>
      </c>
      <c r="F701" s="217" t="s">
        <v>950</v>
      </c>
      <c r="G701" s="217"/>
      <c r="H701" s="218"/>
      <c r="I701" s="217" t="s">
        <v>66</v>
      </c>
      <c r="J701" s="217" t="s">
        <v>66</v>
      </c>
      <c r="K701" s="218" t="s">
        <v>951</v>
      </c>
      <c r="L701" s="212" t="s">
        <v>87</v>
      </c>
      <c r="M701" s="250"/>
      <c r="N701" s="239">
        <v>44277</v>
      </c>
      <c r="O701" s="210" t="s">
        <v>462</v>
      </c>
      <c r="P701" s="210" t="s">
        <v>1075</v>
      </c>
      <c r="Q701" s="210" t="s">
        <v>1076</v>
      </c>
      <c r="R701" s="210" t="s">
        <v>1084</v>
      </c>
      <c r="S701" s="210" t="s">
        <v>1078</v>
      </c>
      <c r="T701" s="210" t="s">
        <v>1079</v>
      </c>
      <c r="U701" s="210" t="s">
        <v>950</v>
      </c>
      <c r="V701" s="210" t="s">
        <v>1080</v>
      </c>
      <c r="W701" s="211" t="s">
        <v>1007</v>
      </c>
      <c r="X701" s="211">
        <v>500</v>
      </c>
      <c r="Y701" s="211">
        <v>100</v>
      </c>
      <c r="Z701" s="212">
        <v>100</v>
      </c>
      <c r="AA701" s="240">
        <v>12</v>
      </c>
      <c r="AB701" s="213">
        <v>1.9E-2</v>
      </c>
      <c r="AC701" s="213">
        <v>0.2</v>
      </c>
      <c r="AD701" s="213" t="s">
        <v>1014</v>
      </c>
      <c r="AE701" s="213">
        <v>6.3326999999999993E-3</v>
      </c>
      <c r="AF701" s="241">
        <v>9676332.6199999992</v>
      </c>
      <c r="AG701" s="241">
        <v>9676332.6199999992</v>
      </c>
      <c r="AH701" s="213">
        <v>-8.7400000000000005E-2</v>
      </c>
      <c r="AI701" s="352">
        <v>-1.3455999999999999</v>
      </c>
      <c r="AJ701" s="213">
        <v>-0.24030000000000001</v>
      </c>
      <c r="AK701" s="352">
        <v>-2.5539000000000001</v>
      </c>
      <c r="AL701" s="213" t="s">
        <v>66</v>
      </c>
      <c r="AM701" s="352" t="s">
        <v>66</v>
      </c>
      <c r="AN701" s="213" t="s">
        <v>66</v>
      </c>
      <c r="AO701" s="352" t="s">
        <v>66</v>
      </c>
      <c r="AP701" s="213">
        <v>0.1527</v>
      </c>
      <c r="AQ701" s="219">
        <v>-2.3104122974200281</v>
      </c>
      <c r="AR701" s="213" t="s">
        <v>1827</v>
      </c>
      <c r="AV701" s="343"/>
      <c r="AW701" s="328"/>
      <c r="AX701" s="329"/>
      <c r="AY701" s="328"/>
      <c r="AZ701" s="328"/>
      <c r="BA701" s="330"/>
      <c r="BB701" s="328"/>
      <c r="BC701" s="328"/>
      <c r="BD701" s="328"/>
      <c r="BE701" s="330"/>
      <c r="BF701" s="330"/>
      <c r="BG701" s="344"/>
      <c r="BH701" s="330"/>
      <c r="BI701" s="330"/>
      <c r="BJ701" s="330"/>
      <c r="BK701" s="330"/>
      <c r="BL701" s="330"/>
      <c r="BM701" s="330"/>
      <c r="BN701" s="330"/>
      <c r="BO701" s="330"/>
      <c r="BP701" s="331"/>
      <c r="BQ701" s="332"/>
      <c r="BR701" s="333"/>
    </row>
    <row r="702" spans="2:70" ht="15.75" customHeight="1">
      <c r="B702" s="216" t="s">
        <v>840</v>
      </c>
      <c r="C702" s="212">
        <v>1239526</v>
      </c>
      <c r="D702" s="223">
        <v>21006934000100</v>
      </c>
      <c r="E702" s="217" t="s">
        <v>25</v>
      </c>
      <c r="F702" s="217" t="s">
        <v>959</v>
      </c>
      <c r="G702" s="217" t="s">
        <v>962</v>
      </c>
      <c r="H702" s="218" t="s">
        <v>66</v>
      </c>
      <c r="I702" s="217" t="s">
        <v>1842</v>
      </c>
      <c r="J702" s="217" t="s">
        <v>66</v>
      </c>
      <c r="K702" s="218" t="s">
        <v>954</v>
      </c>
      <c r="L702" s="212" t="s">
        <v>87</v>
      </c>
      <c r="M702" s="250"/>
      <c r="N702" s="239">
        <v>41996</v>
      </c>
      <c r="O702" s="210" t="s">
        <v>462</v>
      </c>
      <c r="P702" s="210" t="s">
        <v>1075</v>
      </c>
      <c r="Q702" s="210" t="s">
        <v>1076</v>
      </c>
      <c r="R702" s="210" t="s">
        <v>1099</v>
      </c>
      <c r="S702" s="210" t="s">
        <v>1078</v>
      </c>
      <c r="T702" s="210" t="s">
        <v>1082</v>
      </c>
      <c r="U702" s="210" t="s">
        <v>65</v>
      </c>
      <c r="V702" s="210" t="s">
        <v>25</v>
      </c>
      <c r="W702" s="211" t="s">
        <v>1028</v>
      </c>
      <c r="X702" s="211">
        <v>5000</v>
      </c>
      <c r="Y702" s="211">
        <v>5000</v>
      </c>
      <c r="Z702" s="212">
        <v>5000</v>
      </c>
      <c r="AA702" s="240">
        <v>35</v>
      </c>
      <c r="AB702" s="213">
        <v>0.02</v>
      </c>
      <c r="AC702" s="213">
        <v>0.2</v>
      </c>
      <c r="AD702" s="213" t="s">
        <v>113</v>
      </c>
      <c r="AE702" s="213">
        <v>3.3333333333333331E-3</v>
      </c>
      <c r="AF702" s="241">
        <v>104427753.8</v>
      </c>
      <c r="AG702" s="241">
        <v>104427753.8</v>
      </c>
      <c r="AH702" s="213">
        <v>-0.1091</v>
      </c>
      <c r="AI702" s="352">
        <v>-1.6806000000000001</v>
      </c>
      <c r="AJ702" s="213">
        <v>-5.5800000000000002E-2</v>
      </c>
      <c r="AK702" s="352">
        <v>-0.59350000000000003</v>
      </c>
      <c r="AL702" s="213">
        <v>0.1555</v>
      </c>
      <c r="AM702" s="352">
        <v>1.2874000000000001</v>
      </c>
      <c r="AN702" s="213">
        <v>0.12139999999999999</v>
      </c>
      <c r="AO702" s="352">
        <v>0.72040000000000004</v>
      </c>
      <c r="AP702" s="213">
        <v>0.1065</v>
      </c>
      <c r="AQ702" s="219">
        <v>-1.3302960323704758</v>
      </c>
      <c r="AR702" s="213" t="s">
        <v>1827</v>
      </c>
      <c r="AV702" s="343"/>
      <c r="AW702" s="328"/>
      <c r="AX702" s="329"/>
      <c r="AY702" s="328"/>
      <c r="AZ702" s="328"/>
      <c r="BA702" s="330"/>
      <c r="BB702" s="328"/>
      <c r="BC702" s="328"/>
      <c r="BD702" s="328"/>
      <c r="BE702" s="330"/>
      <c r="BF702" s="330"/>
      <c r="BG702" s="344"/>
      <c r="BH702" s="330"/>
      <c r="BI702" s="330"/>
      <c r="BJ702" s="330"/>
      <c r="BK702" s="330"/>
      <c r="BL702" s="330"/>
      <c r="BM702" s="330"/>
      <c r="BN702" s="330"/>
      <c r="BO702" s="330"/>
      <c r="BP702" s="331"/>
      <c r="BQ702" s="332"/>
      <c r="BR702" s="333"/>
    </row>
    <row r="703" spans="2:70" ht="15.75" customHeight="1">
      <c r="B703" s="216" t="s">
        <v>1468</v>
      </c>
      <c r="C703" s="212">
        <v>1176347</v>
      </c>
      <c r="D703" s="223">
        <v>31146414000157</v>
      </c>
      <c r="E703" s="217" t="s">
        <v>28</v>
      </c>
      <c r="F703" s="217" t="s">
        <v>950</v>
      </c>
      <c r="G703" s="217"/>
      <c r="H703" s="218"/>
      <c r="I703" s="217" t="s">
        <v>66</v>
      </c>
      <c r="J703" s="217" t="s">
        <v>66</v>
      </c>
      <c r="K703" s="218" t="s">
        <v>951</v>
      </c>
      <c r="L703" s="212" t="s">
        <v>87</v>
      </c>
      <c r="M703" s="250"/>
      <c r="N703" s="239">
        <v>43507</v>
      </c>
      <c r="O703" s="210" t="s">
        <v>464</v>
      </c>
      <c r="P703" s="210" t="s">
        <v>1075</v>
      </c>
      <c r="Q703" s="210" t="s">
        <v>1076</v>
      </c>
      <c r="R703" s="210" t="s">
        <v>1084</v>
      </c>
      <c r="S703" s="210" t="s">
        <v>1078</v>
      </c>
      <c r="T703" s="210" t="s">
        <v>1079</v>
      </c>
      <c r="U703" s="210" t="s">
        <v>950</v>
      </c>
      <c r="V703" s="210" t="s">
        <v>1080</v>
      </c>
      <c r="W703" s="211" t="s">
        <v>1007</v>
      </c>
      <c r="X703" s="211">
        <v>1000</v>
      </c>
      <c r="Y703" s="211">
        <v>0</v>
      </c>
      <c r="Z703" s="212">
        <v>0</v>
      </c>
      <c r="AA703" s="240">
        <v>3</v>
      </c>
      <c r="AB703" s="213">
        <v>0.02</v>
      </c>
      <c r="AC703" s="213">
        <v>0.2</v>
      </c>
      <c r="AD703" s="213" t="s">
        <v>113</v>
      </c>
      <c r="AE703" s="213">
        <v>5.3333333333333332E-3</v>
      </c>
      <c r="AF703" s="241">
        <v>7618641.1799999997</v>
      </c>
      <c r="AG703" s="241">
        <v>7618641.1799999997</v>
      </c>
      <c r="AH703" s="213">
        <v>3.0800000000000001E-2</v>
      </c>
      <c r="AI703" s="352">
        <v>0.47499999999999998</v>
      </c>
      <c r="AJ703" s="213">
        <v>-0.14660000000000001</v>
      </c>
      <c r="AK703" s="352">
        <v>-1.5577000000000001</v>
      </c>
      <c r="AL703" s="213">
        <v>3.2899999999999999E-2</v>
      </c>
      <c r="AM703" s="352">
        <v>0.2722</v>
      </c>
      <c r="AN703" s="213">
        <v>1.5900000000000001E-2</v>
      </c>
      <c r="AO703" s="352">
        <v>9.4200000000000006E-2</v>
      </c>
      <c r="AP703" s="213">
        <v>0.22739999999999999</v>
      </c>
      <c r="AQ703" s="219">
        <v>-0.97823584343815007</v>
      </c>
      <c r="AR703" s="213" t="s">
        <v>1827</v>
      </c>
      <c r="AV703" s="343"/>
      <c r="AW703" s="328"/>
      <c r="AX703" s="329"/>
      <c r="AY703" s="328"/>
      <c r="AZ703" s="328"/>
      <c r="BA703" s="330"/>
      <c r="BB703" s="328"/>
      <c r="BC703" s="328"/>
      <c r="BD703" s="328"/>
      <c r="BE703" s="330"/>
      <c r="BF703" s="330"/>
      <c r="BG703" s="344"/>
      <c r="BH703" s="330"/>
      <c r="BI703" s="330"/>
      <c r="BJ703" s="330"/>
      <c r="BK703" s="330"/>
      <c r="BL703" s="330"/>
      <c r="BM703" s="330"/>
      <c r="BN703" s="330"/>
      <c r="BO703" s="330"/>
      <c r="BP703" s="331"/>
      <c r="BQ703" s="332"/>
      <c r="BR703" s="333"/>
    </row>
    <row r="704" spans="2:70" ht="15.75" customHeight="1">
      <c r="B704" s="216" t="s">
        <v>465</v>
      </c>
      <c r="C704" s="212">
        <v>1239532</v>
      </c>
      <c r="D704" s="223">
        <v>24325422000103</v>
      </c>
      <c r="E704" s="217" t="s">
        <v>28</v>
      </c>
      <c r="F704" s="217" t="s">
        <v>950</v>
      </c>
      <c r="G704" s="217"/>
      <c r="H704" s="218"/>
      <c r="I704" s="217" t="s">
        <v>66</v>
      </c>
      <c r="J704" s="217" t="s">
        <v>66</v>
      </c>
      <c r="K704" s="218" t="s">
        <v>951</v>
      </c>
      <c r="L704" s="212" t="s">
        <v>87</v>
      </c>
      <c r="M704" s="250"/>
      <c r="N704" s="239">
        <v>42439</v>
      </c>
      <c r="O704" s="210" t="s">
        <v>466</v>
      </c>
      <c r="P704" s="210" t="s">
        <v>1090</v>
      </c>
      <c r="Q704" s="210" t="s">
        <v>1091</v>
      </c>
      <c r="R704" s="210" t="s">
        <v>1084</v>
      </c>
      <c r="S704" s="210" t="s">
        <v>1078</v>
      </c>
      <c r="T704" s="210" t="s">
        <v>1079</v>
      </c>
      <c r="U704" s="210" t="s">
        <v>950</v>
      </c>
      <c r="V704" s="210" t="s">
        <v>1080</v>
      </c>
      <c r="W704" s="211" t="s">
        <v>1007</v>
      </c>
      <c r="X704" s="211">
        <v>100</v>
      </c>
      <c r="Y704" s="211">
        <v>100</v>
      </c>
      <c r="Z704" s="212">
        <v>100</v>
      </c>
      <c r="AA704" s="240">
        <v>30</v>
      </c>
      <c r="AB704" s="213">
        <v>2.2249999999999999E-2</v>
      </c>
      <c r="AC704" s="213">
        <v>0.2</v>
      </c>
      <c r="AD704" s="213" t="s">
        <v>1170</v>
      </c>
      <c r="AE704" s="213">
        <v>7.416666666666666E-3</v>
      </c>
      <c r="AF704" s="241">
        <v>241421696.28999999</v>
      </c>
      <c r="AG704" s="241">
        <v>241421696.28999999</v>
      </c>
      <c r="AH704" s="213">
        <v>-0.14149999999999999</v>
      </c>
      <c r="AI704" s="352">
        <v>-2.1797</v>
      </c>
      <c r="AJ704" s="213">
        <v>-0.30559999999999998</v>
      </c>
      <c r="AK704" s="352">
        <v>-3.2484000000000002</v>
      </c>
      <c r="AL704" s="213">
        <v>-8.8999999999999996E-2</v>
      </c>
      <c r="AM704" s="352">
        <v>-0.73670000000000002</v>
      </c>
      <c r="AN704" s="213">
        <v>0.35649999999999998</v>
      </c>
      <c r="AO704" s="352">
        <v>2.1156000000000001</v>
      </c>
      <c r="AP704" s="213">
        <v>0.20419999999999999</v>
      </c>
      <c r="AQ704" s="219">
        <v>-2.1233128421802103</v>
      </c>
      <c r="AR704" s="213" t="s">
        <v>1827</v>
      </c>
      <c r="AV704" s="343"/>
      <c r="AW704" s="328"/>
      <c r="AX704" s="329"/>
      <c r="AY704" s="328"/>
      <c r="AZ704" s="328"/>
      <c r="BA704" s="330"/>
      <c r="BB704" s="328"/>
      <c r="BC704" s="328"/>
      <c r="BD704" s="328"/>
      <c r="BE704" s="330"/>
      <c r="BF704" s="330"/>
      <c r="BG704" s="344"/>
      <c r="BH704" s="330"/>
      <c r="BI704" s="330"/>
      <c r="BJ704" s="330"/>
      <c r="BK704" s="330"/>
      <c r="BL704" s="330"/>
      <c r="BM704" s="330"/>
      <c r="BN704" s="330"/>
      <c r="BO704" s="330"/>
      <c r="BP704" s="331"/>
      <c r="BQ704" s="332"/>
      <c r="BR704" s="333"/>
    </row>
    <row r="705" spans="2:70" ht="15.75" customHeight="1">
      <c r="B705" s="216" t="s">
        <v>1469</v>
      </c>
      <c r="C705" s="212" t="s">
        <v>66</v>
      </c>
      <c r="D705" s="223">
        <v>34579122000104</v>
      </c>
      <c r="E705" s="217" t="s">
        <v>28</v>
      </c>
      <c r="F705" s="217" t="s">
        <v>957</v>
      </c>
      <c r="G705" s="217"/>
      <c r="H705" s="218"/>
      <c r="I705" s="217" t="s">
        <v>1842</v>
      </c>
      <c r="J705" s="217" t="s">
        <v>66</v>
      </c>
      <c r="K705" s="218" t="s">
        <v>951</v>
      </c>
      <c r="L705" s="212" t="s">
        <v>87</v>
      </c>
      <c r="M705" s="250"/>
      <c r="N705" s="239">
        <v>43719</v>
      </c>
      <c r="O705" s="210" t="s">
        <v>468</v>
      </c>
      <c r="P705" s="210" t="s">
        <v>1075</v>
      </c>
      <c r="Q705" s="210" t="s">
        <v>1076</v>
      </c>
      <c r="R705" s="210" t="s">
        <v>1077</v>
      </c>
      <c r="S705" s="210" t="s">
        <v>1078</v>
      </c>
      <c r="T705" s="210" t="s">
        <v>1079</v>
      </c>
      <c r="U705" s="210" t="s">
        <v>957</v>
      </c>
      <c r="V705" s="210" t="s">
        <v>1080</v>
      </c>
      <c r="W705" s="211" t="s">
        <v>1007</v>
      </c>
      <c r="X705" s="211">
        <v>10000</v>
      </c>
      <c r="Y705" s="211">
        <v>5000</v>
      </c>
      <c r="Z705" s="212">
        <v>5000</v>
      </c>
      <c r="AA705" s="240">
        <v>32</v>
      </c>
      <c r="AB705" s="213">
        <v>1.8700000000000001E-2</v>
      </c>
      <c r="AC705" s="213">
        <v>0.2</v>
      </c>
      <c r="AD705" s="213" t="s">
        <v>113</v>
      </c>
      <c r="AE705" s="213">
        <v>3.7399999999999998E-3</v>
      </c>
      <c r="AF705" s="241">
        <v>89802210.230000004</v>
      </c>
      <c r="AG705" s="241">
        <v>89802210.230000004</v>
      </c>
      <c r="AH705" s="213">
        <v>-7.6499999999999999E-2</v>
      </c>
      <c r="AI705" s="352">
        <v>-1.1788000000000001</v>
      </c>
      <c r="AJ705" s="213">
        <v>-0.25559999999999999</v>
      </c>
      <c r="AK705" s="352">
        <v>-2.7164000000000001</v>
      </c>
      <c r="AL705" s="213">
        <v>-0.1386</v>
      </c>
      <c r="AM705" s="352">
        <v>-1.1471</v>
      </c>
      <c r="AN705" s="213" t="s">
        <v>66</v>
      </c>
      <c r="AO705" s="352" t="s">
        <v>66</v>
      </c>
      <c r="AP705" s="213">
        <v>0.2994</v>
      </c>
      <c r="AQ705" s="219">
        <v>-1.1358479847940508</v>
      </c>
      <c r="AR705" s="213" t="s">
        <v>1827</v>
      </c>
      <c r="AV705" s="343"/>
      <c r="AW705" s="328"/>
      <c r="AX705" s="329"/>
      <c r="AY705" s="328"/>
      <c r="AZ705" s="328"/>
      <c r="BA705" s="330"/>
      <c r="BB705" s="328"/>
      <c r="BC705" s="328"/>
      <c r="BD705" s="328"/>
      <c r="BE705" s="330"/>
      <c r="BF705" s="330"/>
      <c r="BG705" s="344"/>
      <c r="BH705" s="330"/>
      <c r="BI705" s="330"/>
      <c r="BJ705" s="330"/>
      <c r="BK705" s="330"/>
      <c r="BL705" s="330"/>
      <c r="BM705" s="330"/>
      <c r="BN705" s="330"/>
      <c r="BO705" s="330"/>
      <c r="BP705" s="331"/>
      <c r="BQ705" s="332"/>
      <c r="BR705" s="333"/>
    </row>
    <row r="706" spans="2:70" ht="15.75" customHeight="1">
      <c r="B706" s="216" t="s">
        <v>467</v>
      </c>
      <c r="C706" s="212">
        <v>556627</v>
      </c>
      <c r="D706" s="223">
        <v>32295931000150</v>
      </c>
      <c r="E706" s="217" t="s">
        <v>28</v>
      </c>
      <c r="F706" s="217" t="s">
        <v>957</v>
      </c>
      <c r="G706" s="217"/>
      <c r="H706" s="218"/>
      <c r="I706" s="217" t="s">
        <v>1842</v>
      </c>
      <c r="J706" s="217" t="s">
        <v>66</v>
      </c>
      <c r="K706" s="218" t="s">
        <v>951</v>
      </c>
      <c r="L706" s="212" t="s">
        <v>87</v>
      </c>
      <c r="M706" s="250"/>
      <c r="N706" s="239">
        <v>43462</v>
      </c>
      <c r="O706" s="210" t="s">
        <v>468</v>
      </c>
      <c r="P706" s="210" t="s">
        <v>1075</v>
      </c>
      <c r="Q706" s="210" t="s">
        <v>1076</v>
      </c>
      <c r="R706" s="210" t="s">
        <v>1077</v>
      </c>
      <c r="S706" s="210" t="s">
        <v>1078</v>
      </c>
      <c r="T706" s="210" t="s">
        <v>1079</v>
      </c>
      <c r="U706" s="210" t="s">
        <v>957</v>
      </c>
      <c r="V706" s="210" t="s">
        <v>25</v>
      </c>
      <c r="W706" s="211" t="s">
        <v>1016</v>
      </c>
      <c r="X706" s="211">
        <v>10000</v>
      </c>
      <c r="Y706" s="211">
        <v>5000</v>
      </c>
      <c r="Z706" s="212">
        <v>5000</v>
      </c>
      <c r="AA706" s="240">
        <v>32</v>
      </c>
      <c r="AB706" s="213">
        <v>1.8700000000000001E-2</v>
      </c>
      <c r="AC706" s="213">
        <v>0.2</v>
      </c>
      <c r="AD706" s="213" t="s">
        <v>113</v>
      </c>
      <c r="AE706" s="213">
        <v>3.7399999999999998E-3</v>
      </c>
      <c r="AF706" s="241">
        <v>18638426.5</v>
      </c>
      <c r="AG706" s="241">
        <v>18638426.5</v>
      </c>
      <c r="AH706" s="213">
        <v>-7.3800000000000004E-2</v>
      </c>
      <c r="AI706" s="352">
        <v>-1.1368</v>
      </c>
      <c r="AJ706" s="213">
        <v>-0.255</v>
      </c>
      <c r="AK706" s="352">
        <v>-2.7105999999999999</v>
      </c>
      <c r="AL706" s="213">
        <v>-0.1404</v>
      </c>
      <c r="AM706" s="352">
        <v>-1.1624000000000001</v>
      </c>
      <c r="AN706" s="213">
        <v>0.1091</v>
      </c>
      <c r="AO706" s="352">
        <v>0.64749999999999996</v>
      </c>
      <c r="AP706" s="213">
        <v>0.30120000000000002</v>
      </c>
      <c r="AQ706" s="219">
        <v>-1.1246350351637828</v>
      </c>
      <c r="AR706" s="213" t="s">
        <v>1827</v>
      </c>
      <c r="AV706" s="343"/>
      <c r="AW706" s="328"/>
      <c r="AX706" s="329"/>
      <c r="AY706" s="328"/>
      <c r="AZ706" s="328"/>
      <c r="BA706" s="330"/>
      <c r="BB706" s="328"/>
      <c r="BC706" s="328"/>
      <c r="BD706" s="328"/>
      <c r="BE706" s="330"/>
      <c r="BF706" s="330"/>
      <c r="BG706" s="344"/>
      <c r="BH706" s="330"/>
      <c r="BI706" s="330"/>
      <c r="BJ706" s="330"/>
      <c r="BK706" s="330"/>
      <c r="BL706" s="330"/>
      <c r="BM706" s="330"/>
      <c r="BN706" s="330"/>
      <c r="BO706" s="330"/>
      <c r="BP706" s="331"/>
      <c r="BQ706" s="332"/>
      <c r="BR706" s="333"/>
    </row>
    <row r="707" spans="2:70" ht="15.75" customHeight="1">
      <c r="B707" s="216" t="s">
        <v>469</v>
      </c>
      <c r="C707" s="212">
        <v>556636</v>
      </c>
      <c r="D707" s="223">
        <v>11182072000113</v>
      </c>
      <c r="E707" s="217" t="s">
        <v>28</v>
      </c>
      <c r="F707" s="217" t="s">
        <v>957</v>
      </c>
      <c r="G707" s="217"/>
      <c r="H707" s="218"/>
      <c r="I707" s="217" t="s">
        <v>1842</v>
      </c>
      <c r="J707" s="217" t="s">
        <v>66</v>
      </c>
      <c r="K707" s="218" t="s">
        <v>951</v>
      </c>
      <c r="L707" s="212" t="s">
        <v>87</v>
      </c>
      <c r="M707" s="250"/>
      <c r="N707" s="239">
        <v>40204</v>
      </c>
      <c r="O707" s="210" t="s">
        <v>468</v>
      </c>
      <c r="P707" s="210" t="s">
        <v>1075</v>
      </c>
      <c r="Q707" s="210" t="s">
        <v>1076</v>
      </c>
      <c r="R707" s="210" t="s">
        <v>1084</v>
      </c>
      <c r="S707" s="210" t="s">
        <v>1078</v>
      </c>
      <c r="T707" s="210" t="s">
        <v>1079</v>
      </c>
      <c r="U707" s="210" t="s">
        <v>957</v>
      </c>
      <c r="V707" s="210" t="s">
        <v>25</v>
      </c>
      <c r="W707" s="211" t="s">
        <v>1016</v>
      </c>
      <c r="X707" s="211">
        <v>10000</v>
      </c>
      <c r="Y707" s="211">
        <v>1000</v>
      </c>
      <c r="Z707" s="212">
        <v>1000</v>
      </c>
      <c r="AA707" s="240">
        <v>32</v>
      </c>
      <c r="AB707" s="213">
        <v>1.8700000000000001E-2</v>
      </c>
      <c r="AC707" s="213">
        <v>0.2</v>
      </c>
      <c r="AD707" s="213" t="s">
        <v>1100</v>
      </c>
      <c r="AE707" s="213">
        <v>3.7399999999999998E-3</v>
      </c>
      <c r="AF707" s="241">
        <v>143591355.94999999</v>
      </c>
      <c r="AG707" s="241">
        <v>143591355.94999999</v>
      </c>
      <c r="AH707" s="213">
        <v>-8.09E-2</v>
      </c>
      <c r="AI707" s="352">
        <v>-1.246</v>
      </c>
      <c r="AJ707" s="213">
        <v>-0.36559999999999998</v>
      </c>
      <c r="AK707" s="352">
        <v>-3.8862000000000001</v>
      </c>
      <c r="AL707" s="213">
        <v>-0.18340000000000001</v>
      </c>
      <c r="AM707" s="352">
        <v>-1.5178</v>
      </c>
      <c r="AN707" s="213">
        <v>-0.24</v>
      </c>
      <c r="AO707" s="352">
        <v>-1.4242999999999999</v>
      </c>
      <c r="AP707" s="213">
        <v>0.57920000000000005</v>
      </c>
      <c r="AQ707" s="219">
        <v>-0.6501460617221414</v>
      </c>
      <c r="AR707" s="213" t="s">
        <v>1827</v>
      </c>
      <c r="AV707" s="343"/>
      <c r="AW707" s="328"/>
      <c r="AX707" s="329"/>
      <c r="AY707" s="328"/>
      <c r="AZ707" s="328"/>
      <c r="BA707" s="330"/>
      <c r="BB707" s="328"/>
      <c r="BC707" s="328"/>
      <c r="BD707" s="328"/>
      <c r="BE707" s="330"/>
      <c r="BF707" s="330"/>
      <c r="BG707" s="344"/>
      <c r="BH707" s="330"/>
      <c r="BI707" s="330"/>
      <c r="BJ707" s="330"/>
      <c r="BK707" s="330"/>
      <c r="BL707" s="330"/>
      <c r="BM707" s="330"/>
      <c r="BN707" s="330"/>
      <c r="BO707" s="330"/>
      <c r="BP707" s="331"/>
      <c r="BQ707" s="332"/>
      <c r="BR707" s="333"/>
    </row>
    <row r="708" spans="2:70" ht="15.75" customHeight="1">
      <c r="B708" s="216" t="s">
        <v>470</v>
      </c>
      <c r="C708" s="212">
        <v>556623</v>
      </c>
      <c r="D708" s="223">
        <v>38173750000138</v>
      </c>
      <c r="E708" s="217" t="s">
        <v>28</v>
      </c>
      <c r="F708" s="217" t="s">
        <v>950</v>
      </c>
      <c r="G708" s="217"/>
      <c r="H708" s="218"/>
      <c r="I708" s="217" t="s">
        <v>66</v>
      </c>
      <c r="J708" s="217" t="s">
        <v>66</v>
      </c>
      <c r="K708" s="218" t="s">
        <v>951</v>
      </c>
      <c r="L708" s="212" t="s">
        <v>87</v>
      </c>
      <c r="M708" s="250"/>
      <c r="N708" s="239">
        <v>44096</v>
      </c>
      <c r="O708" s="210" t="s">
        <v>451</v>
      </c>
      <c r="P708" s="210" t="s">
        <v>1075</v>
      </c>
      <c r="Q708" s="210" t="s">
        <v>1076</v>
      </c>
      <c r="R708" s="210" t="s">
        <v>231</v>
      </c>
      <c r="S708" s="210" t="s">
        <v>1085</v>
      </c>
      <c r="T708" s="210" t="s">
        <v>1079</v>
      </c>
      <c r="U708" s="210" t="s">
        <v>950</v>
      </c>
      <c r="V708" s="210" t="s">
        <v>1080</v>
      </c>
      <c r="W708" s="211" t="s">
        <v>1007</v>
      </c>
      <c r="X708" s="211">
        <v>0</v>
      </c>
      <c r="Y708" s="211">
        <v>0</v>
      </c>
      <c r="Z708" s="212">
        <v>0</v>
      </c>
      <c r="AA708" s="240">
        <v>3</v>
      </c>
      <c r="AB708" s="213">
        <v>0.01</v>
      </c>
      <c r="AC708" s="213">
        <v>0.2</v>
      </c>
      <c r="AD708" s="213" t="s">
        <v>113</v>
      </c>
      <c r="AE708" s="213">
        <v>2E-3</v>
      </c>
      <c r="AF708" s="241">
        <v>11305519.07</v>
      </c>
      <c r="AG708" s="241">
        <v>11305519.07</v>
      </c>
      <c r="AH708" s="213">
        <v>-2.0500000000000001E-2</v>
      </c>
      <c r="AI708" s="352">
        <v>-0.31619999999999998</v>
      </c>
      <c r="AJ708" s="213">
        <v>-0.1489</v>
      </c>
      <c r="AK708" s="352">
        <v>-1.5826</v>
      </c>
      <c r="AL708" s="213" t="s">
        <v>66</v>
      </c>
      <c r="AM708" s="352" t="s">
        <v>66</v>
      </c>
      <c r="AN708" s="213" t="s">
        <v>66</v>
      </c>
      <c r="AO708" s="352" t="s">
        <v>66</v>
      </c>
      <c r="AP708" s="213">
        <v>0.19789999999999999</v>
      </c>
      <c r="AQ708" s="219">
        <v>-1.1695775722250787</v>
      </c>
      <c r="AR708" s="213" t="s">
        <v>1827</v>
      </c>
      <c r="AV708" s="343"/>
      <c r="AW708" s="328"/>
      <c r="AX708" s="329"/>
      <c r="AY708" s="328"/>
      <c r="AZ708" s="328"/>
      <c r="BA708" s="330"/>
      <c r="BB708" s="328"/>
      <c r="BC708" s="328"/>
      <c r="BD708" s="328"/>
      <c r="BE708" s="330"/>
      <c r="BF708" s="330"/>
      <c r="BG708" s="344"/>
      <c r="BH708" s="330"/>
      <c r="BI708" s="330"/>
      <c r="BJ708" s="330"/>
      <c r="BK708" s="330"/>
      <c r="BL708" s="330"/>
      <c r="BM708" s="330"/>
      <c r="BN708" s="330"/>
      <c r="BO708" s="330"/>
      <c r="BP708" s="331"/>
      <c r="BQ708" s="332"/>
      <c r="BR708" s="333"/>
    </row>
    <row r="709" spans="2:70" ht="15.75" customHeight="1">
      <c r="B709" s="216" t="s">
        <v>1470</v>
      </c>
      <c r="C709" s="212">
        <v>1012752</v>
      </c>
      <c r="D709" s="223">
        <v>11952816000131</v>
      </c>
      <c r="E709" s="217" t="s">
        <v>28</v>
      </c>
      <c r="F709" s="217" t="s">
        <v>950</v>
      </c>
      <c r="G709" s="217"/>
      <c r="H709" s="218"/>
      <c r="I709" s="217" t="s">
        <v>66</v>
      </c>
      <c r="J709" s="217" t="s">
        <v>66</v>
      </c>
      <c r="K709" s="218" t="s">
        <v>954</v>
      </c>
      <c r="L709" s="212"/>
      <c r="M709" s="250"/>
      <c r="N709" s="239">
        <v>40367</v>
      </c>
      <c r="O709" s="210" t="s">
        <v>471</v>
      </c>
      <c r="P709" s="210" t="s">
        <v>1075</v>
      </c>
      <c r="Q709" s="210" t="s">
        <v>1076</v>
      </c>
      <c r="R709" s="210" t="s">
        <v>1099</v>
      </c>
      <c r="S709" s="210" t="s">
        <v>1078</v>
      </c>
      <c r="T709" s="210" t="s">
        <v>1079</v>
      </c>
      <c r="U709" s="210" t="s">
        <v>65</v>
      </c>
      <c r="V709" s="210" t="s">
        <v>1080</v>
      </c>
      <c r="W709" s="211" t="s">
        <v>1036</v>
      </c>
      <c r="X709" s="211">
        <v>0</v>
      </c>
      <c r="Y709" s="211">
        <v>0</v>
      </c>
      <c r="Z709" s="212">
        <v>0</v>
      </c>
      <c r="AA709" s="240">
        <v>3</v>
      </c>
      <c r="AB709" s="213">
        <v>8.6E-3</v>
      </c>
      <c r="AC709" s="213">
        <v>0</v>
      </c>
      <c r="AD709" s="213" t="s">
        <v>113</v>
      </c>
      <c r="AE709" s="213" t="s">
        <v>66</v>
      </c>
      <c r="AF709" s="241">
        <v>417790080.38999999</v>
      </c>
      <c r="AG709" s="241">
        <v>417790080.38999999</v>
      </c>
      <c r="AH709" s="213">
        <v>-0.1484</v>
      </c>
      <c r="AI709" s="352">
        <v>-2.2860999999999998</v>
      </c>
      <c r="AJ709" s="213">
        <v>-9.3299999999999994E-2</v>
      </c>
      <c r="AK709" s="352">
        <v>-0.99209999999999998</v>
      </c>
      <c r="AL709" s="213">
        <v>0.20399999999999999</v>
      </c>
      <c r="AM709" s="352">
        <v>1.6890000000000001</v>
      </c>
      <c r="AN709" s="213">
        <v>0.57630000000000003</v>
      </c>
      <c r="AO709" s="352">
        <v>3.4197000000000002</v>
      </c>
      <c r="AP709" s="213">
        <v>0.15379999999999999</v>
      </c>
      <c r="AQ709" s="219">
        <v>-1.1433891582312128</v>
      </c>
      <c r="AR709" s="213" t="s">
        <v>1827</v>
      </c>
      <c r="AV709" s="343"/>
      <c r="AW709" s="328"/>
      <c r="AX709" s="329"/>
      <c r="AY709" s="328"/>
      <c r="AZ709" s="328"/>
      <c r="BA709" s="330"/>
      <c r="BB709" s="328"/>
      <c r="BC709" s="328"/>
      <c r="BD709" s="328"/>
      <c r="BE709" s="330"/>
      <c r="BF709" s="330"/>
      <c r="BG709" s="344"/>
      <c r="BH709" s="330"/>
      <c r="BI709" s="330"/>
      <c r="BJ709" s="330"/>
      <c r="BK709" s="330"/>
      <c r="BL709" s="330"/>
      <c r="BM709" s="330"/>
      <c r="BN709" s="330"/>
      <c r="BO709" s="330"/>
      <c r="BP709" s="331"/>
      <c r="BQ709" s="332"/>
      <c r="BR709" s="333"/>
    </row>
    <row r="710" spans="2:70" ht="15.75" customHeight="1">
      <c r="B710" s="216" t="s">
        <v>841</v>
      </c>
      <c r="C710" s="212">
        <v>556511</v>
      </c>
      <c r="D710" s="223">
        <v>41594603000146</v>
      </c>
      <c r="E710" s="217" t="s">
        <v>25</v>
      </c>
      <c r="F710" s="217" t="s">
        <v>959</v>
      </c>
      <c r="G710" s="217" t="s">
        <v>962</v>
      </c>
      <c r="H710" s="218" t="s">
        <v>66</v>
      </c>
      <c r="I710" s="217" t="s">
        <v>1842</v>
      </c>
      <c r="J710" s="217" t="s">
        <v>66</v>
      </c>
      <c r="K710" s="218" t="s">
        <v>954</v>
      </c>
      <c r="L710" s="212" t="s">
        <v>87</v>
      </c>
      <c r="M710" s="250"/>
      <c r="N710" s="239">
        <v>44392</v>
      </c>
      <c r="O710" s="210" t="s">
        <v>120</v>
      </c>
      <c r="P710" s="210" t="s">
        <v>1090</v>
      </c>
      <c r="Q710" s="210" t="s">
        <v>1091</v>
      </c>
      <c r="R710" s="210" t="s">
        <v>1077</v>
      </c>
      <c r="S710" s="210" t="s">
        <v>1078</v>
      </c>
      <c r="T710" s="210" t="s">
        <v>1082</v>
      </c>
      <c r="U710" s="210" t="s">
        <v>65</v>
      </c>
      <c r="V710" s="210" t="s">
        <v>25</v>
      </c>
      <c r="W710" s="211" t="s">
        <v>1028</v>
      </c>
      <c r="X710" s="211">
        <v>500</v>
      </c>
      <c r="Y710" s="211">
        <v>500</v>
      </c>
      <c r="Z710" s="212">
        <v>500</v>
      </c>
      <c r="AA710" s="240">
        <v>6</v>
      </c>
      <c r="AB710" s="213">
        <v>5.0000000000000001E-3</v>
      </c>
      <c r="AC710" s="213">
        <v>0</v>
      </c>
      <c r="AD710" s="213" t="s">
        <v>113</v>
      </c>
      <c r="AE710" s="213">
        <v>3.3334999999999997E-3</v>
      </c>
      <c r="AF710" s="241">
        <v>11104965.26</v>
      </c>
      <c r="AG710" s="241">
        <v>11104965.26</v>
      </c>
      <c r="AH710" s="213">
        <v>-7.8E-2</v>
      </c>
      <c r="AI710" s="352">
        <v>-1.2012</v>
      </c>
      <c r="AJ710" s="213">
        <v>-7.6799999999999993E-2</v>
      </c>
      <c r="AK710" s="352">
        <v>-0.8165</v>
      </c>
      <c r="AL710" s="213" t="s">
        <v>66</v>
      </c>
      <c r="AM710" s="352" t="s">
        <v>66</v>
      </c>
      <c r="AN710" s="213" t="s">
        <v>66</v>
      </c>
      <c r="AO710" s="352" t="s">
        <v>66</v>
      </c>
      <c r="AP710" s="213">
        <v>0.1084</v>
      </c>
      <c r="AQ710" s="219">
        <v>-1.5122880219886898</v>
      </c>
      <c r="AR710" s="213" t="s">
        <v>1824</v>
      </c>
      <c r="AV710" s="343"/>
      <c r="AW710" s="328"/>
      <c r="AX710" s="329"/>
      <c r="AY710" s="328"/>
      <c r="AZ710" s="328"/>
      <c r="BA710" s="330"/>
      <c r="BB710" s="328"/>
      <c r="BC710" s="328"/>
      <c r="BD710" s="328"/>
      <c r="BE710" s="330"/>
      <c r="BF710" s="330"/>
      <c r="BG710" s="344"/>
      <c r="BH710" s="330"/>
      <c r="BI710" s="330"/>
      <c r="BJ710" s="330"/>
      <c r="BK710" s="330"/>
      <c r="BL710" s="330"/>
      <c r="BM710" s="330"/>
      <c r="BN710" s="330"/>
      <c r="BO710" s="330"/>
      <c r="BP710" s="331"/>
      <c r="BQ710" s="332"/>
      <c r="BR710" s="333"/>
    </row>
    <row r="711" spans="2:70" ht="15.75" customHeight="1">
      <c r="B711" s="216" t="s">
        <v>842</v>
      </c>
      <c r="C711" s="212">
        <v>556621</v>
      </c>
      <c r="D711" s="223">
        <v>41594555000196</v>
      </c>
      <c r="E711" s="217" t="s">
        <v>25</v>
      </c>
      <c r="F711" s="217" t="s">
        <v>958</v>
      </c>
      <c r="G711" s="217" t="s">
        <v>962</v>
      </c>
      <c r="H711" s="218" t="s">
        <v>66</v>
      </c>
      <c r="I711" s="217" t="s">
        <v>1842</v>
      </c>
      <c r="J711" s="217" t="s">
        <v>66</v>
      </c>
      <c r="K711" s="218"/>
      <c r="L711" s="212" t="s">
        <v>88</v>
      </c>
      <c r="M711" s="250"/>
      <c r="N711" s="239">
        <v>44392</v>
      </c>
      <c r="O711" s="210" t="s">
        <v>120</v>
      </c>
      <c r="P711" s="210" t="s">
        <v>1090</v>
      </c>
      <c r="Q711" s="210" t="s">
        <v>1091</v>
      </c>
      <c r="R711" s="210" t="s">
        <v>1077</v>
      </c>
      <c r="S711" s="210" t="s">
        <v>1078</v>
      </c>
      <c r="T711" s="210" t="s">
        <v>1082</v>
      </c>
      <c r="U711" s="210" t="s">
        <v>65</v>
      </c>
      <c r="V711" s="210" t="s">
        <v>25</v>
      </c>
      <c r="W711" s="211" t="s">
        <v>1028</v>
      </c>
      <c r="X711" s="211">
        <v>500</v>
      </c>
      <c r="Y711" s="211">
        <v>500</v>
      </c>
      <c r="Z711" s="212">
        <v>500</v>
      </c>
      <c r="AA711" s="240">
        <v>6</v>
      </c>
      <c r="AB711" s="213">
        <v>5.0000000000000001E-3</v>
      </c>
      <c r="AC711" s="213">
        <v>0</v>
      </c>
      <c r="AD711" s="213" t="s">
        <v>113</v>
      </c>
      <c r="AE711" s="213">
        <v>3.3334999999999997E-3</v>
      </c>
      <c r="AF711" s="241">
        <v>7128925.3200000003</v>
      </c>
      <c r="AG711" s="241">
        <v>7128925.3200000003</v>
      </c>
      <c r="AH711" s="213">
        <v>-0.1711</v>
      </c>
      <c r="AI711" s="352">
        <v>-2.6360000000000001</v>
      </c>
      <c r="AJ711" s="213">
        <v>-9.7299999999999998E-2</v>
      </c>
      <c r="AK711" s="352">
        <v>-1.034</v>
      </c>
      <c r="AL711" s="213" t="s">
        <v>66</v>
      </c>
      <c r="AM711" s="352" t="s">
        <v>66</v>
      </c>
      <c r="AN711" s="213" t="s">
        <v>66</v>
      </c>
      <c r="AO711" s="352" t="s">
        <v>66</v>
      </c>
      <c r="AP711" s="213">
        <v>0.16389999999999999</v>
      </c>
      <c r="AQ711" s="219">
        <v>-1.0912915584431269</v>
      </c>
      <c r="AR711" s="213" t="s">
        <v>1824</v>
      </c>
      <c r="AV711" s="343"/>
      <c r="AW711" s="328"/>
      <c r="AX711" s="329"/>
      <c r="AY711" s="328"/>
      <c r="AZ711" s="328"/>
      <c r="BA711" s="330"/>
      <c r="BB711" s="328"/>
      <c r="BC711" s="328"/>
      <c r="BD711" s="328"/>
      <c r="BE711" s="330"/>
      <c r="BF711" s="330"/>
      <c r="BG711" s="344"/>
      <c r="BH711" s="330"/>
      <c r="BI711" s="330"/>
      <c r="BJ711" s="330"/>
      <c r="BK711" s="330"/>
      <c r="BL711" s="330"/>
      <c r="BM711" s="330"/>
      <c r="BN711" s="330"/>
      <c r="BO711" s="330"/>
      <c r="BP711" s="331"/>
      <c r="BQ711" s="332"/>
      <c r="BR711" s="333"/>
    </row>
    <row r="712" spans="2:70" ht="15.75" customHeight="1">
      <c r="B712" s="216" t="s">
        <v>472</v>
      </c>
      <c r="C712" s="212">
        <v>1949639</v>
      </c>
      <c r="D712" s="223">
        <v>19392834000118</v>
      </c>
      <c r="E712" s="217" t="s">
        <v>19</v>
      </c>
      <c r="F712" s="217" t="s">
        <v>963</v>
      </c>
      <c r="G712" s="217" t="s">
        <v>1034</v>
      </c>
      <c r="H712" s="218" t="s">
        <v>1113</v>
      </c>
      <c r="I712" s="217" t="s">
        <v>66</v>
      </c>
      <c r="J712" s="217" t="s">
        <v>1822</v>
      </c>
      <c r="K712" s="218" t="s">
        <v>951</v>
      </c>
      <c r="L712" s="212" t="s">
        <v>87</v>
      </c>
      <c r="M712" s="250"/>
      <c r="N712" s="239">
        <v>41656</v>
      </c>
      <c r="O712" s="210" t="s">
        <v>473</v>
      </c>
      <c r="P712" s="210" t="s">
        <v>1075</v>
      </c>
      <c r="Q712" s="210" t="s">
        <v>1076</v>
      </c>
      <c r="R712" s="210" t="s">
        <v>1077</v>
      </c>
      <c r="S712" s="210" t="s">
        <v>1078</v>
      </c>
      <c r="T712" s="210" t="s">
        <v>32</v>
      </c>
      <c r="U712" s="210" t="s">
        <v>1150</v>
      </c>
      <c r="V712" s="210" t="s">
        <v>25</v>
      </c>
      <c r="W712" s="211" t="s">
        <v>1019</v>
      </c>
      <c r="X712" s="211">
        <v>100</v>
      </c>
      <c r="Y712" s="211">
        <v>100</v>
      </c>
      <c r="Z712" s="212">
        <v>100</v>
      </c>
      <c r="AA712" s="240">
        <v>31</v>
      </c>
      <c r="AB712" s="213">
        <v>5.0000000000000001E-3</v>
      </c>
      <c r="AC712" s="213">
        <v>0</v>
      </c>
      <c r="AD712" s="213" t="s">
        <v>113</v>
      </c>
      <c r="AE712" s="213">
        <v>1E-3</v>
      </c>
      <c r="AF712" s="241">
        <v>214997465.12</v>
      </c>
      <c r="AG712" s="241">
        <v>214997465.12</v>
      </c>
      <c r="AH712" s="213">
        <v>8.3299999999999999E-2</v>
      </c>
      <c r="AI712" s="352">
        <v>1.2824</v>
      </c>
      <c r="AJ712" s="213">
        <v>0.1273</v>
      </c>
      <c r="AK712" s="352">
        <v>1.3532999999999999</v>
      </c>
      <c r="AL712" s="213">
        <v>0.18970000000000001</v>
      </c>
      <c r="AM712" s="352">
        <v>1.5699000000000001</v>
      </c>
      <c r="AN712" s="213">
        <v>0.25359999999999999</v>
      </c>
      <c r="AO712" s="352">
        <v>1.5051000000000001</v>
      </c>
      <c r="AP712" s="213">
        <v>1.6000000000000001E-3</v>
      </c>
      <c r="AQ712" s="219">
        <v>18.437209943706762</v>
      </c>
      <c r="AR712" s="213" t="s">
        <v>1827</v>
      </c>
      <c r="AV712" s="343"/>
      <c r="AW712" s="328"/>
      <c r="AX712" s="329"/>
      <c r="AY712" s="328"/>
      <c r="AZ712" s="328"/>
      <c r="BA712" s="330"/>
      <c r="BB712" s="328"/>
      <c r="BC712" s="328"/>
      <c r="BD712" s="328"/>
      <c r="BE712" s="330"/>
      <c r="BF712" s="330"/>
      <c r="BG712" s="344"/>
      <c r="BH712" s="330"/>
      <c r="BI712" s="330"/>
      <c r="BJ712" s="330"/>
      <c r="BK712" s="330"/>
      <c r="BL712" s="330"/>
      <c r="BM712" s="330"/>
      <c r="BN712" s="330"/>
      <c r="BO712" s="330"/>
      <c r="BP712" s="331"/>
      <c r="BQ712" s="332"/>
      <c r="BR712" s="333"/>
    </row>
    <row r="713" spans="2:70" ht="15.75" customHeight="1">
      <c r="B713" s="216" t="s">
        <v>474</v>
      </c>
      <c r="C713" s="212">
        <v>780036</v>
      </c>
      <c r="D713" s="223">
        <v>23711364000185</v>
      </c>
      <c r="E713" s="217" t="s">
        <v>19</v>
      </c>
      <c r="F713" s="217" t="s">
        <v>963</v>
      </c>
      <c r="G713" s="217" t="s">
        <v>1034</v>
      </c>
      <c r="H713" s="218" t="s">
        <v>1113</v>
      </c>
      <c r="I713" s="217" t="s">
        <v>66</v>
      </c>
      <c r="J713" s="217" t="s">
        <v>1822</v>
      </c>
      <c r="K713" s="218" t="s">
        <v>951</v>
      </c>
      <c r="L713" s="212" t="s">
        <v>87</v>
      </c>
      <c r="M713" s="250"/>
      <c r="N713" s="239">
        <v>42597</v>
      </c>
      <c r="O713" s="210" t="s">
        <v>473</v>
      </c>
      <c r="P713" s="210" t="s">
        <v>1075</v>
      </c>
      <c r="Q713" s="210" t="s">
        <v>1076</v>
      </c>
      <c r="R713" s="210" t="s">
        <v>1077</v>
      </c>
      <c r="S713" s="210" t="s">
        <v>1078</v>
      </c>
      <c r="T713" s="210" t="s">
        <v>32</v>
      </c>
      <c r="U713" s="210" t="s">
        <v>1150</v>
      </c>
      <c r="V713" s="210" t="s">
        <v>25</v>
      </c>
      <c r="W713" s="211" t="s">
        <v>1019</v>
      </c>
      <c r="X713" s="211">
        <v>100</v>
      </c>
      <c r="Y713" s="211">
        <v>100</v>
      </c>
      <c r="Z713" s="212">
        <v>100</v>
      </c>
      <c r="AA713" s="240">
        <v>61</v>
      </c>
      <c r="AB713" s="213">
        <v>0.01</v>
      </c>
      <c r="AC713" s="213">
        <v>0</v>
      </c>
      <c r="AD713" s="213" t="s">
        <v>109</v>
      </c>
      <c r="AE713" s="213">
        <v>3.0000000000000001E-3</v>
      </c>
      <c r="AF713" s="241">
        <v>269553805.17000002</v>
      </c>
      <c r="AG713" s="241">
        <v>269553805.17000002</v>
      </c>
      <c r="AH713" s="213">
        <v>8.3000000000000004E-2</v>
      </c>
      <c r="AI713" s="352">
        <v>1.2781</v>
      </c>
      <c r="AJ713" s="213">
        <v>0.12770000000000001</v>
      </c>
      <c r="AK713" s="352">
        <v>1.3573999999999999</v>
      </c>
      <c r="AL713" s="213">
        <v>0.19009999999999999</v>
      </c>
      <c r="AM713" s="352">
        <v>1.5738000000000001</v>
      </c>
      <c r="AN713" s="213">
        <v>0.25580000000000003</v>
      </c>
      <c r="AO713" s="352">
        <v>1.5183</v>
      </c>
      <c r="AP713" s="213">
        <v>1.6000000000000001E-3</v>
      </c>
      <c r="AQ713" s="219">
        <v>19.050747594715272</v>
      </c>
      <c r="AR713" s="213" t="s">
        <v>1827</v>
      </c>
      <c r="AV713" s="343"/>
      <c r="AW713" s="328"/>
      <c r="AX713" s="329"/>
      <c r="AY713" s="328"/>
      <c r="AZ713" s="328"/>
      <c r="BA713" s="330"/>
      <c r="BB713" s="328"/>
      <c r="BC713" s="328"/>
      <c r="BD713" s="328"/>
      <c r="BE713" s="330"/>
      <c r="BF713" s="330"/>
      <c r="BG713" s="344"/>
      <c r="BH713" s="330"/>
      <c r="BI713" s="330"/>
      <c r="BJ713" s="330"/>
      <c r="BK713" s="330"/>
      <c r="BL713" s="330"/>
      <c r="BM713" s="330"/>
      <c r="BN713" s="330"/>
      <c r="BO713" s="330"/>
      <c r="BP713" s="331"/>
      <c r="BQ713" s="332"/>
      <c r="BR713" s="333"/>
    </row>
    <row r="714" spans="2:70" ht="15.75" customHeight="1">
      <c r="B714" s="216" t="s">
        <v>1471</v>
      </c>
      <c r="C714" s="212">
        <v>978653</v>
      </c>
      <c r="D714" s="223">
        <v>14796095000106</v>
      </c>
      <c r="E714" s="217" t="s">
        <v>25</v>
      </c>
      <c r="F714" s="217" t="s">
        <v>958</v>
      </c>
      <c r="G714" s="217" t="s">
        <v>962</v>
      </c>
      <c r="H714" s="218" t="s">
        <v>66</v>
      </c>
      <c r="I714" s="217" t="s">
        <v>1841</v>
      </c>
      <c r="J714" s="217" t="s">
        <v>66</v>
      </c>
      <c r="K714" s="218"/>
      <c r="L714" s="212" t="s">
        <v>87</v>
      </c>
      <c r="M714" s="250"/>
      <c r="N714" s="239">
        <v>40953</v>
      </c>
      <c r="O714" s="210" t="s">
        <v>473</v>
      </c>
      <c r="P714" s="210" t="s">
        <v>1075</v>
      </c>
      <c r="Q714" s="210" t="s">
        <v>1076</v>
      </c>
      <c r="R714" s="210" t="s">
        <v>1077</v>
      </c>
      <c r="S714" s="210" t="s">
        <v>1078</v>
      </c>
      <c r="T714" s="210" t="s">
        <v>1082</v>
      </c>
      <c r="U714" s="210" t="s">
        <v>958</v>
      </c>
      <c r="V714" s="210" t="s">
        <v>25</v>
      </c>
      <c r="W714" s="211" t="s">
        <v>1035</v>
      </c>
      <c r="X714" s="211">
        <v>5000</v>
      </c>
      <c r="Y714" s="211">
        <v>0</v>
      </c>
      <c r="Z714" s="212">
        <v>0</v>
      </c>
      <c r="AA714" s="240">
        <v>31</v>
      </c>
      <c r="AB714" s="213">
        <v>6.7000000000000002E-3</v>
      </c>
      <c r="AC714" s="213">
        <v>0.2</v>
      </c>
      <c r="AD714" s="213" t="s">
        <v>1100</v>
      </c>
      <c r="AE714" s="213">
        <v>1.34E-3</v>
      </c>
      <c r="AF714" s="241">
        <v>65937674.710000001</v>
      </c>
      <c r="AG714" s="241">
        <v>65937674.710000001</v>
      </c>
      <c r="AH714" s="213">
        <v>0.13300000000000001</v>
      </c>
      <c r="AI714" s="352">
        <v>2.0484</v>
      </c>
      <c r="AJ714" s="213">
        <v>0.14929999999999999</v>
      </c>
      <c r="AK714" s="352">
        <v>1.587</v>
      </c>
      <c r="AL714" s="213">
        <v>0.2208</v>
      </c>
      <c r="AM714" s="352">
        <v>1.8278000000000001</v>
      </c>
      <c r="AN714" s="213">
        <v>0.26429999999999998</v>
      </c>
      <c r="AO714" s="352">
        <v>1.5683</v>
      </c>
      <c r="AP714" s="213">
        <v>3.6700000000000003E-2</v>
      </c>
      <c r="AQ714" s="219">
        <v>1.3598293866452149</v>
      </c>
      <c r="AR714" s="213" t="s">
        <v>1827</v>
      </c>
      <c r="AV714" s="343"/>
      <c r="AW714" s="328"/>
      <c r="AX714" s="329"/>
      <c r="AY714" s="328"/>
      <c r="AZ714" s="328"/>
      <c r="BA714" s="330"/>
      <c r="BB714" s="328"/>
      <c r="BC714" s="328"/>
      <c r="BD714" s="328"/>
      <c r="BE714" s="330"/>
      <c r="BF714" s="330"/>
      <c r="BG714" s="344"/>
      <c r="BH714" s="330"/>
      <c r="BI714" s="330"/>
      <c r="BJ714" s="330"/>
      <c r="BK714" s="330"/>
      <c r="BL714" s="330"/>
      <c r="BM714" s="330"/>
      <c r="BN714" s="330"/>
      <c r="BO714" s="330"/>
      <c r="BP714" s="331"/>
      <c r="BQ714" s="332"/>
      <c r="BR714" s="333"/>
    </row>
    <row r="715" spans="2:70" ht="15.75" customHeight="1">
      <c r="B715" s="216" t="s">
        <v>1472</v>
      </c>
      <c r="C715" s="212">
        <v>2820306</v>
      </c>
      <c r="D715" s="223">
        <v>30553981000165</v>
      </c>
      <c r="E715" s="217" t="s">
        <v>28</v>
      </c>
      <c r="F715" s="217" t="s">
        <v>950</v>
      </c>
      <c r="G715" s="217"/>
      <c r="H715" s="218"/>
      <c r="I715" s="217" t="s">
        <v>66</v>
      </c>
      <c r="J715" s="217" t="s">
        <v>66</v>
      </c>
      <c r="K715" s="218" t="s">
        <v>954</v>
      </c>
      <c r="L715" s="212"/>
      <c r="M715" s="250"/>
      <c r="N715" s="239">
        <v>43327</v>
      </c>
      <c r="O715" s="210" t="s">
        <v>475</v>
      </c>
      <c r="P715" s="210" t="s">
        <v>1090</v>
      </c>
      <c r="Q715" s="210" t="s">
        <v>1091</v>
      </c>
      <c r="R715" s="210" t="s">
        <v>1077</v>
      </c>
      <c r="S715" s="210" t="s">
        <v>1078</v>
      </c>
      <c r="T715" s="210" t="s">
        <v>1079</v>
      </c>
      <c r="U715" s="210" t="s">
        <v>65</v>
      </c>
      <c r="V715" s="210" t="s">
        <v>25</v>
      </c>
      <c r="W715" s="211" t="s">
        <v>1028</v>
      </c>
      <c r="X715" s="211">
        <v>2000000</v>
      </c>
      <c r="Y715" s="211">
        <v>25000</v>
      </c>
      <c r="Z715" s="212">
        <v>25000</v>
      </c>
      <c r="AA715" s="240">
        <v>30</v>
      </c>
      <c r="AB715" s="213">
        <v>0.01</v>
      </c>
      <c r="AC715" s="213">
        <v>0.1</v>
      </c>
      <c r="AD715" s="213" t="s">
        <v>1157</v>
      </c>
      <c r="AE715" s="213">
        <v>1E-3</v>
      </c>
      <c r="AF715" s="241">
        <v>140597964.40000001</v>
      </c>
      <c r="AG715" s="241">
        <v>140597964.40000001</v>
      </c>
      <c r="AH715" s="213">
        <v>-0.28070000000000001</v>
      </c>
      <c r="AI715" s="352">
        <v>-4.3235999999999999</v>
      </c>
      <c r="AJ715" s="213">
        <v>-0.20349999999999999</v>
      </c>
      <c r="AK715" s="352">
        <v>-2.1627999999999998</v>
      </c>
      <c r="AL715" s="213">
        <v>3.09E-2</v>
      </c>
      <c r="AM715" s="352">
        <v>0.25619999999999998</v>
      </c>
      <c r="AN715" s="213">
        <v>0.48659999999999998</v>
      </c>
      <c r="AO715" s="352">
        <v>2.8873000000000002</v>
      </c>
      <c r="AP715" s="213">
        <v>0.18729999999999999</v>
      </c>
      <c r="AQ715" s="219">
        <v>-1.6011460471449404</v>
      </c>
      <c r="AR715" s="213" t="s">
        <v>1827</v>
      </c>
      <c r="AU715" s="343"/>
      <c r="AV715" s="343"/>
      <c r="AW715" s="328"/>
      <c r="AX715" s="329"/>
      <c r="AY715" s="328"/>
      <c r="AZ715" s="328"/>
      <c r="BA715" s="330"/>
      <c r="BB715" s="328"/>
      <c r="BC715" s="328"/>
      <c r="BD715" s="328"/>
      <c r="BE715" s="330"/>
      <c r="BF715" s="330"/>
      <c r="BG715" s="344"/>
      <c r="BH715" s="383"/>
      <c r="BI715" s="330"/>
      <c r="BJ715" s="330"/>
      <c r="BK715" s="330"/>
      <c r="BL715" s="330"/>
      <c r="BM715" s="330"/>
      <c r="BN715" s="330"/>
      <c r="BO715" s="330"/>
      <c r="BP715" s="331"/>
      <c r="BQ715" s="332"/>
      <c r="BR715" s="333"/>
    </row>
    <row r="716" spans="2:70" ht="15.75" customHeight="1">
      <c r="B716" s="216" t="s">
        <v>1473</v>
      </c>
      <c r="C716" s="212">
        <v>536755</v>
      </c>
      <c r="D716" s="223">
        <v>18323970000193</v>
      </c>
      <c r="E716" s="217" t="s">
        <v>28</v>
      </c>
      <c r="F716" s="217" t="s">
        <v>950</v>
      </c>
      <c r="G716" s="217"/>
      <c r="H716" s="218"/>
      <c r="I716" s="217" t="s">
        <v>66</v>
      </c>
      <c r="J716" s="217" t="s">
        <v>66</v>
      </c>
      <c r="K716" s="218" t="s">
        <v>954</v>
      </c>
      <c r="L716" s="212"/>
      <c r="M716" s="250"/>
      <c r="N716" s="239">
        <v>41512</v>
      </c>
      <c r="O716" s="210" t="s">
        <v>475</v>
      </c>
      <c r="P716" s="210" t="s">
        <v>1090</v>
      </c>
      <c r="Q716" s="210" t="s">
        <v>1091</v>
      </c>
      <c r="R716" s="210" t="s">
        <v>1077</v>
      </c>
      <c r="S716" s="210" t="s">
        <v>1085</v>
      </c>
      <c r="T716" s="210" t="s">
        <v>1079</v>
      </c>
      <c r="U716" s="210" t="s">
        <v>65</v>
      </c>
      <c r="V716" s="210" t="s">
        <v>25</v>
      </c>
      <c r="W716" s="211" t="s">
        <v>1028</v>
      </c>
      <c r="X716" s="211">
        <v>25000</v>
      </c>
      <c r="Y716" s="211">
        <v>25000</v>
      </c>
      <c r="Z716" s="212">
        <v>25000</v>
      </c>
      <c r="AA716" s="240">
        <v>30</v>
      </c>
      <c r="AB716" s="213">
        <v>7.0000000000000001E-3</v>
      </c>
      <c r="AC716" s="213">
        <v>0.1</v>
      </c>
      <c r="AD716" s="213" t="s">
        <v>1157</v>
      </c>
      <c r="AE716" s="213">
        <v>6.9999999999999999E-4</v>
      </c>
      <c r="AF716" s="241">
        <v>64949306.140000001</v>
      </c>
      <c r="AG716" s="241">
        <v>64949306.140000001</v>
      </c>
      <c r="AH716" s="213">
        <v>-0.27960000000000002</v>
      </c>
      <c r="AI716" s="352">
        <v>-4.3071999999999999</v>
      </c>
      <c r="AJ716" s="213">
        <v>-0.20130000000000001</v>
      </c>
      <c r="AK716" s="352">
        <v>-2.1395</v>
      </c>
      <c r="AL716" s="213">
        <v>3.73E-2</v>
      </c>
      <c r="AM716" s="352">
        <v>0.30840000000000001</v>
      </c>
      <c r="AN716" s="213">
        <v>0.50080000000000002</v>
      </c>
      <c r="AO716" s="352">
        <v>2.9716999999999998</v>
      </c>
      <c r="AP716" s="213">
        <v>0.18729999999999999</v>
      </c>
      <c r="AQ716" s="219">
        <v>-1.5866062585406755</v>
      </c>
      <c r="AR716" s="213" t="s">
        <v>1827</v>
      </c>
      <c r="AV716" s="343"/>
      <c r="AW716" s="328"/>
      <c r="AX716" s="329"/>
      <c r="AY716" s="328"/>
      <c r="AZ716" s="328"/>
      <c r="BA716" s="330"/>
      <c r="BB716" s="328"/>
      <c r="BC716" s="328"/>
      <c r="BD716" s="328"/>
      <c r="BE716" s="330"/>
      <c r="BF716" s="330"/>
      <c r="BG716" s="344"/>
      <c r="BH716" s="330"/>
      <c r="BI716" s="330"/>
      <c r="BJ716" s="330"/>
      <c r="BK716" s="330"/>
      <c r="BL716" s="330"/>
      <c r="BM716" s="330"/>
      <c r="BN716" s="330"/>
      <c r="BO716" s="330"/>
      <c r="BP716" s="331"/>
      <c r="BQ716" s="332"/>
      <c r="BR716" s="333"/>
    </row>
    <row r="717" spans="2:70" ht="15.75" customHeight="1">
      <c r="B717" s="216" t="s">
        <v>1474</v>
      </c>
      <c r="C717" s="212">
        <v>2910621</v>
      </c>
      <c r="D717" s="223">
        <v>39958460000162</v>
      </c>
      <c r="E717" s="217" t="s">
        <v>19</v>
      </c>
      <c r="F717" s="217" t="s">
        <v>963</v>
      </c>
      <c r="G717" s="217" t="s">
        <v>1034</v>
      </c>
      <c r="H717" s="218" t="s">
        <v>1113</v>
      </c>
      <c r="I717" s="217" t="s">
        <v>66</v>
      </c>
      <c r="J717" s="217" t="s">
        <v>1822</v>
      </c>
      <c r="K717" s="218" t="s">
        <v>951</v>
      </c>
      <c r="L717" s="212" t="s">
        <v>87</v>
      </c>
      <c r="M717" s="250"/>
      <c r="N717" s="239">
        <v>44179</v>
      </c>
      <c r="O717" s="210" t="s">
        <v>211</v>
      </c>
      <c r="P717" s="210" t="s">
        <v>1075</v>
      </c>
      <c r="Q717" s="210" t="s">
        <v>1076</v>
      </c>
      <c r="R717" s="210" t="s">
        <v>1077</v>
      </c>
      <c r="S717" s="210" t="s">
        <v>1078</v>
      </c>
      <c r="T717" s="210" t="s">
        <v>32</v>
      </c>
      <c r="U717" s="210" t="s">
        <v>1150</v>
      </c>
      <c r="V717" s="210" t="s">
        <v>19</v>
      </c>
      <c r="W717" s="211" t="s">
        <v>1024</v>
      </c>
      <c r="X717" s="211">
        <v>1000</v>
      </c>
      <c r="Y717" s="211">
        <v>1000</v>
      </c>
      <c r="Z717" s="212">
        <v>1000</v>
      </c>
      <c r="AA717" s="240">
        <v>32</v>
      </c>
      <c r="AB717" s="213">
        <v>0.01</v>
      </c>
      <c r="AC717" s="213">
        <v>0.1</v>
      </c>
      <c r="AD717" s="213" t="s">
        <v>1100</v>
      </c>
      <c r="AE717" s="213">
        <v>3.3333333333333331E-3</v>
      </c>
      <c r="AF717" s="241">
        <v>104927982.68000001</v>
      </c>
      <c r="AG717" s="241">
        <v>104927982.68000001</v>
      </c>
      <c r="AH717" s="213">
        <v>7.4800000000000005E-2</v>
      </c>
      <c r="AI717" s="352">
        <v>1.1524000000000001</v>
      </c>
      <c r="AJ717" s="213">
        <v>0.1149</v>
      </c>
      <c r="AK717" s="352">
        <v>1.2216</v>
      </c>
      <c r="AL717" s="213" t="s">
        <v>66</v>
      </c>
      <c r="AM717" s="352" t="s">
        <v>66</v>
      </c>
      <c r="AN717" s="213" t="s">
        <v>66</v>
      </c>
      <c r="AO717" s="352" t="s">
        <v>66</v>
      </c>
      <c r="AP717" s="213">
        <v>4.7000000000000002E-3</v>
      </c>
      <c r="AQ717" s="219">
        <v>4.0011473226338765</v>
      </c>
      <c r="AR717" s="213" t="s">
        <v>1827</v>
      </c>
      <c r="AV717" s="343"/>
      <c r="AW717" s="328"/>
      <c r="AX717" s="329"/>
      <c r="AY717" s="328"/>
      <c r="AZ717" s="328"/>
      <c r="BA717" s="330"/>
      <c r="BB717" s="328"/>
      <c r="BC717" s="328"/>
      <c r="BD717" s="328"/>
      <c r="BE717" s="330"/>
      <c r="BF717" s="330"/>
      <c r="BG717" s="344"/>
      <c r="BH717" s="330"/>
      <c r="BI717" s="330"/>
      <c r="BJ717" s="330"/>
      <c r="BK717" s="330"/>
      <c r="BL717" s="330"/>
      <c r="BM717" s="330"/>
      <c r="BN717" s="330"/>
      <c r="BO717" s="330"/>
      <c r="BP717" s="331"/>
      <c r="BQ717" s="332"/>
      <c r="BR717" s="333"/>
    </row>
    <row r="718" spans="2:70" ht="15.75" customHeight="1">
      <c r="B718" s="216" t="s">
        <v>476</v>
      </c>
      <c r="C718" s="212">
        <v>1138715</v>
      </c>
      <c r="D718" s="223">
        <v>26841302000186</v>
      </c>
      <c r="E718" s="217" t="s">
        <v>19</v>
      </c>
      <c r="F718" s="217" t="s">
        <v>963</v>
      </c>
      <c r="G718" s="217" t="s">
        <v>1034</v>
      </c>
      <c r="H718" s="218" t="s">
        <v>1113</v>
      </c>
      <c r="I718" s="217" t="s">
        <v>66</v>
      </c>
      <c r="J718" s="217" t="s">
        <v>1822</v>
      </c>
      <c r="K718" s="218" t="s">
        <v>951</v>
      </c>
      <c r="L718" s="212" t="s">
        <v>87</v>
      </c>
      <c r="M718" s="250"/>
      <c r="N718" s="239">
        <v>42927</v>
      </c>
      <c r="O718" s="210" t="s">
        <v>211</v>
      </c>
      <c r="P718" s="210" t="s">
        <v>1075</v>
      </c>
      <c r="Q718" s="210" t="s">
        <v>1076</v>
      </c>
      <c r="R718" s="210" t="s">
        <v>1077</v>
      </c>
      <c r="S718" s="210" t="s">
        <v>1078</v>
      </c>
      <c r="T718" s="210" t="s">
        <v>32</v>
      </c>
      <c r="U718" s="210" t="s">
        <v>1150</v>
      </c>
      <c r="V718" s="210" t="s">
        <v>25</v>
      </c>
      <c r="W718" s="211" t="s">
        <v>1016</v>
      </c>
      <c r="X718" s="211">
        <v>10000</v>
      </c>
      <c r="Y718" s="211">
        <v>1000</v>
      </c>
      <c r="Z718" s="212">
        <v>10000</v>
      </c>
      <c r="AA718" s="240">
        <v>91</v>
      </c>
      <c r="AB718" s="213">
        <v>9.7000000000000003E-3</v>
      </c>
      <c r="AC718" s="213">
        <v>0</v>
      </c>
      <c r="AD718" s="213" t="s">
        <v>1100</v>
      </c>
      <c r="AE718" s="213">
        <v>3.2333333333333333E-3</v>
      </c>
      <c r="AF718" s="241">
        <v>228076860.62</v>
      </c>
      <c r="AG718" s="241">
        <v>228076860.62</v>
      </c>
      <c r="AH718" s="213">
        <v>8.6300000000000002E-2</v>
      </c>
      <c r="AI718" s="352">
        <v>1.3289</v>
      </c>
      <c r="AJ718" s="213">
        <v>0.13239999999999999</v>
      </c>
      <c r="AK718" s="352">
        <v>1.4074</v>
      </c>
      <c r="AL718" s="213">
        <v>0.19320000000000001</v>
      </c>
      <c r="AM718" s="352">
        <v>1.5989</v>
      </c>
      <c r="AN718" s="213">
        <v>0.26090000000000002</v>
      </c>
      <c r="AO718" s="352">
        <v>1.5481</v>
      </c>
      <c r="AP718" s="213">
        <v>1.6999999999999999E-3</v>
      </c>
      <c r="AQ718" s="219">
        <v>20.559214124067765</v>
      </c>
      <c r="AR718" s="213" t="s">
        <v>1827</v>
      </c>
      <c r="AV718" s="343"/>
      <c r="AW718" s="328"/>
      <c r="AX718" s="329"/>
      <c r="AY718" s="328"/>
      <c r="AZ718" s="328"/>
      <c r="BA718" s="330"/>
      <c r="BB718" s="328"/>
      <c r="BC718" s="328"/>
      <c r="BD718" s="328"/>
      <c r="BE718" s="330"/>
      <c r="BF718" s="330"/>
      <c r="BG718" s="344"/>
      <c r="BH718" s="330"/>
      <c r="BI718" s="330"/>
      <c r="BJ718" s="330"/>
      <c r="BK718" s="330"/>
      <c r="BL718" s="330"/>
      <c r="BM718" s="330"/>
      <c r="BN718" s="330"/>
      <c r="BO718" s="330"/>
      <c r="BP718" s="331"/>
      <c r="BQ718" s="332"/>
      <c r="BR718" s="333"/>
    </row>
    <row r="719" spans="2:70" ht="15.75" customHeight="1">
      <c r="B719" s="216" t="s">
        <v>477</v>
      </c>
      <c r="C719" s="212">
        <v>951221</v>
      </c>
      <c r="D719" s="223">
        <v>32300395000134</v>
      </c>
      <c r="E719" s="217" t="s">
        <v>19</v>
      </c>
      <c r="F719" s="217" t="s">
        <v>963</v>
      </c>
      <c r="G719" s="217" t="s">
        <v>1034</v>
      </c>
      <c r="H719" s="218" t="s">
        <v>1113</v>
      </c>
      <c r="I719" s="217" t="s">
        <v>66</v>
      </c>
      <c r="J719" s="217" t="s">
        <v>1822</v>
      </c>
      <c r="K719" s="218" t="s">
        <v>951</v>
      </c>
      <c r="L719" s="212" t="s">
        <v>87</v>
      </c>
      <c r="M719" s="250"/>
      <c r="N719" s="239">
        <v>43542</v>
      </c>
      <c r="O719" s="210" t="s">
        <v>211</v>
      </c>
      <c r="P719" s="210" t="s">
        <v>1075</v>
      </c>
      <c r="Q719" s="210" t="s">
        <v>1076</v>
      </c>
      <c r="R719" s="210" t="s">
        <v>1099</v>
      </c>
      <c r="S719" s="210" t="s">
        <v>1078</v>
      </c>
      <c r="T719" s="210" t="s">
        <v>32</v>
      </c>
      <c r="U719" s="210" t="s">
        <v>1150</v>
      </c>
      <c r="V719" s="210" t="s">
        <v>25</v>
      </c>
      <c r="W719" s="211" t="s">
        <v>1016</v>
      </c>
      <c r="X719" s="211">
        <v>50000</v>
      </c>
      <c r="Y719" s="211">
        <v>10000</v>
      </c>
      <c r="Z719" s="212">
        <v>50000</v>
      </c>
      <c r="AA719" s="240">
        <v>361</v>
      </c>
      <c r="AB719" s="213">
        <v>0.02</v>
      </c>
      <c r="AC719" s="213">
        <v>0.2</v>
      </c>
      <c r="AD719" s="213" t="s">
        <v>1100</v>
      </c>
      <c r="AE719" s="213">
        <v>5.3340000000000002E-3</v>
      </c>
      <c r="AF719" s="241">
        <v>82286303.159999996</v>
      </c>
      <c r="AG719" s="241">
        <v>82286303.159999996</v>
      </c>
      <c r="AH719" s="213">
        <v>9.2700000000000005E-2</v>
      </c>
      <c r="AI719" s="352">
        <v>1.4275</v>
      </c>
      <c r="AJ719" s="213">
        <v>0.16189999999999999</v>
      </c>
      <c r="AK719" s="352">
        <v>1.7211000000000001</v>
      </c>
      <c r="AL719" s="213">
        <v>0.30740000000000001</v>
      </c>
      <c r="AM719" s="352">
        <v>2.5446</v>
      </c>
      <c r="AN719" s="213">
        <v>0.40649999999999997</v>
      </c>
      <c r="AO719" s="352">
        <v>2.4123000000000001</v>
      </c>
      <c r="AP719" s="213">
        <v>3.8999999999999998E-3</v>
      </c>
      <c r="AQ719" s="219">
        <v>15.324748421813679</v>
      </c>
      <c r="AR719" s="213" t="s">
        <v>1827</v>
      </c>
      <c r="AV719" s="343"/>
      <c r="AW719" s="328"/>
      <c r="AX719" s="329"/>
      <c r="AY719" s="328"/>
      <c r="AZ719" s="328"/>
      <c r="BA719" s="330"/>
      <c r="BB719" s="328"/>
      <c r="BC719" s="328"/>
      <c r="BD719" s="328"/>
      <c r="BE719" s="330"/>
      <c r="BF719" s="330"/>
      <c r="BG719" s="344"/>
      <c r="BH719" s="330"/>
      <c r="BI719" s="330"/>
      <c r="BJ719" s="330"/>
      <c r="BK719" s="330"/>
      <c r="BL719" s="330"/>
      <c r="BM719" s="330"/>
      <c r="BN719" s="330"/>
      <c r="BO719" s="330"/>
      <c r="BP719" s="331"/>
      <c r="BQ719" s="332"/>
      <c r="BR719" s="333"/>
    </row>
    <row r="720" spans="2:70" ht="15.75" customHeight="1">
      <c r="B720" s="216" t="s">
        <v>1475</v>
      </c>
      <c r="C720" s="212">
        <v>818602</v>
      </c>
      <c r="D720" s="223">
        <v>26374829000148</v>
      </c>
      <c r="E720" s="217" t="s">
        <v>19</v>
      </c>
      <c r="F720" s="217" t="s">
        <v>963</v>
      </c>
      <c r="G720" s="217" t="s">
        <v>1011</v>
      </c>
      <c r="H720" s="218" t="s">
        <v>1113</v>
      </c>
      <c r="I720" s="217" t="s">
        <v>66</v>
      </c>
      <c r="J720" s="217" t="s">
        <v>1794</v>
      </c>
      <c r="K720" s="218" t="s">
        <v>951</v>
      </c>
      <c r="L720" s="212" t="s">
        <v>87</v>
      </c>
      <c r="M720" s="250"/>
      <c r="N720" s="239">
        <v>42832</v>
      </c>
      <c r="O720" s="210" t="s">
        <v>211</v>
      </c>
      <c r="P720" s="210" t="s">
        <v>1075</v>
      </c>
      <c r="Q720" s="210" t="s">
        <v>1076</v>
      </c>
      <c r="R720" s="210" t="s">
        <v>1077</v>
      </c>
      <c r="S720" s="210" t="s">
        <v>1078</v>
      </c>
      <c r="T720" s="210" t="s">
        <v>349</v>
      </c>
      <c r="U720" s="210" t="s">
        <v>1114</v>
      </c>
      <c r="V720" s="210" t="s">
        <v>19</v>
      </c>
      <c r="W720" s="211" t="s">
        <v>1029</v>
      </c>
      <c r="X720" s="211">
        <v>0</v>
      </c>
      <c r="Y720" s="211">
        <v>0</v>
      </c>
      <c r="Z720" s="212">
        <v>0</v>
      </c>
      <c r="AA720" s="240">
        <v>0</v>
      </c>
      <c r="AB720" s="213">
        <v>3.0000000000000001E-3</v>
      </c>
      <c r="AC720" s="213">
        <v>0</v>
      </c>
      <c r="AD720" s="213" t="s">
        <v>109</v>
      </c>
      <c r="AE720" s="213">
        <v>8.0009999999999999E-4</v>
      </c>
      <c r="AF720" s="241">
        <v>156595254.16</v>
      </c>
      <c r="AG720" s="241">
        <v>156595254.16</v>
      </c>
      <c r="AH720" s="213">
        <v>6.4600000000000005E-2</v>
      </c>
      <c r="AI720" s="352">
        <v>0.995</v>
      </c>
      <c r="AJ720" s="213">
        <v>9.3200000000000005E-2</v>
      </c>
      <c r="AK720" s="352">
        <v>0.99019999999999997</v>
      </c>
      <c r="AL720" s="213">
        <v>0.10929999999999999</v>
      </c>
      <c r="AM720" s="352">
        <v>0.90449999999999997</v>
      </c>
      <c r="AN720" s="213">
        <v>0.15290000000000001</v>
      </c>
      <c r="AO720" s="352">
        <v>0.90720000000000001</v>
      </c>
      <c r="AP720" s="213">
        <v>1.9E-3</v>
      </c>
      <c r="AQ720" s="219">
        <v>-0.4450142774645881</v>
      </c>
      <c r="AR720" s="213" t="s">
        <v>1827</v>
      </c>
      <c r="AV720" s="343"/>
      <c r="AW720" s="328"/>
      <c r="AX720" s="329"/>
      <c r="AY720" s="328"/>
      <c r="AZ720" s="328"/>
      <c r="BA720" s="330"/>
      <c r="BB720" s="328"/>
      <c r="BC720" s="328"/>
      <c r="BD720" s="328"/>
      <c r="BE720" s="330"/>
      <c r="BF720" s="330"/>
      <c r="BG720" s="344"/>
      <c r="BH720" s="330"/>
      <c r="BI720" s="330"/>
      <c r="BJ720" s="330"/>
      <c r="BK720" s="330"/>
      <c r="BL720" s="330"/>
      <c r="BM720" s="330"/>
      <c r="BN720" s="330"/>
      <c r="BO720" s="330"/>
      <c r="BP720" s="331"/>
      <c r="BQ720" s="332"/>
      <c r="BR720" s="333"/>
    </row>
    <row r="721" spans="2:70" ht="15.75" customHeight="1">
      <c r="B721" s="216" t="s">
        <v>478</v>
      </c>
      <c r="C721" s="212">
        <v>566893</v>
      </c>
      <c r="D721" s="223">
        <v>32973321000169</v>
      </c>
      <c r="E721" s="217" t="s">
        <v>25</v>
      </c>
      <c r="F721" s="217" t="s">
        <v>958</v>
      </c>
      <c r="G721" s="217" t="s">
        <v>962</v>
      </c>
      <c r="H721" s="218" t="s">
        <v>66</v>
      </c>
      <c r="I721" s="217" t="s">
        <v>1259</v>
      </c>
      <c r="J721" s="217" t="s">
        <v>66</v>
      </c>
      <c r="K721" s="218"/>
      <c r="L721" s="212" t="s">
        <v>87</v>
      </c>
      <c r="M721" s="250"/>
      <c r="N721" s="239">
        <v>43707</v>
      </c>
      <c r="O721" s="210" t="s">
        <v>479</v>
      </c>
      <c r="P721" s="210" t="s">
        <v>1083</v>
      </c>
      <c r="Q721" s="210" t="s">
        <v>102</v>
      </c>
      <c r="R721" s="210" t="s">
        <v>1084</v>
      </c>
      <c r="S721" s="210" t="s">
        <v>1078</v>
      </c>
      <c r="T721" s="210" t="s">
        <v>1082</v>
      </c>
      <c r="U721" s="210" t="s">
        <v>958</v>
      </c>
      <c r="V721" s="210" t="s">
        <v>25</v>
      </c>
      <c r="W721" s="211" t="s">
        <v>1012</v>
      </c>
      <c r="X721" s="211">
        <v>5000</v>
      </c>
      <c r="Y721" s="211">
        <v>1000</v>
      </c>
      <c r="Z721" s="212">
        <v>5000</v>
      </c>
      <c r="AA721" s="240">
        <v>30</v>
      </c>
      <c r="AB721" s="213">
        <v>1.8800000000000001E-2</v>
      </c>
      <c r="AC721" s="213">
        <v>0.2</v>
      </c>
      <c r="AD721" s="213" t="s">
        <v>109</v>
      </c>
      <c r="AE721" s="213">
        <v>3.7599999999999999E-3</v>
      </c>
      <c r="AF721" s="241">
        <v>11303638.25</v>
      </c>
      <c r="AG721" s="241">
        <v>11303638.25</v>
      </c>
      <c r="AH721" s="213">
        <v>2.8299999999999999E-2</v>
      </c>
      <c r="AI721" s="352">
        <v>0.43659999999999999</v>
      </c>
      <c r="AJ721" s="213">
        <v>5.8999999999999999E-3</v>
      </c>
      <c r="AK721" s="352">
        <v>6.2700000000000006E-2</v>
      </c>
      <c r="AL721" s="213">
        <v>1.1000000000000001E-3</v>
      </c>
      <c r="AM721" s="352">
        <v>9.2999999999999992E-3</v>
      </c>
      <c r="AN721" s="213" t="s">
        <v>66</v>
      </c>
      <c r="AO721" s="352" t="s">
        <v>66</v>
      </c>
      <c r="AP721" s="213">
        <v>5.6599999999999998E-2</v>
      </c>
      <c r="AQ721" s="219">
        <v>-1.4576985288213382</v>
      </c>
      <c r="AR721" s="213" t="s">
        <v>1827</v>
      </c>
      <c r="AV721" s="343"/>
      <c r="AW721" s="328"/>
      <c r="AX721" s="329"/>
      <c r="AY721" s="328"/>
      <c r="AZ721" s="328"/>
      <c r="BA721" s="330"/>
      <c r="BB721" s="328"/>
      <c r="BC721" s="328"/>
      <c r="BD721" s="328"/>
      <c r="BE721" s="330"/>
      <c r="BF721" s="330"/>
      <c r="BG721" s="344"/>
      <c r="BH721" s="330"/>
      <c r="BI721" s="330"/>
      <c r="BJ721" s="330"/>
      <c r="BK721" s="330"/>
      <c r="BL721" s="330"/>
      <c r="BM721" s="330"/>
      <c r="BN721" s="330"/>
      <c r="BO721" s="330"/>
      <c r="BP721" s="331"/>
      <c r="BQ721" s="332"/>
      <c r="BR721" s="333"/>
    </row>
    <row r="722" spans="2:70" ht="15.75" customHeight="1">
      <c r="B722" s="216" t="s">
        <v>1476</v>
      </c>
      <c r="C722" s="212">
        <v>581236</v>
      </c>
      <c r="D722" s="223">
        <v>11435287000107</v>
      </c>
      <c r="E722" s="217" t="s">
        <v>19</v>
      </c>
      <c r="F722" s="217" t="s">
        <v>963</v>
      </c>
      <c r="G722" s="217" t="s">
        <v>1011</v>
      </c>
      <c r="H722" s="218" t="s">
        <v>1113</v>
      </c>
      <c r="I722" s="217" t="s">
        <v>66</v>
      </c>
      <c r="J722" s="217" t="s">
        <v>1794</v>
      </c>
      <c r="K722" s="218" t="s">
        <v>951</v>
      </c>
      <c r="L722" s="212" t="s">
        <v>87</v>
      </c>
      <c r="M722" s="250"/>
      <c r="N722" s="239">
        <v>40422</v>
      </c>
      <c r="O722" s="210" t="s">
        <v>121</v>
      </c>
      <c r="P722" s="210" t="s">
        <v>1088</v>
      </c>
      <c r="Q722" s="210" t="s">
        <v>1089</v>
      </c>
      <c r="R722" s="210" t="s">
        <v>1084</v>
      </c>
      <c r="S722" s="210" t="s">
        <v>1078</v>
      </c>
      <c r="T722" s="210" t="s">
        <v>349</v>
      </c>
      <c r="U722" s="210" t="s">
        <v>1114</v>
      </c>
      <c r="V722" s="210" t="s">
        <v>19</v>
      </c>
      <c r="W722" s="211" t="s">
        <v>1017</v>
      </c>
      <c r="X722" s="211">
        <v>1000</v>
      </c>
      <c r="Y722" s="211">
        <v>500</v>
      </c>
      <c r="Z722" s="212">
        <v>500</v>
      </c>
      <c r="AA722" s="240">
        <v>0</v>
      </c>
      <c r="AB722" s="213">
        <v>3.0000000000000001E-3</v>
      </c>
      <c r="AC722" s="213">
        <v>0</v>
      </c>
      <c r="AD722" s="213" t="s">
        <v>109</v>
      </c>
      <c r="AE722" s="213">
        <v>1.1999999999999999E-3</v>
      </c>
      <c r="AF722" s="241">
        <v>593255999.38</v>
      </c>
      <c r="AG722" s="241">
        <v>593255999.38</v>
      </c>
      <c r="AH722" s="213">
        <v>6.59E-2</v>
      </c>
      <c r="AI722" s="352">
        <v>1.0149999999999999</v>
      </c>
      <c r="AJ722" s="213">
        <v>9.9900000000000003E-2</v>
      </c>
      <c r="AK722" s="352">
        <v>1.0620000000000001</v>
      </c>
      <c r="AL722" s="213">
        <v>0.13200000000000001</v>
      </c>
      <c r="AM722" s="352">
        <v>1.0926</v>
      </c>
      <c r="AN722" s="213">
        <v>0.16220000000000001</v>
      </c>
      <c r="AO722" s="352">
        <v>0.96279999999999999</v>
      </c>
      <c r="AP722" s="213">
        <v>2.2000000000000001E-3</v>
      </c>
      <c r="AQ722" s="219">
        <v>2.4395982011159565</v>
      </c>
      <c r="AR722" s="213" t="s">
        <v>1824</v>
      </c>
      <c r="AV722" s="343"/>
      <c r="AW722" s="328"/>
      <c r="AX722" s="329"/>
      <c r="AY722" s="328"/>
      <c r="AZ722" s="328"/>
      <c r="BA722" s="330"/>
      <c r="BB722" s="328"/>
      <c r="BC722" s="328"/>
      <c r="BD722" s="328"/>
      <c r="BE722" s="330"/>
      <c r="BF722" s="330"/>
      <c r="BG722" s="344"/>
      <c r="BH722" s="330"/>
      <c r="BI722" s="330"/>
      <c r="BJ722" s="330"/>
      <c r="BK722" s="330"/>
      <c r="BL722" s="330"/>
      <c r="BM722" s="330"/>
      <c r="BN722" s="330"/>
      <c r="BO722" s="330"/>
      <c r="BP722" s="331"/>
      <c r="BQ722" s="332"/>
      <c r="BR722" s="333"/>
    </row>
    <row r="723" spans="2:70" ht="15.75" customHeight="1">
      <c r="B723" s="216" t="s">
        <v>1477</v>
      </c>
      <c r="C723" s="212">
        <v>1128765</v>
      </c>
      <c r="D723" s="223">
        <v>19488768000184</v>
      </c>
      <c r="E723" s="217" t="s">
        <v>19</v>
      </c>
      <c r="F723" s="217" t="s">
        <v>963</v>
      </c>
      <c r="G723" s="217" t="s">
        <v>1011</v>
      </c>
      <c r="H723" s="218" t="s">
        <v>1113</v>
      </c>
      <c r="I723" s="217" t="s">
        <v>66</v>
      </c>
      <c r="J723" s="217"/>
      <c r="K723" s="218" t="s">
        <v>951</v>
      </c>
      <c r="L723" s="212" t="s">
        <v>87</v>
      </c>
      <c r="M723" s="250"/>
      <c r="N723" s="239">
        <v>41912</v>
      </c>
      <c r="O723" s="210" t="s">
        <v>121</v>
      </c>
      <c r="P723" s="210" t="s">
        <v>1088</v>
      </c>
      <c r="Q723" s="210" t="s">
        <v>1089</v>
      </c>
      <c r="R723" s="210" t="s">
        <v>1084</v>
      </c>
      <c r="S723" s="210" t="s">
        <v>1078</v>
      </c>
      <c r="T723" s="210" t="s">
        <v>349</v>
      </c>
      <c r="U723" s="210" t="s">
        <v>1114</v>
      </c>
      <c r="V723" s="210" t="s">
        <v>19</v>
      </c>
      <c r="W723" s="211" t="s">
        <v>1017</v>
      </c>
      <c r="X723" s="211">
        <v>1000</v>
      </c>
      <c r="Y723" s="211">
        <v>0</v>
      </c>
      <c r="Z723" s="212">
        <v>0</v>
      </c>
      <c r="AA723" s="240">
        <v>1</v>
      </c>
      <c r="AB723" s="213">
        <v>4.4999999999999997E-3</v>
      </c>
      <c r="AC723" s="213">
        <v>0</v>
      </c>
      <c r="AD723" s="213" t="s">
        <v>109</v>
      </c>
      <c r="AE723" s="213">
        <v>1.6199999999999999E-3</v>
      </c>
      <c r="AF723" s="241">
        <v>1044072355.27</v>
      </c>
      <c r="AG723" s="241">
        <v>1044072355.27</v>
      </c>
      <c r="AH723" s="213">
        <v>7.1199999999999999E-2</v>
      </c>
      <c r="AI723" s="352">
        <v>1.0973999999999999</v>
      </c>
      <c r="AJ723" s="213">
        <v>0.10879999999999999</v>
      </c>
      <c r="AK723" s="352">
        <v>1.1568000000000001</v>
      </c>
      <c r="AL723" s="213">
        <v>0.16639999999999999</v>
      </c>
      <c r="AM723" s="352">
        <v>1.3771</v>
      </c>
      <c r="AN723" s="213">
        <v>0.15870000000000001</v>
      </c>
      <c r="AO723" s="352">
        <v>0.94189999999999996</v>
      </c>
      <c r="AP723" s="213">
        <v>2E-3</v>
      </c>
      <c r="AQ723" s="219">
        <v>6.5853123923175483</v>
      </c>
      <c r="AR723" s="213" t="s">
        <v>1824</v>
      </c>
      <c r="AV723" s="343"/>
      <c r="AW723" s="328"/>
      <c r="AX723" s="329"/>
      <c r="AY723" s="328"/>
      <c r="AZ723" s="328"/>
      <c r="BA723" s="330"/>
      <c r="BB723" s="328"/>
      <c r="BC723" s="328"/>
      <c r="BD723" s="328"/>
      <c r="BE723" s="330"/>
      <c r="BF723" s="330"/>
      <c r="BG723" s="344"/>
      <c r="BH723" s="330"/>
      <c r="BI723" s="330"/>
      <c r="BJ723" s="330"/>
      <c r="BK723" s="330"/>
      <c r="BL723" s="330"/>
      <c r="BM723" s="330"/>
      <c r="BN723" s="330"/>
      <c r="BO723" s="330"/>
      <c r="BP723" s="331"/>
      <c r="BQ723" s="332"/>
      <c r="BR723" s="333"/>
    </row>
    <row r="724" spans="2:70" ht="15.75" customHeight="1">
      <c r="B724" s="216" t="s">
        <v>1478</v>
      </c>
      <c r="C724" s="212">
        <v>912491</v>
      </c>
      <c r="D724" s="223">
        <v>14115116000180</v>
      </c>
      <c r="E724" s="217" t="s">
        <v>25</v>
      </c>
      <c r="F724" s="217" t="s">
        <v>958</v>
      </c>
      <c r="G724" s="217" t="s">
        <v>962</v>
      </c>
      <c r="H724" s="218" t="s">
        <v>66</v>
      </c>
      <c r="I724" s="217" t="s">
        <v>1842</v>
      </c>
      <c r="J724" s="217" t="s">
        <v>66</v>
      </c>
      <c r="K724" s="218"/>
      <c r="L724" s="212" t="s">
        <v>87</v>
      </c>
      <c r="M724" s="250"/>
      <c r="N724" s="239">
        <v>40900</v>
      </c>
      <c r="O724" s="210" t="s">
        <v>121</v>
      </c>
      <c r="P724" s="210" t="s">
        <v>1088</v>
      </c>
      <c r="Q724" s="210" t="s">
        <v>1089</v>
      </c>
      <c r="R724" s="210" t="s">
        <v>1084</v>
      </c>
      <c r="S724" s="210" t="s">
        <v>1078</v>
      </c>
      <c r="T724" s="210" t="s">
        <v>1082</v>
      </c>
      <c r="U724" s="210" t="s">
        <v>958</v>
      </c>
      <c r="V724" s="210" t="s">
        <v>25</v>
      </c>
      <c r="W724" s="211" t="s">
        <v>1016</v>
      </c>
      <c r="X724" s="211">
        <v>1000</v>
      </c>
      <c r="Y724" s="211">
        <v>500</v>
      </c>
      <c r="Z724" s="212">
        <v>500</v>
      </c>
      <c r="AA724" s="240">
        <v>1</v>
      </c>
      <c r="AB724" s="213">
        <v>8.0000000000000002E-3</v>
      </c>
      <c r="AC724" s="213">
        <v>0</v>
      </c>
      <c r="AD724" s="213" t="s">
        <v>109</v>
      </c>
      <c r="AE724" s="213" t="s">
        <v>66</v>
      </c>
      <c r="AF724" s="241" t="s">
        <v>66</v>
      </c>
      <c r="AG724" s="241" t="s">
        <v>66</v>
      </c>
      <c r="AH724" s="213" t="s">
        <v>66</v>
      </c>
      <c r="AI724" s="352" t="s">
        <v>66</v>
      </c>
      <c r="AJ724" s="213" t="s">
        <v>66</v>
      </c>
      <c r="AK724" s="352" t="s">
        <v>66</v>
      </c>
      <c r="AL724" s="213" t="s">
        <v>66</v>
      </c>
      <c r="AM724" s="352" t="s">
        <v>66</v>
      </c>
      <c r="AN724" s="213" t="s">
        <v>66</v>
      </c>
      <c r="AO724" s="352" t="s">
        <v>66</v>
      </c>
      <c r="AP724" s="213" t="s">
        <v>66</v>
      </c>
      <c r="AQ724" s="219" t="s">
        <v>66</v>
      </c>
      <c r="AR724" s="213" t="s">
        <v>66</v>
      </c>
      <c r="AV724" s="343"/>
      <c r="AW724" s="328"/>
      <c r="AX724" s="329"/>
      <c r="AY724" s="328"/>
      <c r="AZ724" s="328"/>
      <c r="BA724" s="330"/>
      <c r="BB724" s="328"/>
      <c r="BC724" s="328"/>
      <c r="BD724" s="328"/>
      <c r="BE724" s="330"/>
      <c r="BF724" s="330"/>
      <c r="BG724" s="344"/>
      <c r="BH724" s="330"/>
      <c r="BI724" s="330"/>
      <c r="BJ724" s="330"/>
      <c r="BK724" s="330"/>
      <c r="BL724" s="330"/>
      <c r="BM724" s="330"/>
      <c r="BN724" s="330"/>
      <c r="BO724" s="330"/>
      <c r="BP724" s="331"/>
      <c r="BQ724" s="332"/>
      <c r="BR724" s="333"/>
    </row>
    <row r="725" spans="2:70" ht="15.75" customHeight="1">
      <c r="B725" s="216" t="s">
        <v>1479</v>
      </c>
      <c r="C725" s="212">
        <v>2243396</v>
      </c>
      <c r="D725" s="223">
        <v>38001966000116</v>
      </c>
      <c r="E725" s="217" t="s">
        <v>28</v>
      </c>
      <c r="F725" s="217" t="s">
        <v>950</v>
      </c>
      <c r="G725" s="217"/>
      <c r="H725" s="218"/>
      <c r="I725" s="217" t="s">
        <v>66</v>
      </c>
      <c r="J725" s="217" t="s">
        <v>66</v>
      </c>
      <c r="K725" s="218" t="s">
        <v>954</v>
      </c>
      <c r="L725" s="212"/>
      <c r="M725" s="250"/>
      <c r="N725" s="239">
        <v>44118</v>
      </c>
      <c r="O725" s="210" t="s">
        <v>121</v>
      </c>
      <c r="P725" s="210" t="s">
        <v>1088</v>
      </c>
      <c r="Q725" s="210" t="s">
        <v>1089</v>
      </c>
      <c r="R725" s="210" t="s">
        <v>1077</v>
      </c>
      <c r="S725" s="210" t="s">
        <v>1078</v>
      </c>
      <c r="T725" s="210" t="s">
        <v>1079</v>
      </c>
      <c r="U725" s="210" t="s">
        <v>65</v>
      </c>
      <c r="V725" s="210" t="s">
        <v>25</v>
      </c>
      <c r="W725" s="211" t="s">
        <v>1028</v>
      </c>
      <c r="X725" s="211">
        <v>1000</v>
      </c>
      <c r="Y725" s="211">
        <v>500</v>
      </c>
      <c r="Z725" s="212">
        <v>500</v>
      </c>
      <c r="AA725" s="240">
        <v>4</v>
      </c>
      <c r="AB725" s="213">
        <v>7.0000000000000001E-3</v>
      </c>
      <c r="AC725" s="213">
        <v>0</v>
      </c>
      <c r="AD725" s="213" t="s">
        <v>1157</v>
      </c>
      <c r="AE725" s="213">
        <v>1.8666666666666666E-3</v>
      </c>
      <c r="AF725" s="241">
        <v>66625349.439999998</v>
      </c>
      <c r="AG725" s="241">
        <v>66625349.439999998</v>
      </c>
      <c r="AH725" s="213">
        <v>-0.35460000000000003</v>
      </c>
      <c r="AI725" s="352">
        <v>-5.4623999999999997</v>
      </c>
      <c r="AJ725" s="213">
        <v>-0.2702</v>
      </c>
      <c r="AK725" s="352">
        <v>-2.8721999999999999</v>
      </c>
      <c r="AL725" s="213" t="s">
        <v>66</v>
      </c>
      <c r="AM725" s="352" t="s">
        <v>66</v>
      </c>
      <c r="AN725" s="213" t="s">
        <v>66</v>
      </c>
      <c r="AO725" s="352" t="s">
        <v>66</v>
      </c>
      <c r="AP725" s="213">
        <v>0.27429999999999999</v>
      </c>
      <c r="AQ725" s="219">
        <v>-1.3386436798342629</v>
      </c>
      <c r="AR725" s="213" t="s">
        <v>1824</v>
      </c>
      <c r="AV725" s="343"/>
      <c r="AW725" s="328"/>
      <c r="AX725" s="329"/>
      <c r="AY725" s="328"/>
      <c r="AZ725" s="328"/>
      <c r="BA725" s="330"/>
      <c r="BB725" s="328"/>
      <c r="BC725" s="328"/>
      <c r="BD725" s="328"/>
      <c r="BE725" s="330"/>
      <c r="BF725" s="330"/>
      <c r="BG725" s="344"/>
      <c r="BH725" s="330"/>
      <c r="BI725" s="330"/>
      <c r="BJ725" s="330"/>
      <c r="BK725" s="330"/>
      <c r="BL725" s="330"/>
      <c r="BM725" s="330"/>
      <c r="BN725" s="330"/>
      <c r="BO725" s="330"/>
      <c r="BP725" s="331"/>
      <c r="BQ725" s="332"/>
      <c r="BR725" s="333"/>
    </row>
    <row r="726" spans="2:70" ht="15.75" customHeight="1">
      <c r="B726" s="216" t="s">
        <v>1480</v>
      </c>
      <c r="C726" s="212">
        <v>2243402</v>
      </c>
      <c r="D726" s="223">
        <v>18683208000118</v>
      </c>
      <c r="E726" s="217" t="s">
        <v>25</v>
      </c>
      <c r="F726" s="217" t="s">
        <v>958</v>
      </c>
      <c r="G726" s="217" t="s">
        <v>962</v>
      </c>
      <c r="H726" s="218" t="s">
        <v>66</v>
      </c>
      <c r="I726" s="217" t="s">
        <v>1841</v>
      </c>
      <c r="J726" s="217" t="s">
        <v>66</v>
      </c>
      <c r="K726" s="218"/>
      <c r="L726" s="212" t="s">
        <v>87</v>
      </c>
      <c r="M726" s="250"/>
      <c r="N726" s="239">
        <v>41961</v>
      </c>
      <c r="O726" s="210" t="s">
        <v>121</v>
      </c>
      <c r="P726" s="210" t="s">
        <v>1090</v>
      </c>
      <c r="Q726" s="210" t="s">
        <v>1091</v>
      </c>
      <c r="R726" s="210" t="s">
        <v>1084</v>
      </c>
      <c r="S726" s="210" t="s">
        <v>1078</v>
      </c>
      <c r="T726" s="210" t="s">
        <v>1082</v>
      </c>
      <c r="U726" s="210" t="s">
        <v>958</v>
      </c>
      <c r="V726" s="210" t="s">
        <v>25</v>
      </c>
      <c r="W726" s="211" t="s">
        <v>1016</v>
      </c>
      <c r="X726" s="211">
        <v>1000</v>
      </c>
      <c r="Y726" s="211">
        <v>500</v>
      </c>
      <c r="Z726" s="212">
        <v>500</v>
      </c>
      <c r="AA726" s="240">
        <v>1</v>
      </c>
      <c r="AB726" s="213">
        <v>3.0000000000000001E-3</v>
      </c>
      <c r="AC726" s="213">
        <v>0.15</v>
      </c>
      <c r="AD726" s="213" t="s">
        <v>109</v>
      </c>
      <c r="AE726" s="213">
        <v>8.0009999999999999E-4</v>
      </c>
      <c r="AF726" s="241">
        <v>88688244.170000002</v>
      </c>
      <c r="AG726" s="241">
        <v>88688244.170000002</v>
      </c>
      <c r="AH726" s="213">
        <v>3.7999999999999999E-2</v>
      </c>
      <c r="AI726" s="352">
        <v>0.5847</v>
      </c>
      <c r="AJ726" s="213">
        <v>4.8000000000000001E-2</v>
      </c>
      <c r="AK726" s="352">
        <v>0.50990000000000002</v>
      </c>
      <c r="AL726" s="213">
        <v>8.7099999999999997E-2</v>
      </c>
      <c r="AM726" s="352">
        <v>0.72070000000000001</v>
      </c>
      <c r="AN726" s="213">
        <v>0.1043</v>
      </c>
      <c r="AO726" s="352">
        <v>0.61909999999999998</v>
      </c>
      <c r="AP726" s="213">
        <v>2.4400000000000002E-2</v>
      </c>
      <c r="AQ726" s="219">
        <v>-1.7556002652556306</v>
      </c>
      <c r="AR726" s="213" t="s">
        <v>1827</v>
      </c>
      <c r="AV726" s="343"/>
      <c r="AW726" s="328"/>
      <c r="AX726" s="329"/>
      <c r="AY726" s="328"/>
      <c r="AZ726" s="328"/>
      <c r="BA726" s="330"/>
      <c r="BB726" s="328"/>
      <c r="BC726" s="328"/>
      <c r="BD726" s="328"/>
      <c r="BE726" s="330"/>
      <c r="BF726" s="330"/>
      <c r="BG726" s="344"/>
      <c r="BH726" s="330"/>
      <c r="BI726" s="330"/>
      <c r="BJ726" s="330"/>
      <c r="BK726" s="330"/>
      <c r="BL726" s="330"/>
      <c r="BM726" s="330"/>
      <c r="BN726" s="330"/>
      <c r="BO726" s="330"/>
      <c r="BP726" s="331"/>
      <c r="BQ726" s="332"/>
      <c r="BR726" s="333"/>
    </row>
    <row r="727" spans="2:70" ht="15.75" customHeight="1">
      <c r="B727" s="216" t="s">
        <v>1481</v>
      </c>
      <c r="C727" s="212">
        <v>563913</v>
      </c>
      <c r="D727" s="223">
        <v>29283824000106</v>
      </c>
      <c r="E727" s="217" t="s">
        <v>19</v>
      </c>
      <c r="F727" s="217" t="s">
        <v>963</v>
      </c>
      <c r="G727" s="217" t="s">
        <v>1011</v>
      </c>
      <c r="H727" s="218" t="s">
        <v>1113</v>
      </c>
      <c r="I727" s="217" t="s">
        <v>66</v>
      </c>
      <c r="J727" s="217"/>
      <c r="K727" s="218" t="s">
        <v>951</v>
      </c>
      <c r="L727" s="212" t="s">
        <v>87</v>
      </c>
      <c r="M727" s="250"/>
      <c r="N727" s="239">
        <v>43222</v>
      </c>
      <c r="O727" s="210" t="s">
        <v>121</v>
      </c>
      <c r="P727" s="210" t="s">
        <v>1090</v>
      </c>
      <c r="Q727" s="210" t="s">
        <v>1091</v>
      </c>
      <c r="R727" s="210" t="s">
        <v>1084</v>
      </c>
      <c r="S727" s="210" t="s">
        <v>1078</v>
      </c>
      <c r="T727" s="210" t="s">
        <v>1275</v>
      </c>
      <c r="U727" s="210" t="s">
        <v>1114</v>
      </c>
      <c r="V727" s="210" t="s">
        <v>19</v>
      </c>
      <c r="W727" s="211" t="s">
        <v>1024</v>
      </c>
      <c r="X727" s="211">
        <v>3000</v>
      </c>
      <c r="Y727" s="211">
        <v>1000</v>
      </c>
      <c r="Z727" s="212">
        <v>1000</v>
      </c>
      <c r="AA727" s="240">
        <v>16</v>
      </c>
      <c r="AB727" s="213">
        <v>6.4999999999999997E-3</v>
      </c>
      <c r="AC727" s="213">
        <v>0</v>
      </c>
      <c r="AD727" s="213" t="s">
        <v>109</v>
      </c>
      <c r="AE727" s="213">
        <v>2.1666666666666666E-3</v>
      </c>
      <c r="AF727" s="241">
        <v>159558287.5</v>
      </c>
      <c r="AG727" s="241">
        <v>159558287.5</v>
      </c>
      <c r="AH727" s="213">
        <v>7.2999999999999995E-2</v>
      </c>
      <c r="AI727" s="352">
        <v>1.1242000000000001</v>
      </c>
      <c r="AJ727" s="213">
        <v>0.1169</v>
      </c>
      <c r="AK727" s="352">
        <v>1.242</v>
      </c>
      <c r="AL727" s="213">
        <v>0.19239999999999999</v>
      </c>
      <c r="AM727" s="352">
        <v>1.5923</v>
      </c>
      <c r="AN727" s="213">
        <v>0.18379999999999999</v>
      </c>
      <c r="AO727" s="352">
        <v>1.091</v>
      </c>
      <c r="AP727" s="213">
        <v>4.1999999999999997E-3</v>
      </c>
      <c r="AQ727" s="219">
        <v>4.8842061557944962</v>
      </c>
      <c r="AR727" s="213" t="s">
        <v>1827</v>
      </c>
      <c r="AV727" s="343"/>
      <c r="AW727" s="328"/>
      <c r="AX727" s="329"/>
      <c r="AY727" s="328"/>
      <c r="AZ727" s="328"/>
      <c r="BA727" s="330"/>
      <c r="BB727" s="328"/>
      <c r="BC727" s="328"/>
      <c r="BD727" s="328"/>
      <c r="BE727" s="330"/>
      <c r="BF727" s="330"/>
      <c r="BG727" s="344"/>
      <c r="BH727" s="330"/>
      <c r="BI727" s="330"/>
      <c r="BJ727" s="330"/>
      <c r="BK727" s="330"/>
      <c r="BL727" s="330"/>
      <c r="BM727" s="330"/>
      <c r="BN727" s="330"/>
      <c r="BO727" s="330"/>
      <c r="BP727" s="331"/>
      <c r="BQ727" s="332"/>
      <c r="BR727" s="333"/>
    </row>
    <row r="728" spans="2:70" ht="15.75" customHeight="1">
      <c r="B728" s="216" t="s">
        <v>1482</v>
      </c>
      <c r="C728" s="212">
        <v>615847</v>
      </c>
      <c r="D728" s="223">
        <v>32228412000170</v>
      </c>
      <c r="E728" s="217" t="s">
        <v>19</v>
      </c>
      <c r="F728" s="217" t="s">
        <v>963</v>
      </c>
      <c r="G728" s="217" t="s">
        <v>1011</v>
      </c>
      <c r="H728" s="218" t="s">
        <v>1113</v>
      </c>
      <c r="I728" s="217" t="s">
        <v>66</v>
      </c>
      <c r="J728" s="217"/>
      <c r="K728" s="218" t="s">
        <v>951</v>
      </c>
      <c r="L728" s="212" t="s">
        <v>87</v>
      </c>
      <c r="M728" s="250"/>
      <c r="N728" s="239">
        <v>43608</v>
      </c>
      <c r="O728" s="210" t="s">
        <v>121</v>
      </c>
      <c r="P728" s="210" t="s">
        <v>1090</v>
      </c>
      <c r="Q728" s="210" t="s">
        <v>1091</v>
      </c>
      <c r="R728" s="210" t="s">
        <v>1077</v>
      </c>
      <c r="S728" s="210" t="s">
        <v>1078</v>
      </c>
      <c r="T728" s="210" t="s">
        <v>1275</v>
      </c>
      <c r="U728" s="210" t="s">
        <v>1114</v>
      </c>
      <c r="V728" s="210" t="s">
        <v>19</v>
      </c>
      <c r="W728" s="211" t="s">
        <v>1024</v>
      </c>
      <c r="X728" s="211">
        <v>3000</v>
      </c>
      <c r="Y728" s="211">
        <v>1000</v>
      </c>
      <c r="Z728" s="212">
        <v>1000</v>
      </c>
      <c r="AA728" s="240">
        <v>61</v>
      </c>
      <c r="AB728" s="213">
        <v>7.4999999999999997E-3</v>
      </c>
      <c r="AC728" s="213">
        <v>0.2</v>
      </c>
      <c r="AD728" s="213" t="s">
        <v>109</v>
      </c>
      <c r="AE728" s="213">
        <v>2.4999999999999996E-3</v>
      </c>
      <c r="AF728" s="241">
        <v>24860220.84</v>
      </c>
      <c r="AG728" s="241">
        <v>24860220.84</v>
      </c>
      <c r="AH728" s="213">
        <v>7.1599999999999997E-2</v>
      </c>
      <c r="AI728" s="352">
        <v>1.1032</v>
      </c>
      <c r="AJ728" s="213">
        <v>0.1178</v>
      </c>
      <c r="AK728" s="352">
        <v>1.2523</v>
      </c>
      <c r="AL728" s="213">
        <v>0.19969999999999999</v>
      </c>
      <c r="AM728" s="352">
        <v>1.6528</v>
      </c>
      <c r="AN728" s="213">
        <v>0.2172</v>
      </c>
      <c r="AO728" s="352">
        <v>1.2887</v>
      </c>
      <c r="AP728" s="213">
        <v>3.8999999999999998E-3</v>
      </c>
      <c r="AQ728" s="219">
        <v>5.5303091753327855</v>
      </c>
      <c r="AR728" s="213" t="s">
        <v>1827</v>
      </c>
      <c r="AV728" s="343"/>
      <c r="AW728" s="328"/>
      <c r="AX728" s="329"/>
      <c r="AY728" s="328"/>
      <c r="AZ728" s="328"/>
      <c r="BA728" s="330"/>
      <c r="BB728" s="328"/>
      <c r="BC728" s="328"/>
      <c r="BD728" s="328"/>
      <c r="BE728" s="330"/>
      <c r="BF728" s="330"/>
      <c r="BG728" s="344"/>
      <c r="BH728" s="330"/>
      <c r="BI728" s="330"/>
      <c r="BJ728" s="330"/>
      <c r="BK728" s="330"/>
      <c r="BL728" s="330"/>
      <c r="BM728" s="330"/>
      <c r="BN728" s="330"/>
      <c r="BO728" s="330"/>
      <c r="BP728" s="331"/>
      <c r="BQ728" s="332"/>
      <c r="BR728" s="333"/>
    </row>
    <row r="729" spans="2:70" ht="15.75" customHeight="1">
      <c r="B729" s="216" t="s">
        <v>1483</v>
      </c>
      <c r="C729" s="212">
        <v>615913</v>
      </c>
      <c r="D729" s="223">
        <v>32319558000120</v>
      </c>
      <c r="E729" s="217" t="s">
        <v>25</v>
      </c>
      <c r="F729" s="217" t="s">
        <v>959</v>
      </c>
      <c r="G729" s="217" t="s">
        <v>953</v>
      </c>
      <c r="H729" s="218" t="s">
        <v>66</v>
      </c>
      <c r="I729" s="217" t="s">
        <v>1842</v>
      </c>
      <c r="J729" s="217" t="s">
        <v>66</v>
      </c>
      <c r="K729" s="218"/>
      <c r="L729" s="212" t="s">
        <v>87</v>
      </c>
      <c r="M729" s="250"/>
      <c r="N729" s="239">
        <v>43861</v>
      </c>
      <c r="O729" s="210" t="s">
        <v>120</v>
      </c>
      <c r="P729" s="210" t="s">
        <v>1090</v>
      </c>
      <c r="Q729" s="210" t="s">
        <v>1091</v>
      </c>
      <c r="R729" s="210" t="s">
        <v>1077</v>
      </c>
      <c r="S729" s="210" t="s">
        <v>1078</v>
      </c>
      <c r="T729" s="210" t="s">
        <v>1082</v>
      </c>
      <c r="U729" s="210" t="s">
        <v>65</v>
      </c>
      <c r="V729" s="210" t="s">
        <v>25</v>
      </c>
      <c r="W729" s="211" t="s">
        <v>1028</v>
      </c>
      <c r="X729" s="211">
        <v>500</v>
      </c>
      <c r="Y729" s="211">
        <v>500</v>
      </c>
      <c r="Z729" s="212">
        <v>500</v>
      </c>
      <c r="AA729" s="240">
        <v>6</v>
      </c>
      <c r="AB729" s="213">
        <v>0.01</v>
      </c>
      <c r="AC729" s="213">
        <v>0</v>
      </c>
      <c r="AD729" s="213" t="s">
        <v>113</v>
      </c>
      <c r="AE729" s="213">
        <v>6.6666666666666662E-3</v>
      </c>
      <c r="AF729" s="241">
        <v>34158029.560000002</v>
      </c>
      <c r="AG729" s="241">
        <v>34158029.560000002</v>
      </c>
      <c r="AH729" s="213">
        <v>-6.8900000000000003E-2</v>
      </c>
      <c r="AI729" s="352">
        <v>-1.0618000000000001</v>
      </c>
      <c r="AJ729" s="213">
        <v>-4.6800000000000001E-2</v>
      </c>
      <c r="AK729" s="352">
        <v>-0.4975</v>
      </c>
      <c r="AL729" s="213">
        <v>0.11269999999999999</v>
      </c>
      <c r="AM729" s="352">
        <v>0.93279999999999996</v>
      </c>
      <c r="AN729" s="213" t="s">
        <v>66</v>
      </c>
      <c r="AO729" s="352" t="s">
        <v>66</v>
      </c>
      <c r="AP729" s="213">
        <v>0.1036</v>
      </c>
      <c r="AQ729" s="219">
        <v>-1.2791412717765129</v>
      </c>
      <c r="AR729" s="213" t="s">
        <v>1827</v>
      </c>
      <c r="AV729" s="343"/>
      <c r="AW729" s="328"/>
      <c r="AX729" s="329"/>
      <c r="AY729" s="328"/>
      <c r="AZ729" s="328"/>
      <c r="BA729" s="330"/>
      <c r="BB729" s="328"/>
      <c r="BC729" s="328"/>
      <c r="BD729" s="328"/>
      <c r="BE729" s="330"/>
      <c r="BF729" s="330"/>
      <c r="BG729" s="344"/>
      <c r="BH729" s="330"/>
      <c r="BI729" s="330"/>
      <c r="BJ729" s="330"/>
      <c r="BK729" s="330"/>
      <c r="BL729" s="330"/>
      <c r="BM729" s="330"/>
      <c r="BN729" s="330"/>
      <c r="BO729" s="330"/>
      <c r="BP729" s="331"/>
      <c r="BQ729" s="332"/>
      <c r="BR729" s="333"/>
    </row>
    <row r="730" spans="2:70" ht="15.75" customHeight="1">
      <c r="B730" s="216" t="s">
        <v>1484</v>
      </c>
      <c r="C730" s="212">
        <v>542730</v>
      </c>
      <c r="D730" s="223">
        <v>38281316000171</v>
      </c>
      <c r="E730" s="217" t="s">
        <v>25</v>
      </c>
      <c r="F730" s="217" t="s">
        <v>959</v>
      </c>
      <c r="G730" s="217" t="s">
        <v>953</v>
      </c>
      <c r="H730" s="218" t="s">
        <v>66</v>
      </c>
      <c r="I730" s="217" t="s">
        <v>1842</v>
      </c>
      <c r="J730" s="217" t="s">
        <v>66</v>
      </c>
      <c r="K730" s="218"/>
      <c r="L730" s="212" t="s">
        <v>88</v>
      </c>
      <c r="M730" s="250"/>
      <c r="N730" s="239">
        <v>44119</v>
      </c>
      <c r="O730" s="210" t="s">
        <v>120</v>
      </c>
      <c r="P730" s="210" t="s">
        <v>1090</v>
      </c>
      <c r="Q730" s="210" t="s">
        <v>1091</v>
      </c>
      <c r="R730" s="210" t="s">
        <v>1077</v>
      </c>
      <c r="S730" s="210" t="s">
        <v>1078</v>
      </c>
      <c r="T730" s="210" t="s">
        <v>1082</v>
      </c>
      <c r="U730" s="210" t="s">
        <v>65</v>
      </c>
      <c r="V730" s="210" t="s">
        <v>25</v>
      </c>
      <c r="W730" s="211" t="s">
        <v>1028</v>
      </c>
      <c r="X730" s="211">
        <v>500</v>
      </c>
      <c r="Y730" s="211">
        <v>500</v>
      </c>
      <c r="Z730" s="212">
        <v>500</v>
      </c>
      <c r="AA730" s="240">
        <v>6</v>
      </c>
      <c r="AB730" s="213">
        <v>0.01</v>
      </c>
      <c r="AC730" s="213">
        <v>0</v>
      </c>
      <c r="AD730" s="213" t="s">
        <v>113</v>
      </c>
      <c r="AE730" s="213">
        <v>6.6666666666666662E-3</v>
      </c>
      <c r="AF730" s="241">
        <v>17467344.93</v>
      </c>
      <c r="AG730" s="241">
        <v>17467344.93</v>
      </c>
      <c r="AH730" s="213">
        <v>-0.1714</v>
      </c>
      <c r="AI730" s="352">
        <v>-2.64</v>
      </c>
      <c r="AJ730" s="213">
        <v>-8.2699999999999996E-2</v>
      </c>
      <c r="AK730" s="352">
        <v>-0.879</v>
      </c>
      <c r="AL730" s="213" t="s">
        <v>66</v>
      </c>
      <c r="AM730" s="352" t="s">
        <v>66</v>
      </c>
      <c r="AN730" s="213" t="s">
        <v>66</v>
      </c>
      <c r="AO730" s="352" t="s">
        <v>66</v>
      </c>
      <c r="AP730" s="213">
        <v>0.1542</v>
      </c>
      <c r="AQ730" s="219">
        <v>-1.066036250238857</v>
      </c>
      <c r="AR730" s="213" t="s">
        <v>1827</v>
      </c>
      <c r="AV730" s="343"/>
      <c r="AW730" s="328"/>
      <c r="AX730" s="329"/>
      <c r="AY730" s="328"/>
      <c r="AZ730" s="328"/>
      <c r="BA730" s="330"/>
      <c r="BB730" s="328"/>
      <c r="BC730" s="328"/>
      <c r="BD730" s="328"/>
      <c r="BE730" s="330"/>
      <c r="BF730" s="330"/>
      <c r="BG730" s="344"/>
      <c r="BH730" s="330"/>
      <c r="BI730" s="330"/>
      <c r="BJ730" s="330"/>
      <c r="BK730" s="330"/>
      <c r="BL730" s="330"/>
      <c r="BM730" s="330"/>
      <c r="BN730" s="330"/>
      <c r="BO730" s="330"/>
      <c r="BP730" s="331"/>
      <c r="BQ730" s="332"/>
      <c r="BR730" s="333"/>
    </row>
    <row r="731" spans="2:70" ht="15.75" customHeight="1">
      <c r="B731" s="216" t="s">
        <v>1783</v>
      </c>
      <c r="C731" s="212">
        <v>3849880</v>
      </c>
      <c r="D731" s="223">
        <v>35535700000165</v>
      </c>
      <c r="E731" s="217" t="s">
        <v>28</v>
      </c>
      <c r="F731" s="217" t="s">
        <v>950</v>
      </c>
      <c r="G731" s="217"/>
      <c r="H731" s="218"/>
      <c r="I731" s="217" t="s">
        <v>66</v>
      </c>
      <c r="J731" s="217" t="s">
        <v>66</v>
      </c>
      <c r="K731" s="218" t="s">
        <v>954</v>
      </c>
      <c r="L731" s="212" t="s">
        <v>87</v>
      </c>
      <c r="M731" s="250"/>
      <c r="N731" s="239">
        <v>43944</v>
      </c>
      <c r="O731" s="210" t="s">
        <v>1784</v>
      </c>
      <c r="P731" s="210" t="s">
        <v>1784</v>
      </c>
      <c r="Q731" s="210" t="s">
        <v>1785</v>
      </c>
      <c r="R731" s="210" t="s">
        <v>1738</v>
      </c>
      <c r="S731" s="210" t="s">
        <v>1078</v>
      </c>
      <c r="T731" s="210" t="s">
        <v>1079</v>
      </c>
      <c r="U731" s="210" t="s">
        <v>65</v>
      </c>
      <c r="V731" s="210" t="s">
        <v>25</v>
      </c>
      <c r="W731" s="211" t="s">
        <v>1762</v>
      </c>
      <c r="X731" s="211">
        <v>5000</v>
      </c>
      <c r="Y731" s="211">
        <v>1000</v>
      </c>
      <c r="Z731" s="212">
        <v>5000</v>
      </c>
      <c r="AA731" s="240">
        <v>3</v>
      </c>
      <c r="AB731" s="213">
        <v>7.4999999999999997E-3</v>
      </c>
      <c r="AC731" s="213" t="s">
        <v>1741</v>
      </c>
      <c r="AD731" s="213" t="s">
        <v>109</v>
      </c>
      <c r="AE731" s="213">
        <v>3.4999999999999996E-3</v>
      </c>
      <c r="AF731" s="241">
        <v>816873852.45000005</v>
      </c>
      <c r="AG731" s="241">
        <v>816873852.45000005</v>
      </c>
      <c r="AH731" s="213">
        <v>-0.184</v>
      </c>
      <c r="AI731" s="352">
        <v>-2.8342999999999998</v>
      </c>
      <c r="AJ731" s="213">
        <v>-0.1923</v>
      </c>
      <c r="AK731" s="352">
        <v>-2.0438000000000001</v>
      </c>
      <c r="AL731" s="213">
        <v>9.1600000000000001E-2</v>
      </c>
      <c r="AM731" s="352">
        <v>0.75800000000000001</v>
      </c>
      <c r="AN731" s="213" t="s">
        <v>66</v>
      </c>
      <c r="AO731" s="352" t="s">
        <v>66</v>
      </c>
      <c r="AP731" s="213">
        <v>0.2195</v>
      </c>
      <c r="AQ731" s="219">
        <v>-1.2722077767951741</v>
      </c>
      <c r="AR731" s="213" t="s">
        <v>1827</v>
      </c>
      <c r="AV731" s="343"/>
      <c r="AW731" s="328"/>
      <c r="AX731" s="329"/>
      <c r="AY731" s="328"/>
      <c r="AZ731" s="328"/>
      <c r="BA731" s="330"/>
      <c r="BB731" s="328"/>
      <c r="BC731" s="328"/>
      <c r="BD731" s="328"/>
      <c r="BE731" s="330"/>
      <c r="BF731" s="330"/>
      <c r="BG731" s="344"/>
      <c r="BH731" s="330"/>
      <c r="BI731" s="330"/>
      <c r="BJ731" s="330"/>
      <c r="BK731" s="330"/>
      <c r="BL731" s="330"/>
      <c r="BM731" s="330"/>
      <c r="BN731" s="330"/>
      <c r="BO731" s="330"/>
      <c r="BP731" s="331"/>
      <c r="BQ731" s="332"/>
      <c r="BR731" s="333"/>
    </row>
    <row r="732" spans="2:70" ht="15.75" customHeight="1">
      <c r="B732" s="216" t="s">
        <v>1786</v>
      </c>
      <c r="C732" s="212">
        <v>3849463</v>
      </c>
      <c r="D732" s="223">
        <v>36400318000107</v>
      </c>
      <c r="E732" s="217" t="s">
        <v>28</v>
      </c>
      <c r="F732" s="217" t="s">
        <v>950</v>
      </c>
      <c r="G732" s="217"/>
      <c r="H732" s="218"/>
      <c r="I732" s="217" t="s">
        <v>66</v>
      </c>
      <c r="J732" s="217" t="s">
        <v>66</v>
      </c>
      <c r="K732" s="218" t="s">
        <v>954</v>
      </c>
      <c r="L732" s="212" t="s">
        <v>88</v>
      </c>
      <c r="M732" s="250"/>
      <c r="N732" s="239">
        <v>44195</v>
      </c>
      <c r="O732" s="210" t="s">
        <v>1784</v>
      </c>
      <c r="P732" s="210" t="s">
        <v>1784</v>
      </c>
      <c r="Q732" s="210" t="s">
        <v>1785</v>
      </c>
      <c r="R732" s="210" t="s">
        <v>1738</v>
      </c>
      <c r="S732" s="210" t="s">
        <v>1078</v>
      </c>
      <c r="T732" s="210" t="s">
        <v>1079</v>
      </c>
      <c r="U732" s="210" t="s">
        <v>65</v>
      </c>
      <c r="V732" s="210" t="s">
        <v>25</v>
      </c>
      <c r="W732" s="211" t="s">
        <v>1762</v>
      </c>
      <c r="X732" s="211">
        <v>0</v>
      </c>
      <c r="Y732" s="211">
        <v>0</v>
      </c>
      <c r="Z732" s="212">
        <v>0</v>
      </c>
      <c r="AA732" s="240">
        <v>3</v>
      </c>
      <c r="AB732" s="213">
        <v>7.4999999999999997E-3</v>
      </c>
      <c r="AC732" s="213" t="s">
        <v>1741</v>
      </c>
      <c r="AD732" s="213" t="s">
        <v>109</v>
      </c>
      <c r="AE732" s="213">
        <v>3.4999999999999996E-3</v>
      </c>
      <c r="AF732" s="241">
        <v>18904966.600000001</v>
      </c>
      <c r="AG732" s="241">
        <v>18904966.600000001</v>
      </c>
      <c r="AH732" s="213">
        <v>-0.2631</v>
      </c>
      <c r="AI732" s="352">
        <v>-4.0533000000000001</v>
      </c>
      <c r="AJ732" s="213">
        <v>-0.2142</v>
      </c>
      <c r="AK732" s="352">
        <v>-2.2764000000000002</v>
      </c>
      <c r="AL732" s="213" t="s">
        <v>66</v>
      </c>
      <c r="AM732" s="352" t="s">
        <v>66</v>
      </c>
      <c r="AN732" s="213" t="s">
        <v>66</v>
      </c>
      <c r="AO732" s="352" t="s">
        <v>66</v>
      </c>
      <c r="AP732" s="213">
        <v>0.22239999999999999</v>
      </c>
      <c r="AQ732" s="219">
        <v>-1.3768651726507797</v>
      </c>
      <c r="AR732" s="213" t="s">
        <v>1827</v>
      </c>
      <c r="AV732" s="343"/>
      <c r="AW732" s="328"/>
      <c r="AX732" s="329"/>
      <c r="AY732" s="328"/>
      <c r="AZ732" s="328"/>
      <c r="BA732" s="330"/>
      <c r="BB732" s="328"/>
      <c r="BC732" s="328"/>
      <c r="BD732" s="328"/>
      <c r="BE732" s="330"/>
      <c r="BF732" s="330"/>
      <c r="BG732" s="344"/>
      <c r="BH732" s="330"/>
      <c r="BI732" s="330"/>
      <c r="BJ732" s="330"/>
      <c r="BK732" s="330"/>
      <c r="BL732" s="330"/>
      <c r="BM732" s="330"/>
      <c r="BN732" s="330"/>
      <c r="BO732" s="330"/>
      <c r="BP732" s="331"/>
      <c r="BQ732" s="332"/>
      <c r="BR732" s="333"/>
    </row>
    <row r="733" spans="2:70" ht="15.75" customHeight="1">
      <c r="B733" s="216" t="s">
        <v>867</v>
      </c>
      <c r="C733" s="212">
        <v>531594</v>
      </c>
      <c r="D733" s="223">
        <v>20077065000142</v>
      </c>
      <c r="E733" s="217" t="s">
        <v>28</v>
      </c>
      <c r="F733" s="217" t="s">
        <v>32</v>
      </c>
      <c r="G733" s="217" t="s">
        <v>34</v>
      </c>
      <c r="H733" s="218"/>
      <c r="I733" s="217" t="s">
        <v>66</v>
      </c>
      <c r="J733" s="217" t="s">
        <v>66</v>
      </c>
      <c r="K733" s="218" t="s">
        <v>954</v>
      </c>
      <c r="L733" s="212" t="s">
        <v>88</v>
      </c>
      <c r="M733" s="250"/>
      <c r="N733" s="239">
        <v>41774</v>
      </c>
      <c r="O733" s="210" t="s">
        <v>482</v>
      </c>
      <c r="P733" s="210" t="s">
        <v>1090</v>
      </c>
      <c r="Q733" s="210" t="s">
        <v>1091</v>
      </c>
      <c r="R733" s="210" t="s">
        <v>1084</v>
      </c>
      <c r="S733" s="210" t="s">
        <v>1078</v>
      </c>
      <c r="T733" s="210" t="s">
        <v>34</v>
      </c>
      <c r="U733" s="210" t="s">
        <v>66</v>
      </c>
      <c r="V733" s="210" t="s">
        <v>34</v>
      </c>
      <c r="W733" s="211" t="s">
        <v>34</v>
      </c>
      <c r="X733" s="211">
        <v>500</v>
      </c>
      <c r="Y733" s="211">
        <v>0</v>
      </c>
      <c r="Z733" s="212">
        <v>0</v>
      </c>
      <c r="AA733" s="240">
        <v>3</v>
      </c>
      <c r="AB733" s="213">
        <v>1.6999999999999999E-3</v>
      </c>
      <c r="AC733" s="213">
        <v>0</v>
      </c>
      <c r="AD733" s="213" t="s">
        <v>113</v>
      </c>
      <c r="AE733" s="213">
        <v>5.666666666666666E-4</v>
      </c>
      <c r="AF733" s="241">
        <v>14246158.68</v>
      </c>
      <c r="AG733" s="241">
        <v>14246158.68</v>
      </c>
      <c r="AH733" s="213">
        <v>-6.5600000000000006E-2</v>
      </c>
      <c r="AI733" s="352">
        <v>-1.0104</v>
      </c>
      <c r="AJ733" s="213">
        <v>2.86E-2</v>
      </c>
      <c r="AK733" s="352">
        <v>0.3044</v>
      </c>
      <c r="AL733" s="213">
        <v>3.04E-2</v>
      </c>
      <c r="AM733" s="352">
        <v>0.25180000000000002</v>
      </c>
      <c r="AN733" s="213">
        <v>0.39579999999999999</v>
      </c>
      <c r="AO733" s="352">
        <v>2.3488000000000002</v>
      </c>
      <c r="AP733" s="213">
        <v>0.15989999999999999</v>
      </c>
      <c r="AQ733" s="219">
        <v>-0.30645406164121536</v>
      </c>
      <c r="AR733" s="213" t="s">
        <v>1827</v>
      </c>
      <c r="AV733" s="343"/>
      <c r="AW733" s="328"/>
      <c r="AX733" s="329"/>
      <c r="AY733" s="328"/>
      <c r="AZ733" s="328"/>
      <c r="BA733" s="330"/>
      <c r="BB733" s="328"/>
      <c r="BC733" s="328"/>
      <c r="BD733" s="328"/>
      <c r="BE733" s="330"/>
      <c r="BF733" s="330"/>
      <c r="BG733" s="344"/>
      <c r="BH733" s="330"/>
      <c r="BI733" s="330"/>
      <c r="BJ733" s="330"/>
      <c r="BK733" s="330"/>
      <c r="BL733" s="330"/>
      <c r="BM733" s="330"/>
      <c r="BN733" s="330"/>
      <c r="BO733" s="330"/>
      <c r="BP733" s="331"/>
      <c r="BQ733" s="332"/>
      <c r="BR733" s="333"/>
    </row>
    <row r="734" spans="2:70" ht="15.75" customHeight="1">
      <c r="B734" s="216" t="s">
        <v>483</v>
      </c>
      <c r="C734" s="212">
        <v>1234158</v>
      </c>
      <c r="D734" s="223">
        <v>9296009000166</v>
      </c>
      <c r="E734" s="217" t="s">
        <v>28</v>
      </c>
      <c r="F734" s="217" t="s">
        <v>950</v>
      </c>
      <c r="G734" s="217"/>
      <c r="H734" s="218"/>
      <c r="I734" s="217" t="s">
        <v>66</v>
      </c>
      <c r="J734" s="217" t="s">
        <v>66</v>
      </c>
      <c r="K734" s="218" t="s">
        <v>951</v>
      </c>
      <c r="L734" s="212" t="s">
        <v>87</v>
      </c>
      <c r="M734" s="250"/>
      <c r="N734" s="239">
        <v>39758</v>
      </c>
      <c r="O734" s="210" t="s">
        <v>482</v>
      </c>
      <c r="P734" s="210" t="s">
        <v>1090</v>
      </c>
      <c r="Q734" s="210" t="s">
        <v>1091</v>
      </c>
      <c r="R734" s="210" t="s">
        <v>1084</v>
      </c>
      <c r="S734" s="210" t="s">
        <v>1078</v>
      </c>
      <c r="T734" s="210" t="s">
        <v>1079</v>
      </c>
      <c r="U734" s="210" t="s">
        <v>950</v>
      </c>
      <c r="V734" s="210" t="s">
        <v>1080</v>
      </c>
      <c r="W734" s="211" t="s">
        <v>1018</v>
      </c>
      <c r="X734" s="211">
        <v>500</v>
      </c>
      <c r="Y734" s="211">
        <v>100</v>
      </c>
      <c r="Z734" s="212">
        <v>0</v>
      </c>
      <c r="AA734" s="240">
        <v>3</v>
      </c>
      <c r="AB734" s="213">
        <v>2.5000000000000001E-2</v>
      </c>
      <c r="AC734" s="213">
        <v>0.2</v>
      </c>
      <c r="AD734" s="213" t="s">
        <v>1170</v>
      </c>
      <c r="AE734" s="213">
        <v>8.3333333333333332E-3</v>
      </c>
      <c r="AF734" s="241">
        <v>11964684.970000001</v>
      </c>
      <c r="AG734" s="241">
        <v>11964684.970000001</v>
      </c>
      <c r="AH734" s="213">
        <v>-1.3899999999999999E-2</v>
      </c>
      <c r="AI734" s="352">
        <v>-0.21479999999999999</v>
      </c>
      <c r="AJ734" s="213">
        <v>-0.15060000000000001</v>
      </c>
      <c r="AK734" s="352">
        <v>-1.6008</v>
      </c>
      <c r="AL734" s="213">
        <v>0.28060000000000002</v>
      </c>
      <c r="AM734" s="352">
        <v>2.3229000000000002</v>
      </c>
      <c r="AN734" s="213">
        <v>0.35310000000000002</v>
      </c>
      <c r="AO734" s="352">
        <v>2.0954000000000002</v>
      </c>
      <c r="AP734" s="213">
        <v>0.22720000000000001</v>
      </c>
      <c r="AQ734" s="219">
        <v>-1.0007135556340725</v>
      </c>
      <c r="AR734" s="213" t="s">
        <v>1827</v>
      </c>
      <c r="AV734" s="343"/>
      <c r="AW734" s="328"/>
      <c r="AX734" s="329"/>
      <c r="AY734" s="328"/>
      <c r="AZ734" s="328"/>
      <c r="BA734" s="330"/>
      <c r="BB734" s="328"/>
      <c r="BC734" s="328"/>
      <c r="BD734" s="328"/>
      <c r="BE734" s="330"/>
      <c r="BF734" s="330"/>
      <c r="BG734" s="344"/>
      <c r="BH734" s="330"/>
      <c r="BI734" s="330"/>
      <c r="BJ734" s="330"/>
      <c r="BK734" s="330"/>
      <c r="BL734" s="330"/>
      <c r="BM734" s="330"/>
      <c r="BN734" s="330"/>
      <c r="BO734" s="330"/>
      <c r="BP734" s="331"/>
      <c r="BQ734" s="332"/>
      <c r="BR734" s="333"/>
    </row>
    <row r="735" spans="2:70" ht="15.75" customHeight="1">
      <c r="B735" s="216" t="s">
        <v>1485</v>
      </c>
      <c r="C735" s="212">
        <v>755961</v>
      </c>
      <c r="D735" s="223">
        <v>9296022000115</v>
      </c>
      <c r="E735" s="217" t="s">
        <v>28</v>
      </c>
      <c r="F735" s="217" t="s">
        <v>950</v>
      </c>
      <c r="G735" s="217"/>
      <c r="H735" s="218"/>
      <c r="I735" s="217" t="s">
        <v>66</v>
      </c>
      <c r="J735" s="217" t="s">
        <v>66</v>
      </c>
      <c r="K735" s="218" t="s">
        <v>951</v>
      </c>
      <c r="L735" s="212" t="s">
        <v>87</v>
      </c>
      <c r="M735" s="250"/>
      <c r="N735" s="239">
        <v>39773</v>
      </c>
      <c r="O735" s="210" t="s">
        <v>482</v>
      </c>
      <c r="P735" s="210" t="s">
        <v>1090</v>
      </c>
      <c r="Q735" s="210" t="s">
        <v>1091</v>
      </c>
      <c r="R735" s="210" t="s">
        <v>1084</v>
      </c>
      <c r="S735" s="210" t="s">
        <v>1078</v>
      </c>
      <c r="T735" s="210" t="s">
        <v>1079</v>
      </c>
      <c r="U735" s="210" t="s">
        <v>950</v>
      </c>
      <c r="V735" s="210" t="s">
        <v>1080</v>
      </c>
      <c r="W735" s="211" t="s">
        <v>1030</v>
      </c>
      <c r="X735" s="211">
        <v>500</v>
      </c>
      <c r="Y735" s="211">
        <v>100</v>
      </c>
      <c r="Z735" s="212">
        <v>0</v>
      </c>
      <c r="AA735" s="240">
        <v>3</v>
      </c>
      <c r="AB735" s="213">
        <v>2.5000000000000001E-2</v>
      </c>
      <c r="AC735" s="213">
        <v>0.2</v>
      </c>
      <c r="AD735" s="213" t="s">
        <v>1170</v>
      </c>
      <c r="AE735" s="213">
        <v>8.3333333333333332E-3</v>
      </c>
      <c r="AF735" s="241">
        <v>37903013.020000003</v>
      </c>
      <c r="AG735" s="241">
        <v>37903013.020000003</v>
      </c>
      <c r="AH735" s="213">
        <v>-2.8299999999999999E-2</v>
      </c>
      <c r="AI735" s="352">
        <v>-0.4365</v>
      </c>
      <c r="AJ735" s="213">
        <v>-0.20019999999999999</v>
      </c>
      <c r="AK735" s="352">
        <v>-2.1278999999999999</v>
      </c>
      <c r="AL735" s="213">
        <v>0.2208</v>
      </c>
      <c r="AM735" s="352">
        <v>1.8281000000000001</v>
      </c>
      <c r="AN735" s="213">
        <v>0.24399999999999999</v>
      </c>
      <c r="AO735" s="352">
        <v>1.448</v>
      </c>
      <c r="AP735" s="213">
        <v>0.2571</v>
      </c>
      <c r="AQ735" s="219">
        <v>-1.0900080009437054</v>
      </c>
      <c r="AR735" s="213" t="s">
        <v>1827</v>
      </c>
      <c r="AV735" s="343"/>
      <c r="AW735" s="328"/>
      <c r="AX735" s="329"/>
      <c r="AY735" s="328"/>
      <c r="AZ735" s="328"/>
      <c r="BA735" s="330"/>
      <c r="BB735" s="328"/>
      <c r="BC735" s="328"/>
      <c r="BD735" s="328"/>
      <c r="BE735" s="330"/>
      <c r="BF735" s="330"/>
      <c r="BG735" s="344"/>
      <c r="BH735" s="330"/>
      <c r="BI735" s="330"/>
      <c r="BJ735" s="330"/>
      <c r="BK735" s="330"/>
      <c r="BL735" s="330"/>
      <c r="BM735" s="330"/>
      <c r="BN735" s="330"/>
      <c r="BO735" s="330"/>
      <c r="BP735" s="331"/>
      <c r="BQ735" s="332"/>
      <c r="BR735" s="333"/>
    </row>
    <row r="736" spans="2:70" ht="15.75" customHeight="1">
      <c r="B736" s="216" t="s">
        <v>484</v>
      </c>
      <c r="C736" s="212">
        <v>765423</v>
      </c>
      <c r="D736" s="223">
        <v>7187591000105</v>
      </c>
      <c r="E736" s="217" t="s">
        <v>25</v>
      </c>
      <c r="F736" s="217" t="s">
        <v>958</v>
      </c>
      <c r="G736" s="217" t="s">
        <v>962</v>
      </c>
      <c r="H736" s="218" t="s">
        <v>66</v>
      </c>
      <c r="I736" s="217" t="s">
        <v>1259</v>
      </c>
      <c r="J736" s="217" t="s">
        <v>66</v>
      </c>
      <c r="K736" s="218"/>
      <c r="L736" s="212" t="s">
        <v>87</v>
      </c>
      <c r="M736" s="250"/>
      <c r="N736" s="239">
        <v>38726</v>
      </c>
      <c r="O736" s="210" t="s">
        <v>482</v>
      </c>
      <c r="P736" s="210" t="s">
        <v>1090</v>
      </c>
      <c r="Q736" s="210" t="s">
        <v>1091</v>
      </c>
      <c r="R736" s="210" t="s">
        <v>1084</v>
      </c>
      <c r="S736" s="210" t="s">
        <v>1078</v>
      </c>
      <c r="T736" s="210" t="s">
        <v>1082</v>
      </c>
      <c r="U736" s="210" t="s">
        <v>958</v>
      </c>
      <c r="V736" s="210" t="s">
        <v>25</v>
      </c>
      <c r="W736" s="211" t="s">
        <v>1012</v>
      </c>
      <c r="X736" s="211">
        <v>500</v>
      </c>
      <c r="Y736" s="211">
        <v>100</v>
      </c>
      <c r="Z736" s="212">
        <v>0</v>
      </c>
      <c r="AA736" s="240">
        <v>30</v>
      </c>
      <c r="AB736" s="213">
        <v>0.02</v>
      </c>
      <c r="AC736" s="213">
        <v>0.2</v>
      </c>
      <c r="AD736" s="213" t="s">
        <v>109</v>
      </c>
      <c r="AE736" s="213">
        <v>6.6666666666666662E-3</v>
      </c>
      <c r="AF736" s="241">
        <v>71824985.599999994</v>
      </c>
      <c r="AG736" s="241">
        <v>71824985.599999994</v>
      </c>
      <c r="AH736" s="213">
        <v>4.3900000000000002E-2</v>
      </c>
      <c r="AI736" s="352">
        <v>0.67589999999999995</v>
      </c>
      <c r="AJ736" s="213">
        <v>-2.1399999999999999E-2</v>
      </c>
      <c r="AK736" s="352">
        <v>-0.22720000000000001</v>
      </c>
      <c r="AL736" s="213">
        <v>1.15E-2</v>
      </c>
      <c r="AM736" s="352">
        <v>9.5500000000000002E-2</v>
      </c>
      <c r="AN736" s="213">
        <v>0.15</v>
      </c>
      <c r="AO736" s="352">
        <v>0.89029999999999998</v>
      </c>
      <c r="AP736" s="213">
        <v>6.5699999999999995E-2</v>
      </c>
      <c r="AQ736" s="219">
        <v>-1.6644731741987875</v>
      </c>
      <c r="AR736" s="213" t="s">
        <v>1827</v>
      </c>
      <c r="AV736" s="343"/>
      <c r="AW736" s="328"/>
      <c r="AX736" s="329"/>
      <c r="AY736" s="328"/>
      <c r="AZ736" s="328"/>
      <c r="BA736" s="330"/>
      <c r="BB736" s="328"/>
      <c r="BC736" s="328"/>
      <c r="BD736" s="328"/>
      <c r="BE736" s="330"/>
      <c r="BF736" s="330"/>
      <c r="BG736" s="344"/>
      <c r="BH736" s="330"/>
      <c r="BI736" s="330"/>
      <c r="BJ736" s="330"/>
      <c r="BK736" s="330"/>
      <c r="BL736" s="330"/>
      <c r="BM736" s="330"/>
      <c r="BN736" s="330"/>
      <c r="BO736" s="330"/>
      <c r="BP736" s="331"/>
      <c r="BQ736" s="332"/>
      <c r="BR736" s="333"/>
    </row>
    <row r="737" spans="2:70" ht="15.75" customHeight="1">
      <c r="B737" s="216" t="s">
        <v>1486</v>
      </c>
      <c r="C737" s="212">
        <v>755975</v>
      </c>
      <c r="D737" s="223">
        <v>8610270000126</v>
      </c>
      <c r="E737" s="217" t="s">
        <v>19</v>
      </c>
      <c r="F737" s="217" t="s">
        <v>963</v>
      </c>
      <c r="G737" s="217" t="s">
        <v>1011</v>
      </c>
      <c r="H737" s="218" t="s">
        <v>1113</v>
      </c>
      <c r="I737" s="217" t="s">
        <v>66</v>
      </c>
      <c r="J737" s="217" t="s">
        <v>1794</v>
      </c>
      <c r="K737" s="218" t="s">
        <v>951</v>
      </c>
      <c r="L737" s="212" t="s">
        <v>87</v>
      </c>
      <c r="M737" s="250"/>
      <c r="N737" s="239">
        <v>39160</v>
      </c>
      <c r="O737" s="210" t="s">
        <v>482</v>
      </c>
      <c r="P737" s="210" t="s">
        <v>1090</v>
      </c>
      <c r="Q737" s="210" t="s">
        <v>1091</v>
      </c>
      <c r="R737" s="210" t="s">
        <v>1084</v>
      </c>
      <c r="S737" s="210" t="s">
        <v>1078</v>
      </c>
      <c r="T737" s="210" t="s">
        <v>349</v>
      </c>
      <c r="U737" s="210" t="s">
        <v>1114</v>
      </c>
      <c r="V737" s="210" t="s">
        <v>19</v>
      </c>
      <c r="W737" s="211" t="s">
        <v>1024</v>
      </c>
      <c r="X737" s="211">
        <v>100</v>
      </c>
      <c r="Y737" s="211">
        <v>100</v>
      </c>
      <c r="Z737" s="212">
        <v>0</v>
      </c>
      <c r="AA737" s="240">
        <v>0</v>
      </c>
      <c r="AB737" s="213">
        <v>4.4999999999999997E-3</v>
      </c>
      <c r="AC737" s="213">
        <v>0</v>
      </c>
      <c r="AD737" s="213" t="s">
        <v>113</v>
      </c>
      <c r="AE737" s="213">
        <v>1.4999999999999998E-3</v>
      </c>
      <c r="AF737" s="241">
        <v>105141969.65000001</v>
      </c>
      <c r="AG737" s="241">
        <v>105141969.65000001</v>
      </c>
      <c r="AH737" s="213">
        <v>6.2399999999999997E-2</v>
      </c>
      <c r="AI737" s="352">
        <v>0.96189999999999998</v>
      </c>
      <c r="AJ737" s="213">
        <v>8.5099999999999995E-2</v>
      </c>
      <c r="AK737" s="352">
        <v>0.90459999999999996</v>
      </c>
      <c r="AL737" s="213">
        <v>0.1081</v>
      </c>
      <c r="AM737" s="352">
        <v>0.89449999999999996</v>
      </c>
      <c r="AN737" s="213">
        <v>0.1489</v>
      </c>
      <c r="AO737" s="352">
        <v>0.88370000000000004</v>
      </c>
      <c r="AP737" s="213">
        <v>7.1000000000000004E-3</v>
      </c>
      <c r="AQ737" s="219">
        <v>-1.1535094425989199</v>
      </c>
      <c r="AR737" s="213" t="s">
        <v>1827</v>
      </c>
      <c r="AV737" s="343"/>
      <c r="AW737" s="328"/>
      <c r="AX737" s="329"/>
      <c r="AY737" s="328"/>
      <c r="AZ737" s="328"/>
      <c r="BA737" s="330"/>
      <c r="BB737" s="328"/>
      <c r="BC737" s="328"/>
      <c r="BD737" s="328"/>
      <c r="BE737" s="330"/>
      <c r="BF737" s="330"/>
      <c r="BG737" s="344"/>
      <c r="BH737" s="330"/>
      <c r="BI737" s="330"/>
      <c r="BJ737" s="330"/>
      <c r="BK737" s="330"/>
      <c r="BL737" s="330"/>
      <c r="BM737" s="330"/>
      <c r="BN737" s="330"/>
      <c r="BO737" s="330"/>
      <c r="BP737" s="331"/>
      <c r="BQ737" s="332"/>
      <c r="BR737" s="333"/>
    </row>
    <row r="738" spans="2:70" ht="15.75" customHeight="1">
      <c r="B738" s="216" t="s">
        <v>487</v>
      </c>
      <c r="C738" s="212">
        <v>538016</v>
      </c>
      <c r="D738" s="223">
        <v>13143673000142</v>
      </c>
      <c r="E738" s="217" t="s">
        <v>25</v>
      </c>
      <c r="F738" s="217" t="s">
        <v>958</v>
      </c>
      <c r="G738" s="217" t="s">
        <v>962</v>
      </c>
      <c r="H738" s="218" t="s">
        <v>66</v>
      </c>
      <c r="I738" s="217" t="s">
        <v>1841</v>
      </c>
      <c r="J738" s="217" t="s">
        <v>66</v>
      </c>
      <c r="K738" s="218"/>
      <c r="L738" s="212" t="s">
        <v>87</v>
      </c>
      <c r="M738" s="250"/>
      <c r="N738" s="239">
        <v>40660</v>
      </c>
      <c r="O738" s="210" t="s">
        <v>294</v>
      </c>
      <c r="P738" s="210" t="s">
        <v>1075</v>
      </c>
      <c r="Q738" s="210" t="s">
        <v>1076</v>
      </c>
      <c r="R738" s="210" t="s">
        <v>1077</v>
      </c>
      <c r="S738" s="210" t="s">
        <v>1078</v>
      </c>
      <c r="T738" s="210" t="s">
        <v>1082</v>
      </c>
      <c r="U738" s="210" t="s">
        <v>1086</v>
      </c>
      <c r="V738" s="210" t="s">
        <v>25</v>
      </c>
      <c r="W738" s="211" t="s">
        <v>1016</v>
      </c>
      <c r="X738" s="211">
        <v>0</v>
      </c>
      <c r="Y738" s="211">
        <v>0</v>
      </c>
      <c r="Z738" s="212">
        <v>0</v>
      </c>
      <c r="AA738" s="240">
        <v>32</v>
      </c>
      <c r="AB738" s="213">
        <v>6.4999999999999997E-3</v>
      </c>
      <c r="AC738" s="213">
        <v>0.1</v>
      </c>
      <c r="AD738" s="213" t="s">
        <v>109</v>
      </c>
      <c r="AE738" s="213" t="s">
        <v>66</v>
      </c>
      <c r="AF738" s="241">
        <v>19588907.350000001</v>
      </c>
      <c r="AG738" s="241">
        <v>19588907.350000001</v>
      </c>
      <c r="AH738" s="213">
        <v>4.3200000000000002E-2</v>
      </c>
      <c r="AI738" s="352">
        <v>0.66500000000000004</v>
      </c>
      <c r="AJ738" s="213">
        <v>4.9599999999999998E-2</v>
      </c>
      <c r="AK738" s="352">
        <v>0.52680000000000005</v>
      </c>
      <c r="AL738" s="213">
        <v>0.14319999999999999</v>
      </c>
      <c r="AM738" s="352">
        <v>1.1850000000000001</v>
      </c>
      <c r="AN738" s="213">
        <v>0.223</v>
      </c>
      <c r="AO738" s="352">
        <v>1.3234999999999999</v>
      </c>
      <c r="AP738" s="213">
        <v>3.3599999999999998E-2</v>
      </c>
      <c r="AQ738" s="219">
        <v>-1.2194602572397895</v>
      </c>
      <c r="AR738" s="213" t="s">
        <v>1827</v>
      </c>
      <c r="AV738" s="343"/>
      <c r="AW738" s="328"/>
      <c r="AX738" s="329"/>
      <c r="AY738" s="328"/>
      <c r="AZ738" s="328"/>
      <c r="BA738" s="330"/>
      <c r="BB738" s="328"/>
      <c r="BC738" s="328"/>
      <c r="BD738" s="328"/>
      <c r="BE738" s="330"/>
      <c r="BF738" s="330"/>
      <c r="BG738" s="344"/>
      <c r="BH738" s="330"/>
      <c r="BI738" s="330"/>
      <c r="BJ738" s="330"/>
      <c r="BK738" s="330"/>
      <c r="BL738" s="330"/>
      <c r="BM738" s="330"/>
      <c r="BN738" s="330"/>
      <c r="BO738" s="330"/>
      <c r="BP738" s="331"/>
      <c r="BQ738" s="332"/>
      <c r="BR738" s="333"/>
    </row>
    <row r="739" spans="2:70" ht="15.75" customHeight="1">
      <c r="B739" s="216" t="s">
        <v>1487</v>
      </c>
      <c r="C739" s="212">
        <v>556974</v>
      </c>
      <c r="D739" s="223">
        <v>38049108000141</v>
      </c>
      <c r="E739" s="217" t="s">
        <v>25</v>
      </c>
      <c r="F739" s="217" t="s">
        <v>959</v>
      </c>
      <c r="G739" s="217" t="s">
        <v>960</v>
      </c>
      <c r="H739" s="218" t="s">
        <v>66</v>
      </c>
      <c r="I739" s="217" t="s">
        <v>1841</v>
      </c>
      <c r="J739" s="217" t="s">
        <v>66</v>
      </c>
      <c r="K739" s="218" t="s">
        <v>951</v>
      </c>
      <c r="L739" s="212" t="s">
        <v>87</v>
      </c>
      <c r="M739" s="250"/>
      <c r="N739" s="239">
        <v>44067</v>
      </c>
      <c r="O739" s="210" t="s">
        <v>488</v>
      </c>
      <c r="P739" s="210" t="s">
        <v>1075</v>
      </c>
      <c r="Q739" s="210" t="s">
        <v>1076</v>
      </c>
      <c r="R739" s="210" t="s">
        <v>1084</v>
      </c>
      <c r="S739" s="210" t="s">
        <v>1078</v>
      </c>
      <c r="T739" s="210" t="s">
        <v>1082</v>
      </c>
      <c r="U739" s="210" t="s">
        <v>1086</v>
      </c>
      <c r="V739" s="210" t="s">
        <v>25</v>
      </c>
      <c r="W739" s="211" t="s">
        <v>1016</v>
      </c>
      <c r="X739" s="211">
        <v>1000</v>
      </c>
      <c r="Y739" s="211">
        <v>1000</v>
      </c>
      <c r="Z739" s="212">
        <v>1000</v>
      </c>
      <c r="AA739" s="240">
        <v>17</v>
      </c>
      <c r="AB739" s="213">
        <v>1.8499999999999999E-2</v>
      </c>
      <c r="AC739" s="213">
        <v>0.2</v>
      </c>
      <c r="AD739" s="213" t="s">
        <v>113</v>
      </c>
      <c r="AE739" s="213">
        <v>4.933333333333333E-3</v>
      </c>
      <c r="AF739" s="241">
        <v>457060772.44</v>
      </c>
      <c r="AG739" s="241">
        <v>457060772.44</v>
      </c>
      <c r="AH739" s="213">
        <v>5.7000000000000002E-2</v>
      </c>
      <c r="AI739" s="352">
        <v>0.87760000000000005</v>
      </c>
      <c r="AJ739" s="213">
        <v>3.2500000000000001E-2</v>
      </c>
      <c r="AK739" s="352">
        <v>0.34499999999999997</v>
      </c>
      <c r="AL739" s="213" t="s">
        <v>66</v>
      </c>
      <c r="AM739" s="352" t="s">
        <v>66</v>
      </c>
      <c r="AN739" s="213" t="s">
        <v>66</v>
      </c>
      <c r="AO739" s="352" t="s">
        <v>66</v>
      </c>
      <c r="AP739" s="213">
        <v>2.1899999999999999E-2</v>
      </c>
      <c r="AQ739" s="219">
        <v>-2.6326013295616244</v>
      </c>
      <c r="AR739" s="213" t="s">
        <v>1827</v>
      </c>
      <c r="AV739" s="343"/>
      <c r="AW739" s="328"/>
      <c r="AX739" s="329"/>
      <c r="AY739" s="328"/>
      <c r="AZ739" s="328"/>
      <c r="BA739" s="330"/>
      <c r="BB739" s="328"/>
      <c r="BC739" s="328"/>
      <c r="BD739" s="328"/>
      <c r="BE739" s="330"/>
      <c r="BF739" s="330"/>
      <c r="BG739" s="344"/>
      <c r="BH739" s="330"/>
      <c r="BI739" s="330"/>
      <c r="BJ739" s="330"/>
      <c r="BK739" s="330"/>
      <c r="BL739" s="330"/>
      <c r="BM739" s="330"/>
      <c r="BN739" s="330"/>
      <c r="BO739" s="330"/>
      <c r="BP739" s="331"/>
      <c r="BQ739" s="332"/>
      <c r="BR739" s="333"/>
    </row>
    <row r="740" spans="2:70" ht="15.75" customHeight="1">
      <c r="B740" s="216" t="s">
        <v>1488</v>
      </c>
      <c r="C740" s="212" t="s">
        <v>66</v>
      </c>
      <c r="D740" s="223">
        <v>38049303000171</v>
      </c>
      <c r="E740" s="217" t="s">
        <v>28</v>
      </c>
      <c r="F740" s="217" t="s">
        <v>957</v>
      </c>
      <c r="G740" s="217"/>
      <c r="H740" s="218"/>
      <c r="I740" s="217" t="s">
        <v>1259</v>
      </c>
      <c r="J740" s="217" t="s">
        <v>66</v>
      </c>
      <c r="K740" s="218" t="s">
        <v>951</v>
      </c>
      <c r="L740" s="212" t="s">
        <v>87</v>
      </c>
      <c r="M740" s="250"/>
      <c r="N740" s="239">
        <v>44067</v>
      </c>
      <c r="O740" s="210" t="s">
        <v>488</v>
      </c>
      <c r="P740" s="210" t="s">
        <v>1075</v>
      </c>
      <c r="Q740" s="210" t="s">
        <v>1076</v>
      </c>
      <c r="R740" s="210" t="s">
        <v>1084</v>
      </c>
      <c r="S740" s="210" t="s">
        <v>1078</v>
      </c>
      <c r="T740" s="210" t="s">
        <v>1079</v>
      </c>
      <c r="U740" s="210" t="s">
        <v>957</v>
      </c>
      <c r="V740" s="210" t="s">
        <v>25</v>
      </c>
      <c r="W740" s="211" t="s">
        <v>1016</v>
      </c>
      <c r="X740" s="211">
        <v>1000</v>
      </c>
      <c r="Y740" s="211">
        <v>1000</v>
      </c>
      <c r="Z740" s="212">
        <v>1000</v>
      </c>
      <c r="AA740" s="240">
        <v>32</v>
      </c>
      <c r="AB740" s="213">
        <v>1.8499999999999999E-2</v>
      </c>
      <c r="AC740" s="213">
        <v>0.2</v>
      </c>
      <c r="AD740" s="213" t="s">
        <v>113</v>
      </c>
      <c r="AE740" s="213">
        <v>4.933333333333333E-3</v>
      </c>
      <c r="AF740" s="241">
        <v>566048124.05999994</v>
      </c>
      <c r="AG740" s="241">
        <v>566048124.05999994</v>
      </c>
      <c r="AH740" s="213">
        <v>2.2000000000000001E-3</v>
      </c>
      <c r="AI740" s="352">
        <v>3.3500000000000002E-2</v>
      </c>
      <c r="AJ740" s="213">
        <v>-0.20300000000000001</v>
      </c>
      <c r="AK740" s="352">
        <v>-2.1577000000000002</v>
      </c>
      <c r="AL740" s="213" t="s">
        <v>66</v>
      </c>
      <c r="AM740" s="352" t="s">
        <v>66</v>
      </c>
      <c r="AN740" s="213" t="s">
        <v>66</v>
      </c>
      <c r="AO740" s="352" t="s">
        <v>66</v>
      </c>
      <c r="AP740" s="213">
        <v>0.1641</v>
      </c>
      <c r="AQ740" s="219">
        <v>-1.8481027117859119</v>
      </c>
      <c r="AR740" s="213" t="s">
        <v>1827</v>
      </c>
      <c r="AV740" s="343"/>
      <c r="AW740" s="328"/>
      <c r="AX740" s="329"/>
      <c r="AY740" s="328"/>
      <c r="AZ740" s="328"/>
      <c r="BA740" s="330"/>
      <c r="BB740" s="328"/>
      <c r="BC740" s="328"/>
      <c r="BD740" s="328"/>
      <c r="BE740" s="330"/>
      <c r="BF740" s="330"/>
      <c r="BG740" s="344"/>
      <c r="BH740" s="330"/>
      <c r="BI740" s="330"/>
      <c r="BJ740" s="330"/>
      <c r="BK740" s="330"/>
      <c r="BL740" s="330"/>
      <c r="BM740" s="330"/>
      <c r="BN740" s="330"/>
      <c r="BO740" s="330"/>
      <c r="BP740" s="331"/>
      <c r="BQ740" s="332"/>
      <c r="BR740" s="333"/>
    </row>
    <row r="741" spans="2:70" ht="15.75" customHeight="1">
      <c r="B741" s="216" t="s">
        <v>1489</v>
      </c>
      <c r="C741" s="212">
        <v>1276645</v>
      </c>
      <c r="D741" s="223">
        <v>7899238000140</v>
      </c>
      <c r="E741" s="217" t="s">
        <v>28</v>
      </c>
      <c r="F741" s="217" t="s">
        <v>950</v>
      </c>
      <c r="G741" s="217"/>
      <c r="H741" s="218"/>
      <c r="I741" s="217" t="s">
        <v>66</v>
      </c>
      <c r="J741" s="217" t="s">
        <v>66</v>
      </c>
      <c r="K741" s="218" t="s">
        <v>951</v>
      </c>
      <c r="L741" s="212" t="s">
        <v>87</v>
      </c>
      <c r="M741" s="250"/>
      <c r="N741" s="239">
        <v>38818</v>
      </c>
      <c r="O741" s="210" t="s">
        <v>489</v>
      </c>
      <c r="P741" s="210" t="s">
        <v>1117</v>
      </c>
      <c r="Q741" s="210" t="s">
        <v>1117</v>
      </c>
      <c r="R741" s="210" t="s">
        <v>1084</v>
      </c>
      <c r="S741" s="210" t="s">
        <v>1078</v>
      </c>
      <c r="T741" s="210" t="s">
        <v>1079</v>
      </c>
      <c r="U741" s="210" t="s">
        <v>950</v>
      </c>
      <c r="V741" s="210" t="s">
        <v>1080</v>
      </c>
      <c r="W741" s="211" t="s">
        <v>1018</v>
      </c>
      <c r="X741" s="211">
        <v>5000</v>
      </c>
      <c r="Y741" s="211">
        <v>5000</v>
      </c>
      <c r="Z741" s="212">
        <v>5000</v>
      </c>
      <c r="AA741" s="240">
        <v>3</v>
      </c>
      <c r="AB741" s="213">
        <v>2.5000000000000001E-2</v>
      </c>
      <c r="AC741" s="213">
        <v>0.2</v>
      </c>
      <c r="AD741" s="213" t="s">
        <v>1170</v>
      </c>
      <c r="AE741" s="213">
        <v>8.3333333333333332E-3</v>
      </c>
      <c r="AF741" s="241">
        <v>241040559.68000001</v>
      </c>
      <c r="AG741" s="241">
        <v>241040559.68000001</v>
      </c>
      <c r="AH741" s="213">
        <v>-7.7799999999999994E-2</v>
      </c>
      <c r="AI741" s="352">
        <v>-1.1990000000000001</v>
      </c>
      <c r="AJ741" s="213">
        <v>-0.2757</v>
      </c>
      <c r="AK741" s="352">
        <v>-2.9308000000000001</v>
      </c>
      <c r="AL741" s="213">
        <v>-0.23849999999999999</v>
      </c>
      <c r="AM741" s="352">
        <v>-1.9743999999999999</v>
      </c>
      <c r="AN741" s="213">
        <v>-0.13519999999999999</v>
      </c>
      <c r="AO741" s="352">
        <v>-0.80230000000000001</v>
      </c>
      <c r="AP741" s="213">
        <v>0.24560000000000001</v>
      </c>
      <c r="AQ741" s="219">
        <v>-1.5559320261154912</v>
      </c>
      <c r="AR741" s="213" t="s">
        <v>1824</v>
      </c>
      <c r="AV741" s="343"/>
      <c r="AW741" s="328"/>
      <c r="AX741" s="329"/>
      <c r="AY741" s="328"/>
      <c r="AZ741" s="328"/>
      <c r="BA741" s="330"/>
      <c r="BB741" s="328"/>
      <c r="BC741" s="328"/>
      <c r="BD741" s="328"/>
      <c r="BE741" s="330"/>
      <c r="BF741" s="330"/>
      <c r="BG741" s="344"/>
      <c r="BH741" s="330"/>
      <c r="BI741" s="330"/>
      <c r="BJ741" s="330"/>
      <c r="BK741" s="330"/>
      <c r="BL741" s="330"/>
      <c r="BM741" s="330"/>
      <c r="BN741" s="330"/>
      <c r="BO741" s="330"/>
      <c r="BP741" s="331"/>
      <c r="BQ741" s="332"/>
      <c r="BR741" s="333"/>
    </row>
    <row r="742" spans="2:70" ht="15.75" customHeight="1">
      <c r="B742" s="216" t="s">
        <v>1490</v>
      </c>
      <c r="C742" s="212">
        <v>2808196</v>
      </c>
      <c r="D742" s="223">
        <v>44479850000190</v>
      </c>
      <c r="E742" s="217" t="s">
        <v>28</v>
      </c>
      <c r="F742" s="217" t="s">
        <v>950</v>
      </c>
      <c r="G742" s="217"/>
      <c r="H742" s="218"/>
      <c r="I742" s="217" t="s">
        <v>66</v>
      </c>
      <c r="J742" s="217" t="s">
        <v>66</v>
      </c>
      <c r="K742" s="218" t="s">
        <v>954</v>
      </c>
      <c r="L742" s="212"/>
      <c r="M742" s="250"/>
      <c r="N742" s="239">
        <v>44634</v>
      </c>
      <c r="O742" s="210" t="s">
        <v>249</v>
      </c>
      <c r="P742" s="210" t="s">
        <v>1075</v>
      </c>
      <c r="Q742" s="210" t="s">
        <v>1076</v>
      </c>
      <c r="R742" s="210" t="s">
        <v>1077</v>
      </c>
      <c r="S742" s="210" t="s">
        <v>1078</v>
      </c>
      <c r="T742" s="210" t="s">
        <v>1079</v>
      </c>
      <c r="U742" s="210" t="s">
        <v>65</v>
      </c>
      <c r="V742" s="210" t="s">
        <v>1080</v>
      </c>
      <c r="W742" s="211" t="s">
        <v>1036</v>
      </c>
      <c r="X742" s="211">
        <v>5000</v>
      </c>
      <c r="Y742" s="211">
        <v>5000</v>
      </c>
      <c r="Z742" s="212">
        <v>5000</v>
      </c>
      <c r="AA742" s="240">
        <v>12</v>
      </c>
      <c r="AB742" s="213">
        <v>0.01</v>
      </c>
      <c r="AC742" s="213">
        <v>0</v>
      </c>
      <c r="AD742" s="213" t="s">
        <v>1100</v>
      </c>
      <c r="AE742" s="213">
        <v>6.6666666666666662E-3</v>
      </c>
      <c r="AF742" s="241">
        <v>1052396.1200000001</v>
      </c>
      <c r="AG742" s="241">
        <v>1052396.1200000001</v>
      </c>
      <c r="AH742" s="213" t="s">
        <v>66</v>
      </c>
      <c r="AI742" s="352" t="s">
        <v>66</v>
      </c>
      <c r="AJ742" s="213" t="s">
        <v>66</v>
      </c>
      <c r="AK742" s="352" t="s">
        <v>66</v>
      </c>
      <c r="AL742" s="213" t="s">
        <v>66</v>
      </c>
      <c r="AM742" s="352" t="s">
        <v>66</v>
      </c>
      <c r="AN742" s="213" t="s">
        <v>66</v>
      </c>
      <c r="AO742" s="352" t="s">
        <v>66</v>
      </c>
      <c r="AP742" s="213" t="s">
        <v>66</v>
      </c>
      <c r="AQ742" s="219" t="s">
        <v>66</v>
      </c>
      <c r="AR742" s="213" t="s">
        <v>1824</v>
      </c>
      <c r="AV742" s="343"/>
      <c r="AW742" s="328"/>
      <c r="AX742" s="329"/>
      <c r="AY742" s="328"/>
      <c r="AZ742" s="328"/>
      <c r="BA742" s="330"/>
      <c r="BB742" s="328"/>
      <c r="BC742" s="328"/>
      <c r="BD742" s="328"/>
      <c r="BE742" s="330"/>
      <c r="BF742" s="330"/>
      <c r="BG742" s="344"/>
      <c r="BH742" s="330"/>
      <c r="BI742" s="330"/>
      <c r="BJ742" s="330"/>
      <c r="BK742" s="330"/>
      <c r="BL742" s="330"/>
      <c r="BM742" s="330"/>
      <c r="BN742" s="330"/>
      <c r="BO742" s="330"/>
      <c r="BP742" s="331"/>
      <c r="BQ742" s="332"/>
      <c r="BR742" s="333"/>
    </row>
    <row r="743" spans="2:70" ht="15.75" customHeight="1">
      <c r="B743" s="216" t="s">
        <v>490</v>
      </c>
      <c r="C743" s="212">
        <v>545945</v>
      </c>
      <c r="D743" s="223">
        <v>37970369000137</v>
      </c>
      <c r="E743" s="217" t="s">
        <v>19</v>
      </c>
      <c r="F743" s="217" t="s">
        <v>963</v>
      </c>
      <c r="G743" s="217" t="s">
        <v>1011</v>
      </c>
      <c r="H743" s="218" t="s">
        <v>1113</v>
      </c>
      <c r="I743" s="217" t="s">
        <v>66</v>
      </c>
      <c r="J743" s="217" t="s">
        <v>1794</v>
      </c>
      <c r="K743" s="218" t="s">
        <v>951</v>
      </c>
      <c r="L743" s="212" t="s">
        <v>87</v>
      </c>
      <c r="M743" s="250"/>
      <c r="N743" s="239">
        <v>44074</v>
      </c>
      <c r="O743" s="210" t="s">
        <v>473</v>
      </c>
      <c r="P743" s="210" t="s">
        <v>1075</v>
      </c>
      <c r="Q743" s="210" t="s">
        <v>1076</v>
      </c>
      <c r="R743" s="210" t="s">
        <v>1077</v>
      </c>
      <c r="S743" s="210" t="s">
        <v>1078</v>
      </c>
      <c r="T743" s="210" t="s">
        <v>349</v>
      </c>
      <c r="U743" s="210" t="s">
        <v>1114</v>
      </c>
      <c r="V743" s="210" t="s">
        <v>25</v>
      </c>
      <c r="W743" s="211" t="s">
        <v>1016</v>
      </c>
      <c r="X743" s="211">
        <v>5000</v>
      </c>
      <c r="Y743" s="211">
        <v>0</v>
      </c>
      <c r="Z743" s="212">
        <v>0</v>
      </c>
      <c r="AA743" s="240">
        <v>91</v>
      </c>
      <c r="AB743" s="213">
        <v>5.0000000000000001E-3</v>
      </c>
      <c r="AC743" s="213">
        <v>0.2</v>
      </c>
      <c r="AD743" s="213" t="s">
        <v>113</v>
      </c>
      <c r="AE743" s="213">
        <v>3.3334999999999997E-3</v>
      </c>
      <c r="AF743" s="241">
        <v>94163124.849999994</v>
      </c>
      <c r="AG743" s="241">
        <v>94163124.849999994</v>
      </c>
      <c r="AH743" s="213">
        <v>8.6599999999999996E-2</v>
      </c>
      <c r="AI743" s="352">
        <v>1.3333999999999999</v>
      </c>
      <c r="AJ743" s="213">
        <v>0.13519999999999999</v>
      </c>
      <c r="AK743" s="352">
        <v>1.4366000000000001</v>
      </c>
      <c r="AL743" s="213" t="s">
        <v>66</v>
      </c>
      <c r="AM743" s="352" t="s">
        <v>66</v>
      </c>
      <c r="AN743" s="213" t="s">
        <v>66</v>
      </c>
      <c r="AO743" s="352" t="s">
        <v>66</v>
      </c>
      <c r="AP743" s="213">
        <v>1.5E-3</v>
      </c>
      <c r="AQ743" s="219">
        <v>24.563625241863324</v>
      </c>
      <c r="AR743" s="213" t="s">
        <v>1827</v>
      </c>
      <c r="AV743" s="343"/>
      <c r="AW743" s="328"/>
      <c r="AX743" s="329"/>
      <c r="AY743" s="328"/>
      <c r="AZ743" s="328"/>
      <c r="BA743" s="330"/>
      <c r="BB743" s="328"/>
      <c r="BC743" s="328"/>
      <c r="BD743" s="328"/>
      <c r="BE743" s="330"/>
      <c r="BF743" s="330"/>
      <c r="BG743" s="344"/>
      <c r="BH743" s="330"/>
      <c r="BI743" s="330"/>
      <c r="BJ743" s="330"/>
      <c r="BK743" s="330"/>
      <c r="BL743" s="330"/>
      <c r="BM743" s="330"/>
      <c r="BN743" s="330"/>
      <c r="BO743" s="330"/>
      <c r="BP743" s="331"/>
      <c r="BQ743" s="332"/>
      <c r="BR743" s="333"/>
    </row>
    <row r="744" spans="2:70" ht="15.75" customHeight="1">
      <c r="B744" s="216" t="s">
        <v>1491</v>
      </c>
      <c r="C744" s="212">
        <v>785138</v>
      </c>
      <c r="D744" s="223">
        <v>31340883000102</v>
      </c>
      <c r="E744" s="217" t="s">
        <v>28</v>
      </c>
      <c r="F744" s="217" t="s">
        <v>957</v>
      </c>
      <c r="G744" s="217"/>
      <c r="H744" s="218"/>
      <c r="I744" s="217" t="s">
        <v>1259</v>
      </c>
      <c r="J744" s="217" t="s">
        <v>66</v>
      </c>
      <c r="K744" s="218" t="s">
        <v>951</v>
      </c>
      <c r="L744" s="212" t="s">
        <v>87</v>
      </c>
      <c r="M744" s="250"/>
      <c r="N744" s="239">
        <v>43454</v>
      </c>
      <c r="O744" s="210" t="s">
        <v>114</v>
      </c>
      <c r="P744" s="210" t="s">
        <v>1075</v>
      </c>
      <c r="Q744" s="210" t="s">
        <v>1076</v>
      </c>
      <c r="R744" s="210" t="s">
        <v>1077</v>
      </c>
      <c r="S744" s="210" t="s">
        <v>1078</v>
      </c>
      <c r="T744" s="210" t="s">
        <v>1079</v>
      </c>
      <c r="U744" s="210" t="s">
        <v>957</v>
      </c>
      <c r="V744" s="210" t="s">
        <v>25</v>
      </c>
      <c r="W744" s="211" t="s">
        <v>1016</v>
      </c>
      <c r="X744" s="211">
        <v>1000</v>
      </c>
      <c r="Y744" s="211">
        <v>1000</v>
      </c>
      <c r="Z744" s="212">
        <v>1000</v>
      </c>
      <c r="AA744" s="240">
        <v>32</v>
      </c>
      <c r="AB744" s="213">
        <v>1.9E-2</v>
      </c>
      <c r="AC744" s="213">
        <v>0.2</v>
      </c>
      <c r="AD744" s="213" t="s">
        <v>113</v>
      </c>
      <c r="AE744" s="213">
        <v>3.7999999999999996E-3</v>
      </c>
      <c r="AF744" s="241">
        <v>28959875.989999998</v>
      </c>
      <c r="AG744" s="241">
        <v>28959875.989999998</v>
      </c>
      <c r="AH744" s="213">
        <v>1.3100000000000001E-2</v>
      </c>
      <c r="AI744" s="352">
        <v>0.2021</v>
      </c>
      <c r="AJ744" s="213">
        <v>-0.20799999999999999</v>
      </c>
      <c r="AK744" s="352">
        <v>-2.2103999999999999</v>
      </c>
      <c r="AL744" s="213">
        <v>-0.12479999999999999</v>
      </c>
      <c r="AM744" s="352">
        <v>-1.0333000000000001</v>
      </c>
      <c r="AN744" s="213">
        <v>-7.7999999999999996E-3</v>
      </c>
      <c r="AO744" s="352">
        <v>-4.65E-2</v>
      </c>
      <c r="AP744" s="213">
        <v>0.16159999999999999</v>
      </c>
      <c r="AQ744" s="219">
        <v>-1.9183237911921764</v>
      </c>
      <c r="AR744" s="213" t="s">
        <v>1827</v>
      </c>
      <c r="AV744" s="343"/>
      <c r="AW744" s="328"/>
      <c r="AX744" s="329"/>
      <c r="AY744" s="328"/>
      <c r="AZ744" s="328"/>
      <c r="BA744" s="330"/>
      <c r="BB744" s="328"/>
      <c r="BC744" s="328"/>
      <c r="BD744" s="328"/>
      <c r="BE744" s="330"/>
      <c r="BF744" s="330"/>
      <c r="BG744" s="344"/>
      <c r="BH744" s="330"/>
      <c r="BI744" s="330"/>
      <c r="BJ744" s="330"/>
      <c r="BK744" s="330"/>
      <c r="BL744" s="330"/>
      <c r="BM744" s="330"/>
      <c r="BN744" s="330"/>
      <c r="BO744" s="330"/>
      <c r="BP744" s="331"/>
      <c r="BQ744" s="332"/>
      <c r="BR744" s="333"/>
    </row>
    <row r="745" spans="2:70" ht="15.75" customHeight="1">
      <c r="B745" s="216" t="s">
        <v>492</v>
      </c>
      <c r="C745" s="212">
        <v>963326</v>
      </c>
      <c r="D745" s="223">
        <v>28386218000145</v>
      </c>
      <c r="E745" s="217" t="s">
        <v>28</v>
      </c>
      <c r="F745" s="217" t="s">
        <v>957</v>
      </c>
      <c r="G745" s="217"/>
      <c r="H745" s="218"/>
      <c r="I745" s="217" t="s">
        <v>1259</v>
      </c>
      <c r="J745" s="217" t="s">
        <v>66</v>
      </c>
      <c r="K745" s="218" t="s">
        <v>951</v>
      </c>
      <c r="L745" s="212" t="s">
        <v>87</v>
      </c>
      <c r="M745" s="250"/>
      <c r="N745" s="239">
        <v>43003</v>
      </c>
      <c r="O745" s="210" t="s">
        <v>491</v>
      </c>
      <c r="P745" s="210" t="s">
        <v>1090</v>
      </c>
      <c r="Q745" s="210" t="s">
        <v>1091</v>
      </c>
      <c r="R745" s="210" t="s">
        <v>1077</v>
      </c>
      <c r="S745" s="210" t="s">
        <v>1078</v>
      </c>
      <c r="T745" s="210" t="s">
        <v>1079</v>
      </c>
      <c r="U745" s="210" t="s">
        <v>957</v>
      </c>
      <c r="V745" s="210" t="s">
        <v>25</v>
      </c>
      <c r="W745" s="211" t="s">
        <v>1016</v>
      </c>
      <c r="X745" s="211">
        <v>5000</v>
      </c>
      <c r="Y745" s="211">
        <v>1000</v>
      </c>
      <c r="Z745" s="212">
        <v>1000</v>
      </c>
      <c r="AA745" s="240">
        <v>32</v>
      </c>
      <c r="AB745" s="213">
        <v>1.9E-2</v>
      </c>
      <c r="AC745" s="213">
        <v>0.2</v>
      </c>
      <c r="AD745" s="213" t="s">
        <v>203</v>
      </c>
      <c r="AE745" s="213">
        <v>3.7999999999999996E-3</v>
      </c>
      <c r="AF745" s="241">
        <v>24953146.370000001</v>
      </c>
      <c r="AG745" s="241">
        <v>24953146.370000001</v>
      </c>
      <c r="AH745" s="213">
        <v>1.26E-2</v>
      </c>
      <c r="AI745" s="352">
        <v>0.1946</v>
      </c>
      <c r="AJ745" s="213">
        <v>-0.21049999999999999</v>
      </c>
      <c r="AK745" s="352">
        <v>-2.2376999999999998</v>
      </c>
      <c r="AL745" s="213">
        <v>-0.12740000000000001</v>
      </c>
      <c r="AM745" s="352">
        <v>-1.0548999999999999</v>
      </c>
      <c r="AN745" s="213">
        <v>-1.01E-2</v>
      </c>
      <c r="AO745" s="352">
        <v>-5.9700000000000003E-2</v>
      </c>
      <c r="AP745" s="213">
        <v>0.16289999999999999</v>
      </c>
      <c r="AQ745" s="219">
        <v>-1.9215257606000971</v>
      </c>
      <c r="AR745" s="213" t="s">
        <v>1827</v>
      </c>
      <c r="AV745" s="343"/>
      <c r="AW745" s="328"/>
      <c r="AX745" s="329"/>
      <c r="AY745" s="328"/>
      <c r="AZ745" s="328"/>
      <c r="BA745" s="330"/>
      <c r="BB745" s="328"/>
      <c r="BC745" s="328"/>
      <c r="BD745" s="328"/>
      <c r="BE745" s="330"/>
      <c r="BF745" s="330"/>
      <c r="BG745" s="344"/>
      <c r="BH745" s="330"/>
      <c r="BI745" s="330"/>
      <c r="BJ745" s="330"/>
      <c r="BK745" s="330"/>
      <c r="BL745" s="330"/>
      <c r="BM745" s="330"/>
      <c r="BN745" s="330"/>
      <c r="BO745" s="330"/>
      <c r="BP745" s="331"/>
      <c r="BQ745" s="332"/>
      <c r="BR745" s="333"/>
    </row>
    <row r="746" spans="2:70" ht="15.75" customHeight="1">
      <c r="B746" s="216" t="s">
        <v>493</v>
      </c>
      <c r="C746" s="212">
        <v>1166008</v>
      </c>
      <c r="D746" s="223">
        <v>33953430000187</v>
      </c>
      <c r="E746" s="217" t="s">
        <v>28</v>
      </c>
      <c r="F746" s="217" t="s">
        <v>957</v>
      </c>
      <c r="G746" s="217"/>
      <c r="H746" s="218"/>
      <c r="I746" s="217" t="s">
        <v>1842</v>
      </c>
      <c r="J746" s="217" t="s">
        <v>66</v>
      </c>
      <c r="K746" s="218" t="s">
        <v>951</v>
      </c>
      <c r="L746" s="212" t="s">
        <v>87</v>
      </c>
      <c r="M746" s="250"/>
      <c r="N746" s="239">
        <v>43707</v>
      </c>
      <c r="O746" s="210" t="s">
        <v>491</v>
      </c>
      <c r="P746" s="210" t="s">
        <v>1110</v>
      </c>
      <c r="Q746" s="210" t="s">
        <v>1110</v>
      </c>
      <c r="R746" s="210" t="s">
        <v>1084</v>
      </c>
      <c r="S746" s="210" t="s">
        <v>1078</v>
      </c>
      <c r="T746" s="210" t="s">
        <v>1079</v>
      </c>
      <c r="U746" s="210" t="s">
        <v>950</v>
      </c>
      <c r="V746" s="210" t="s">
        <v>1080</v>
      </c>
      <c r="W746" s="211" t="s">
        <v>1007</v>
      </c>
      <c r="X746" s="211">
        <v>5000</v>
      </c>
      <c r="Y746" s="211">
        <v>5000</v>
      </c>
      <c r="Z746" s="212">
        <v>1000</v>
      </c>
      <c r="AA746" s="240">
        <v>32</v>
      </c>
      <c r="AB746" s="213">
        <v>1.9E-2</v>
      </c>
      <c r="AC746" s="213">
        <v>0.2</v>
      </c>
      <c r="AD746" s="213" t="s">
        <v>1014</v>
      </c>
      <c r="AE746" s="213">
        <v>3.7999999999999996E-3</v>
      </c>
      <c r="AF746" s="241">
        <v>167822971.52000001</v>
      </c>
      <c r="AG746" s="241">
        <v>167822971.52000001</v>
      </c>
      <c r="AH746" s="213">
        <v>8.5000000000000006E-3</v>
      </c>
      <c r="AI746" s="352">
        <v>0.13170000000000001</v>
      </c>
      <c r="AJ746" s="213">
        <v>-0.20150000000000001</v>
      </c>
      <c r="AK746" s="352">
        <v>-2.1413000000000002</v>
      </c>
      <c r="AL746" s="213">
        <v>-7.0499999999999993E-2</v>
      </c>
      <c r="AM746" s="352">
        <v>-0.58379999999999999</v>
      </c>
      <c r="AN746" s="213" t="s">
        <v>66</v>
      </c>
      <c r="AO746" s="352" t="s">
        <v>66</v>
      </c>
      <c r="AP746" s="213">
        <v>0.18729999999999999</v>
      </c>
      <c r="AQ746" s="219">
        <v>-1.5871061884832065</v>
      </c>
      <c r="AR746" s="213" t="s">
        <v>1827</v>
      </c>
      <c r="AV746" s="343"/>
      <c r="AW746" s="328"/>
      <c r="AX746" s="329"/>
      <c r="AY746" s="328"/>
      <c r="AZ746" s="328"/>
      <c r="BA746" s="330"/>
      <c r="BB746" s="328"/>
      <c r="BC746" s="328"/>
      <c r="BD746" s="328"/>
      <c r="BE746" s="330"/>
      <c r="BF746" s="330"/>
      <c r="BG746" s="344"/>
      <c r="BH746" s="330"/>
      <c r="BI746" s="330"/>
      <c r="BJ746" s="330"/>
      <c r="BK746" s="330"/>
      <c r="BL746" s="330"/>
      <c r="BM746" s="330"/>
      <c r="BN746" s="330"/>
      <c r="BO746" s="330"/>
      <c r="BP746" s="331"/>
      <c r="BQ746" s="332"/>
      <c r="BR746" s="333"/>
    </row>
    <row r="747" spans="2:70" ht="15.75" customHeight="1">
      <c r="B747" s="216" t="s">
        <v>494</v>
      </c>
      <c r="C747" s="212">
        <v>3849880</v>
      </c>
      <c r="D747" s="223">
        <v>28407875000121</v>
      </c>
      <c r="E747" s="217" t="s">
        <v>28</v>
      </c>
      <c r="F747" s="217" t="s">
        <v>950</v>
      </c>
      <c r="G747" s="217"/>
      <c r="H747" s="218"/>
      <c r="I747" s="217" t="s">
        <v>66</v>
      </c>
      <c r="J747" s="217" t="s">
        <v>66</v>
      </c>
      <c r="K747" s="218" t="s">
        <v>951</v>
      </c>
      <c r="L747" s="212" t="s">
        <v>87</v>
      </c>
      <c r="M747" s="250"/>
      <c r="N747" s="239">
        <v>43178</v>
      </c>
      <c r="O747" s="210" t="s">
        <v>491</v>
      </c>
      <c r="P747" s="210" t="s">
        <v>1090</v>
      </c>
      <c r="Q747" s="210" t="s">
        <v>1091</v>
      </c>
      <c r="R747" s="210" t="s">
        <v>1084</v>
      </c>
      <c r="S747" s="210" t="s">
        <v>1078</v>
      </c>
      <c r="T747" s="210" t="s">
        <v>1079</v>
      </c>
      <c r="U747" s="210" t="s">
        <v>950</v>
      </c>
      <c r="V747" s="210" t="s">
        <v>1080</v>
      </c>
      <c r="W747" s="211" t="s">
        <v>1007</v>
      </c>
      <c r="X747" s="211">
        <v>5000</v>
      </c>
      <c r="Y747" s="211">
        <v>1000</v>
      </c>
      <c r="Z747" s="212">
        <v>5000</v>
      </c>
      <c r="AA747" s="240">
        <v>32</v>
      </c>
      <c r="AB747" s="213">
        <v>2.9000000000000001E-2</v>
      </c>
      <c r="AC747" s="213">
        <v>0</v>
      </c>
      <c r="AD747" s="213" t="s">
        <v>113</v>
      </c>
      <c r="AE747" s="213">
        <v>5.7999999999999996E-3</v>
      </c>
      <c r="AF747" s="241">
        <v>22334124.219999999</v>
      </c>
      <c r="AG747" s="241">
        <v>22334124.219999999</v>
      </c>
      <c r="AH747" s="213">
        <v>2.3999999999999998E-3</v>
      </c>
      <c r="AI747" s="352">
        <v>3.7699999999999997E-2</v>
      </c>
      <c r="AJ747" s="213">
        <v>-0.21049999999999999</v>
      </c>
      <c r="AK747" s="352">
        <v>-2.2378</v>
      </c>
      <c r="AL747" s="213">
        <v>-8.7499999999999994E-2</v>
      </c>
      <c r="AM747" s="352">
        <v>-0.72409999999999997</v>
      </c>
      <c r="AN747" s="213">
        <v>-4.48E-2</v>
      </c>
      <c r="AO747" s="352">
        <v>-0.26579999999999998</v>
      </c>
      <c r="AP747" s="213">
        <v>0.188</v>
      </c>
      <c r="AQ747" s="219">
        <v>-1.6416829616154069</v>
      </c>
      <c r="AR747" s="213" t="s">
        <v>1827</v>
      </c>
      <c r="AV747" s="343"/>
      <c r="AW747" s="328"/>
      <c r="AX747" s="329"/>
      <c r="AY747" s="328"/>
      <c r="AZ747" s="328"/>
      <c r="BA747" s="330"/>
      <c r="BB747" s="328"/>
      <c r="BC747" s="328"/>
      <c r="BD747" s="328"/>
      <c r="BE747" s="330"/>
      <c r="BF747" s="330"/>
      <c r="BG747" s="344"/>
      <c r="BH747" s="330"/>
      <c r="BI747" s="330"/>
      <c r="BJ747" s="330"/>
      <c r="BK747" s="330"/>
      <c r="BL747" s="330"/>
      <c r="BM747" s="330"/>
      <c r="BN747" s="330"/>
      <c r="BO747" s="330"/>
      <c r="BP747" s="331"/>
      <c r="BQ747" s="332"/>
      <c r="BR747" s="333"/>
    </row>
    <row r="748" spans="2:70" ht="15.75" customHeight="1">
      <c r="B748" s="216" t="s">
        <v>496</v>
      </c>
      <c r="C748" s="212">
        <v>3849463</v>
      </c>
      <c r="D748" s="223">
        <v>32862291000113</v>
      </c>
      <c r="E748" s="217" t="s">
        <v>28</v>
      </c>
      <c r="F748" s="217" t="s">
        <v>950</v>
      </c>
      <c r="G748" s="217"/>
      <c r="H748" s="218"/>
      <c r="I748" s="217" t="s">
        <v>66</v>
      </c>
      <c r="J748" s="217" t="s">
        <v>66</v>
      </c>
      <c r="K748" s="218" t="s">
        <v>951</v>
      </c>
      <c r="L748" s="212" t="s">
        <v>87</v>
      </c>
      <c r="M748" s="250"/>
      <c r="N748" s="239">
        <v>43684</v>
      </c>
      <c r="O748" s="210" t="s">
        <v>495</v>
      </c>
      <c r="P748" s="210" t="s">
        <v>1088</v>
      </c>
      <c r="Q748" s="210" t="s">
        <v>1089</v>
      </c>
      <c r="R748" s="210" t="s">
        <v>1084</v>
      </c>
      <c r="S748" s="210" t="s">
        <v>1078</v>
      </c>
      <c r="T748" s="210" t="s">
        <v>1079</v>
      </c>
      <c r="U748" s="210" t="s">
        <v>950</v>
      </c>
      <c r="V748" s="210" t="s">
        <v>1080</v>
      </c>
      <c r="W748" s="211" t="s">
        <v>1007</v>
      </c>
      <c r="X748" s="211">
        <v>50000</v>
      </c>
      <c r="Y748" s="211">
        <v>10000</v>
      </c>
      <c r="Z748" s="212">
        <v>10000</v>
      </c>
      <c r="AA748" s="240">
        <v>366</v>
      </c>
      <c r="AB748" s="213">
        <v>5.5000000000000003E-4</v>
      </c>
      <c r="AC748" s="213">
        <v>0.3</v>
      </c>
      <c r="AD748" s="213" t="s">
        <v>1157</v>
      </c>
      <c r="AE748" s="213" t="s">
        <v>66</v>
      </c>
      <c r="AF748" s="241">
        <v>1752148.94</v>
      </c>
      <c r="AG748" s="241">
        <v>1752148.94</v>
      </c>
      <c r="AH748" s="213">
        <v>-0.18310000000000001</v>
      </c>
      <c r="AI748" s="352">
        <v>-2.8195999999999999</v>
      </c>
      <c r="AJ748" s="213">
        <v>-0.32040000000000002</v>
      </c>
      <c r="AK748" s="352">
        <v>-3.4053</v>
      </c>
      <c r="AL748" s="213">
        <v>-0.34050000000000002</v>
      </c>
      <c r="AM748" s="352">
        <v>-2.8189000000000002</v>
      </c>
      <c r="AN748" s="213" t="s">
        <v>66</v>
      </c>
      <c r="AO748" s="352" t="s">
        <v>66</v>
      </c>
      <c r="AP748" s="213">
        <v>0.23719999999999999</v>
      </c>
      <c r="AQ748" s="219">
        <v>-1.8873661815547398</v>
      </c>
      <c r="AR748" s="213" t="s">
        <v>1827</v>
      </c>
      <c r="AV748" s="343"/>
      <c r="AW748" s="328"/>
      <c r="AX748" s="329"/>
      <c r="AY748" s="328"/>
      <c r="AZ748" s="328"/>
      <c r="BA748" s="330"/>
      <c r="BB748" s="328"/>
      <c r="BC748" s="328"/>
      <c r="BD748" s="328"/>
      <c r="BE748" s="330"/>
      <c r="BF748" s="330"/>
      <c r="BG748" s="344"/>
      <c r="BH748" s="330"/>
      <c r="BI748" s="330"/>
      <c r="BJ748" s="330"/>
      <c r="BK748" s="330"/>
      <c r="BL748" s="330"/>
      <c r="BM748" s="330"/>
      <c r="BN748" s="330"/>
      <c r="BO748" s="330"/>
      <c r="BP748" s="331"/>
      <c r="BQ748" s="332"/>
      <c r="BR748" s="333"/>
    </row>
    <row r="749" spans="2:70" ht="15.75" customHeight="1">
      <c r="B749" s="216" t="s">
        <v>1492</v>
      </c>
      <c r="C749" s="212">
        <v>2170167</v>
      </c>
      <c r="D749" s="223">
        <v>9577098000119</v>
      </c>
      <c r="E749" s="217" t="s">
        <v>28</v>
      </c>
      <c r="F749" s="217" t="s">
        <v>950</v>
      </c>
      <c r="G749" s="217"/>
      <c r="H749" s="218"/>
      <c r="I749" s="217" t="s">
        <v>66</v>
      </c>
      <c r="J749" s="217" t="s">
        <v>66</v>
      </c>
      <c r="K749" s="218" t="s">
        <v>951</v>
      </c>
      <c r="L749" s="212" t="s">
        <v>87</v>
      </c>
      <c r="M749" s="250"/>
      <c r="N749" s="239">
        <v>39799</v>
      </c>
      <c r="O749" s="210" t="s">
        <v>497</v>
      </c>
      <c r="P749" s="210" t="s">
        <v>1110</v>
      </c>
      <c r="Q749" s="210" t="s">
        <v>1091</v>
      </c>
      <c r="R749" s="210" t="s">
        <v>1084</v>
      </c>
      <c r="S749" s="210" t="s">
        <v>1078</v>
      </c>
      <c r="T749" s="210" t="s">
        <v>1079</v>
      </c>
      <c r="U749" s="210" t="s">
        <v>950</v>
      </c>
      <c r="V749" s="210" t="s">
        <v>1080</v>
      </c>
      <c r="W749" s="211" t="s">
        <v>1007</v>
      </c>
      <c r="X749" s="211">
        <v>5000</v>
      </c>
      <c r="Y749" s="211">
        <v>100</v>
      </c>
      <c r="Z749" s="212">
        <v>1000</v>
      </c>
      <c r="AA749" s="240">
        <v>3</v>
      </c>
      <c r="AB749" s="213">
        <v>0.02</v>
      </c>
      <c r="AC749" s="213">
        <v>0.2</v>
      </c>
      <c r="AD749" s="213" t="s">
        <v>1014</v>
      </c>
      <c r="AE749" s="213">
        <v>6.0000000000000001E-3</v>
      </c>
      <c r="AF749" s="241">
        <v>20729462.68</v>
      </c>
      <c r="AG749" s="241">
        <v>20729462.68</v>
      </c>
      <c r="AH749" s="213">
        <v>1E-4</v>
      </c>
      <c r="AI749" s="352">
        <v>1.1000000000000001E-3</v>
      </c>
      <c r="AJ749" s="213">
        <v>-0.1804</v>
      </c>
      <c r="AK749" s="352">
        <v>-1.917</v>
      </c>
      <c r="AL749" s="213">
        <v>-4.4200000000000003E-2</v>
      </c>
      <c r="AM749" s="352">
        <v>-0.36570000000000003</v>
      </c>
      <c r="AN749" s="213">
        <v>7.2599999999999998E-2</v>
      </c>
      <c r="AO749" s="352">
        <v>0.43090000000000001</v>
      </c>
      <c r="AP749" s="213">
        <v>0.2102</v>
      </c>
      <c r="AQ749" s="219">
        <v>-1.2687690856771643</v>
      </c>
      <c r="AR749" s="213" t="s">
        <v>1824</v>
      </c>
      <c r="AV749" s="343"/>
      <c r="AW749" s="328"/>
      <c r="AX749" s="329"/>
      <c r="AY749" s="328"/>
      <c r="AZ749" s="328"/>
      <c r="BA749" s="330"/>
      <c r="BB749" s="328"/>
      <c r="BC749" s="328"/>
      <c r="BD749" s="328"/>
      <c r="BE749" s="330"/>
      <c r="BF749" s="330"/>
      <c r="BG749" s="344"/>
      <c r="BH749" s="330"/>
      <c r="BI749" s="330"/>
      <c r="BJ749" s="330"/>
      <c r="BK749" s="330"/>
      <c r="BL749" s="330"/>
      <c r="BM749" s="330"/>
      <c r="BN749" s="330"/>
      <c r="BO749" s="330"/>
      <c r="BP749" s="331"/>
      <c r="BQ749" s="332"/>
      <c r="BR749" s="333"/>
    </row>
    <row r="750" spans="2:70" ht="15.75" customHeight="1">
      <c r="B750" s="216" t="s">
        <v>1493</v>
      </c>
      <c r="C750" s="212">
        <v>1299116</v>
      </c>
      <c r="D750" s="223">
        <v>13554383000191</v>
      </c>
      <c r="E750" s="217" t="s">
        <v>19</v>
      </c>
      <c r="F750" s="217" t="s">
        <v>964</v>
      </c>
      <c r="G750" s="217" t="s">
        <v>1021</v>
      </c>
      <c r="H750" s="218" t="s">
        <v>1259</v>
      </c>
      <c r="I750" s="217" t="s">
        <v>66</v>
      </c>
      <c r="J750" s="217"/>
      <c r="K750" s="218" t="s">
        <v>951</v>
      </c>
      <c r="L750" s="212" t="s">
        <v>87</v>
      </c>
      <c r="M750" s="250"/>
      <c r="N750" s="239">
        <v>40724</v>
      </c>
      <c r="O750" s="210" t="s">
        <v>497</v>
      </c>
      <c r="P750" s="210" t="s">
        <v>1090</v>
      </c>
      <c r="Q750" s="210" t="s">
        <v>1091</v>
      </c>
      <c r="R750" s="210" t="s">
        <v>1084</v>
      </c>
      <c r="S750" s="210" t="s">
        <v>1078</v>
      </c>
      <c r="T750" s="210" t="s">
        <v>349</v>
      </c>
      <c r="U750" s="210" t="s">
        <v>964</v>
      </c>
      <c r="V750" s="210" t="s">
        <v>19</v>
      </c>
      <c r="W750" s="211" t="s">
        <v>1017</v>
      </c>
      <c r="X750" s="211">
        <v>5000</v>
      </c>
      <c r="Y750" s="211">
        <v>100</v>
      </c>
      <c r="Z750" s="212">
        <v>1000</v>
      </c>
      <c r="AA750" s="240">
        <v>1</v>
      </c>
      <c r="AB750" s="213">
        <v>3.0000000000000001E-3</v>
      </c>
      <c r="AC750" s="213">
        <v>0</v>
      </c>
      <c r="AD750" s="213" t="s">
        <v>254</v>
      </c>
      <c r="AE750" s="213">
        <v>8.9999999999999998E-4</v>
      </c>
      <c r="AF750" s="241">
        <v>19700777.469999999</v>
      </c>
      <c r="AG750" s="241">
        <v>19700777.469999999</v>
      </c>
      <c r="AH750" s="213">
        <v>2.5000000000000001E-2</v>
      </c>
      <c r="AI750" s="352">
        <v>0.38469999999999999</v>
      </c>
      <c r="AJ750" s="213">
        <v>4.5999999999999999E-3</v>
      </c>
      <c r="AK750" s="352">
        <v>4.8399999999999999E-2</v>
      </c>
      <c r="AL750" s="213">
        <v>3.2300000000000002E-2</v>
      </c>
      <c r="AM750" s="352">
        <v>0.26729999999999998</v>
      </c>
      <c r="AN750" s="213">
        <v>0.1057</v>
      </c>
      <c r="AO750" s="352">
        <v>0.62739999999999996</v>
      </c>
      <c r="AP750" s="213">
        <v>5.7200000000000001E-2</v>
      </c>
      <c r="AQ750" s="219">
        <v>-1.4632493415067729</v>
      </c>
      <c r="AR750" s="213" t="s">
        <v>1827</v>
      </c>
      <c r="AV750" s="343"/>
      <c r="AW750" s="328"/>
      <c r="AX750" s="329"/>
      <c r="AY750" s="328"/>
      <c r="AZ750" s="328"/>
      <c r="BA750" s="330"/>
      <c r="BB750" s="328"/>
      <c r="BC750" s="328"/>
      <c r="BD750" s="328"/>
      <c r="BE750" s="330"/>
      <c r="BF750" s="330"/>
      <c r="BG750" s="344"/>
      <c r="BH750" s="330"/>
      <c r="BI750" s="330"/>
      <c r="BJ750" s="330"/>
      <c r="BK750" s="330"/>
      <c r="BL750" s="330"/>
      <c r="BM750" s="330"/>
      <c r="BN750" s="330"/>
      <c r="BO750" s="330"/>
      <c r="BP750" s="331"/>
      <c r="BQ750" s="332"/>
      <c r="BR750" s="333"/>
    </row>
    <row r="751" spans="2:70" ht="15.75" customHeight="1">
      <c r="B751" s="216" t="s">
        <v>1494</v>
      </c>
      <c r="C751" s="212">
        <v>912523</v>
      </c>
      <c r="D751" s="223">
        <v>18908578000106</v>
      </c>
      <c r="E751" s="217" t="s">
        <v>25</v>
      </c>
      <c r="F751" s="217" t="s">
        <v>958</v>
      </c>
      <c r="G751" s="217" t="s">
        <v>962</v>
      </c>
      <c r="H751" s="218" t="s">
        <v>66</v>
      </c>
      <c r="I751" s="217" t="s">
        <v>1841</v>
      </c>
      <c r="J751" s="217" t="s">
        <v>66</v>
      </c>
      <c r="K751" s="218"/>
      <c r="L751" s="212" t="s">
        <v>87</v>
      </c>
      <c r="M751" s="250"/>
      <c r="N751" s="239">
        <v>41607</v>
      </c>
      <c r="O751" s="210" t="s">
        <v>497</v>
      </c>
      <c r="P751" s="210" t="s">
        <v>1110</v>
      </c>
      <c r="Q751" s="210" t="s">
        <v>1091</v>
      </c>
      <c r="R751" s="210" t="s">
        <v>1084</v>
      </c>
      <c r="S751" s="210" t="s">
        <v>1078</v>
      </c>
      <c r="T751" s="210" t="s">
        <v>1082</v>
      </c>
      <c r="U751" s="210" t="s">
        <v>958</v>
      </c>
      <c r="V751" s="210" t="s">
        <v>25</v>
      </c>
      <c r="W751" s="211" t="s">
        <v>1016</v>
      </c>
      <c r="X751" s="211">
        <v>5000</v>
      </c>
      <c r="Y751" s="211">
        <v>100</v>
      </c>
      <c r="Z751" s="212">
        <v>1000</v>
      </c>
      <c r="AA751" s="240">
        <v>2</v>
      </c>
      <c r="AB751" s="213">
        <v>1.4999999999999999E-2</v>
      </c>
      <c r="AC751" s="213">
        <v>0.2</v>
      </c>
      <c r="AD751" s="213" t="s">
        <v>109</v>
      </c>
      <c r="AE751" s="213">
        <v>5.2499999999999995E-3</v>
      </c>
      <c r="AF751" s="241">
        <v>26544239.859999999</v>
      </c>
      <c r="AG751" s="241">
        <v>26544239.859999999</v>
      </c>
      <c r="AH751" s="213">
        <v>1.83E-2</v>
      </c>
      <c r="AI751" s="352">
        <v>0.28260000000000002</v>
      </c>
      <c r="AJ751" s="213">
        <v>-4.1300000000000003E-2</v>
      </c>
      <c r="AK751" s="352">
        <v>-0.43940000000000001</v>
      </c>
      <c r="AL751" s="213">
        <v>-5.8599999999999999E-2</v>
      </c>
      <c r="AM751" s="352">
        <v>-0.48470000000000002</v>
      </c>
      <c r="AN751" s="213">
        <v>-3.61E-2</v>
      </c>
      <c r="AO751" s="352">
        <v>-0.2145</v>
      </c>
      <c r="AP751" s="213">
        <v>3.9300000000000002E-2</v>
      </c>
      <c r="AQ751" s="219">
        <v>-3.3412685440138881</v>
      </c>
      <c r="AR751" s="213" t="s">
        <v>1827</v>
      </c>
      <c r="AV751" s="343"/>
      <c r="AW751" s="328"/>
      <c r="AX751" s="329"/>
      <c r="AY751" s="328"/>
      <c r="AZ751" s="328"/>
      <c r="BA751" s="330"/>
      <c r="BB751" s="328"/>
      <c r="BC751" s="328"/>
      <c r="BD751" s="328"/>
      <c r="BE751" s="330"/>
      <c r="BF751" s="330"/>
      <c r="BG751" s="344"/>
      <c r="BH751" s="330"/>
      <c r="BI751" s="330"/>
      <c r="BJ751" s="330"/>
      <c r="BK751" s="330"/>
      <c r="BL751" s="330"/>
      <c r="BM751" s="330"/>
      <c r="BN751" s="330"/>
      <c r="BO751" s="330"/>
      <c r="BP751" s="331"/>
      <c r="BQ751" s="332"/>
      <c r="BR751" s="333"/>
    </row>
    <row r="752" spans="2:70" ht="15.75" customHeight="1">
      <c r="B752" s="216" t="s">
        <v>498</v>
      </c>
      <c r="C752" s="212">
        <v>911147</v>
      </c>
      <c r="D752" s="223">
        <v>24140256000162</v>
      </c>
      <c r="E752" s="217" t="s">
        <v>25</v>
      </c>
      <c r="F752" s="217" t="s">
        <v>959</v>
      </c>
      <c r="G752" s="217" t="s">
        <v>960</v>
      </c>
      <c r="H752" s="218" t="s">
        <v>66</v>
      </c>
      <c r="I752" s="217" t="s">
        <v>1259</v>
      </c>
      <c r="J752" s="217" t="s">
        <v>66</v>
      </c>
      <c r="K752" s="218" t="s">
        <v>951</v>
      </c>
      <c r="L752" s="212" t="s">
        <v>87</v>
      </c>
      <c r="M752" s="250"/>
      <c r="N752" s="239">
        <v>42500</v>
      </c>
      <c r="O752" s="210" t="s">
        <v>499</v>
      </c>
      <c r="P752" s="210" t="s">
        <v>1083</v>
      </c>
      <c r="Q752" s="210" t="s">
        <v>102</v>
      </c>
      <c r="R752" s="210" t="s">
        <v>1084</v>
      </c>
      <c r="S752" s="210" t="s">
        <v>1078</v>
      </c>
      <c r="T752" s="210" t="s">
        <v>1082</v>
      </c>
      <c r="U752" s="210" t="s">
        <v>1086</v>
      </c>
      <c r="V752" s="210" t="s">
        <v>25</v>
      </c>
      <c r="W752" s="211" t="s">
        <v>1023</v>
      </c>
      <c r="X752" s="211">
        <v>1000</v>
      </c>
      <c r="Y752" s="211">
        <v>500</v>
      </c>
      <c r="Z752" s="212">
        <v>1000</v>
      </c>
      <c r="AA752" s="240">
        <v>31</v>
      </c>
      <c r="AB752" s="213">
        <v>1.8499999999999999E-2</v>
      </c>
      <c r="AC752" s="213">
        <v>0.2</v>
      </c>
      <c r="AD752" s="213" t="s">
        <v>109</v>
      </c>
      <c r="AE752" s="213">
        <v>4.933333333333333E-3</v>
      </c>
      <c r="AF752" s="241">
        <v>586370173.04999995</v>
      </c>
      <c r="AG752" s="241">
        <v>586370173.04999995</v>
      </c>
      <c r="AH752" s="213">
        <v>9.9099999999999994E-2</v>
      </c>
      <c r="AI752" s="352">
        <v>1.5259</v>
      </c>
      <c r="AJ752" s="213">
        <v>0.189</v>
      </c>
      <c r="AK752" s="352">
        <v>2.0085999999999999</v>
      </c>
      <c r="AL752" s="213">
        <v>0.18090000000000001</v>
      </c>
      <c r="AM752" s="352">
        <v>1.4971000000000001</v>
      </c>
      <c r="AN752" s="213">
        <v>0.39329999999999998</v>
      </c>
      <c r="AO752" s="352">
        <v>2.3338999999999999</v>
      </c>
      <c r="AP752" s="213">
        <v>5.4699999999999999E-2</v>
      </c>
      <c r="AQ752" s="219">
        <v>1.5482145062414692</v>
      </c>
      <c r="AR752" s="213" t="s">
        <v>1827</v>
      </c>
      <c r="AV752" s="343"/>
      <c r="AW752" s="328"/>
      <c r="AX752" s="329"/>
      <c r="AY752" s="328"/>
      <c r="AZ752" s="328"/>
      <c r="BA752" s="330"/>
      <c r="BB752" s="328"/>
      <c r="BC752" s="328"/>
      <c r="BD752" s="328"/>
      <c r="BE752" s="330"/>
      <c r="BF752" s="330"/>
      <c r="BG752" s="344"/>
      <c r="BH752" s="330"/>
      <c r="BI752" s="330"/>
      <c r="BJ752" s="330"/>
      <c r="BK752" s="330"/>
      <c r="BL752" s="330"/>
      <c r="BM752" s="330"/>
      <c r="BN752" s="330"/>
      <c r="BO752" s="330"/>
      <c r="BP752" s="331"/>
      <c r="BQ752" s="332"/>
      <c r="BR752" s="333"/>
    </row>
    <row r="753" spans="2:70" ht="15.75" customHeight="1">
      <c r="B753" s="216" t="s">
        <v>500</v>
      </c>
      <c r="C753" s="212">
        <v>563980</v>
      </c>
      <c r="D753" s="223">
        <v>20658576000158</v>
      </c>
      <c r="E753" s="217" t="s">
        <v>28</v>
      </c>
      <c r="F753" s="217" t="s">
        <v>950</v>
      </c>
      <c r="G753" s="217"/>
      <c r="H753" s="218"/>
      <c r="I753" s="217" t="s">
        <v>66</v>
      </c>
      <c r="J753" s="217" t="s">
        <v>66</v>
      </c>
      <c r="K753" s="218" t="s">
        <v>951</v>
      </c>
      <c r="L753" s="212" t="s">
        <v>87</v>
      </c>
      <c r="M753" s="250"/>
      <c r="N753" s="239">
        <v>41855</v>
      </c>
      <c r="O753" s="210" t="s">
        <v>499</v>
      </c>
      <c r="P753" s="210" t="s">
        <v>1083</v>
      </c>
      <c r="Q753" s="210" t="s">
        <v>102</v>
      </c>
      <c r="R753" s="210" t="s">
        <v>1084</v>
      </c>
      <c r="S753" s="210" t="s">
        <v>1078</v>
      </c>
      <c r="T753" s="210" t="s">
        <v>1079</v>
      </c>
      <c r="U753" s="210" t="s">
        <v>950</v>
      </c>
      <c r="V753" s="210" t="s">
        <v>1080</v>
      </c>
      <c r="W753" s="211" t="s">
        <v>1007</v>
      </c>
      <c r="X753" s="211">
        <v>20000</v>
      </c>
      <c r="Y753" s="211">
        <v>10000</v>
      </c>
      <c r="Z753" s="212">
        <v>20000</v>
      </c>
      <c r="AA753" s="240">
        <v>17</v>
      </c>
      <c r="AB753" s="213">
        <v>1.8499999999999999E-2</v>
      </c>
      <c r="AC753" s="213">
        <v>0.2</v>
      </c>
      <c r="AD753" s="213" t="s">
        <v>1014</v>
      </c>
      <c r="AE753" s="213">
        <v>4.933333333333333E-3</v>
      </c>
      <c r="AF753" s="241">
        <v>844136867.30999994</v>
      </c>
      <c r="AG753" s="241">
        <v>844136867.30999994</v>
      </c>
      <c r="AH753" s="213">
        <v>-5.3900000000000003E-2</v>
      </c>
      <c r="AI753" s="352">
        <v>-0.8306</v>
      </c>
      <c r="AJ753" s="213">
        <v>-0.19939999999999999</v>
      </c>
      <c r="AK753" s="352">
        <v>-2.1196000000000002</v>
      </c>
      <c r="AL753" s="213">
        <v>-0.18049999999999999</v>
      </c>
      <c r="AM753" s="352">
        <v>-1.4943</v>
      </c>
      <c r="AN753" s="213">
        <v>-3.95E-2</v>
      </c>
      <c r="AO753" s="352">
        <v>-0.2344</v>
      </c>
      <c r="AP753" s="213">
        <v>0.2571</v>
      </c>
      <c r="AQ753" s="219">
        <v>-1.0857031621678734</v>
      </c>
      <c r="AR753" s="213" t="s">
        <v>1824</v>
      </c>
      <c r="AV753" s="343"/>
      <c r="AW753" s="328"/>
      <c r="AX753" s="329"/>
      <c r="AY753" s="328"/>
      <c r="AZ753" s="328"/>
      <c r="BA753" s="330"/>
      <c r="BB753" s="328"/>
      <c r="BC753" s="328"/>
      <c r="BD753" s="328"/>
      <c r="BE753" s="330"/>
      <c r="BF753" s="330"/>
      <c r="BG753" s="344"/>
      <c r="BH753" s="330"/>
      <c r="BI753" s="330"/>
      <c r="BJ753" s="330"/>
      <c r="BK753" s="330"/>
      <c r="BL753" s="330"/>
      <c r="BM753" s="330"/>
      <c r="BN753" s="330"/>
      <c r="BO753" s="330"/>
      <c r="BP753" s="331"/>
      <c r="BQ753" s="332"/>
      <c r="BR753" s="333"/>
    </row>
    <row r="754" spans="2:70" ht="15.75" customHeight="1">
      <c r="B754" s="216" t="s">
        <v>501</v>
      </c>
      <c r="C754" s="212">
        <v>804594</v>
      </c>
      <c r="D754" s="223">
        <v>30995144000196</v>
      </c>
      <c r="E754" s="217" t="s">
        <v>28</v>
      </c>
      <c r="F754" s="217" t="s">
        <v>957</v>
      </c>
      <c r="G754" s="217"/>
      <c r="H754" s="218"/>
      <c r="I754" s="217" t="s">
        <v>1259</v>
      </c>
      <c r="J754" s="217" t="s">
        <v>66</v>
      </c>
      <c r="K754" s="218" t="s">
        <v>951</v>
      </c>
      <c r="L754" s="212" t="s">
        <v>87</v>
      </c>
      <c r="M754" s="250"/>
      <c r="N754" s="239">
        <v>43510</v>
      </c>
      <c r="O754" s="210" t="s">
        <v>499</v>
      </c>
      <c r="P754" s="210" t="s">
        <v>1083</v>
      </c>
      <c r="Q754" s="210" t="s">
        <v>102</v>
      </c>
      <c r="R754" s="210" t="s">
        <v>1084</v>
      </c>
      <c r="S754" s="210" t="s">
        <v>1078</v>
      </c>
      <c r="T754" s="210" t="s">
        <v>1079</v>
      </c>
      <c r="U754" s="210" t="s">
        <v>957</v>
      </c>
      <c r="V754" s="210" t="s">
        <v>25</v>
      </c>
      <c r="W754" s="211" t="s">
        <v>1016</v>
      </c>
      <c r="X754" s="211">
        <v>20000</v>
      </c>
      <c r="Y754" s="211">
        <v>10000</v>
      </c>
      <c r="Z754" s="212">
        <v>20000</v>
      </c>
      <c r="AA754" s="240">
        <v>32</v>
      </c>
      <c r="AB754" s="213">
        <v>0.02</v>
      </c>
      <c r="AC754" s="213">
        <v>0.2</v>
      </c>
      <c r="AD754" s="213" t="s">
        <v>109</v>
      </c>
      <c r="AE754" s="213">
        <v>5.3333333333333332E-3</v>
      </c>
      <c r="AF754" s="241">
        <v>100877046.02</v>
      </c>
      <c r="AG754" s="241">
        <v>100877046.02</v>
      </c>
      <c r="AH754" s="213">
        <v>9.8599999999999993E-2</v>
      </c>
      <c r="AI754" s="352">
        <v>1.5184</v>
      </c>
      <c r="AJ754" s="213">
        <v>8.43E-2</v>
      </c>
      <c r="AK754" s="352">
        <v>0.89639999999999997</v>
      </c>
      <c r="AL754" s="213">
        <v>0.16109999999999999</v>
      </c>
      <c r="AM754" s="352">
        <v>1.3335999999999999</v>
      </c>
      <c r="AN754" s="213">
        <v>0.43969999999999998</v>
      </c>
      <c r="AO754" s="352">
        <v>2.6091000000000002</v>
      </c>
      <c r="AP754" s="213">
        <v>0.14399999999999999</v>
      </c>
      <c r="AQ754" s="219">
        <v>9.736471435282194E-3</v>
      </c>
      <c r="AR754" s="213" t="s">
        <v>1827</v>
      </c>
      <c r="AV754" s="343"/>
      <c r="AW754" s="328"/>
      <c r="AX754" s="329"/>
      <c r="AY754" s="328"/>
      <c r="AZ754" s="328"/>
      <c r="BA754" s="330"/>
      <c r="BB754" s="328"/>
      <c r="BC754" s="328"/>
      <c r="BD754" s="328"/>
      <c r="BE754" s="330"/>
      <c r="BF754" s="330"/>
      <c r="BG754" s="344"/>
      <c r="BH754" s="330"/>
      <c r="BI754" s="330"/>
      <c r="BJ754" s="330"/>
      <c r="BK754" s="330"/>
      <c r="BL754" s="330"/>
      <c r="BM754" s="330"/>
      <c r="BN754" s="330"/>
      <c r="BO754" s="330"/>
      <c r="BP754" s="331"/>
      <c r="BQ754" s="332"/>
      <c r="BR754" s="333"/>
    </row>
    <row r="755" spans="2:70" ht="15.75" customHeight="1">
      <c r="B755" s="216" t="s">
        <v>1495</v>
      </c>
      <c r="C755" s="212">
        <v>1094217</v>
      </c>
      <c r="D755" s="223">
        <v>17321731000131</v>
      </c>
      <c r="E755" s="217" t="s">
        <v>28</v>
      </c>
      <c r="F755" s="217" t="s">
        <v>950</v>
      </c>
      <c r="G755" s="217"/>
      <c r="H755" s="218"/>
      <c r="I755" s="217" t="s">
        <v>66</v>
      </c>
      <c r="J755" s="217" t="s">
        <v>66</v>
      </c>
      <c r="K755" s="218" t="s">
        <v>951</v>
      </c>
      <c r="L755" s="212" t="s">
        <v>87</v>
      </c>
      <c r="M755" s="250"/>
      <c r="N755" s="239">
        <v>41471</v>
      </c>
      <c r="O755" s="210" t="s">
        <v>502</v>
      </c>
      <c r="P755" s="210" t="s">
        <v>1090</v>
      </c>
      <c r="Q755" s="210" t="s">
        <v>1091</v>
      </c>
      <c r="R755" s="210" t="s">
        <v>231</v>
      </c>
      <c r="S755" s="210" t="s">
        <v>1078</v>
      </c>
      <c r="T755" s="210" t="s">
        <v>1079</v>
      </c>
      <c r="U755" s="210" t="s">
        <v>950</v>
      </c>
      <c r="V755" s="210" t="s">
        <v>1080</v>
      </c>
      <c r="W755" s="211" t="s">
        <v>1013</v>
      </c>
      <c r="X755" s="211">
        <v>10000</v>
      </c>
      <c r="Y755" s="211">
        <v>5000</v>
      </c>
      <c r="Z755" s="212">
        <v>5000</v>
      </c>
      <c r="AA755" s="240">
        <v>32</v>
      </c>
      <c r="AB755" s="213">
        <v>1.15E-2</v>
      </c>
      <c r="AC755" s="213">
        <v>0.15</v>
      </c>
      <c r="AD755" s="213" t="s">
        <v>113</v>
      </c>
      <c r="AE755" s="213">
        <v>3.06705E-3</v>
      </c>
      <c r="AF755" s="241">
        <v>38228020.409999996</v>
      </c>
      <c r="AG755" s="241">
        <v>38228020.409999996</v>
      </c>
      <c r="AH755" s="213">
        <v>-0.13519999999999999</v>
      </c>
      <c r="AI755" s="352">
        <v>-2.0825</v>
      </c>
      <c r="AJ755" s="213">
        <v>-0.29020000000000001</v>
      </c>
      <c r="AK755" s="352">
        <v>-3.0849000000000002</v>
      </c>
      <c r="AL755" s="213">
        <v>-8.3900000000000002E-2</v>
      </c>
      <c r="AM755" s="352">
        <v>-0.69430000000000003</v>
      </c>
      <c r="AN755" s="213">
        <v>-1.9E-2</v>
      </c>
      <c r="AO755" s="352">
        <v>-0.1128</v>
      </c>
      <c r="AP755" s="213">
        <v>0.22450000000000001</v>
      </c>
      <c r="AQ755" s="219">
        <v>-1.8147945361747841</v>
      </c>
      <c r="AR755" s="213" t="s">
        <v>1827</v>
      </c>
      <c r="AV755" s="343"/>
      <c r="AW755" s="328"/>
      <c r="AX755" s="329"/>
      <c r="AY755" s="328"/>
      <c r="AZ755" s="328"/>
      <c r="BA755" s="330"/>
      <c r="BB755" s="328"/>
      <c r="BC755" s="328"/>
      <c r="BD755" s="328"/>
      <c r="BE755" s="330"/>
      <c r="BF755" s="330"/>
      <c r="BG755" s="344"/>
      <c r="BH755" s="330"/>
      <c r="BI755" s="330"/>
      <c r="BJ755" s="330"/>
      <c r="BK755" s="330"/>
      <c r="BL755" s="330"/>
      <c r="BM755" s="330"/>
      <c r="BN755" s="330"/>
      <c r="BO755" s="330"/>
      <c r="BP755" s="331"/>
      <c r="BQ755" s="332"/>
      <c r="BR755" s="333"/>
    </row>
    <row r="756" spans="2:70" ht="15.75" customHeight="1">
      <c r="B756" s="216" t="s">
        <v>1496</v>
      </c>
      <c r="C756" s="212">
        <v>1411751</v>
      </c>
      <c r="D756" s="223">
        <v>19186860000190</v>
      </c>
      <c r="E756" s="217" t="s">
        <v>28</v>
      </c>
      <c r="F756" s="217" t="s">
        <v>950</v>
      </c>
      <c r="G756" s="217"/>
      <c r="H756" s="218"/>
      <c r="I756" s="217" t="s">
        <v>66</v>
      </c>
      <c r="J756" s="217" t="s">
        <v>66</v>
      </c>
      <c r="K756" s="218" t="s">
        <v>954</v>
      </c>
      <c r="L756" s="212"/>
      <c r="M756" s="250"/>
      <c r="N756" s="239">
        <v>41627</v>
      </c>
      <c r="O756" s="210" t="s">
        <v>502</v>
      </c>
      <c r="P756" s="210" t="s">
        <v>1090</v>
      </c>
      <c r="Q756" s="210" t="s">
        <v>1091</v>
      </c>
      <c r="R756" s="210" t="s">
        <v>1077</v>
      </c>
      <c r="S756" s="210" t="s">
        <v>1078</v>
      </c>
      <c r="T756" s="210" t="s">
        <v>1079</v>
      </c>
      <c r="U756" s="210" t="s">
        <v>950</v>
      </c>
      <c r="V756" s="210" t="s">
        <v>1080</v>
      </c>
      <c r="W756" s="211" t="s">
        <v>1013</v>
      </c>
      <c r="X756" s="211">
        <v>5000</v>
      </c>
      <c r="Y756" s="211">
        <v>1000</v>
      </c>
      <c r="Z756" s="212">
        <v>5000</v>
      </c>
      <c r="AA756" s="240">
        <v>32</v>
      </c>
      <c r="AB756" s="213">
        <v>0.02</v>
      </c>
      <c r="AC756" s="213">
        <v>0.1</v>
      </c>
      <c r="AD756" s="213" t="s">
        <v>980</v>
      </c>
      <c r="AE756" s="213">
        <v>6.0000000000000001E-3</v>
      </c>
      <c r="AF756" s="241">
        <v>82672450.329999998</v>
      </c>
      <c r="AG756" s="241">
        <v>82672450.329999998</v>
      </c>
      <c r="AH756" s="213">
        <v>-0.1084</v>
      </c>
      <c r="AI756" s="352">
        <v>-1.6697</v>
      </c>
      <c r="AJ756" s="213">
        <v>-0.29549999999999998</v>
      </c>
      <c r="AK756" s="352">
        <v>-3.1408999999999998</v>
      </c>
      <c r="AL756" s="213">
        <v>-0.17130000000000001</v>
      </c>
      <c r="AM756" s="352">
        <v>-1.4182999999999999</v>
      </c>
      <c r="AN756" s="213">
        <v>-7.5899999999999995E-2</v>
      </c>
      <c r="AO756" s="352">
        <v>-0.4506</v>
      </c>
      <c r="AP756" s="213">
        <v>0.22</v>
      </c>
      <c r="AQ756" s="219">
        <v>-1.8904200804863018</v>
      </c>
      <c r="AR756" s="213" t="s">
        <v>1827</v>
      </c>
      <c r="AV756" s="343"/>
      <c r="AW756" s="328"/>
      <c r="AX756" s="329"/>
      <c r="AY756" s="328"/>
      <c r="AZ756" s="328"/>
      <c r="BA756" s="330"/>
      <c r="BB756" s="328"/>
      <c r="BC756" s="328"/>
      <c r="BD756" s="328"/>
      <c r="BE756" s="330"/>
      <c r="BF756" s="330"/>
      <c r="BG756" s="344"/>
      <c r="BH756" s="330"/>
      <c r="BI756" s="330"/>
      <c r="BJ756" s="330"/>
      <c r="BK756" s="330"/>
      <c r="BL756" s="330"/>
      <c r="BM756" s="330"/>
      <c r="BN756" s="330"/>
      <c r="BO756" s="330"/>
      <c r="BP756" s="331"/>
      <c r="BQ756" s="332"/>
      <c r="BR756" s="333"/>
    </row>
    <row r="757" spans="2:70" ht="15.75" customHeight="1">
      <c r="B757" s="216" t="s">
        <v>1497</v>
      </c>
      <c r="C757" s="212">
        <v>1410135</v>
      </c>
      <c r="D757" s="223">
        <v>6118222000190</v>
      </c>
      <c r="E757" s="217" t="s">
        <v>28</v>
      </c>
      <c r="F757" s="217" t="s">
        <v>950</v>
      </c>
      <c r="G757" s="217"/>
      <c r="H757" s="218"/>
      <c r="I757" s="217" t="s">
        <v>66</v>
      </c>
      <c r="J757" s="217" t="s">
        <v>66</v>
      </c>
      <c r="K757" s="218" t="s">
        <v>951</v>
      </c>
      <c r="L757" s="212" t="s">
        <v>87</v>
      </c>
      <c r="M757" s="250"/>
      <c r="N757" s="239">
        <v>39827</v>
      </c>
      <c r="O757" s="210" t="s">
        <v>502</v>
      </c>
      <c r="P757" s="210" t="s">
        <v>1090</v>
      </c>
      <c r="Q757" s="210" t="s">
        <v>1091</v>
      </c>
      <c r="R757" s="210" t="s">
        <v>1084</v>
      </c>
      <c r="S757" s="210" t="s">
        <v>1078</v>
      </c>
      <c r="T757" s="210" t="s">
        <v>1079</v>
      </c>
      <c r="U757" s="210" t="s">
        <v>950</v>
      </c>
      <c r="V757" s="210" t="s">
        <v>1080</v>
      </c>
      <c r="W757" s="211" t="s">
        <v>1013</v>
      </c>
      <c r="X757" s="211">
        <v>5000</v>
      </c>
      <c r="Y757" s="211">
        <v>1000</v>
      </c>
      <c r="Z757" s="212">
        <v>5000</v>
      </c>
      <c r="AA757" s="240">
        <v>29</v>
      </c>
      <c r="AB757" s="213">
        <v>0.02</v>
      </c>
      <c r="AC757" s="213">
        <v>0.2</v>
      </c>
      <c r="AD757" s="213" t="s">
        <v>1014</v>
      </c>
      <c r="AE757" s="213">
        <v>5.3333333333333332E-3</v>
      </c>
      <c r="AF757" s="241">
        <v>45142075.07</v>
      </c>
      <c r="AG757" s="241">
        <v>45142075.07</v>
      </c>
      <c r="AH757" s="213">
        <v>-0.1168</v>
      </c>
      <c r="AI757" s="352">
        <v>-1.7988999999999999</v>
      </c>
      <c r="AJ757" s="213">
        <v>-0.29730000000000001</v>
      </c>
      <c r="AK757" s="352">
        <v>-3.1602999999999999</v>
      </c>
      <c r="AL757" s="213">
        <v>-0.17879999999999999</v>
      </c>
      <c r="AM757" s="352">
        <v>-1.4797</v>
      </c>
      <c r="AN757" s="213">
        <v>-8.5300000000000001E-2</v>
      </c>
      <c r="AO757" s="352">
        <v>-0.50639999999999996</v>
      </c>
      <c r="AP757" s="213">
        <v>0.21809999999999999</v>
      </c>
      <c r="AQ757" s="219">
        <v>-1.9205580684014074</v>
      </c>
      <c r="AR757" s="213" t="s">
        <v>1827</v>
      </c>
      <c r="AV757" s="343"/>
      <c r="AW757" s="328"/>
      <c r="AX757" s="329"/>
      <c r="AY757" s="328"/>
      <c r="AZ757" s="328"/>
      <c r="BA757" s="330"/>
      <c r="BB757" s="328"/>
      <c r="BC757" s="328"/>
      <c r="BD757" s="328"/>
      <c r="BE757" s="330"/>
      <c r="BF757" s="330"/>
      <c r="BG757" s="344"/>
      <c r="BH757" s="330"/>
      <c r="BI757" s="330"/>
      <c r="BJ757" s="330"/>
      <c r="BK757" s="330"/>
      <c r="BL757" s="330"/>
      <c r="BM757" s="330"/>
      <c r="BN757" s="330"/>
      <c r="BO757" s="330"/>
      <c r="BP757" s="331"/>
      <c r="BQ757" s="332"/>
      <c r="BR757" s="333"/>
    </row>
    <row r="758" spans="2:70" ht="15.75" customHeight="1">
      <c r="B758" s="216" t="s">
        <v>503</v>
      </c>
      <c r="C758" s="212">
        <v>621279</v>
      </c>
      <c r="D758" s="223">
        <v>35471548000102</v>
      </c>
      <c r="E758" s="217" t="s">
        <v>28</v>
      </c>
      <c r="F758" s="217" t="s">
        <v>950</v>
      </c>
      <c r="G758" s="217"/>
      <c r="H758" s="218"/>
      <c r="I758" s="217" t="s">
        <v>66</v>
      </c>
      <c r="J758" s="217" t="s">
        <v>66</v>
      </c>
      <c r="K758" s="218" t="s">
        <v>951</v>
      </c>
      <c r="L758" s="212" t="s">
        <v>87</v>
      </c>
      <c r="M758" s="250"/>
      <c r="N758" s="239">
        <v>43852</v>
      </c>
      <c r="O758" s="210" t="s">
        <v>504</v>
      </c>
      <c r="P758" s="210" t="s">
        <v>1075</v>
      </c>
      <c r="Q758" s="210" t="s">
        <v>1076</v>
      </c>
      <c r="R758" s="210" t="s">
        <v>1084</v>
      </c>
      <c r="S758" s="210" t="s">
        <v>1078</v>
      </c>
      <c r="T758" s="210" t="s">
        <v>1079</v>
      </c>
      <c r="U758" s="210" t="s">
        <v>950</v>
      </c>
      <c r="V758" s="210" t="s">
        <v>1080</v>
      </c>
      <c r="W758" s="211" t="s">
        <v>1007</v>
      </c>
      <c r="X758" s="211">
        <v>1000</v>
      </c>
      <c r="Y758" s="211">
        <v>100</v>
      </c>
      <c r="Z758" s="212">
        <v>1000</v>
      </c>
      <c r="AA758" s="240">
        <v>17</v>
      </c>
      <c r="AB758" s="213">
        <v>1.2500000000000001E-2</v>
      </c>
      <c r="AC758" s="213">
        <v>0.15</v>
      </c>
      <c r="AD758" s="213" t="s">
        <v>113</v>
      </c>
      <c r="AE758" s="213">
        <v>8.0000000000000002E-3</v>
      </c>
      <c r="AF758" s="241">
        <v>4904965.26</v>
      </c>
      <c r="AG758" s="241">
        <v>4904965.26</v>
      </c>
      <c r="AH758" s="213">
        <v>-0.1249</v>
      </c>
      <c r="AI758" s="352">
        <v>-1.9238999999999999</v>
      </c>
      <c r="AJ758" s="213">
        <v>-0.31630000000000003</v>
      </c>
      <c r="AK758" s="352">
        <v>-3.3622999999999998</v>
      </c>
      <c r="AL758" s="213">
        <v>-0.20269999999999999</v>
      </c>
      <c r="AM758" s="352">
        <v>-1.6777</v>
      </c>
      <c r="AN758" s="213" t="s">
        <v>66</v>
      </c>
      <c r="AO758" s="352" t="s">
        <v>66</v>
      </c>
      <c r="AP758" s="213">
        <v>0.26540000000000002</v>
      </c>
      <c r="AQ758" s="219">
        <v>-1.6380774020927189</v>
      </c>
      <c r="AR758" s="213" t="s">
        <v>1827</v>
      </c>
      <c r="AV758" s="343"/>
      <c r="AW758" s="328"/>
      <c r="AX758" s="329"/>
      <c r="AY758" s="328"/>
      <c r="AZ758" s="328"/>
      <c r="BA758" s="330"/>
      <c r="BB758" s="328"/>
      <c r="BC758" s="328"/>
      <c r="BD758" s="328"/>
      <c r="BE758" s="330"/>
      <c r="BF758" s="330"/>
      <c r="BG758" s="344"/>
      <c r="BH758" s="330"/>
      <c r="BI758" s="330"/>
      <c r="BJ758" s="330"/>
      <c r="BK758" s="330"/>
      <c r="BL758" s="330"/>
      <c r="BM758" s="330"/>
      <c r="BN758" s="330"/>
      <c r="BO758" s="330"/>
      <c r="BP758" s="331"/>
      <c r="BQ758" s="332"/>
      <c r="BR758" s="333"/>
    </row>
    <row r="759" spans="2:70" ht="15.75" customHeight="1">
      <c r="B759" s="216" t="s">
        <v>505</v>
      </c>
      <c r="C759" s="212">
        <v>3580732</v>
      </c>
      <c r="D759" s="223">
        <v>31964159000150</v>
      </c>
      <c r="E759" s="217" t="s">
        <v>19</v>
      </c>
      <c r="F759" s="217" t="s">
        <v>963</v>
      </c>
      <c r="G759" s="217" t="s">
        <v>1011</v>
      </c>
      <c r="H759" s="218" t="s">
        <v>1113</v>
      </c>
      <c r="I759" s="217" t="s">
        <v>66</v>
      </c>
      <c r="J759" s="217"/>
      <c r="K759" s="218" t="s">
        <v>951</v>
      </c>
      <c r="L759" s="212" t="s">
        <v>87</v>
      </c>
      <c r="M759" s="250"/>
      <c r="N759" s="239">
        <v>43444</v>
      </c>
      <c r="O759" s="210" t="s">
        <v>504</v>
      </c>
      <c r="P759" s="210" t="s">
        <v>1075</v>
      </c>
      <c r="Q759" s="210" t="s">
        <v>1076</v>
      </c>
      <c r="R759" s="210" t="s">
        <v>1077</v>
      </c>
      <c r="S759" s="210" t="s">
        <v>1078</v>
      </c>
      <c r="T759" s="210" t="s">
        <v>349</v>
      </c>
      <c r="U759" s="210" t="s">
        <v>1114</v>
      </c>
      <c r="V759" s="210" t="s">
        <v>25</v>
      </c>
      <c r="W759" s="211" t="s">
        <v>1012</v>
      </c>
      <c r="X759" s="211">
        <v>0</v>
      </c>
      <c r="Y759" s="211">
        <v>0</v>
      </c>
      <c r="Z759" s="212">
        <v>0</v>
      </c>
      <c r="AA759" s="240">
        <v>31</v>
      </c>
      <c r="AB759" s="213">
        <v>0.01</v>
      </c>
      <c r="AC759" s="213">
        <v>0.1</v>
      </c>
      <c r="AD759" s="213" t="s">
        <v>109</v>
      </c>
      <c r="AE759" s="213">
        <v>2.6670000000000001E-3</v>
      </c>
      <c r="AF759" s="241">
        <v>36753451.219999999</v>
      </c>
      <c r="AG759" s="241">
        <v>36753451.219999999</v>
      </c>
      <c r="AH759" s="213">
        <v>7.5399999999999995E-2</v>
      </c>
      <c r="AI759" s="352">
        <v>1.1608000000000001</v>
      </c>
      <c r="AJ759" s="213">
        <v>0.11550000000000001</v>
      </c>
      <c r="AK759" s="352">
        <v>1.2281</v>
      </c>
      <c r="AL759" s="213">
        <v>0.17169999999999999</v>
      </c>
      <c r="AM759" s="352">
        <v>1.4214</v>
      </c>
      <c r="AN759" s="213">
        <v>0.2397</v>
      </c>
      <c r="AO759" s="352">
        <v>1.4224000000000001</v>
      </c>
      <c r="AP759" s="213">
        <v>6.3E-3</v>
      </c>
      <c r="AQ759" s="219">
        <v>3.1039588311156332</v>
      </c>
      <c r="AR759" s="213" t="s">
        <v>1827</v>
      </c>
      <c r="AV759" s="343"/>
      <c r="AW759" s="328"/>
      <c r="AX759" s="329"/>
      <c r="AY759" s="328"/>
      <c r="AZ759" s="328"/>
      <c r="BA759" s="330"/>
      <c r="BB759" s="328"/>
      <c r="BC759" s="328"/>
      <c r="BD759" s="328"/>
      <c r="BE759" s="330"/>
      <c r="BF759" s="330"/>
      <c r="BG759" s="344"/>
      <c r="BH759" s="330"/>
      <c r="BI759" s="330"/>
      <c r="BJ759" s="330"/>
      <c r="BK759" s="330"/>
      <c r="BL759" s="330"/>
      <c r="BM759" s="330"/>
      <c r="BN759" s="330"/>
      <c r="BO759" s="330"/>
      <c r="BP759" s="331"/>
      <c r="BQ759" s="332"/>
      <c r="BR759" s="333"/>
    </row>
    <row r="760" spans="2:70" ht="15.75" customHeight="1">
      <c r="B760" s="216" t="s">
        <v>506</v>
      </c>
      <c r="C760" s="212">
        <v>1103269</v>
      </c>
      <c r="D760" s="223">
        <v>33254944000144</v>
      </c>
      <c r="E760" s="217" t="s">
        <v>28</v>
      </c>
      <c r="F760" s="217" t="s">
        <v>950</v>
      </c>
      <c r="G760" s="217"/>
      <c r="H760" s="218"/>
      <c r="I760" s="217" t="s">
        <v>66</v>
      </c>
      <c r="J760" s="217" t="s">
        <v>66</v>
      </c>
      <c r="K760" s="218" t="s">
        <v>951</v>
      </c>
      <c r="L760" s="212" t="s">
        <v>87</v>
      </c>
      <c r="M760" s="250"/>
      <c r="N760" s="239">
        <v>43635</v>
      </c>
      <c r="O760" s="210" t="s">
        <v>121</v>
      </c>
      <c r="P760" s="210" t="s">
        <v>1088</v>
      </c>
      <c r="Q760" s="210" t="s">
        <v>1089</v>
      </c>
      <c r="R760" s="210" t="s">
        <v>1084</v>
      </c>
      <c r="S760" s="210" t="s">
        <v>1078</v>
      </c>
      <c r="T760" s="210" t="s">
        <v>1079</v>
      </c>
      <c r="U760" s="210" t="s">
        <v>950</v>
      </c>
      <c r="V760" s="210" t="s">
        <v>1080</v>
      </c>
      <c r="W760" s="211" t="s">
        <v>1007</v>
      </c>
      <c r="X760" s="211">
        <v>1000</v>
      </c>
      <c r="Y760" s="211">
        <v>1000</v>
      </c>
      <c r="Z760" s="212">
        <v>1000</v>
      </c>
      <c r="AA760" s="240">
        <v>3</v>
      </c>
      <c r="AB760" s="213">
        <v>1.4999999999999999E-2</v>
      </c>
      <c r="AC760" s="213">
        <v>0.2</v>
      </c>
      <c r="AD760" s="213" t="s">
        <v>1014</v>
      </c>
      <c r="AE760" s="213">
        <v>4.0000000000000001E-3</v>
      </c>
      <c r="AF760" s="241">
        <v>38086984.210000001</v>
      </c>
      <c r="AG760" s="241">
        <v>38086984.210000001</v>
      </c>
      <c r="AH760" s="213">
        <v>-1.49E-2</v>
      </c>
      <c r="AI760" s="352">
        <v>-0.2298</v>
      </c>
      <c r="AJ760" s="213">
        <v>-0.20569999999999999</v>
      </c>
      <c r="AK760" s="352">
        <v>-2.1861000000000002</v>
      </c>
      <c r="AL760" s="213">
        <v>-0.1346</v>
      </c>
      <c r="AM760" s="352">
        <v>-1.1138999999999999</v>
      </c>
      <c r="AN760" s="213">
        <v>-9.4299999999999995E-2</v>
      </c>
      <c r="AO760" s="352">
        <v>-0.5595</v>
      </c>
      <c r="AP760" s="213">
        <v>0.2097</v>
      </c>
      <c r="AQ760" s="219">
        <v>-1.4218506038058549</v>
      </c>
      <c r="AR760" s="213" t="s">
        <v>1824</v>
      </c>
      <c r="AV760" s="343"/>
      <c r="AW760" s="328"/>
      <c r="AX760" s="329"/>
      <c r="AY760" s="328"/>
      <c r="AZ760" s="328"/>
      <c r="BA760" s="330"/>
      <c r="BB760" s="328"/>
      <c r="BC760" s="328"/>
      <c r="BD760" s="328"/>
      <c r="BE760" s="330"/>
      <c r="BF760" s="330"/>
      <c r="BG760" s="344"/>
      <c r="BH760" s="330"/>
      <c r="BI760" s="330"/>
      <c r="BJ760" s="330"/>
      <c r="BK760" s="330"/>
      <c r="BL760" s="330"/>
      <c r="BM760" s="330"/>
      <c r="BN760" s="330"/>
      <c r="BO760" s="330"/>
      <c r="BP760" s="331"/>
      <c r="BQ760" s="332"/>
      <c r="BR760" s="333"/>
    </row>
    <row r="761" spans="2:70" ht="15.75" customHeight="1">
      <c r="B761" s="216" t="s">
        <v>881</v>
      </c>
      <c r="C761" s="212">
        <v>1178956</v>
      </c>
      <c r="D761" s="223">
        <v>16961689000150</v>
      </c>
      <c r="E761" s="217" t="s">
        <v>28</v>
      </c>
      <c r="F761" s="217" t="s">
        <v>950</v>
      </c>
      <c r="G761" s="217"/>
      <c r="H761" s="218"/>
      <c r="I761" s="217" t="s">
        <v>66</v>
      </c>
      <c r="J761" s="217" t="s">
        <v>66</v>
      </c>
      <c r="K761" s="218" t="s">
        <v>951</v>
      </c>
      <c r="L761" s="212" t="s">
        <v>87</v>
      </c>
      <c r="M761" s="250"/>
      <c r="N761" s="239">
        <v>41324</v>
      </c>
      <c r="O761" s="210" t="s">
        <v>121</v>
      </c>
      <c r="P761" s="210" t="s">
        <v>1090</v>
      </c>
      <c r="Q761" s="210" t="s">
        <v>1091</v>
      </c>
      <c r="R761" s="210" t="s">
        <v>1084</v>
      </c>
      <c r="S761" s="210" t="s">
        <v>1078</v>
      </c>
      <c r="T761" s="210" t="s">
        <v>1079</v>
      </c>
      <c r="U761" s="210" t="s">
        <v>950</v>
      </c>
      <c r="V761" s="210" t="s">
        <v>1080</v>
      </c>
      <c r="W761" s="211" t="s">
        <v>1007</v>
      </c>
      <c r="X761" s="211">
        <v>1000</v>
      </c>
      <c r="Y761" s="211">
        <v>1000</v>
      </c>
      <c r="Z761" s="212">
        <v>1000</v>
      </c>
      <c r="AA761" s="240">
        <v>2</v>
      </c>
      <c r="AB761" s="213">
        <v>5.0000000000000001E-3</v>
      </c>
      <c r="AC761" s="213">
        <v>0</v>
      </c>
      <c r="AD761" s="213" t="s">
        <v>1100</v>
      </c>
      <c r="AE761" s="213">
        <v>1.7333333333333335E-3</v>
      </c>
      <c r="AF761" s="241">
        <v>9423341.8800000008</v>
      </c>
      <c r="AG761" s="241">
        <v>9423341.8800000008</v>
      </c>
      <c r="AH761" s="213">
        <v>-4.4299999999999999E-2</v>
      </c>
      <c r="AI761" s="352">
        <v>-0.68310000000000004</v>
      </c>
      <c r="AJ761" s="213">
        <v>-0.2419</v>
      </c>
      <c r="AK761" s="352">
        <v>-2.5712999999999999</v>
      </c>
      <c r="AL761" s="213">
        <v>-0.1038</v>
      </c>
      <c r="AM761" s="352">
        <v>-0.85929999999999995</v>
      </c>
      <c r="AN761" s="213">
        <v>-2.3099999999999999E-2</v>
      </c>
      <c r="AO761" s="352">
        <v>-0.1371</v>
      </c>
      <c r="AP761" s="213">
        <v>0.2094</v>
      </c>
      <c r="AQ761" s="219">
        <v>-1.6467008003758936</v>
      </c>
      <c r="AR761" s="213" t="s">
        <v>1827</v>
      </c>
      <c r="AV761" s="343"/>
      <c r="AW761" s="328"/>
      <c r="AX761" s="329"/>
      <c r="AY761" s="328"/>
      <c r="AZ761" s="328"/>
      <c r="BA761" s="330"/>
      <c r="BB761" s="328"/>
      <c r="BC761" s="328"/>
      <c r="BD761" s="328"/>
      <c r="BE761" s="330"/>
      <c r="BF761" s="330"/>
      <c r="BG761" s="344"/>
      <c r="BH761" s="330"/>
      <c r="BI761" s="330"/>
      <c r="BJ761" s="330"/>
      <c r="BK761" s="330"/>
      <c r="BL761" s="330"/>
      <c r="BM761" s="330"/>
      <c r="BN761" s="330"/>
      <c r="BO761" s="330"/>
      <c r="BP761" s="331"/>
      <c r="BQ761" s="332"/>
      <c r="BR761" s="333"/>
    </row>
    <row r="762" spans="2:70" ht="15.75" customHeight="1">
      <c r="B762" s="216" t="s">
        <v>768</v>
      </c>
      <c r="C762" s="212">
        <v>528679</v>
      </c>
      <c r="D762" s="223">
        <v>14115118000170</v>
      </c>
      <c r="E762" s="217" t="s">
        <v>19</v>
      </c>
      <c r="F762" s="217" t="s">
        <v>964</v>
      </c>
      <c r="G762" s="217" t="s">
        <v>1021</v>
      </c>
      <c r="H762" s="218" t="s">
        <v>1259</v>
      </c>
      <c r="I762" s="217" t="s">
        <v>66</v>
      </c>
      <c r="J762" s="217"/>
      <c r="K762" s="218" t="s">
        <v>951</v>
      </c>
      <c r="L762" s="212" t="s">
        <v>87</v>
      </c>
      <c r="M762" s="250"/>
      <c r="N762" s="239">
        <v>40900</v>
      </c>
      <c r="O762" s="210" t="s">
        <v>121</v>
      </c>
      <c r="P762" s="210" t="s">
        <v>1088</v>
      </c>
      <c r="Q762" s="210" t="s">
        <v>1089</v>
      </c>
      <c r="R762" s="210" t="s">
        <v>1084</v>
      </c>
      <c r="S762" s="210" t="s">
        <v>1078</v>
      </c>
      <c r="T762" s="210" t="s">
        <v>349</v>
      </c>
      <c r="U762" s="210" t="s">
        <v>964</v>
      </c>
      <c r="V762" s="210" t="s">
        <v>19</v>
      </c>
      <c r="W762" s="211" t="s">
        <v>1022</v>
      </c>
      <c r="X762" s="211">
        <v>1000</v>
      </c>
      <c r="Y762" s="211">
        <v>500</v>
      </c>
      <c r="Z762" s="212">
        <v>500</v>
      </c>
      <c r="AA762" s="240">
        <v>3</v>
      </c>
      <c r="AB762" s="213">
        <v>5.0000000000000001E-3</v>
      </c>
      <c r="AC762" s="213">
        <v>0.2</v>
      </c>
      <c r="AD762" s="213" t="s">
        <v>254</v>
      </c>
      <c r="AE762" s="213">
        <v>1.7333333333333335E-3</v>
      </c>
      <c r="AF762" s="241">
        <v>172360003.74000001</v>
      </c>
      <c r="AG762" s="241">
        <v>172360003.74000001</v>
      </c>
      <c r="AH762" s="213">
        <v>3.2099999999999997E-2</v>
      </c>
      <c r="AI762" s="352">
        <v>0.49440000000000001</v>
      </c>
      <c r="AJ762" s="213">
        <v>2.1299999999999999E-2</v>
      </c>
      <c r="AK762" s="352">
        <v>0.22670000000000001</v>
      </c>
      <c r="AL762" s="213">
        <v>5.6399999999999999E-2</v>
      </c>
      <c r="AM762" s="352">
        <v>0.46650000000000003</v>
      </c>
      <c r="AN762" s="213">
        <v>0.13120000000000001</v>
      </c>
      <c r="AO762" s="352">
        <v>0.77829999999999999</v>
      </c>
      <c r="AP762" s="213">
        <v>5.7299999999999997E-2</v>
      </c>
      <c r="AQ762" s="219">
        <v>-1.1729318188469697</v>
      </c>
      <c r="AR762" s="213" t="s">
        <v>1824</v>
      </c>
      <c r="AV762" s="343"/>
      <c r="AW762" s="328"/>
      <c r="AX762" s="329"/>
      <c r="AY762" s="328"/>
      <c r="AZ762" s="328"/>
      <c r="BA762" s="330"/>
      <c r="BB762" s="328"/>
      <c r="BC762" s="328"/>
      <c r="BD762" s="328"/>
      <c r="BE762" s="330"/>
      <c r="BF762" s="330"/>
      <c r="BG762" s="344"/>
      <c r="BH762" s="330"/>
      <c r="BI762" s="330"/>
      <c r="BJ762" s="330"/>
      <c r="BK762" s="330"/>
      <c r="BL762" s="330"/>
      <c r="BM762" s="330"/>
      <c r="BN762" s="330"/>
      <c r="BO762" s="330"/>
      <c r="BP762" s="331"/>
      <c r="BQ762" s="332"/>
      <c r="BR762" s="333"/>
    </row>
    <row r="763" spans="2:70" ht="15.75" customHeight="1">
      <c r="B763" s="216" t="s">
        <v>1498</v>
      </c>
      <c r="C763" s="212">
        <v>797603</v>
      </c>
      <c r="D763" s="223">
        <v>15559416000111</v>
      </c>
      <c r="E763" s="217" t="s">
        <v>28</v>
      </c>
      <c r="F763" s="217" t="s">
        <v>950</v>
      </c>
      <c r="G763" s="217"/>
      <c r="H763" s="218"/>
      <c r="I763" s="217" t="s">
        <v>66</v>
      </c>
      <c r="J763" s="217" t="s">
        <v>66</v>
      </c>
      <c r="K763" s="218" t="s">
        <v>951</v>
      </c>
      <c r="L763" s="212" t="s">
        <v>87</v>
      </c>
      <c r="M763" s="250"/>
      <c r="N763" s="239">
        <v>41065</v>
      </c>
      <c r="O763" s="210" t="s">
        <v>473</v>
      </c>
      <c r="P763" s="210" t="s">
        <v>1075</v>
      </c>
      <c r="Q763" s="210" t="s">
        <v>1076</v>
      </c>
      <c r="R763" s="210" t="s">
        <v>1077</v>
      </c>
      <c r="S763" s="210" t="s">
        <v>1078</v>
      </c>
      <c r="T763" s="210" t="s">
        <v>1079</v>
      </c>
      <c r="U763" s="210" t="s">
        <v>950</v>
      </c>
      <c r="V763" s="210" t="s">
        <v>1080</v>
      </c>
      <c r="W763" s="211" t="s">
        <v>1007</v>
      </c>
      <c r="X763" s="211">
        <v>5000</v>
      </c>
      <c r="Y763" s="211">
        <v>0</v>
      </c>
      <c r="Z763" s="212">
        <v>0</v>
      </c>
      <c r="AA763" s="240">
        <v>34</v>
      </c>
      <c r="AB763" s="213">
        <v>1.15E-2</v>
      </c>
      <c r="AC763" s="213">
        <v>0.2</v>
      </c>
      <c r="AD763" s="213" t="s">
        <v>1100</v>
      </c>
      <c r="AE763" s="213">
        <v>3.4499999999999999E-3</v>
      </c>
      <c r="AF763" s="241">
        <v>19661118.100000001</v>
      </c>
      <c r="AG763" s="241">
        <v>19661118.100000001</v>
      </c>
      <c r="AH763" s="213">
        <v>-8.0799999999999997E-2</v>
      </c>
      <c r="AI763" s="352">
        <v>-1.2453000000000001</v>
      </c>
      <c r="AJ763" s="213">
        <v>-0.29459999999999997</v>
      </c>
      <c r="AK763" s="352">
        <v>-3.1312000000000002</v>
      </c>
      <c r="AL763" s="213">
        <v>-0.2026</v>
      </c>
      <c r="AM763" s="352">
        <v>-1.6773</v>
      </c>
      <c r="AN763" s="213">
        <v>-0.14149999999999999</v>
      </c>
      <c r="AO763" s="352">
        <v>-0.83960000000000001</v>
      </c>
      <c r="AP763" s="213">
        <v>0.21060000000000001</v>
      </c>
      <c r="AQ763" s="219">
        <v>-1.9782393398068601</v>
      </c>
      <c r="AR763" s="213" t="s">
        <v>1827</v>
      </c>
      <c r="AV763" s="343"/>
      <c r="AW763" s="328"/>
      <c r="AX763" s="329"/>
      <c r="AY763" s="328"/>
      <c r="AZ763" s="328"/>
      <c r="BA763" s="330"/>
      <c r="BB763" s="328"/>
      <c r="BC763" s="328"/>
      <c r="BD763" s="328"/>
      <c r="BE763" s="330"/>
      <c r="BF763" s="330"/>
      <c r="BG763" s="344"/>
      <c r="BH763" s="330"/>
      <c r="BI763" s="330"/>
      <c r="BJ763" s="330"/>
      <c r="BK763" s="330"/>
      <c r="BL763" s="330"/>
      <c r="BM763" s="330"/>
      <c r="BN763" s="330"/>
      <c r="BO763" s="330"/>
      <c r="BP763" s="331"/>
      <c r="BQ763" s="332"/>
      <c r="BR763" s="333"/>
    </row>
    <row r="764" spans="2:70" ht="15.75" customHeight="1">
      <c r="B764" s="216" t="s">
        <v>507</v>
      </c>
      <c r="C764" s="212">
        <v>549732</v>
      </c>
      <c r="D764" s="223">
        <v>33159760000103</v>
      </c>
      <c r="E764" s="217" t="s">
        <v>25</v>
      </c>
      <c r="F764" s="217" t="s">
        <v>958</v>
      </c>
      <c r="G764" s="217" t="s">
        <v>962</v>
      </c>
      <c r="H764" s="218" t="s">
        <v>66</v>
      </c>
      <c r="I764" s="217" t="s">
        <v>1841</v>
      </c>
      <c r="J764" s="217" t="s">
        <v>66</v>
      </c>
      <c r="K764" s="218"/>
      <c r="L764" s="212" t="s">
        <v>87</v>
      </c>
      <c r="M764" s="250"/>
      <c r="N764" s="239">
        <v>43683</v>
      </c>
      <c r="O764" s="210" t="s">
        <v>1499</v>
      </c>
      <c r="P764" s="210" t="s">
        <v>1075</v>
      </c>
      <c r="Q764" s="210" t="s">
        <v>1076</v>
      </c>
      <c r="R764" s="210" t="s">
        <v>1077</v>
      </c>
      <c r="S764" s="210" t="s">
        <v>1078</v>
      </c>
      <c r="T764" s="210" t="s">
        <v>1082</v>
      </c>
      <c r="U764" s="210" t="s">
        <v>958</v>
      </c>
      <c r="V764" s="210" t="s">
        <v>25</v>
      </c>
      <c r="W764" s="211" t="s">
        <v>1016</v>
      </c>
      <c r="X764" s="211">
        <v>25000</v>
      </c>
      <c r="Y764" s="211">
        <v>0</v>
      </c>
      <c r="Z764" s="212">
        <v>0</v>
      </c>
      <c r="AA764" s="240">
        <v>16</v>
      </c>
      <c r="AB764" s="213">
        <v>1E-3</v>
      </c>
      <c r="AC764" s="213">
        <v>0</v>
      </c>
      <c r="AD764" s="213" t="s">
        <v>113</v>
      </c>
      <c r="AE764" s="213">
        <v>2.0000000000000001E-4</v>
      </c>
      <c r="AF764" s="241">
        <v>50167443.710000001</v>
      </c>
      <c r="AG764" s="241">
        <v>50167443.710000001</v>
      </c>
      <c r="AH764" s="213">
        <v>4.0800000000000003E-2</v>
      </c>
      <c r="AI764" s="352">
        <v>0.62770000000000004</v>
      </c>
      <c r="AJ764" s="213">
        <v>2.6700000000000002E-2</v>
      </c>
      <c r="AK764" s="352">
        <v>0.28420000000000001</v>
      </c>
      <c r="AL764" s="213">
        <v>8.4599999999999995E-2</v>
      </c>
      <c r="AM764" s="352">
        <v>0.70009999999999994</v>
      </c>
      <c r="AN764" s="213" t="s">
        <v>66</v>
      </c>
      <c r="AO764" s="352" t="s">
        <v>66</v>
      </c>
      <c r="AP764" s="213">
        <v>3.4200000000000001E-2</v>
      </c>
      <c r="AQ764" s="219">
        <v>-1.839253622415548</v>
      </c>
      <c r="AR764" s="213" t="s">
        <v>1827</v>
      </c>
      <c r="AV764" s="343"/>
      <c r="AW764" s="328"/>
      <c r="AX764" s="329"/>
      <c r="AY764" s="328"/>
      <c r="AZ764" s="328"/>
      <c r="BA764" s="330"/>
      <c r="BB764" s="328"/>
      <c r="BC764" s="328"/>
      <c r="BD764" s="328"/>
      <c r="BE764" s="330"/>
      <c r="BF764" s="330"/>
      <c r="BG764" s="344"/>
      <c r="BH764" s="330"/>
      <c r="BI764" s="330"/>
      <c r="BJ764" s="330"/>
      <c r="BK764" s="330"/>
      <c r="BL764" s="330"/>
      <c r="BM764" s="330"/>
      <c r="BN764" s="330"/>
      <c r="BO764" s="330"/>
      <c r="BP764" s="331"/>
      <c r="BQ764" s="332"/>
      <c r="BR764" s="333"/>
    </row>
    <row r="765" spans="2:70" ht="15.75" customHeight="1">
      <c r="B765" s="216" t="s">
        <v>508</v>
      </c>
      <c r="C765" s="212">
        <v>926081</v>
      </c>
      <c r="D765" s="223">
        <v>15585932000110</v>
      </c>
      <c r="E765" s="217" t="s">
        <v>19</v>
      </c>
      <c r="F765" s="217" t="s">
        <v>963</v>
      </c>
      <c r="G765" s="217" t="s">
        <v>1034</v>
      </c>
      <c r="H765" s="218" t="s">
        <v>1113</v>
      </c>
      <c r="I765" s="217" t="s">
        <v>66</v>
      </c>
      <c r="J765" s="217" t="s">
        <v>1822</v>
      </c>
      <c r="K765" s="218" t="s">
        <v>951</v>
      </c>
      <c r="L765" s="212" t="s">
        <v>87</v>
      </c>
      <c r="M765" s="250"/>
      <c r="N765" s="239">
        <v>41095</v>
      </c>
      <c r="O765" s="210" t="s">
        <v>473</v>
      </c>
      <c r="P765" s="210" t="s">
        <v>1075</v>
      </c>
      <c r="Q765" s="210" t="s">
        <v>1076</v>
      </c>
      <c r="R765" s="210" t="s">
        <v>1077</v>
      </c>
      <c r="S765" s="210" t="s">
        <v>1078</v>
      </c>
      <c r="T765" s="210" t="s">
        <v>32</v>
      </c>
      <c r="U765" s="210" t="s">
        <v>1150</v>
      </c>
      <c r="V765" s="210" t="s">
        <v>25</v>
      </c>
      <c r="W765" s="211" t="s">
        <v>1019</v>
      </c>
      <c r="X765" s="211">
        <v>100</v>
      </c>
      <c r="Y765" s="211">
        <v>100</v>
      </c>
      <c r="Z765" s="212">
        <v>100</v>
      </c>
      <c r="AA765" s="240">
        <v>181</v>
      </c>
      <c r="AB765" s="213">
        <v>1.2E-2</v>
      </c>
      <c r="AC765" s="213">
        <v>0.2</v>
      </c>
      <c r="AD765" s="213" t="s">
        <v>1100</v>
      </c>
      <c r="AE765" s="213">
        <v>4.0000000000000001E-3</v>
      </c>
      <c r="AF765" s="241">
        <v>108636797.06999999</v>
      </c>
      <c r="AG765" s="241">
        <v>108636797.06999999</v>
      </c>
      <c r="AH765" s="213">
        <v>9.0300000000000005E-2</v>
      </c>
      <c r="AI765" s="352">
        <v>1.3906000000000001</v>
      </c>
      <c r="AJ765" s="213">
        <v>0.1384</v>
      </c>
      <c r="AK765" s="352">
        <v>1.4712000000000001</v>
      </c>
      <c r="AL765" s="213">
        <v>0.20680000000000001</v>
      </c>
      <c r="AM765" s="352">
        <v>1.7119</v>
      </c>
      <c r="AN765" s="213">
        <v>0.27579999999999999</v>
      </c>
      <c r="AO765" s="352">
        <v>1.6365000000000001</v>
      </c>
      <c r="AP765" s="213">
        <v>2E-3</v>
      </c>
      <c r="AQ765" s="219">
        <v>20.01520664928238</v>
      </c>
      <c r="AR765" s="213" t="s">
        <v>1827</v>
      </c>
      <c r="AV765" s="343"/>
      <c r="AW765" s="328"/>
      <c r="AX765" s="329"/>
      <c r="AY765" s="328"/>
      <c r="AZ765" s="328"/>
      <c r="BA765" s="330"/>
      <c r="BB765" s="328"/>
      <c r="BC765" s="328"/>
      <c r="BD765" s="328"/>
      <c r="BE765" s="330"/>
      <c r="BF765" s="330"/>
      <c r="BG765" s="344"/>
      <c r="BH765" s="330"/>
      <c r="BI765" s="330"/>
      <c r="BJ765" s="330"/>
      <c r="BK765" s="330"/>
      <c r="BL765" s="330"/>
      <c r="BM765" s="330"/>
      <c r="BN765" s="330"/>
      <c r="BO765" s="330"/>
      <c r="BP765" s="331"/>
      <c r="BQ765" s="332"/>
      <c r="BR765" s="333"/>
    </row>
    <row r="766" spans="2:70" ht="15.75" customHeight="1">
      <c r="B766" s="216" t="s">
        <v>1500</v>
      </c>
      <c r="C766" s="212">
        <v>551967</v>
      </c>
      <c r="D766" s="223">
        <v>19620324000150</v>
      </c>
      <c r="E766" s="217" t="s">
        <v>19</v>
      </c>
      <c r="F766" s="217" t="s">
        <v>964</v>
      </c>
      <c r="G766" s="217" t="s">
        <v>1021</v>
      </c>
      <c r="H766" s="218" t="s">
        <v>1113</v>
      </c>
      <c r="I766" s="217" t="s">
        <v>66</v>
      </c>
      <c r="J766" s="217"/>
      <c r="K766" s="218" t="s">
        <v>951</v>
      </c>
      <c r="L766" s="212" t="s">
        <v>87</v>
      </c>
      <c r="M766" s="250"/>
      <c r="N766" s="239">
        <v>41716</v>
      </c>
      <c r="O766" s="210" t="s">
        <v>473</v>
      </c>
      <c r="P766" s="210" t="s">
        <v>1075</v>
      </c>
      <c r="Q766" s="210" t="s">
        <v>1076</v>
      </c>
      <c r="R766" s="210" t="s">
        <v>1077</v>
      </c>
      <c r="S766" s="210" t="s">
        <v>1078</v>
      </c>
      <c r="T766" s="210" t="s">
        <v>349</v>
      </c>
      <c r="U766" s="210" t="s">
        <v>964</v>
      </c>
      <c r="V766" s="210" t="s">
        <v>19</v>
      </c>
      <c r="W766" s="211" t="s">
        <v>1025</v>
      </c>
      <c r="X766" s="211">
        <v>5000</v>
      </c>
      <c r="Y766" s="211">
        <v>0</v>
      </c>
      <c r="Z766" s="212">
        <v>0</v>
      </c>
      <c r="AA766" s="240">
        <v>4</v>
      </c>
      <c r="AB766" s="213">
        <v>7.0000000000000001E-3</v>
      </c>
      <c r="AC766" s="213">
        <v>0.2</v>
      </c>
      <c r="AD766" s="213" t="s">
        <v>981</v>
      </c>
      <c r="AE766" s="213">
        <v>2.3333333333333331E-3</v>
      </c>
      <c r="AF766" s="241">
        <v>47785461.469999999</v>
      </c>
      <c r="AG766" s="241">
        <v>47785461.469999999</v>
      </c>
      <c r="AH766" s="213">
        <v>3.9600000000000003E-2</v>
      </c>
      <c r="AI766" s="352">
        <v>0.61060000000000003</v>
      </c>
      <c r="AJ766" s="213">
        <v>6.2300000000000001E-2</v>
      </c>
      <c r="AK766" s="352">
        <v>0.66169999999999995</v>
      </c>
      <c r="AL766" s="213">
        <v>0.1104</v>
      </c>
      <c r="AM766" s="352">
        <v>0.91359999999999997</v>
      </c>
      <c r="AN766" s="213">
        <v>0.22989999999999999</v>
      </c>
      <c r="AO766" s="352">
        <v>1.3643000000000001</v>
      </c>
      <c r="AP766" s="213">
        <v>3.6499999999999998E-2</v>
      </c>
      <c r="AQ766" s="219">
        <v>-0.79105006192733196</v>
      </c>
      <c r="AR766" s="213" t="s">
        <v>1824</v>
      </c>
      <c r="AV766" s="343"/>
      <c r="AW766" s="328"/>
      <c r="AX766" s="329"/>
      <c r="AY766" s="328"/>
      <c r="AZ766" s="328"/>
      <c r="BA766" s="330"/>
      <c r="BB766" s="328"/>
      <c r="BC766" s="328"/>
      <c r="BD766" s="328"/>
      <c r="BE766" s="330"/>
      <c r="BF766" s="330"/>
      <c r="BG766" s="344"/>
      <c r="BH766" s="330"/>
      <c r="BI766" s="330"/>
      <c r="BJ766" s="330"/>
      <c r="BK766" s="330"/>
      <c r="BL766" s="330"/>
      <c r="BM766" s="330"/>
      <c r="BN766" s="330"/>
      <c r="BO766" s="330"/>
      <c r="BP766" s="331"/>
      <c r="BQ766" s="332"/>
      <c r="BR766" s="333"/>
    </row>
    <row r="767" spans="2:70" ht="15.75" customHeight="1">
      <c r="B767" s="216" t="s">
        <v>1905</v>
      </c>
      <c r="C767" s="212">
        <v>551984</v>
      </c>
      <c r="D767" s="223">
        <v>23600995000127</v>
      </c>
      <c r="E767" s="217" t="s">
        <v>19</v>
      </c>
      <c r="F767" s="217" t="s">
        <v>963</v>
      </c>
      <c r="G767" s="217" t="s">
        <v>1011</v>
      </c>
      <c r="H767" s="218" t="s">
        <v>1113</v>
      </c>
      <c r="I767" s="217" t="s">
        <v>66</v>
      </c>
      <c r="J767" s="217"/>
      <c r="K767" s="218" t="s">
        <v>951</v>
      </c>
      <c r="L767" s="212" t="s">
        <v>87</v>
      </c>
      <c r="M767" s="250"/>
      <c r="N767" s="239">
        <v>42458</v>
      </c>
      <c r="O767" s="210" t="s">
        <v>473</v>
      </c>
      <c r="P767" s="210" t="s">
        <v>1075</v>
      </c>
      <c r="Q767" s="210" t="s">
        <v>1076</v>
      </c>
      <c r="R767" s="210" t="s">
        <v>1084</v>
      </c>
      <c r="S767" s="210" t="s">
        <v>1078</v>
      </c>
      <c r="T767" s="210" t="s">
        <v>349</v>
      </c>
      <c r="U767" s="210" t="s">
        <v>1114</v>
      </c>
      <c r="V767" s="210" t="s">
        <v>19</v>
      </c>
      <c r="W767" s="211" t="s">
        <v>1024</v>
      </c>
      <c r="X767" s="211">
        <v>1000</v>
      </c>
      <c r="Y767" s="211">
        <v>0</v>
      </c>
      <c r="Z767" s="212">
        <v>0</v>
      </c>
      <c r="AA767" s="240">
        <v>5</v>
      </c>
      <c r="AB767" s="213">
        <v>8.0000000000000002E-3</v>
      </c>
      <c r="AC767" s="213">
        <v>0.2</v>
      </c>
      <c r="AD767" s="213" t="s">
        <v>113</v>
      </c>
      <c r="AE767" s="213">
        <v>2.6663999999999998E-3</v>
      </c>
      <c r="AF767" s="241">
        <v>55784319.869999997</v>
      </c>
      <c r="AG767" s="241">
        <v>55784319.869999997</v>
      </c>
      <c r="AH767" s="213">
        <v>7.0699999999999999E-2</v>
      </c>
      <c r="AI767" s="352">
        <v>1.0884</v>
      </c>
      <c r="AJ767" s="213">
        <v>0.10299999999999999</v>
      </c>
      <c r="AK767" s="352">
        <v>1.0949</v>
      </c>
      <c r="AL767" s="213">
        <v>0.15040000000000001</v>
      </c>
      <c r="AM767" s="352">
        <v>1.2452000000000001</v>
      </c>
      <c r="AN767" s="213">
        <v>0.17219999999999999</v>
      </c>
      <c r="AO767" s="352">
        <v>1.0219</v>
      </c>
      <c r="AP767" s="213">
        <v>4.8999999999999998E-3</v>
      </c>
      <c r="AQ767" s="219">
        <v>1.6640017278173471</v>
      </c>
      <c r="AR767" s="213" t="s">
        <v>1827</v>
      </c>
      <c r="AV767" s="343"/>
      <c r="AW767" s="328"/>
      <c r="AX767" s="329"/>
      <c r="AY767" s="328"/>
      <c r="AZ767" s="328"/>
      <c r="BA767" s="330"/>
      <c r="BB767" s="328"/>
      <c r="BC767" s="328"/>
      <c r="BD767" s="328"/>
      <c r="BE767" s="330"/>
      <c r="BF767" s="330"/>
      <c r="BG767" s="344"/>
      <c r="BH767" s="330"/>
      <c r="BI767" s="330"/>
      <c r="BJ767" s="330"/>
      <c r="BK767" s="330"/>
      <c r="BL767" s="330"/>
      <c r="BM767" s="330"/>
      <c r="BN767" s="330"/>
      <c r="BO767" s="330"/>
      <c r="BP767" s="331"/>
      <c r="BQ767" s="332"/>
      <c r="BR767" s="333"/>
    </row>
    <row r="768" spans="2:70" ht="15.75" customHeight="1">
      <c r="B768" s="216" t="s">
        <v>1501</v>
      </c>
      <c r="C768" s="212">
        <v>537102</v>
      </c>
      <c r="D768" s="223">
        <v>40141547000121</v>
      </c>
      <c r="E768" s="217" t="s">
        <v>19</v>
      </c>
      <c r="F768" s="217" t="s">
        <v>963</v>
      </c>
      <c r="G768" s="217" t="s">
        <v>1011</v>
      </c>
      <c r="H768" s="218" t="s">
        <v>1113</v>
      </c>
      <c r="I768" s="217" t="s">
        <v>66</v>
      </c>
      <c r="J768" s="217"/>
      <c r="K768" s="218"/>
      <c r="L768" s="212" t="s">
        <v>87</v>
      </c>
      <c r="M768" s="250"/>
      <c r="N768" s="239">
        <v>44203</v>
      </c>
      <c r="O768" s="210" t="s">
        <v>473</v>
      </c>
      <c r="P768" s="210" t="s">
        <v>1075</v>
      </c>
      <c r="Q768" s="210" t="s">
        <v>1076</v>
      </c>
      <c r="R768" s="210" t="s">
        <v>1077</v>
      </c>
      <c r="S768" s="210" t="s">
        <v>1078</v>
      </c>
      <c r="T768" s="210" t="s">
        <v>349</v>
      </c>
      <c r="U768" s="210" t="s">
        <v>1078</v>
      </c>
      <c r="V768" s="210" t="s">
        <v>25</v>
      </c>
      <c r="W768" s="211" t="s">
        <v>1016</v>
      </c>
      <c r="X768" s="211">
        <v>5000</v>
      </c>
      <c r="Y768" s="211">
        <v>0</v>
      </c>
      <c r="Z768" s="212">
        <v>0</v>
      </c>
      <c r="AA768" s="240">
        <v>31</v>
      </c>
      <c r="AB768" s="213">
        <v>1.4999999999999999E-2</v>
      </c>
      <c r="AC768" s="213">
        <v>0</v>
      </c>
      <c r="AD768" s="213" t="s">
        <v>113</v>
      </c>
      <c r="AE768" s="213">
        <v>4.9999999999999992E-3</v>
      </c>
      <c r="AF768" s="241">
        <v>17246400.609999999</v>
      </c>
      <c r="AG768" s="241">
        <v>17246400.609999999</v>
      </c>
      <c r="AH768" s="213">
        <v>7.3400000000000007E-2</v>
      </c>
      <c r="AI768" s="352">
        <v>1.1301000000000001</v>
      </c>
      <c r="AJ768" s="213">
        <v>0.1201</v>
      </c>
      <c r="AK768" s="352">
        <v>1.2761</v>
      </c>
      <c r="AL768" s="213" t="s">
        <v>66</v>
      </c>
      <c r="AM768" s="352" t="s">
        <v>66</v>
      </c>
      <c r="AN768" s="213" t="s">
        <v>66</v>
      </c>
      <c r="AO768" s="352" t="s">
        <v>66</v>
      </c>
      <c r="AP768" s="213">
        <v>4.3099999999999999E-2</v>
      </c>
      <c r="AQ768" s="219">
        <v>0.56612553778237373</v>
      </c>
      <c r="AR768" s="213" t="s">
        <v>1827</v>
      </c>
      <c r="AV768" s="343"/>
      <c r="AW768" s="328"/>
      <c r="AX768" s="329"/>
      <c r="AY768" s="328"/>
      <c r="AZ768" s="328"/>
      <c r="BA768" s="330"/>
      <c r="BB768" s="328"/>
      <c r="BC768" s="328"/>
      <c r="BD768" s="328"/>
      <c r="BE768" s="330"/>
      <c r="BF768" s="330"/>
      <c r="BG768" s="344"/>
      <c r="BH768" s="330"/>
      <c r="BI768" s="330"/>
      <c r="BJ768" s="330"/>
      <c r="BK768" s="330"/>
      <c r="BL768" s="330"/>
      <c r="BM768" s="330"/>
      <c r="BN768" s="330"/>
      <c r="BO768" s="330"/>
      <c r="BP768" s="331"/>
      <c r="BQ768" s="332"/>
      <c r="BR768" s="333"/>
    </row>
    <row r="769" spans="2:70" ht="15.75" customHeight="1">
      <c r="B769" s="216" t="s">
        <v>1502</v>
      </c>
      <c r="C769" s="212">
        <v>532503</v>
      </c>
      <c r="D769" s="223">
        <v>39345935000145</v>
      </c>
      <c r="E769" s="217" t="s">
        <v>28</v>
      </c>
      <c r="F769" s="217" t="s">
        <v>950</v>
      </c>
      <c r="G769" s="217"/>
      <c r="H769" s="218"/>
      <c r="I769" s="217" t="s">
        <v>66</v>
      </c>
      <c r="J769" s="217" t="s">
        <v>66</v>
      </c>
      <c r="K769" s="218" t="s">
        <v>954</v>
      </c>
      <c r="L769" s="212" t="s">
        <v>88</v>
      </c>
      <c r="M769" s="250"/>
      <c r="N769" s="239">
        <v>44194</v>
      </c>
      <c r="O769" s="210" t="s">
        <v>249</v>
      </c>
      <c r="P769" s="210" t="s">
        <v>1075</v>
      </c>
      <c r="Q769" s="210" t="s">
        <v>1076</v>
      </c>
      <c r="R769" s="210" t="s">
        <v>1077</v>
      </c>
      <c r="S769" s="210" t="s">
        <v>1078</v>
      </c>
      <c r="T769" s="210" t="s">
        <v>1079</v>
      </c>
      <c r="U769" s="210" t="s">
        <v>65</v>
      </c>
      <c r="V769" s="210" t="s">
        <v>1080</v>
      </c>
      <c r="W769" s="211" t="s">
        <v>1036</v>
      </c>
      <c r="X769" s="211">
        <v>5000</v>
      </c>
      <c r="Y769" s="211">
        <v>5000</v>
      </c>
      <c r="Z769" s="212">
        <v>5000</v>
      </c>
      <c r="AA769" s="240">
        <v>9</v>
      </c>
      <c r="AB769" s="213">
        <v>0.01</v>
      </c>
      <c r="AC769" s="213">
        <v>0</v>
      </c>
      <c r="AD769" s="213" t="s">
        <v>113</v>
      </c>
      <c r="AE769" s="213">
        <v>6.0000000000000001E-3</v>
      </c>
      <c r="AF769" s="241">
        <v>9537831.8300000001</v>
      </c>
      <c r="AG769" s="241">
        <v>9537831.8300000001</v>
      </c>
      <c r="AH769" s="213">
        <v>-0.51939999999999997</v>
      </c>
      <c r="AI769" s="352">
        <v>-8.0002999999999993</v>
      </c>
      <c r="AJ769" s="213">
        <v>-0.55830000000000002</v>
      </c>
      <c r="AK769" s="352">
        <v>-5.9343000000000004</v>
      </c>
      <c r="AL769" s="213" t="s">
        <v>66</v>
      </c>
      <c r="AM769" s="352" t="s">
        <v>66</v>
      </c>
      <c r="AN769" s="213" t="s">
        <v>66</v>
      </c>
      <c r="AO769" s="352" t="s">
        <v>66</v>
      </c>
      <c r="AP769" s="213">
        <v>0.49020000000000002</v>
      </c>
      <c r="AQ769" s="219">
        <v>-1.6048450616057295</v>
      </c>
      <c r="AR769" s="213" t="s">
        <v>1824</v>
      </c>
      <c r="AV769" s="343"/>
      <c r="AW769" s="328"/>
      <c r="AX769" s="329"/>
      <c r="AY769" s="328"/>
      <c r="AZ769" s="328"/>
      <c r="BA769" s="330"/>
      <c r="BB769" s="328"/>
      <c r="BC769" s="328"/>
      <c r="BD769" s="328"/>
      <c r="BE769" s="330"/>
      <c r="BF769" s="330"/>
      <c r="BG769" s="344"/>
      <c r="BH769" s="330"/>
      <c r="BI769" s="330"/>
      <c r="BJ769" s="330"/>
      <c r="BK769" s="330"/>
      <c r="BL769" s="330"/>
      <c r="BM769" s="330"/>
      <c r="BN769" s="330"/>
      <c r="BO769" s="330"/>
      <c r="BP769" s="331"/>
      <c r="BQ769" s="332"/>
      <c r="BR769" s="333"/>
    </row>
    <row r="770" spans="2:70" ht="15.75" customHeight="1">
      <c r="B770" s="216" t="s">
        <v>510</v>
      </c>
      <c r="C770" s="212">
        <v>534906</v>
      </c>
      <c r="D770" s="223">
        <v>8869576000100</v>
      </c>
      <c r="E770" s="217" t="s">
        <v>28</v>
      </c>
      <c r="F770" s="217" t="s">
        <v>950</v>
      </c>
      <c r="G770" s="217"/>
      <c r="H770" s="218"/>
      <c r="I770" s="217" t="s">
        <v>66</v>
      </c>
      <c r="J770" s="217" t="s">
        <v>66</v>
      </c>
      <c r="K770" s="218" t="s">
        <v>951</v>
      </c>
      <c r="L770" s="212" t="s">
        <v>87</v>
      </c>
      <c r="M770" s="250"/>
      <c r="N770" s="239">
        <v>39260</v>
      </c>
      <c r="O770" s="210" t="s">
        <v>509</v>
      </c>
      <c r="P770" s="210" t="s">
        <v>1090</v>
      </c>
      <c r="Q770" s="210" t="s">
        <v>1091</v>
      </c>
      <c r="R770" s="210" t="s">
        <v>1077</v>
      </c>
      <c r="S770" s="210" t="s">
        <v>1078</v>
      </c>
      <c r="T770" s="210" t="s">
        <v>1079</v>
      </c>
      <c r="U770" s="210" t="s">
        <v>950</v>
      </c>
      <c r="V770" s="210" t="s">
        <v>1080</v>
      </c>
      <c r="W770" s="211" t="s">
        <v>1013</v>
      </c>
      <c r="X770" s="211">
        <v>5000</v>
      </c>
      <c r="Y770" s="211">
        <v>5000</v>
      </c>
      <c r="Z770" s="212">
        <v>5000</v>
      </c>
      <c r="AA770" s="240">
        <v>32</v>
      </c>
      <c r="AB770" s="213">
        <v>0.02</v>
      </c>
      <c r="AC770" s="213">
        <v>0.2</v>
      </c>
      <c r="AD770" s="213" t="s">
        <v>203</v>
      </c>
      <c r="AE770" s="213">
        <v>5.3333333333333332E-3</v>
      </c>
      <c r="AF770" s="241">
        <v>203384896.18000001</v>
      </c>
      <c r="AG770" s="241">
        <v>203384896.18000001</v>
      </c>
      <c r="AH770" s="213">
        <v>-6.3600000000000004E-2</v>
      </c>
      <c r="AI770" s="352">
        <v>-0.97889999999999999</v>
      </c>
      <c r="AJ770" s="213">
        <v>-0.19919999999999999</v>
      </c>
      <c r="AK770" s="352">
        <v>-2.1172</v>
      </c>
      <c r="AL770" s="213">
        <v>-0.21390000000000001</v>
      </c>
      <c r="AM770" s="352">
        <v>-1.7703</v>
      </c>
      <c r="AN770" s="213">
        <v>-7.6799999999999993E-2</v>
      </c>
      <c r="AO770" s="352">
        <v>-0.45550000000000002</v>
      </c>
      <c r="AP770" s="213">
        <v>0.2545</v>
      </c>
      <c r="AQ770" s="219">
        <v>-1.0991604785956024</v>
      </c>
      <c r="AR770" s="213" t="s">
        <v>1827</v>
      </c>
      <c r="AV770" s="343"/>
      <c r="AW770" s="328"/>
      <c r="AX770" s="329"/>
      <c r="AY770" s="328"/>
      <c r="AZ770" s="328"/>
      <c r="BA770" s="330"/>
      <c r="BB770" s="328"/>
      <c r="BC770" s="328"/>
      <c r="BD770" s="328"/>
      <c r="BE770" s="330"/>
      <c r="BF770" s="330"/>
      <c r="BG770" s="344"/>
      <c r="BH770" s="330"/>
      <c r="BI770" s="330"/>
      <c r="BJ770" s="330"/>
      <c r="BK770" s="330"/>
      <c r="BL770" s="330"/>
      <c r="BM770" s="330"/>
      <c r="BN770" s="330"/>
      <c r="BO770" s="330"/>
      <c r="BP770" s="331"/>
      <c r="BQ770" s="332"/>
      <c r="BR770" s="333"/>
    </row>
    <row r="771" spans="2:70" ht="15.75" customHeight="1">
      <c r="B771" s="216" t="s">
        <v>1503</v>
      </c>
      <c r="C771" s="212">
        <v>1050329</v>
      </c>
      <c r="D771" s="223">
        <v>11175798000129</v>
      </c>
      <c r="E771" s="217" t="s">
        <v>28</v>
      </c>
      <c r="F771" s="217" t="s">
        <v>950</v>
      </c>
      <c r="G771" s="217"/>
      <c r="H771" s="218"/>
      <c r="I771" s="217" t="s">
        <v>66</v>
      </c>
      <c r="J771" s="217" t="s">
        <v>66</v>
      </c>
      <c r="K771" s="218" t="s">
        <v>954</v>
      </c>
      <c r="L771" s="212"/>
      <c r="M771" s="250"/>
      <c r="N771" s="239">
        <v>40317</v>
      </c>
      <c r="O771" s="210" t="s">
        <v>509</v>
      </c>
      <c r="P771" s="210" t="s">
        <v>1090</v>
      </c>
      <c r="Q771" s="210" t="s">
        <v>102</v>
      </c>
      <c r="R771" s="210" t="s">
        <v>1077</v>
      </c>
      <c r="S771" s="210" t="s">
        <v>1078</v>
      </c>
      <c r="T771" s="210" t="s">
        <v>1079</v>
      </c>
      <c r="U771" s="210" t="s">
        <v>65</v>
      </c>
      <c r="V771" s="210" t="s">
        <v>1080</v>
      </c>
      <c r="W771" s="211" t="s">
        <v>1036</v>
      </c>
      <c r="X771" s="211">
        <v>5000</v>
      </c>
      <c r="Y771" s="211">
        <v>5000</v>
      </c>
      <c r="Z771" s="212">
        <v>5000</v>
      </c>
      <c r="AA771" s="240">
        <v>5</v>
      </c>
      <c r="AB771" s="213">
        <v>0.02</v>
      </c>
      <c r="AC771" s="213">
        <v>0.2</v>
      </c>
      <c r="AD771" s="213" t="s">
        <v>1100</v>
      </c>
      <c r="AE771" s="213">
        <v>5.3333333333333332E-3</v>
      </c>
      <c r="AF771" s="241">
        <v>56985464.75</v>
      </c>
      <c r="AG771" s="241">
        <v>56985464.75</v>
      </c>
      <c r="AH771" s="213">
        <v>-0.17530000000000001</v>
      </c>
      <c r="AI771" s="352">
        <v>-2.7002000000000002</v>
      </c>
      <c r="AJ771" s="213">
        <v>-0.1007</v>
      </c>
      <c r="AK771" s="352">
        <v>-1.0703</v>
      </c>
      <c r="AL771" s="213">
        <v>9.2200000000000004E-2</v>
      </c>
      <c r="AM771" s="352">
        <v>0.76319999999999999</v>
      </c>
      <c r="AN771" s="213">
        <v>0.46479999999999999</v>
      </c>
      <c r="AO771" s="352">
        <v>2.7583000000000002</v>
      </c>
      <c r="AP771" s="213">
        <v>0.19550000000000001</v>
      </c>
      <c r="AQ771" s="219">
        <v>-0.90529313017420632</v>
      </c>
      <c r="AR771" s="213" t="s">
        <v>1827</v>
      </c>
      <c r="AV771" s="343"/>
      <c r="AW771" s="328"/>
      <c r="AX771" s="329"/>
      <c r="AY771" s="328"/>
      <c r="AZ771" s="328"/>
      <c r="BA771" s="330"/>
      <c r="BB771" s="328"/>
      <c r="BC771" s="328"/>
      <c r="BD771" s="328"/>
      <c r="BE771" s="330"/>
      <c r="BF771" s="330"/>
      <c r="BG771" s="344"/>
      <c r="BH771" s="330"/>
      <c r="BI771" s="330"/>
      <c r="BJ771" s="330"/>
      <c r="BK771" s="330"/>
      <c r="BL771" s="330"/>
      <c r="BM771" s="330"/>
      <c r="BN771" s="330"/>
      <c r="BO771" s="330"/>
      <c r="BP771" s="331"/>
      <c r="BQ771" s="332"/>
      <c r="BR771" s="333"/>
    </row>
    <row r="772" spans="2:70" ht="15.75" customHeight="1">
      <c r="B772" s="216" t="s">
        <v>882</v>
      </c>
      <c r="C772" s="212">
        <v>3096329</v>
      </c>
      <c r="D772" s="223">
        <v>39959357000137</v>
      </c>
      <c r="E772" s="217" t="s">
        <v>28</v>
      </c>
      <c r="F772" s="217" t="s">
        <v>950</v>
      </c>
      <c r="G772" s="217"/>
      <c r="H772" s="218"/>
      <c r="I772" s="217" t="s">
        <v>66</v>
      </c>
      <c r="J772" s="217" t="s">
        <v>66</v>
      </c>
      <c r="K772" s="218" t="s">
        <v>951</v>
      </c>
      <c r="L772" s="212" t="s">
        <v>87</v>
      </c>
      <c r="M772" s="250"/>
      <c r="N772" s="239">
        <v>44403</v>
      </c>
      <c r="O772" s="210" t="s">
        <v>509</v>
      </c>
      <c r="P772" s="210" t="s">
        <v>1090</v>
      </c>
      <c r="Q772" s="210" t="s">
        <v>1091</v>
      </c>
      <c r="R772" s="210" t="s">
        <v>1084</v>
      </c>
      <c r="S772" s="210" t="s">
        <v>1078</v>
      </c>
      <c r="T772" s="210" t="s">
        <v>1079</v>
      </c>
      <c r="U772" s="210" t="s">
        <v>950</v>
      </c>
      <c r="V772" s="210" t="s">
        <v>1080</v>
      </c>
      <c r="W772" s="211" t="s">
        <v>1013</v>
      </c>
      <c r="X772" s="211">
        <v>500</v>
      </c>
      <c r="Y772" s="211">
        <v>500</v>
      </c>
      <c r="Z772" s="212">
        <v>500</v>
      </c>
      <c r="AA772" s="240">
        <v>32</v>
      </c>
      <c r="AB772" s="213">
        <v>0.02</v>
      </c>
      <c r="AC772" s="213">
        <v>0.2</v>
      </c>
      <c r="AD772" s="213" t="s">
        <v>203</v>
      </c>
      <c r="AE772" s="213">
        <v>5.3340000000000002E-3</v>
      </c>
      <c r="AF772" s="241">
        <v>6255285.1600000001</v>
      </c>
      <c r="AG772" s="241">
        <v>6255285.1600000001</v>
      </c>
      <c r="AH772" s="213">
        <v>-6.6500000000000004E-2</v>
      </c>
      <c r="AI772" s="352">
        <v>-1.0242</v>
      </c>
      <c r="AJ772" s="213">
        <v>-0.20319999999999999</v>
      </c>
      <c r="AK772" s="352">
        <v>-2.1600999999999999</v>
      </c>
      <c r="AL772" s="213" t="s">
        <v>66</v>
      </c>
      <c r="AM772" s="352" t="s">
        <v>66</v>
      </c>
      <c r="AN772" s="213" t="s">
        <v>66</v>
      </c>
      <c r="AO772" s="352" t="s">
        <v>66</v>
      </c>
      <c r="AP772" s="213">
        <v>0.25380000000000003</v>
      </c>
      <c r="AQ772" s="219">
        <v>-1.1224060394282991</v>
      </c>
      <c r="AR772" s="213" t="s">
        <v>1827</v>
      </c>
      <c r="AV772" s="343"/>
      <c r="AW772" s="328"/>
      <c r="AX772" s="329"/>
      <c r="AY772" s="328"/>
      <c r="AZ772" s="328"/>
      <c r="BA772" s="330"/>
      <c r="BB772" s="328"/>
      <c r="BC772" s="328"/>
      <c r="BD772" s="328"/>
      <c r="BE772" s="330"/>
      <c r="BF772" s="330"/>
      <c r="BG772" s="344"/>
      <c r="BH772" s="330"/>
      <c r="BI772" s="330"/>
      <c r="BJ772" s="330"/>
      <c r="BK772" s="330"/>
      <c r="BL772" s="330"/>
      <c r="BM772" s="330"/>
      <c r="BN772" s="330"/>
      <c r="BO772" s="330"/>
      <c r="BP772" s="331"/>
      <c r="BQ772" s="332"/>
      <c r="BR772" s="333"/>
    </row>
    <row r="773" spans="2:70" ht="15.75" customHeight="1">
      <c r="B773" s="216" t="s">
        <v>511</v>
      </c>
      <c r="C773" s="212">
        <v>559206</v>
      </c>
      <c r="D773" s="223">
        <v>9586692000176</v>
      </c>
      <c r="E773" s="217" t="s">
        <v>25</v>
      </c>
      <c r="F773" s="217" t="s">
        <v>959</v>
      </c>
      <c r="G773" s="217" t="s">
        <v>953</v>
      </c>
      <c r="H773" s="218" t="s">
        <v>66</v>
      </c>
      <c r="I773" s="217" t="s">
        <v>1842</v>
      </c>
      <c r="J773" s="217" t="s">
        <v>66</v>
      </c>
      <c r="K773" s="218"/>
      <c r="L773" s="212" t="s">
        <v>87</v>
      </c>
      <c r="M773" s="250"/>
      <c r="N773" s="239">
        <v>39611</v>
      </c>
      <c r="O773" s="210" t="s">
        <v>512</v>
      </c>
      <c r="P773" s="210" t="s">
        <v>1075</v>
      </c>
      <c r="Q773" s="210" t="s">
        <v>1076</v>
      </c>
      <c r="R773" s="210" t="s">
        <v>1084</v>
      </c>
      <c r="S773" s="210" t="s">
        <v>1078</v>
      </c>
      <c r="T773" s="210" t="s">
        <v>1082</v>
      </c>
      <c r="U773" s="210" t="s">
        <v>1086</v>
      </c>
      <c r="V773" s="210" t="s">
        <v>25</v>
      </c>
      <c r="W773" s="211" t="s">
        <v>1016</v>
      </c>
      <c r="X773" s="211">
        <v>1000</v>
      </c>
      <c r="Y773" s="211">
        <v>500</v>
      </c>
      <c r="Z773" s="212">
        <v>1000</v>
      </c>
      <c r="AA773" s="240">
        <v>6</v>
      </c>
      <c r="AB773" s="213">
        <v>0.02</v>
      </c>
      <c r="AC773" s="213">
        <v>0.25</v>
      </c>
      <c r="AD773" s="213" t="s">
        <v>109</v>
      </c>
      <c r="AE773" s="213">
        <v>5.3333333333333332E-3</v>
      </c>
      <c r="AF773" s="241">
        <v>8693898.5299999993</v>
      </c>
      <c r="AG773" s="241">
        <v>8693898.5299999993</v>
      </c>
      <c r="AH773" s="213">
        <v>6.2100000000000002E-2</v>
      </c>
      <c r="AI773" s="352">
        <v>0.95650000000000002</v>
      </c>
      <c r="AJ773" s="213">
        <v>-5.45E-2</v>
      </c>
      <c r="AK773" s="352">
        <v>-0.57899999999999996</v>
      </c>
      <c r="AL773" s="213">
        <v>-0.1376</v>
      </c>
      <c r="AM773" s="352">
        <v>-1.1392</v>
      </c>
      <c r="AN773" s="213">
        <v>-0.1298</v>
      </c>
      <c r="AO773" s="352">
        <v>-0.77</v>
      </c>
      <c r="AP773" s="213">
        <v>7.5600000000000001E-2</v>
      </c>
      <c r="AQ773" s="219">
        <v>-1.8922054675626645</v>
      </c>
      <c r="AR773" s="213" t="s">
        <v>1827</v>
      </c>
      <c r="AV773" s="343"/>
      <c r="AW773" s="328"/>
      <c r="AX773" s="329"/>
      <c r="AY773" s="328"/>
      <c r="AZ773" s="328"/>
      <c r="BA773" s="330"/>
      <c r="BB773" s="328"/>
      <c r="BC773" s="328"/>
      <c r="BD773" s="328"/>
      <c r="BE773" s="330"/>
      <c r="BF773" s="330"/>
      <c r="BG773" s="344"/>
      <c r="BH773" s="330"/>
      <c r="BI773" s="330"/>
      <c r="BJ773" s="330"/>
      <c r="BK773" s="330"/>
      <c r="BL773" s="330"/>
      <c r="BM773" s="330"/>
      <c r="BN773" s="330"/>
      <c r="BO773" s="330"/>
      <c r="BP773" s="331"/>
      <c r="BQ773" s="332"/>
      <c r="BR773" s="333"/>
    </row>
    <row r="774" spans="2:70" ht="15.75" customHeight="1">
      <c r="B774" s="216" t="s">
        <v>1504</v>
      </c>
      <c r="C774" s="212">
        <v>820017</v>
      </c>
      <c r="D774" s="223">
        <v>29762329000171</v>
      </c>
      <c r="E774" s="217" t="s">
        <v>25</v>
      </c>
      <c r="F774" s="217" t="s">
        <v>957</v>
      </c>
      <c r="G774" s="217" t="s">
        <v>962</v>
      </c>
      <c r="H774" s="218"/>
      <c r="I774" s="217" t="s">
        <v>1841</v>
      </c>
      <c r="J774" s="217" t="s">
        <v>66</v>
      </c>
      <c r="K774" s="218" t="s">
        <v>951</v>
      </c>
      <c r="L774" s="212" t="s">
        <v>87</v>
      </c>
      <c r="M774" s="250"/>
      <c r="N774" s="239">
        <v>43220</v>
      </c>
      <c r="O774" s="210" t="s">
        <v>186</v>
      </c>
      <c r="P774" s="210" t="s">
        <v>1090</v>
      </c>
      <c r="Q774" s="210" t="s">
        <v>102</v>
      </c>
      <c r="R774" s="210" t="s">
        <v>1084</v>
      </c>
      <c r="S774" s="210" t="s">
        <v>1078</v>
      </c>
      <c r="T774" s="210" t="s">
        <v>1082</v>
      </c>
      <c r="U774" s="210" t="s">
        <v>958</v>
      </c>
      <c r="V774" s="210" t="s">
        <v>25</v>
      </c>
      <c r="W774" s="211" t="s">
        <v>1012</v>
      </c>
      <c r="X774" s="211">
        <v>500</v>
      </c>
      <c r="Y774" s="211">
        <v>100</v>
      </c>
      <c r="Z774" s="212">
        <v>100</v>
      </c>
      <c r="AA774" s="240">
        <v>31</v>
      </c>
      <c r="AB774" s="213">
        <v>1.7999999999999999E-2</v>
      </c>
      <c r="AC774" s="213">
        <v>0.2</v>
      </c>
      <c r="AD774" s="213" t="s">
        <v>1100</v>
      </c>
      <c r="AE774" s="213">
        <v>6.1199999999999996E-3</v>
      </c>
      <c r="AF774" s="241">
        <v>26358218.5</v>
      </c>
      <c r="AG774" s="241">
        <v>26358218.5</v>
      </c>
      <c r="AH774" s="213">
        <v>8.2900000000000001E-2</v>
      </c>
      <c r="AI774" s="352">
        <v>1.2765</v>
      </c>
      <c r="AJ774" s="213">
        <v>5.79E-2</v>
      </c>
      <c r="AK774" s="352">
        <v>0.61570000000000003</v>
      </c>
      <c r="AL774" s="213">
        <v>0.14269999999999999</v>
      </c>
      <c r="AM774" s="352">
        <v>1.1812</v>
      </c>
      <c r="AN774" s="213">
        <v>0.15559999999999999</v>
      </c>
      <c r="AO774" s="352">
        <v>0.9234</v>
      </c>
      <c r="AP774" s="213">
        <v>3.5099999999999999E-2</v>
      </c>
      <c r="AQ774" s="219">
        <v>-0.93901894814788078</v>
      </c>
      <c r="AR774" s="213" t="s">
        <v>1827</v>
      </c>
      <c r="AV774" s="343"/>
      <c r="AW774" s="328"/>
      <c r="AX774" s="329"/>
      <c r="AY774" s="328"/>
      <c r="AZ774" s="328"/>
      <c r="BA774" s="330"/>
      <c r="BB774" s="328"/>
      <c r="BC774" s="328"/>
      <c r="BD774" s="328"/>
      <c r="BE774" s="330"/>
      <c r="BF774" s="330"/>
      <c r="BG774" s="344"/>
      <c r="BH774" s="330"/>
      <c r="BI774" s="330"/>
      <c r="BJ774" s="330"/>
      <c r="BK774" s="330"/>
      <c r="BL774" s="330"/>
      <c r="BM774" s="330"/>
      <c r="BN774" s="330"/>
      <c r="BO774" s="330"/>
      <c r="BP774" s="331"/>
      <c r="BQ774" s="332"/>
      <c r="BR774" s="333"/>
    </row>
    <row r="775" spans="2:70" ht="15.75" customHeight="1">
      <c r="B775" s="216" t="s">
        <v>513</v>
      </c>
      <c r="C775" s="212">
        <v>913971</v>
      </c>
      <c r="D775" s="223">
        <v>34791444000104</v>
      </c>
      <c r="E775" s="217" t="s">
        <v>28</v>
      </c>
      <c r="F775" s="217" t="s">
        <v>950</v>
      </c>
      <c r="G775" s="217"/>
      <c r="H775" s="218"/>
      <c r="I775" s="217" t="s">
        <v>66</v>
      </c>
      <c r="J775" s="217" t="s">
        <v>66</v>
      </c>
      <c r="K775" s="218" t="s">
        <v>951</v>
      </c>
      <c r="L775" s="212" t="s">
        <v>87</v>
      </c>
      <c r="M775" s="250"/>
      <c r="N775" s="239">
        <v>43822</v>
      </c>
      <c r="O775" s="210" t="s">
        <v>514</v>
      </c>
      <c r="P775" s="210" t="s">
        <v>1088</v>
      </c>
      <c r="Q775" s="210" t="s">
        <v>1089</v>
      </c>
      <c r="R775" s="210" t="s">
        <v>1084</v>
      </c>
      <c r="S775" s="210" t="s">
        <v>1085</v>
      </c>
      <c r="T775" s="210" t="s">
        <v>1079</v>
      </c>
      <c r="U775" s="210" t="s">
        <v>950</v>
      </c>
      <c r="V775" s="210" t="s">
        <v>1080</v>
      </c>
      <c r="W775" s="211" t="s">
        <v>1007</v>
      </c>
      <c r="X775" s="211">
        <v>5000</v>
      </c>
      <c r="Y775" s="211">
        <v>5000</v>
      </c>
      <c r="Z775" s="212">
        <v>5000</v>
      </c>
      <c r="AA775" s="240">
        <v>32</v>
      </c>
      <c r="AB775" s="213">
        <v>0.02</v>
      </c>
      <c r="AC775" s="213">
        <v>0.2</v>
      </c>
      <c r="AD775" s="213" t="s">
        <v>1014</v>
      </c>
      <c r="AE775" s="213">
        <v>3.3333333333333331E-3</v>
      </c>
      <c r="AF775" s="241">
        <v>47780237.25</v>
      </c>
      <c r="AG775" s="241">
        <v>47780237.25</v>
      </c>
      <c r="AH775" s="213">
        <v>-3.5999999999999999E-3</v>
      </c>
      <c r="AI775" s="352">
        <v>-5.4800000000000001E-2</v>
      </c>
      <c r="AJ775" s="213">
        <v>-0.1368</v>
      </c>
      <c r="AK775" s="352">
        <v>-1.4541999999999999</v>
      </c>
      <c r="AL775" s="213">
        <v>5.6399999999999999E-2</v>
      </c>
      <c r="AM775" s="352">
        <v>0.46700000000000003</v>
      </c>
      <c r="AN775" s="213" t="s">
        <v>66</v>
      </c>
      <c r="AO775" s="352" t="s">
        <v>66</v>
      </c>
      <c r="AP775" s="213">
        <v>0.19500000000000001</v>
      </c>
      <c r="AQ775" s="219">
        <v>-1.1182998512373212</v>
      </c>
      <c r="AR775" s="213" t="s">
        <v>1824</v>
      </c>
      <c r="AV775" s="343"/>
      <c r="AW775" s="328"/>
      <c r="AX775" s="329"/>
      <c r="AY775" s="328"/>
      <c r="AZ775" s="328"/>
      <c r="BA775" s="330"/>
      <c r="BB775" s="328"/>
      <c r="BC775" s="328"/>
      <c r="BD775" s="328"/>
      <c r="BE775" s="330"/>
      <c r="BF775" s="330"/>
      <c r="BG775" s="344"/>
      <c r="BH775" s="330"/>
      <c r="BI775" s="330"/>
      <c r="BJ775" s="330"/>
      <c r="BK775" s="330"/>
      <c r="BL775" s="330"/>
      <c r="BM775" s="330"/>
      <c r="BN775" s="330"/>
      <c r="BO775" s="330"/>
      <c r="BP775" s="331"/>
      <c r="BQ775" s="332"/>
      <c r="BR775" s="333"/>
    </row>
    <row r="776" spans="2:70" ht="15.75" customHeight="1">
      <c r="B776" s="216" t="s">
        <v>883</v>
      </c>
      <c r="C776" s="212">
        <v>913979</v>
      </c>
      <c r="D776" s="223">
        <v>34633411000136</v>
      </c>
      <c r="E776" s="217" t="s">
        <v>28</v>
      </c>
      <c r="F776" s="217" t="s">
        <v>950</v>
      </c>
      <c r="G776" s="217"/>
      <c r="H776" s="218"/>
      <c r="I776" s="217" t="s">
        <v>66</v>
      </c>
      <c r="J776" s="217" t="s">
        <v>66</v>
      </c>
      <c r="K776" s="218" t="s">
        <v>951</v>
      </c>
      <c r="L776" s="212" t="s">
        <v>87</v>
      </c>
      <c r="M776" s="250"/>
      <c r="N776" s="239">
        <v>43768</v>
      </c>
      <c r="O776" s="210" t="s">
        <v>514</v>
      </c>
      <c r="P776" s="210" t="s">
        <v>1088</v>
      </c>
      <c r="Q776" s="210" t="s">
        <v>1089</v>
      </c>
      <c r="R776" s="210" t="s">
        <v>1077</v>
      </c>
      <c r="S776" s="210" t="s">
        <v>1078</v>
      </c>
      <c r="T776" s="210" t="s">
        <v>1079</v>
      </c>
      <c r="U776" s="210" t="s">
        <v>950</v>
      </c>
      <c r="V776" s="210" t="s">
        <v>1080</v>
      </c>
      <c r="W776" s="211" t="s">
        <v>1007</v>
      </c>
      <c r="X776" s="211">
        <v>5000</v>
      </c>
      <c r="Y776" s="211">
        <v>5000</v>
      </c>
      <c r="Z776" s="212">
        <v>5000</v>
      </c>
      <c r="AA776" s="240">
        <v>62</v>
      </c>
      <c r="AB776" s="213">
        <v>0.02</v>
      </c>
      <c r="AC776" s="213">
        <v>0.2</v>
      </c>
      <c r="AD776" s="213" t="s">
        <v>1157</v>
      </c>
      <c r="AE776" s="213">
        <v>3.3333333333333331E-3</v>
      </c>
      <c r="AF776" s="241">
        <v>139593758.75</v>
      </c>
      <c r="AG776" s="241">
        <v>139593758.75</v>
      </c>
      <c r="AH776" s="213">
        <v>8.8400000000000006E-2</v>
      </c>
      <c r="AI776" s="352">
        <v>1.3620000000000001</v>
      </c>
      <c r="AJ776" s="213">
        <v>7.4999999999999997E-3</v>
      </c>
      <c r="AK776" s="352">
        <v>7.9299999999999995E-2</v>
      </c>
      <c r="AL776" s="213">
        <v>0.1381</v>
      </c>
      <c r="AM776" s="352">
        <v>1.1431</v>
      </c>
      <c r="AN776" s="213" t="s">
        <v>66</v>
      </c>
      <c r="AO776" s="352" t="s">
        <v>66</v>
      </c>
      <c r="AP776" s="213">
        <v>0.1308</v>
      </c>
      <c r="AQ776" s="219">
        <v>-0.56549403476423188</v>
      </c>
      <c r="AR776" s="213" t="s">
        <v>1827</v>
      </c>
      <c r="AU776" s="343"/>
      <c r="AV776" s="343"/>
      <c r="AW776" s="328"/>
      <c r="AX776" s="329"/>
      <c r="AY776" s="328"/>
      <c r="AZ776" s="328"/>
      <c r="BA776" s="330"/>
      <c r="BB776" s="328"/>
      <c r="BC776" s="328"/>
      <c r="BD776" s="328"/>
      <c r="BE776" s="330"/>
      <c r="BF776" s="330"/>
      <c r="BG776" s="344"/>
      <c r="BH776" s="383"/>
      <c r="BI776" s="330"/>
      <c r="BJ776" s="330"/>
      <c r="BK776" s="330"/>
      <c r="BL776" s="330"/>
      <c r="BM776" s="330"/>
      <c r="BN776" s="330"/>
      <c r="BO776" s="330"/>
      <c r="BP776" s="331"/>
      <c r="BQ776" s="332"/>
      <c r="BR776" s="333"/>
    </row>
    <row r="777" spans="2:70" ht="15.75" customHeight="1">
      <c r="B777" s="216" t="s">
        <v>1505</v>
      </c>
      <c r="C777" s="212">
        <v>1254313</v>
      </c>
      <c r="D777" s="223">
        <v>27954376000191</v>
      </c>
      <c r="E777" s="217" t="s">
        <v>19</v>
      </c>
      <c r="F777" s="217" t="s">
        <v>964</v>
      </c>
      <c r="G777" s="217" t="s">
        <v>1042</v>
      </c>
      <c r="H777" s="218" t="s">
        <v>1113</v>
      </c>
      <c r="I777" s="217" t="s">
        <v>66</v>
      </c>
      <c r="J777" s="217"/>
      <c r="K777" s="218" t="s">
        <v>951</v>
      </c>
      <c r="L777" s="212" t="s">
        <v>87</v>
      </c>
      <c r="M777" s="250"/>
      <c r="N777" s="239">
        <v>43060</v>
      </c>
      <c r="O777" s="210" t="s">
        <v>514</v>
      </c>
      <c r="P777" s="210" t="s">
        <v>1075</v>
      </c>
      <c r="Q777" s="210" t="s">
        <v>1076</v>
      </c>
      <c r="R777" s="210" t="s">
        <v>1077</v>
      </c>
      <c r="S777" s="210" t="s">
        <v>1078</v>
      </c>
      <c r="T777" s="210" t="s">
        <v>349</v>
      </c>
      <c r="U777" s="210" t="s">
        <v>964</v>
      </c>
      <c r="V777" s="210" t="s">
        <v>19</v>
      </c>
      <c r="W777" s="211" t="s">
        <v>1024</v>
      </c>
      <c r="X777" s="211">
        <v>1000</v>
      </c>
      <c r="Y777" s="211">
        <v>1000</v>
      </c>
      <c r="Z777" s="212">
        <v>1000</v>
      </c>
      <c r="AA777" s="240">
        <v>31</v>
      </c>
      <c r="AB777" s="213">
        <v>2.5000000000000001E-3</v>
      </c>
      <c r="AC777" s="213">
        <v>0</v>
      </c>
      <c r="AD777" s="213" t="s">
        <v>113</v>
      </c>
      <c r="AE777" s="213" t="s">
        <v>66</v>
      </c>
      <c r="AF777" s="241">
        <v>6435709.3300000001</v>
      </c>
      <c r="AG777" s="241">
        <v>6435709.3300000001</v>
      </c>
      <c r="AH777" s="213">
        <v>8.1000000000000003E-2</v>
      </c>
      <c r="AI777" s="352">
        <v>1.2477</v>
      </c>
      <c r="AJ777" s="213">
        <v>0.1234</v>
      </c>
      <c r="AK777" s="352">
        <v>1.3120000000000001</v>
      </c>
      <c r="AL777" s="213">
        <v>0.14979999999999999</v>
      </c>
      <c r="AM777" s="352">
        <v>1.2397</v>
      </c>
      <c r="AN777" s="213">
        <v>0.1338</v>
      </c>
      <c r="AO777" s="352">
        <v>0.79420000000000002</v>
      </c>
      <c r="AP777" s="213">
        <v>2.8000000000000001E-2</v>
      </c>
      <c r="AQ777" s="219">
        <v>0.9606294939198643</v>
      </c>
      <c r="AR777" s="213" t="s">
        <v>1827</v>
      </c>
      <c r="AV777" s="343"/>
      <c r="AW777" s="328"/>
      <c r="AX777" s="329"/>
      <c r="AY777" s="328"/>
      <c r="AZ777" s="328"/>
      <c r="BA777" s="330"/>
      <c r="BB777" s="328"/>
      <c r="BC777" s="328"/>
      <c r="BD777" s="328"/>
      <c r="BE777" s="330"/>
      <c r="BF777" s="330"/>
      <c r="BG777" s="344"/>
      <c r="BH777" s="330"/>
      <c r="BI777" s="330"/>
      <c r="BJ777" s="330"/>
      <c r="BK777" s="330"/>
      <c r="BL777" s="330"/>
      <c r="BM777" s="330"/>
      <c r="BN777" s="330"/>
      <c r="BO777" s="330"/>
      <c r="BP777" s="331"/>
      <c r="BQ777" s="332"/>
      <c r="BR777" s="333"/>
    </row>
    <row r="778" spans="2:70" ht="15.75" customHeight="1">
      <c r="B778" s="216" t="s">
        <v>515</v>
      </c>
      <c r="C778" s="212">
        <v>2117371</v>
      </c>
      <c r="D778" s="223">
        <v>14113340000133</v>
      </c>
      <c r="E778" s="217" t="s">
        <v>28</v>
      </c>
      <c r="F778" s="217" t="s">
        <v>950</v>
      </c>
      <c r="G778" s="217"/>
      <c r="H778" s="218"/>
      <c r="I778" s="217" t="s">
        <v>66</v>
      </c>
      <c r="J778" s="217" t="s">
        <v>66</v>
      </c>
      <c r="K778" s="218" t="s">
        <v>951</v>
      </c>
      <c r="L778" s="212" t="s">
        <v>87</v>
      </c>
      <c r="M778" s="250"/>
      <c r="N778" s="239">
        <v>40816</v>
      </c>
      <c r="O778" s="210" t="s">
        <v>514</v>
      </c>
      <c r="P778" s="210" t="s">
        <v>1088</v>
      </c>
      <c r="Q778" s="210" t="s">
        <v>1089</v>
      </c>
      <c r="R778" s="210" t="s">
        <v>1084</v>
      </c>
      <c r="S778" s="210" t="s">
        <v>1085</v>
      </c>
      <c r="T778" s="210" t="s">
        <v>1079</v>
      </c>
      <c r="U778" s="210" t="s">
        <v>950</v>
      </c>
      <c r="V778" s="210" t="s">
        <v>1080</v>
      </c>
      <c r="W778" s="211" t="s">
        <v>1007</v>
      </c>
      <c r="X778" s="211">
        <v>10000</v>
      </c>
      <c r="Y778" s="211">
        <v>5000</v>
      </c>
      <c r="Z778" s="212">
        <v>5000</v>
      </c>
      <c r="AA778" s="240">
        <v>32</v>
      </c>
      <c r="AB778" s="213">
        <v>1.4999999999999999E-2</v>
      </c>
      <c r="AC778" s="213">
        <v>0.2</v>
      </c>
      <c r="AD778" s="213" t="s">
        <v>1014</v>
      </c>
      <c r="AE778" s="213">
        <v>3.1499999999999996E-3</v>
      </c>
      <c r="AF778" s="241">
        <v>738517434.45000005</v>
      </c>
      <c r="AG778" s="241">
        <v>738517434.45000005</v>
      </c>
      <c r="AH778" s="213">
        <v>4.5999999999999999E-3</v>
      </c>
      <c r="AI778" s="352">
        <v>7.0699999999999999E-2</v>
      </c>
      <c r="AJ778" s="213">
        <v>-0.1236</v>
      </c>
      <c r="AK778" s="352">
        <v>-1.3134999999999999</v>
      </c>
      <c r="AL778" s="213">
        <v>5.2600000000000001E-2</v>
      </c>
      <c r="AM778" s="352">
        <v>0.43540000000000001</v>
      </c>
      <c r="AN778" s="213">
        <v>0.15609999999999999</v>
      </c>
      <c r="AO778" s="352">
        <v>0.92659999999999998</v>
      </c>
      <c r="AP778" s="213">
        <v>0.20200000000000001</v>
      </c>
      <c r="AQ778" s="219">
        <v>-0.99713140125249666</v>
      </c>
      <c r="AR778" s="213" t="s">
        <v>1824</v>
      </c>
      <c r="AV778" s="343"/>
      <c r="AW778" s="328"/>
      <c r="AX778" s="329"/>
      <c r="AY778" s="328"/>
      <c r="AZ778" s="328"/>
      <c r="BA778" s="330"/>
      <c r="BB778" s="328"/>
      <c r="BC778" s="328"/>
      <c r="BD778" s="328"/>
      <c r="BE778" s="330"/>
      <c r="BF778" s="330"/>
      <c r="BG778" s="344"/>
      <c r="BH778" s="330"/>
      <c r="BI778" s="330"/>
      <c r="BJ778" s="330"/>
      <c r="BK778" s="330"/>
      <c r="BL778" s="330"/>
      <c r="BM778" s="330"/>
      <c r="BN778" s="330"/>
      <c r="BO778" s="330"/>
      <c r="BP778" s="331"/>
      <c r="BQ778" s="332"/>
      <c r="BR778" s="333"/>
    </row>
    <row r="779" spans="2:70" ht="15.75" customHeight="1">
      <c r="B779" s="216" t="s">
        <v>516</v>
      </c>
      <c r="C779" s="212">
        <v>2105253</v>
      </c>
      <c r="D779" s="223">
        <v>26680221000141</v>
      </c>
      <c r="E779" s="217" t="s">
        <v>28</v>
      </c>
      <c r="F779" s="217" t="s">
        <v>957</v>
      </c>
      <c r="G779" s="217"/>
      <c r="H779" s="218"/>
      <c r="I779" s="217" t="s">
        <v>1259</v>
      </c>
      <c r="J779" s="217" t="s">
        <v>66</v>
      </c>
      <c r="K779" s="218" t="s">
        <v>951</v>
      </c>
      <c r="L779" s="212" t="s">
        <v>87</v>
      </c>
      <c r="M779" s="250"/>
      <c r="N779" s="239">
        <v>42731</v>
      </c>
      <c r="O779" s="210" t="s">
        <v>514</v>
      </c>
      <c r="P779" s="210" t="s">
        <v>1088</v>
      </c>
      <c r="Q779" s="210" t="s">
        <v>1089</v>
      </c>
      <c r="R779" s="210" t="s">
        <v>1077</v>
      </c>
      <c r="S779" s="210" t="s">
        <v>1085</v>
      </c>
      <c r="T779" s="210" t="s">
        <v>1079</v>
      </c>
      <c r="U779" s="210" t="s">
        <v>957</v>
      </c>
      <c r="V779" s="210" t="s">
        <v>25</v>
      </c>
      <c r="W779" s="211" t="s">
        <v>1016</v>
      </c>
      <c r="X779" s="211">
        <v>5000</v>
      </c>
      <c r="Y779" s="211">
        <v>5000</v>
      </c>
      <c r="Z779" s="212">
        <v>5000</v>
      </c>
      <c r="AA779" s="240">
        <v>62</v>
      </c>
      <c r="AB779" s="213">
        <v>0.02</v>
      </c>
      <c r="AC779" s="213">
        <v>0.2</v>
      </c>
      <c r="AD779" s="213" t="s">
        <v>109</v>
      </c>
      <c r="AE779" s="213">
        <v>3.3333333333333331E-3</v>
      </c>
      <c r="AF779" s="241">
        <v>399795296.35000002</v>
      </c>
      <c r="AG779" s="241">
        <v>399795296.35000002</v>
      </c>
      <c r="AH779" s="213">
        <v>8.7300000000000003E-2</v>
      </c>
      <c r="AI779" s="352">
        <v>1.3453999999999999</v>
      </c>
      <c r="AJ779" s="213">
        <v>5.1999999999999998E-3</v>
      </c>
      <c r="AK779" s="352">
        <v>5.5E-2</v>
      </c>
      <c r="AL779" s="213">
        <v>0.1366</v>
      </c>
      <c r="AM779" s="352">
        <v>1.1308</v>
      </c>
      <c r="AN779" s="213">
        <v>0.2666</v>
      </c>
      <c r="AO779" s="352">
        <v>1.5821000000000001</v>
      </c>
      <c r="AP779" s="213">
        <v>0.13170000000000001</v>
      </c>
      <c r="AQ779" s="219">
        <v>-0.57763226365416587</v>
      </c>
      <c r="AR779" s="213" t="s">
        <v>1827</v>
      </c>
      <c r="AV779" s="343"/>
      <c r="AW779" s="328"/>
      <c r="AX779" s="329"/>
      <c r="AY779" s="328"/>
      <c r="AZ779" s="328"/>
      <c r="BA779" s="330"/>
      <c r="BB779" s="328"/>
      <c r="BC779" s="328"/>
      <c r="BD779" s="328"/>
      <c r="BE779" s="330"/>
      <c r="BF779" s="330"/>
      <c r="BG779" s="344"/>
      <c r="BH779" s="330"/>
      <c r="BI779" s="330"/>
      <c r="BJ779" s="330"/>
      <c r="BK779" s="330"/>
      <c r="BL779" s="330"/>
      <c r="BM779" s="330"/>
      <c r="BN779" s="330"/>
      <c r="BO779" s="330"/>
      <c r="BP779" s="331"/>
      <c r="BQ779" s="332"/>
      <c r="BR779" s="333"/>
    </row>
    <row r="780" spans="2:70" ht="15.75" customHeight="1">
      <c r="B780" s="216" t="s">
        <v>517</v>
      </c>
      <c r="C780" s="212">
        <v>615866</v>
      </c>
      <c r="D780" s="223">
        <v>12430199000177</v>
      </c>
      <c r="E780" s="217" t="s">
        <v>25</v>
      </c>
      <c r="F780" s="217" t="s">
        <v>959</v>
      </c>
      <c r="G780" s="217" t="s">
        <v>960</v>
      </c>
      <c r="H780" s="218" t="s">
        <v>66</v>
      </c>
      <c r="I780" s="217" t="s">
        <v>1841</v>
      </c>
      <c r="J780" s="217" t="s">
        <v>66</v>
      </c>
      <c r="K780" s="218"/>
      <c r="L780" s="212" t="s">
        <v>87</v>
      </c>
      <c r="M780" s="250"/>
      <c r="N780" s="239">
        <v>40450</v>
      </c>
      <c r="O780" s="210" t="s">
        <v>514</v>
      </c>
      <c r="P780" s="210" t="s">
        <v>1088</v>
      </c>
      <c r="Q780" s="210" t="s">
        <v>1089</v>
      </c>
      <c r="R780" s="210" t="s">
        <v>1084</v>
      </c>
      <c r="S780" s="210" t="s">
        <v>1085</v>
      </c>
      <c r="T780" s="210" t="s">
        <v>1082</v>
      </c>
      <c r="U780" s="210" t="s">
        <v>1086</v>
      </c>
      <c r="V780" s="210" t="s">
        <v>25</v>
      </c>
      <c r="W780" s="211" t="s">
        <v>1023</v>
      </c>
      <c r="X780" s="211">
        <v>5000</v>
      </c>
      <c r="Y780" s="211">
        <v>5000</v>
      </c>
      <c r="Z780" s="212">
        <v>5000</v>
      </c>
      <c r="AA780" s="240">
        <v>32</v>
      </c>
      <c r="AB780" s="213">
        <v>0.02</v>
      </c>
      <c r="AC780" s="213">
        <v>0.2</v>
      </c>
      <c r="AD780" s="213" t="s">
        <v>109</v>
      </c>
      <c r="AE780" s="213">
        <v>4.7999999999999996E-3</v>
      </c>
      <c r="AF780" s="241">
        <v>322938172.49000001</v>
      </c>
      <c r="AG780" s="241">
        <v>322938172.49000001</v>
      </c>
      <c r="AH780" s="213">
        <v>9.0499999999999997E-2</v>
      </c>
      <c r="AI780" s="352">
        <v>1.3935999999999999</v>
      </c>
      <c r="AJ780" s="213">
        <v>0.1203</v>
      </c>
      <c r="AK780" s="352">
        <v>1.2789999999999999</v>
      </c>
      <c r="AL780" s="213">
        <v>0.1618</v>
      </c>
      <c r="AM780" s="352">
        <v>1.3392999999999999</v>
      </c>
      <c r="AN780" s="213">
        <v>0.2341</v>
      </c>
      <c r="AO780" s="352">
        <v>1.3894</v>
      </c>
      <c r="AP780" s="213">
        <v>4.6699999999999998E-2</v>
      </c>
      <c r="AQ780" s="219">
        <v>0.53109968140302954</v>
      </c>
      <c r="AR780" s="213" t="s">
        <v>1827</v>
      </c>
      <c r="AU780" s="343"/>
      <c r="AV780" s="343"/>
      <c r="AW780" s="328"/>
      <c r="AX780" s="329"/>
      <c r="AY780" s="328"/>
      <c r="AZ780" s="328"/>
      <c r="BA780" s="330"/>
      <c r="BB780" s="328"/>
      <c r="BC780" s="328"/>
      <c r="BD780" s="328"/>
      <c r="BE780" s="330"/>
      <c r="BF780" s="330"/>
      <c r="BG780" s="344"/>
      <c r="BH780" s="383"/>
      <c r="BI780" s="330"/>
      <c r="BJ780" s="330"/>
      <c r="BK780" s="330"/>
      <c r="BL780" s="330"/>
      <c r="BM780" s="330"/>
      <c r="BN780" s="330"/>
      <c r="BO780" s="330"/>
      <c r="BP780" s="331"/>
      <c r="BQ780" s="332"/>
      <c r="BR780" s="333"/>
    </row>
    <row r="781" spans="2:70" ht="15.75" customHeight="1">
      <c r="B781" s="216" t="s">
        <v>518</v>
      </c>
      <c r="C781" s="212">
        <v>774879</v>
      </c>
      <c r="D781" s="223">
        <v>17759778000181</v>
      </c>
      <c r="E781" s="217" t="s">
        <v>28</v>
      </c>
      <c r="F781" s="217" t="s">
        <v>950</v>
      </c>
      <c r="G781" s="217"/>
      <c r="H781" s="218"/>
      <c r="I781" s="217" t="s">
        <v>66</v>
      </c>
      <c r="J781" s="217" t="s">
        <v>66</v>
      </c>
      <c r="K781" s="218" t="s">
        <v>951</v>
      </c>
      <c r="L781" s="212" t="s">
        <v>87</v>
      </c>
      <c r="M781" s="250"/>
      <c r="N781" s="239">
        <v>41402</v>
      </c>
      <c r="O781" s="210" t="s">
        <v>519</v>
      </c>
      <c r="P781" s="210" t="s">
        <v>1075</v>
      </c>
      <c r="Q781" s="210" t="s">
        <v>1076</v>
      </c>
      <c r="R781" s="210" t="s">
        <v>1084</v>
      </c>
      <c r="S781" s="210" t="s">
        <v>1078</v>
      </c>
      <c r="T781" s="210" t="s">
        <v>1079</v>
      </c>
      <c r="U781" s="210" t="s">
        <v>957</v>
      </c>
      <c r="V781" s="210" t="s">
        <v>1080</v>
      </c>
      <c r="W781" s="211" t="s">
        <v>1007</v>
      </c>
      <c r="X781" s="211">
        <v>1000</v>
      </c>
      <c r="Y781" s="211">
        <v>1000</v>
      </c>
      <c r="Z781" s="212">
        <v>100</v>
      </c>
      <c r="AA781" s="240">
        <v>32</v>
      </c>
      <c r="AB781" s="213">
        <v>0.02</v>
      </c>
      <c r="AC781" s="213">
        <v>0.2</v>
      </c>
      <c r="AD781" s="213" t="s">
        <v>113</v>
      </c>
      <c r="AE781" s="213">
        <v>5.3333333333333332E-3</v>
      </c>
      <c r="AF781" s="241">
        <v>54029962.399999999</v>
      </c>
      <c r="AG781" s="241">
        <v>54029962.399999999</v>
      </c>
      <c r="AH781" s="213">
        <v>-4.3999999999999997E-2</v>
      </c>
      <c r="AI781" s="352">
        <v>-0.67800000000000005</v>
      </c>
      <c r="AJ781" s="213">
        <v>-0.1394</v>
      </c>
      <c r="AK781" s="352">
        <v>-1.4821</v>
      </c>
      <c r="AL781" s="213">
        <v>-9.5500000000000002E-2</v>
      </c>
      <c r="AM781" s="352">
        <v>-0.79059999999999997</v>
      </c>
      <c r="AN781" s="213">
        <v>9.8100000000000007E-2</v>
      </c>
      <c r="AO781" s="352">
        <v>0.58220000000000005</v>
      </c>
      <c r="AP781" s="213">
        <v>0.17960000000000001</v>
      </c>
      <c r="AQ781" s="219">
        <v>-1.2471411644464647</v>
      </c>
      <c r="AR781" s="213" t="s">
        <v>1824</v>
      </c>
      <c r="AV781" s="343"/>
      <c r="AW781" s="328"/>
      <c r="AX781" s="329"/>
      <c r="AY781" s="328"/>
      <c r="AZ781" s="328"/>
      <c r="BA781" s="330"/>
      <c r="BB781" s="328"/>
      <c r="BC781" s="328"/>
      <c r="BD781" s="328"/>
      <c r="BE781" s="330"/>
      <c r="BF781" s="330"/>
      <c r="BG781" s="344"/>
      <c r="BH781" s="330"/>
      <c r="BI781" s="330"/>
      <c r="BJ781" s="330"/>
      <c r="BK781" s="330"/>
      <c r="BL781" s="330"/>
      <c r="BM781" s="330"/>
      <c r="BN781" s="330"/>
      <c r="BO781" s="330"/>
      <c r="BP781" s="331"/>
      <c r="BQ781" s="332"/>
      <c r="BR781" s="333"/>
    </row>
    <row r="782" spans="2:70" ht="15.75" customHeight="1">
      <c r="B782" s="216" t="s">
        <v>1506</v>
      </c>
      <c r="C782" s="212">
        <v>552336</v>
      </c>
      <c r="D782" s="223">
        <v>30910057000199</v>
      </c>
      <c r="E782" s="217" t="s">
        <v>25</v>
      </c>
      <c r="F782" s="217" t="s">
        <v>959</v>
      </c>
      <c r="G782" s="217" t="s">
        <v>960</v>
      </c>
      <c r="H782" s="218" t="s">
        <v>66</v>
      </c>
      <c r="I782" s="217" t="s">
        <v>1842</v>
      </c>
      <c r="J782" s="217" t="s">
        <v>66</v>
      </c>
      <c r="K782" s="218" t="s">
        <v>951</v>
      </c>
      <c r="L782" s="212" t="s">
        <v>87</v>
      </c>
      <c r="M782" s="250"/>
      <c r="N782" s="239">
        <v>43343</v>
      </c>
      <c r="O782" s="210" t="s">
        <v>519</v>
      </c>
      <c r="P782" s="210" t="s">
        <v>1075</v>
      </c>
      <c r="Q782" s="210" t="s">
        <v>1076</v>
      </c>
      <c r="R782" s="210" t="s">
        <v>1084</v>
      </c>
      <c r="S782" s="210" t="s">
        <v>1078</v>
      </c>
      <c r="T782" s="210" t="s">
        <v>1082</v>
      </c>
      <c r="U782" s="210" t="s">
        <v>1086</v>
      </c>
      <c r="V782" s="210" t="s">
        <v>25</v>
      </c>
      <c r="W782" s="211" t="s">
        <v>1023</v>
      </c>
      <c r="X782" s="211">
        <v>1000</v>
      </c>
      <c r="Y782" s="211">
        <v>1000</v>
      </c>
      <c r="Z782" s="212">
        <v>100</v>
      </c>
      <c r="AA782" s="240">
        <v>32</v>
      </c>
      <c r="AB782" s="213">
        <v>0.02</v>
      </c>
      <c r="AC782" s="213">
        <v>0.2</v>
      </c>
      <c r="AD782" s="213" t="s">
        <v>109</v>
      </c>
      <c r="AE782" s="213">
        <v>5.3333333333333332E-3</v>
      </c>
      <c r="AF782" s="241">
        <v>12543457.710000001</v>
      </c>
      <c r="AG782" s="241">
        <v>12543457.710000001</v>
      </c>
      <c r="AH782" s="213">
        <v>-2.6200000000000001E-2</v>
      </c>
      <c r="AI782" s="352">
        <v>-0.40350000000000003</v>
      </c>
      <c r="AJ782" s="213">
        <v>-0.1133</v>
      </c>
      <c r="AK782" s="352">
        <v>-1.2044999999999999</v>
      </c>
      <c r="AL782" s="213">
        <v>-0.108</v>
      </c>
      <c r="AM782" s="352">
        <v>-0.89400000000000002</v>
      </c>
      <c r="AN782" s="213">
        <v>-5.3600000000000002E-2</v>
      </c>
      <c r="AO782" s="352">
        <v>-0.31790000000000002</v>
      </c>
      <c r="AP782" s="213">
        <v>0.20230000000000001</v>
      </c>
      <c r="AQ782" s="219">
        <v>-0.93837196782581256</v>
      </c>
      <c r="AR782" s="213" t="s">
        <v>1827</v>
      </c>
      <c r="AV782" s="343"/>
      <c r="AW782" s="328"/>
      <c r="AX782" s="329"/>
      <c r="AY782" s="328"/>
      <c r="AZ782" s="328"/>
      <c r="BA782" s="330"/>
      <c r="BB782" s="328"/>
      <c r="BC782" s="328"/>
      <c r="BD782" s="328"/>
      <c r="BE782" s="330"/>
      <c r="BF782" s="330"/>
      <c r="BG782" s="344"/>
      <c r="BH782" s="330"/>
      <c r="BI782" s="330"/>
      <c r="BJ782" s="330"/>
      <c r="BK782" s="330"/>
      <c r="BL782" s="330"/>
      <c r="BM782" s="330"/>
      <c r="BN782" s="330"/>
      <c r="BO782" s="330"/>
      <c r="BP782" s="331"/>
      <c r="BQ782" s="332"/>
      <c r="BR782" s="333"/>
    </row>
    <row r="783" spans="2:70" ht="15.75" customHeight="1">
      <c r="B783" s="216" t="s">
        <v>835</v>
      </c>
      <c r="C783" s="212">
        <v>615896</v>
      </c>
      <c r="D783" s="223">
        <v>41287460000120</v>
      </c>
      <c r="E783" s="217" t="s">
        <v>25</v>
      </c>
      <c r="F783" s="217" t="s">
        <v>959</v>
      </c>
      <c r="G783" s="217" t="s">
        <v>960</v>
      </c>
      <c r="H783" s="218" t="s">
        <v>66</v>
      </c>
      <c r="I783" s="217" t="s">
        <v>1259</v>
      </c>
      <c r="J783" s="217" t="s">
        <v>66</v>
      </c>
      <c r="K783" s="218" t="s">
        <v>951</v>
      </c>
      <c r="L783" s="212" t="s">
        <v>87</v>
      </c>
      <c r="M783" s="250"/>
      <c r="N783" s="239">
        <v>44301</v>
      </c>
      <c r="O783" s="210" t="s">
        <v>519</v>
      </c>
      <c r="P783" s="210" t="s">
        <v>1075</v>
      </c>
      <c r="Q783" s="210" t="s">
        <v>1076</v>
      </c>
      <c r="R783" s="210" t="s">
        <v>1084</v>
      </c>
      <c r="S783" s="210" t="s">
        <v>1078</v>
      </c>
      <c r="T783" s="210" t="s">
        <v>1082</v>
      </c>
      <c r="U783" s="210" t="s">
        <v>1086</v>
      </c>
      <c r="V783" s="210" t="s">
        <v>1080</v>
      </c>
      <c r="W783" s="211" t="s">
        <v>1007</v>
      </c>
      <c r="X783" s="211">
        <v>100</v>
      </c>
      <c r="Y783" s="211">
        <v>100</v>
      </c>
      <c r="Z783" s="212">
        <v>0</v>
      </c>
      <c r="AA783" s="240">
        <v>32</v>
      </c>
      <c r="AB783" s="213">
        <v>0.02</v>
      </c>
      <c r="AC783" s="213">
        <v>0.2</v>
      </c>
      <c r="AD783" s="213" t="s">
        <v>113</v>
      </c>
      <c r="AE783" s="213">
        <v>5.3333333333333332E-3</v>
      </c>
      <c r="AF783" s="241">
        <v>18659317.93</v>
      </c>
      <c r="AG783" s="241">
        <v>18659317.93</v>
      </c>
      <c r="AH783" s="213">
        <v>-8.2900000000000001E-2</v>
      </c>
      <c r="AI783" s="352">
        <v>-1.2763</v>
      </c>
      <c r="AJ783" s="213">
        <v>-0.12870000000000001</v>
      </c>
      <c r="AK783" s="352">
        <v>-1.3673999999999999</v>
      </c>
      <c r="AL783" s="213" t="s">
        <v>66</v>
      </c>
      <c r="AM783" s="352" t="s">
        <v>66</v>
      </c>
      <c r="AN783" s="213" t="s">
        <v>66</v>
      </c>
      <c r="AO783" s="352" t="s">
        <v>66</v>
      </c>
      <c r="AP783" s="213">
        <v>6.93E-2</v>
      </c>
      <c r="AQ783" s="219">
        <v>-3.2505329864729404</v>
      </c>
      <c r="AR783" s="213" t="s">
        <v>1827</v>
      </c>
      <c r="AV783" s="343"/>
      <c r="AW783" s="328"/>
      <c r="AX783" s="329"/>
      <c r="AY783" s="328"/>
      <c r="AZ783" s="328"/>
      <c r="BA783" s="330"/>
      <c r="BB783" s="328"/>
      <c r="BC783" s="328"/>
      <c r="BD783" s="328"/>
      <c r="BE783" s="330"/>
      <c r="BF783" s="330"/>
      <c r="BG783" s="344"/>
      <c r="BH783" s="330"/>
      <c r="BI783" s="330"/>
      <c r="BJ783" s="330"/>
      <c r="BK783" s="330"/>
      <c r="BL783" s="330"/>
      <c r="BM783" s="330"/>
      <c r="BN783" s="330"/>
      <c r="BO783" s="330"/>
      <c r="BP783" s="331"/>
      <c r="BQ783" s="332"/>
      <c r="BR783" s="333"/>
    </row>
    <row r="784" spans="2:70" ht="15.75" customHeight="1">
      <c r="B784" s="216" t="s">
        <v>1507</v>
      </c>
      <c r="C784" s="212">
        <v>615883</v>
      </c>
      <c r="D784" s="223">
        <v>39731692000183</v>
      </c>
      <c r="E784" s="217" t="s">
        <v>28</v>
      </c>
      <c r="F784" s="217" t="s">
        <v>950</v>
      </c>
      <c r="G784" s="217"/>
      <c r="H784" s="218"/>
      <c r="I784" s="217" t="s">
        <v>66</v>
      </c>
      <c r="J784" s="217" t="s">
        <v>66</v>
      </c>
      <c r="K784" s="218" t="s">
        <v>951</v>
      </c>
      <c r="L784" s="212" t="s">
        <v>87</v>
      </c>
      <c r="M784" s="250"/>
      <c r="N784" s="239">
        <v>44181</v>
      </c>
      <c r="O784" s="210" t="s">
        <v>1508</v>
      </c>
      <c r="P784" s="210" t="s">
        <v>1075</v>
      </c>
      <c r="Q784" s="210" t="s">
        <v>1076</v>
      </c>
      <c r="R784" s="210" t="s">
        <v>1084</v>
      </c>
      <c r="S784" s="210" t="s">
        <v>1078</v>
      </c>
      <c r="T784" s="210" t="s">
        <v>1079</v>
      </c>
      <c r="U784" s="210" t="s">
        <v>950</v>
      </c>
      <c r="V784" s="210" t="s">
        <v>25</v>
      </c>
      <c r="W784" s="211" t="s">
        <v>1016</v>
      </c>
      <c r="X784" s="211">
        <v>1000</v>
      </c>
      <c r="Y784" s="211">
        <v>1000</v>
      </c>
      <c r="Z784" s="212">
        <v>1000</v>
      </c>
      <c r="AA784" s="240">
        <v>32</v>
      </c>
      <c r="AB784" s="213">
        <v>1.46E-2</v>
      </c>
      <c r="AC784" s="213">
        <v>0.25</v>
      </c>
      <c r="AD784" s="213" t="s">
        <v>113</v>
      </c>
      <c r="AE784" s="213" t="s">
        <v>66</v>
      </c>
      <c r="AF784" s="241">
        <v>7838734.1900000004</v>
      </c>
      <c r="AG784" s="241">
        <v>7838734.1900000004</v>
      </c>
      <c r="AH784" s="213">
        <v>-0.12720000000000001</v>
      </c>
      <c r="AI784" s="352">
        <v>-1.96</v>
      </c>
      <c r="AJ784" s="213">
        <v>-0.31850000000000001</v>
      </c>
      <c r="AK784" s="352">
        <v>-3.3849999999999998</v>
      </c>
      <c r="AL784" s="213" t="s">
        <v>66</v>
      </c>
      <c r="AM784" s="352" t="s">
        <v>66</v>
      </c>
      <c r="AN784" s="213" t="s">
        <v>66</v>
      </c>
      <c r="AO784" s="352" t="s">
        <v>66</v>
      </c>
      <c r="AP784" s="213">
        <v>0.23449999999999999</v>
      </c>
      <c r="AQ784" s="219">
        <v>-1.9003993898939335</v>
      </c>
      <c r="AR784" s="213" t="s">
        <v>1827</v>
      </c>
      <c r="AV784" s="343"/>
      <c r="AW784" s="328"/>
      <c r="AX784" s="329"/>
      <c r="AY784" s="328"/>
      <c r="AZ784" s="328"/>
      <c r="BA784" s="330"/>
      <c r="BB784" s="328"/>
      <c r="BC784" s="328"/>
      <c r="BD784" s="328"/>
      <c r="BE784" s="330"/>
      <c r="BF784" s="330"/>
      <c r="BG784" s="344"/>
      <c r="BH784" s="330"/>
      <c r="BI784" s="330"/>
      <c r="BJ784" s="330"/>
      <c r="BK784" s="330"/>
      <c r="BL784" s="330"/>
      <c r="BM784" s="330"/>
      <c r="BN784" s="330"/>
      <c r="BO784" s="330"/>
      <c r="BP784" s="331"/>
      <c r="BQ784" s="332"/>
      <c r="BR784" s="333"/>
    </row>
    <row r="785" spans="2:70" ht="15.75" customHeight="1">
      <c r="B785" s="216" t="s">
        <v>1509</v>
      </c>
      <c r="C785" s="212">
        <v>1326158</v>
      </c>
      <c r="D785" s="223">
        <v>31922843000179</v>
      </c>
      <c r="E785" s="217" t="s">
        <v>25</v>
      </c>
      <c r="F785" s="217" t="s">
        <v>959</v>
      </c>
      <c r="G785" s="217" t="s">
        <v>960</v>
      </c>
      <c r="H785" s="218" t="s">
        <v>66</v>
      </c>
      <c r="I785" s="217" t="s">
        <v>1259</v>
      </c>
      <c r="J785" s="217" t="s">
        <v>66</v>
      </c>
      <c r="K785" s="218" t="s">
        <v>951</v>
      </c>
      <c r="L785" s="212" t="s">
        <v>87</v>
      </c>
      <c r="M785" s="250"/>
      <c r="N785" s="239">
        <v>43434</v>
      </c>
      <c r="O785" s="210" t="s">
        <v>158</v>
      </c>
      <c r="P785" s="210" t="s">
        <v>1083</v>
      </c>
      <c r="Q785" s="210" t="s">
        <v>1091</v>
      </c>
      <c r="R785" s="210" t="s">
        <v>1084</v>
      </c>
      <c r="S785" s="210" t="s">
        <v>1078</v>
      </c>
      <c r="T785" s="210" t="s">
        <v>1082</v>
      </c>
      <c r="U785" s="210" t="s">
        <v>1086</v>
      </c>
      <c r="V785" s="210" t="s">
        <v>25</v>
      </c>
      <c r="W785" s="211" t="s">
        <v>1023</v>
      </c>
      <c r="X785" s="211">
        <v>1000</v>
      </c>
      <c r="Y785" s="211">
        <v>1000</v>
      </c>
      <c r="Z785" s="212">
        <v>1000</v>
      </c>
      <c r="AA785" s="240">
        <v>32</v>
      </c>
      <c r="AB785" s="213">
        <v>1.9E-2</v>
      </c>
      <c r="AC785" s="213">
        <v>0.2</v>
      </c>
      <c r="AD785" s="213" t="s">
        <v>109</v>
      </c>
      <c r="AE785" s="213" t="s">
        <v>66</v>
      </c>
      <c r="AF785" s="241">
        <v>25779990.350000001</v>
      </c>
      <c r="AG785" s="241">
        <v>25779990.350000001</v>
      </c>
      <c r="AH785" s="213">
        <v>4.6899999999999997E-2</v>
      </c>
      <c r="AI785" s="352">
        <v>0.72289999999999999</v>
      </c>
      <c r="AJ785" s="213">
        <v>5.11E-2</v>
      </c>
      <c r="AK785" s="352">
        <v>0.54290000000000005</v>
      </c>
      <c r="AL785" s="213">
        <v>0.1414</v>
      </c>
      <c r="AM785" s="352">
        <v>1.1702999999999999</v>
      </c>
      <c r="AN785" s="213">
        <v>0.22159999999999999</v>
      </c>
      <c r="AO785" s="352">
        <v>1.3152999999999999</v>
      </c>
      <c r="AP785" s="213">
        <v>5.1299999999999998E-2</v>
      </c>
      <c r="AQ785" s="219">
        <v>-0.75645099626227386</v>
      </c>
      <c r="AR785" s="213" t="s">
        <v>1827</v>
      </c>
      <c r="AV785" s="343"/>
      <c r="AW785" s="328"/>
      <c r="AX785" s="329"/>
      <c r="AY785" s="328"/>
      <c r="AZ785" s="328"/>
      <c r="BA785" s="330"/>
      <c r="BB785" s="328"/>
      <c r="BC785" s="328"/>
      <c r="BD785" s="328"/>
      <c r="BE785" s="330"/>
      <c r="BF785" s="330"/>
      <c r="BG785" s="344"/>
      <c r="BH785" s="330"/>
      <c r="BI785" s="330"/>
      <c r="BJ785" s="330"/>
      <c r="BK785" s="330"/>
      <c r="BL785" s="330"/>
      <c r="BM785" s="330"/>
      <c r="BN785" s="330"/>
      <c r="BO785" s="330"/>
      <c r="BP785" s="331"/>
      <c r="BQ785" s="332"/>
      <c r="BR785" s="333"/>
    </row>
    <row r="786" spans="2:70" ht="15.75" customHeight="1">
      <c r="B786" s="216" t="s">
        <v>1510</v>
      </c>
      <c r="C786" s="212">
        <v>2864737</v>
      </c>
      <c r="D786" s="223">
        <v>16816153000141</v>
      </c>
      <c r="E786" s="217" t="s">
        <v>28</v>
      </c>
      <c r="F786" s="217" t="s">
        <v>950</v>
      </c>
      <c r="G786" s="217"/>
      <c r="H786" s="218"/>
      <c r="I786" s="217" t="s">
        <v>66</v>
      </c>
      <c r="J786" s="217" t="s">
        <v>66</v>
      </c>
      <c r="K786" s="218" t="s">
        <v>951</v>
      </c>
      <c r="L786" s="212" t="s">
        <v>87</v>
      </c>
      <c r="M786" s="250"/>
      <c r="N786" s="239">
        <v>41214</v>
      </c>
      <c r="O786" s="210" t="s">
        <v>158</v>
      </c>
      <c r="P786" s="210" t="s">
        <v>1083</v>
      </c>
      <c r="Q786" s="210" t="s">
        <v>102</v>
      </c>
      <c r="R786" s="210" t="s">
        <v>1077</v>
      </c>
      <c r="S786" s="210" t="s">
        <v>1078</v>
      </c>
      <c r="T786" s="210" t="s">
        <v>1079</v>
      </c>
      <c r="U786" s="210" t="s">
        <v>950</v>
      </c>
      <c r="V786" s="210" t="s">
        <v>1080</v>
      </c>
      <c r="W786" s="211" t="s">
        <v>1007</v>
      </c>
      <c r="X786" s="211">
        <v>1000</v>
      </c>
      <c r="Y786" s="211">
        <v>1000</v>
      </c>
      <c r="Z786" s="212">
        <v>1000</v>
      </c>
      <c r="AA786" s="240">
        <v>184</v>
      </c>
      <c r="AB786" s="213">
        <v>0.01</v>
      </c>
      <c r="AC786" s="213">
        <v>0.3</v>
      </c>
      <c r="AD786" s="213" t="s">
        <v>1039</v>
      </c>
      <c r="AE786" s="213" t="s">
        <v>66</v>
      </c>
      <c r="AF786" s="241">
        <v>399278941.73000002</v>
      </c>
      <c r="AG786" s="241">
        <v>399278941.73000002</v>
      </c>
      <c r="AH786" s="213">
        <v>-0.27950000000000003</v>
      </c>
      <c r="AI786" s="352">
        <v>-4.3053999999999997</v>
      </c>
      <c r="AJ786" s="213">
        <v>-0.39760000000000001</v>
      </c>
      <c r="AK786" s="352">
        <v>-4.2257999999999996</v>
      </c>
      <c r="AL786" s="213">
        <v>-0.17760000000000001</v>
      </c>
      <c r="AM786" s="352">
        <v>-1.4698</v>
      </c>
      <c r="AN786" s="213">
        <v>-4.8599999999999997E-2</v>
      </c>
      <c r="AO786" s="352">
        <v>-0.28849999999999998</v>
      </c>
      <c r="AP786" s="213">
        <v>0.31619999999999998</v>
      </c>
      <c r="AQ786" s="219">
        <v>-1.7282131685019098</v>
      </c>
      <c r="AR786" s="213" t="s">
        <v>1827</v>
      </c>
      <c r="AV786" s="343"/>
      <c r="AW786" s="328"/>
      <c r="AX786" s="329"/>
      <c r="AY786" s="328"/>
      <c r="AZ786" s="328"/>
      <c r="BA786" s="330"/>
      <c r="BB786" s="328"/>
      <c r="BC786" s="328"/>
      <c r="BD786" s="328"/>
      <c r="BE786" s="330"/>
      <c r="BF786" s="330"/>
      <c r="BG786" s="344"/>
      <c r="BH786" s="330"/>
      <c r="BI786" s="330"/>
      <c r="BJ786" s="330"/>
      <c r="BK786" s="330"/>
      <c r="BL786" s="330"/>
      <c r="BM786" s="330"/>
      <c r="BN786" s="330"/>
      <c r="BO786" s="330"/>
      <c r="BP786" s="331"/>
      <c r="BQ786" s="332"/>
      <c r="BR786" s="333"/>
    </row>
    <row r="787" spans="2:70" ht="15.75" customHeight="1">
      <c r="B787" s="216" t="s">
        <v>520</v>
      </c>
      <c r="C787" s="212">
        <v>848263</v>
      </c>
      <c r="D787" s="223">
        <v>29994491000115</v>
      </c>
      <c r="E787" s="217" t="s">
        <v>28</v>
      </c>
      <c r="F787" s="217" t="s">
        <v>950</v>
      </c>
      <c r="G787" s="217"/>
      <c r="H787" s="218"/>
      <c r="I787" s="217" t="s">
        <v>66</v>
      </c>
      <c r="J787" s="217" t="s">
        <v>66</v>
      </c>
      <c r="K787" s="218" t="s">
        <v>951</v>
      </c>
      <c r="L787" s="212" t="s">
        <v>87</v>
      </c>
      <c r="M787" s="250"/>
      <c r="N787" s="239">
        <v>43453</v>
      </c>
      <c r="O787" s="210" t="s">
        <v>158</v>
      </c>
      <c r="P787" s="210" t="s">
        <v>1083</v>
      </c>
      <c r="Q787" s="210" t="s">
        <v>102</v>
      </c>
      <c r="R787" s="210" t="s">
        <v>1084</v>
      </c>
      <c r="S787" s="210" t="s">
        <v>1085</v>
      </c>
      <c r="T787" s="210" t="s">
        <v>1079</v>
      </c>
      <c r="U787" s="210" t="s">
        <v>950</v>
      </c>
      <c r="V787" s="210" t="s">
        <v>1080</v>
      </c>
      <c r="W787" s="211" t="s">
        <v>1007</v>
      </c>
      <c r="X787" s="211">
        <v>5000</v>
      </c>
      <c r="Y787" s="211">
        <v>1000</v>
      </c>
      <c r="Z787" s="212">
        <v>1</v>
      </c>
      <c r="AA787" s="240">
        <v>63</v>
      </c>
      <c r="AB787" s="213">
        <v>0.02</v>
      </c>
      <c r="AC787" s="213">
        <v>0.2</v>
      </c>
      <c r="AD787" s="213" t="s">
        <v>1014</v>
      </c>
      <c r="AE787" s="213">
        <v>5.3333333333333332E-3</v>
      </c>
      <c r="AF787" s="241">
        <v>35518445.090000004</v>
      </c>
      <c r="AG787" s="241">
        <v>35518445.090000004</v>
      </c>
      <c r="AH787" s="213">
        <v>-0.2843</v>
      </c>
      <c r="AI787" s="352">
        <v>-4.3787000000000003</v>
      </c>
      <c r="AJ787" s="213">
        <v>-0.41489999999999999</v>
      </c>
      <c r="AK787" s="352">
        <v>-4.4103000000000003</v>
      </c>
      <c r="AL787" s="213">
        <v>-0.19170000000000001</v>
      </c>
      <c r="AM787" s="352">
        <v>-1.5867</v>
      </c>
      <c r="AN787" s="213">
        <v>-7.0300000000000001E-2</v>
      </c>
      <c r="AO787" s="352">
        <v>-0.4173</v>
      </c>
      <c r="AP787" s="213">
        <v>0.31969999999999998</v>
      </c>
      <c r="AQ787" s="219">
        <v>-1.7970482813975619</v>
      </c>
      <c r="AR787" s="213" t="s">
        <v>1827</v>
      </c>
      <c r="AV787" s="343"/>
      <c r="AW787" s="328"/>
      <c r="AX787" s="329"/>
      <c r="AY787" s="328"/>
      <c r="AZ787" s="328"/>
      <c r="BA787" s="330"/>
      <c r="BB787" s="328"/>
      <c r="BC787" s="328"/>
      <c r="BD787" s="328"/>
      <c r="BE787" s="330"/>
      <c r="BF787" s="330"/>
      <c r="BG787" s="344"/>
      <c r="BH787" s="330"/>
      <c r="BI787" s="330"/>
      <c r="BJ787" s="330"/>
      <c r="BK787" s="330"/>
      <c r="BL787" s="330"/>
      <c r="BM787" s="330"/>
      <c r="BN787" s="330"/>
      <c r="BO787" s="330"/>
      <c r="BP787" s="331"/>
      <c r="BQ787" s="332"/>
      <c r="BR787" s="333"/>
    </row>
    <row r="788" spans="2:70" ht="15.75" customHeight="1">
      <c r="B788" s="216" t="s">
        <v>1511</v>
      </c>
      <c r="C788" s="212">
        <v>1327078</v>
      </c>
      <c r="D788" s="223">
        <v>8771538000101</v>
      </c>
      <c r="E788" s="217" t="s">
        <v>25</v>
      </c>
      <c r="F788" s="217" t="s">
        <v>959</v>
      </c>
      <c r="G788" s="217" t="s">
        <v>962</v>
      </c>
      <c r="H788" s="218" t="s">
        <v>66</v>
      </c>
      <c r="I788" s="217" t="s">
        <v>1259</v>
      </c>
      <c r="J788" s="217" t="s">
        <v>66</v>
      </c>
      <c r="K788" s="218"/>
      <c r="L788" s="212" t="s">
        <v>87</v>
      </c>
      <c r="M788" s="250"/>
      <c r="N788" s="239">
        <v>39407</v>
      </c>
      <c r="O788" s="210" t="s">
        <v>158</v>
      </c>
      <c r="P788" s="210" t="s">
        <v>1083</v>
      </c>
      <c r="Q788" s="210" t="s">
        <v>102</v>
      </c>
      <c r="R788" s="210" t="s">
        <v>1084</v>
      </c>
      <c r="S788" s="210" t="s">
        <v>1078</v>
      </c>
      <c r="T788" s="210" t="s">
        <v>1082</v>
      </c>
      <c r="U788" s="210" t="s">
        <v>1086</v>
      </c>
      <c r="V788" s="210" t="s">
        <v>25</v>
      </c>
      <c r="W788" s="211" t="s">
        <v>1012</v>
      </c>
      <c r="X788" s="211">
        <v>1000</v>
      </c>
      <c r="Y788" s="211">
        <v>1000</v>
      </c>
      <c r="Z788" s="212">
        <v>1000</v>
      </c>
      <c r="AA788" s="240">
        <v>31</v>
      </c>
      <c r="AB788" s="213">
        <v>0.02</v>
      </c>
      <c r="AC788" s="213">
        <v>0.2</v>
      </c>
      <c r="AD788" s="213" t="s">
        <v>109</v>
      </c>
      <c r="AE788" s="213">
        <v>5.3333333333333332E-3</v>
      </c>
      <c r="AF788" s="241">
        <v>408282531.44</v>
      </c>
      <c r="AG788" s="241">
        <v>408282531.44</v>
      </c>
      <c r="AH788" s="213">
        <v>9.5000000000000001E-2</v>
      </c>
      <c r="AI788" s="352">
        <v>1.4625999999999999</v>
      </c>
      <c r="AJ788" s="213">
        <v>5.9400000000000001E-2</v>
      </c>
      <c r="AK788" s="352">
        <v>0.63149999999999995</v>
      </c>
      <c r="AL788" s="213">
        <v>0.1386</v>
      </c>
      <c r="AM788" s="352">
        <v>1.1471</v>
      </c>
      <c r="AN788" s="213">
        <v>0.27110000000000001</v>
      </c>
      <c r="AO788" s="352">
        <v>1.6087</v>
      </c>
      <c r="AP788" s="213">
        <v>5.5599999999999997E-2</v>
      </c>
      <c r="AQ788" s="219">
        <v>-0.55178344138481605</v>
      </c>
      <c r="AR788" s="213" t="s">
        <v>1827</v>
      </c>
      <c r="AU788" s="343"/>
      <c r="AV788" s="343"/>
      <c r="AW788" s="328"/>
      <c r="AX788" s="329"/>
      <c r="AY788" s="328"/>
      <c r="AZ788" s="328"/>
      <c r="BA788" s="330"/>
      <c r="BB788" s="328"/>
      <c r="BC788" s="328"/>
      <c r="BD788" s="328"/>
      <c r="BE788" s="330"/>
      <c r="BF788" s="330"/>
      <c r="BG788" s="344"/>
      <c r="BH788" s="383"/>
      <c r="BI788" s="330"/>
      <c r="BJ788" s="330"/>
      <c r="BK788" s="330"/>
      <c r="BL788" s="330"/>
      <c r="BM788" s="330"/>
      <c r="BN788" s="330"/>
      <c r="BO788" s="330"/>
      <c r="BP788" s="331"/>
      <c r="BQ788" s="332"/>
      <c r="BR788" s="333"/>
    </row>
    <row r="789" spans="2:70" ht="15.75" customHeight="1">
      <c r="B789" s="216" t="s">
        <v>521</v>
      </c>
      <c r="C789" s="212">
        <v>2341078</v>
      </c>
      <c r="D789" s="223">
        <v>26218614000138</v>
      </c>
      <c r="E789" s="217" t="s">
        <v>28</v>
      </c>
      <c r="F789" s="217" t="s">
        <v>950</v>
      </c>
      <c r="G789" s="217"/>
      <c r="H789" s="218"/>
      <c r="I789" s="217" t="s">
        <v>66</v>
      </c>
      <c r="J789" s="217" t="s">
        <v>66</v>
      </c>
      <c r="K789" s="218" t="s">
        <v>951</v>
      </c>
      <c r="L789" s="212" t="s">
        <v>87</v>
      </c>
      <c r="M789" s="250"/>
      <c r="N789" s="239">
        <v>42782</v>
      </c>
      <c r="O789" s="210" t="s">
        <v>158</v>
      </c>
      <c r="P789" s="210" t="s">
        <v>1083</v>
      </c>
      <c r="Q789" s="210" t="s">
        <v>102</v>
      </c>
      <c r="R789" s="210" t="s">
        <v>1084</v>
      </c>
      <c r="S789" s="210" t="s">
        <v>1078</v>
      </c>
      <c r="T789" s="210" t="s">
        <v>1079</v>
      </c>
      <c r="U789" s="210" t="s">
        <v>950</v>
      </c>
      <c r="V789" s="210" t="s">
        <v>1080</v>
      </c>
      <c r="W789" s="211" t="s">
        <v>1013</v>
      </c>
      <c r="X789" s="211">
        <v>1000</v>
      </c>
      <c r="Y789" s="211">
        <v>1000</v>
      </c>
      <c r="Z789" s="212">
        <v>1000</v>
      </c>
      <c r="AA789" s="240">
        <v>32</v>
      </c>
      <c r="AB789" s="213">
        <v>0.02</v>
      </c>
      <c r="AC789" s="213">
        <v>0.2</v>
      </c>
      <c r="AD789" s="213" t="s">
        <v>1014</v>
      </c>
      <c r="AE789" s="213">
        <v>5.3333333333333332E-3</v>
      </c>
      <c r="AF789" s="241">
        <v>83269238.629999995</v>
      </c>
      <c r="AG789" s="241">
        <v>83269238.629999995</v>
      </c>
      <c r="AH789" s="213">
        <v>-0.1041</v>
      </c>
      <c r="AI789" s="352">
        <v>-1.6031</v>
      </c>
      <c r="AJ789" s="213">
        <v>-0.32529999999999998</v>
      </c>
      <c r="AK789" s="352">
        <v>-3.4573</v>
      </c>
      <c r="AL789" s="213">
        <v>-0.1618</v>
      </c>
      <c r="AM789" s="352">
        <v>-1.3391999999999999</v>
      </c>
      <c r="AN789" s="213">
        <v>-0.13589999999999999</v>
      </c>
      <c r="AO789" s="352">
        <v>-0.80630000000000002</v>
      </c>
      <c r="AP789" s="213">
        <v>0.26119999999999999</v>
      </c>
      <c r="AQ789" s="219">
        <v>-1.7195330316418544</v>
      </c>
      <c r="AR789" s="213" t="s">
        <v>1824</v>
      </c>
      <c r="AV789" s="343"/>
      <c r="AW789" s="328"/>
      <c r="AX789" s="329"/>
      <c r="AY789" s="328"/>
      <c r="AZ789" s="328"/>
      <c r="BA789" s="330"/>
      <c r="BB789" s="328"/>
      <c r="BC789" s="328"/>
      <c r="BD789" s="328"/>
      <c r="BE789" s="330"/>
      <c r="BF789" s="330"/>
      <c r="BG789" s="344"/>
      <c r="BH789" s="330"/>
      <c r="BI789" s="330"/>
      <c r="BJ789" s="330"/>
      <c r="BK789" s="330"/>
      <c r="BL789" s="330"/>
      <c r="BM789" s="330"/>
      <c r="BN789" s="330"/>
      <c r="BO789" s="330"/>
      <c r="BP789" s="331"/>
      <c r="BQ789" s="332"/>
      <c r="BR789" s="333"/>
    </row>
    <row r="790" spans="2:70" ht="15.75" customHeight="1">
      <c r="B790" s="216" t="s">
        <v>522</v>
      </c>
      <c r="C790" s="212">
        <v>532467</v>
      </c>
      <c r="D790" s="223">
        <v>11961199000130</v>
      </c>
      <c r="E790" s="217" t="s">
        <v>28</v>
      </c>
      <c r="F790" s="217" t="s">
        <v>950</v>
      </c>
      <c r="G790" s="217"/>
      <c r="H790" s="218"/>
      <c r="I790" s="217" t="s">
        <v>66</v>
      </c>
      <c r="J790" s="217" t="s">
        <v>66</v>
      </c>
      <c r="K790" s="218" t="s">
        <v>951</v>
      </c>
      <c r="L790" s="212" t="s">
        <v>87</v>
      </c>
      <c r="M790" s="250"/>
      <c r="N790" s="239">
        <v>41037</v>
      </c>
      <c r="O790" s="210" t="s">
        <v>158</v>
      </c>
      <c r="P790" s="210" t="s">
        <v>1083</v>
      </c>
      <c r="Q790" s="210" t="s">
        <v>102</v>
      </c>
      <c r="R790" s="210" t="s">
        <v>1084</v>
      </c>
      <c r="S790" s="210" t="s">
        <v>1078</v>
      </c>
      <c r="T790" s="210" t="s">
        <v>1079</v>
      </c>
      <c r="U790" s="210" t="s">
        <v>950</v>
      </c>
      <c r="V790" s="210" t="s">
        <v>1080</v>
      </c>
      <c r="W790" s="211" t="s">
        <v>1013</v>
      </c>
      <c r="X790" s="211">
        <v>25000</v>
      </c>
      <c r="Y790" s="211">
        <v>5000</v>
      </c>
      <c r="Z790" s="212">
        <v>10000</v>
      </c>
      <c r="AA790" s="240">
        <v>32</v>
      </c>
      <c r="AB790" s="213">
        <v>1.2999999999999999E-2</v>
      </c>
      <c r="AC790" s="213">
        <v>0.2</v>
      </c>
      <c r="AD790" s="213" t="s">
        <v>1014</v>
      </c>
      <c r="AE790" s="213" t="s">
        <v>66</v>
      </c>
      <c r="AF790" s="241">
        <v>290448828.14999998</v>
      </c>
      <c r="AG790" s="241">
        <v>290448828.14999998</v>
      </c>
      <c r="AH790" s="213">
        <v>-0.10059999999999999</v>
      </c>
      <c r="AI790" s="352">
        <v>-1.5488999999999999</v>
      </c>
      <c r="AJ790" s="213">
        <v>-0.32050000000000001</v>
      </c>
      <c r="AK790" s="352">
        <v>-3.407</v>
      </c>
      <c r="AL790" s="213">
        <v>-0.15359999999999999</v>
      </c>
      <c r="AM790" s="352">
        <v>-1.2717000000000001</v>
      </c>
      <c r="AN790" s="213">
        <v>-0.1111</v>
      </c>
      <c r="AO790" s="352">
        <v>-0.6593</v>
      </c>
      <c r="AP790" s="213">
        <v>0.26190000000000002</v>
      </c>
      <c r="AQ790" s="219">
        <v>-1.6876730116685026</v>
      </c>
      <c r="AR790" s="213" t="s">
        <v>1827</v>
      </c>
      <c r="AV790" s="343"/>
      <c r="AW790" s="328"/>
      <c r="AX790" s="329"/>
      <c r="AY790" s="328"/>
      <c r="AZ790" s="328"/>
      <c r="BA790" s="330"/>
      <c r="BB790" s="328"/>
      <c r="BC790" s="328"/>
      <c r="BD790" s="328"/>
      <c r="BE790" s="330"/>
      <c r="BF790" s="330"/>
      <c r="BG790" s="344"/>
      <c r="BH790" s="330"/>
      <c r="BI790" s="330"/>
      <c r="BJ790" s="330"/>
      <c r="BK790" s="330"/>
      <c r="BL790" s="330"/>
      <c r="BM790" s="330"/>
      <c r="BN790" s="330"/>
      <c r="BO790" s="330"/>
      <c r="BP790" s="331"/>
      <c r="BQ790" s="332"/>
      <c r="BR790" s="333"/>
    </row>
    <row r="791" spans="2:70" ht="15.75" customHeight="1">
      <c r="B791" s="216" t="s">
        <v>74</v>
      </c>
      <c r="C791" s="212">
        <v>574998</v>
      </c>
      <c r="D791" s="223">
        <v>26324209000102</v>
      </c>
      <c r="E791" s="217" t="s">
        <v>25</v>
      </c>
      <c r="F791" s="217" t="s">
        <v>959</v>
      </c>
      <c r="G791" s="217" t="s">
        <v>960</v>
      </c>
      <c r="H791" s="218" t="s">
        <v>66</v>
      </c>
      <c r="I791" s="217" t="s">
        <v>1842</v>
      </c>
      <c r="J791" s="217" t="s">
        <v>66</v>
      </c>
      <c r="K791" s="218" t="s">
        <v>951</v>
      </c>
      <c r="L791" s="212" t="s">
        <v>87</v>
      </c>
      <c r="M791" s="250"/>
      <c r="N791" s="239">
        <v>42923</v>
      </c>
      <c r="O791" s="210" t="s">
        <v>158</v>
      </c>
      <c r="P791" s="210" t="s">
        <v>1083</v>
      </c>
      <c r="Q791" s="210" t="s">
        <v>102</v>
      </c>
      <c r="R791" s="210" t="s">
        <v>1077</v>
      </c>
      <c r="S791" s="210" t="s">
        <v>1078</v>
      </c>
      <c r="T791" s="210" t="s">
        <v>1082</v>
      </c>
      <c r="U791" s="210" t="s">
        <v>1086</v>
      </c>
      <c r="V791" s="210" t="s">
        <v>25</v>
      </c>
      <c r="W791" s="211" t="s">
        <v>1012</v>
      </c>
      <c r="X791" s="211">
        <v>10000</v>
      </c>
      <c r="Y791" s="211">
        <v>1000</v>
      </c>
      <c r="Z791" s="212">
        <v>1000</v>
      </c>
      <c r="AA791" s="240">
        <v>31</v>
      </c>
      <c r="AB791" s="213">
        <v>0.02</v>
      </c>
      <c r="AC791" s="213">
        <v>0.2</v>
      </c>
      <c r="AD791" s="213" t="s">
        <v>109</v>
      </c>
      <c r="AE791" s="213">
        <v>5.3333333333333332E-3</v>
      </c>
      <c r="AF791" s="241">
        <v>364744234.07999998</v>
      </c>
      <c r="AG791" s="241">
        <v>364744234.07999998</v>
      </c>
      <c r="AH791" s="213">
        <v>0.1144</v>
      </c>
      <c r="AI791" s="352">
        <v>1.762</v>
      </c>
      <c r="AJ791" s="213">
        <v>4.99E-2</v>
      </c>
      <c r="AK791" s="352">
        <v>0.53069999999999995</v>
      </c>
      <c r="AL791" s="213">
        <v>0.16309999999999999</v>
      </c>
      <c r="AM791" s="352">
        <v>1.3503000000000001</v>
      </c>
      <c r="AN791" s="213">
        <v>0.34839999999999999</v>
      </c>
      <c r="AO791" s="352">
        <v>2.0672999999999999</v>
      </c>
      <c r="AP791" s="213">
        <v>8.2699999999999996E-2</v>
      </c>
      <c r="AQ791" s="219">
        <v>-0.45705746244567291</v>
      </c>
      <c r="AR791" s="213" t="s">
        <v>1827</v>
      </c>
      <c r="AV791" s="343"/>
      <c r="AW791" s="328"/>
      <c r="AX791" s="329"/>
      <c r="AY791" s="328"/>
      <c r="AZ791" s="328"/>
      <c r="BA791" s="330"/>
      <c r="BB791" s="328"/>
      <c r="BC791" s="328"/>
      <c r="BD791" s="328"/>
      <c r="BE791" s="330"/>
      <c r="BF791" s="330"/>
      <c r="BG791" s="344"/>
      <c r="BH791" s="330"/>
      <c r="BI791" s="330"/>
      <c r="BJ791" s="330"/>
      <c r="BK791" s="330"/>
      <c r="BL791" s="330"/>
      <c r="BM791" s="330"/>
      <c r="BN791" s="330"/>
      <c r="BO791" s="330"/>
      <c r="BP791" s="331"/>
      <c r="BQ791" s="332"/>
      <c r="BR791" s="333"/>
    </row>
    <row r="792" spans="2:70" ht="15.75" customHeight="1">
      <c r="B792" s="216" t="s">
        <v>523</v>
      </c>
      <c r="C792" s="212">
        <v>944384</v>
      </c>
      <c r="D792" s="223">
        <v>35726805000100</v>
      </c>
      <c r="E792" s="217" t="s">
        <v>19</v>
      </c>
      <c r="F792" s="217" t="s">
        <v>963</v>
      </c>
      <c r="G792" s="217" t="s">
        <v>1011</v>
      </c>
      <c r="H792" s="218" t="s">
        <v>1113</v>
      </c>
      <c r="I792" s="217" t="s">
        <v>66</v>
      </c>
      <c r="J792" s="217" t="s">
        <v>1794</v>
      </c>
      <c r="K792" s="218" t="s">
        <v>951</v>
      </c>
      <c r="L792" s="212" t="s">
        <v>87</v>
      </c>
      <c r="M792" s="250"/>
      <c r="N792" s="239">
        <v>43846</v>
      </c>
      <c r="O792" s="210" t="s">
        <v>524</v>
      </c>
      <c r="P792" s="210" t="s">
        <v>1075</v>
      </c>
      <c r="Q792" s="210" t="s">
        <v>1076</v>
      </c>
      <c r="R792" s="210" t="s">
        <v>1084</v>
      </c>
      <c r="S792" s="210" t="s">
        <v>1078</v>
      </c>
      <c r="T792" s="210" t="s">
        <v>349</v>
      </c>
      <c r="U792" s="210" t="s">
        <v>1114</v>
      </c>
      <c r="V792" s="210" t="s">
        <v>19</v>
      </c>
      <c r="W792" s="211" t="s">
        <v>1017</v>
      </c>
      <c r="X792" s="211">
        <v>30</v>
      </c>
      <c r="Y792" s="211">
        <v>30</v>
      </c>
      <c r="Z792" s="212">
        <v>30</v>
      </c>
      <c r="AA792" s="240">
        <v>0</v>
      </c>
      <c r="AB792" s="213">
        <v>2.2000000000000001E-3</v>
      </c>
      <c r="AC792" s="213">
        <v>0</v>
      </c>
      <c r="AD792" s="213" t="s">
        <v>109</v>
      </c>
      <c r="AE792" s="213" t="s">
        <v>66</v>
      </c>
      <c r="AF792" s="241">
        <v>119098257.58</v>
      </c>
      <c r="AG792" s="241">
        <v>119098257.58</v>
      </c>
      <c r="AH792" s="213">
        <v>6.59E-2</v>
      </c>
      <c r="AI792" s="352">
        <v>1.0152000000000001</v>
      </c>
      <c r="AJ792" s="213">
        <v>9.5600000000000004E-2</v>
      </c>
      <c r="AK792" s="352">
        <v>1.0157</v>
      </c>
      <c r="AL792" s="213">
        <v>0.1193</v>
      </c>
      <c r="AM792" s="352">
        <v>0.98770000000000002</v>
      </c>
      <c r="AN792" s="213" t="s">
        <v>66</v>
      </c>
      <c r="AO792" s="352" t="s">
        <v>66</v>
      </c>
      <c r="AP792" s="213">
        <v>1.8E-3</v>
      </c>
      <c r="AQ792" s="219">
        <v>0.76810670081969601</v>
      </c>
      <c r="AR792" s="213" t="s">
        <v>1827</v>
      </c>
      <c r="AV792" s="343"/>
      <c r="AW792" s="328"/>
      <c r="AX792" s="329"/>
      <c r="AY792" s="328"/>
      <c r="AZ792" s="328"/>
      <c r="BA792" s="330"/>
      <c r="BB792" s="328"/>
      <c r="BC792" s="328"/>
      <c r="BD792" s="328"/>
      <c r="BE792" s="330"/>
      <c r="BF792" s="330"/>
      <c r="BG792" s="344"/>
      <c r="BH792" s="330"/>
      <c r="BI792" s="330"/>
      <c r="BJ792" s="330"/>
      <c r="BK792" s="330"/>
      <c r="BL792" s="330"/>
      <c r="BM792" s="330"/>
      <c r="BN792" s="330"/>
      <c r="BO792" s="330"/>
      <c r="BP792" s="331"/>
      <c r="BQ792" s="332"/>
      <c r="BR792" s="333"/>
    </row>
    <row r="793" spans="2:70" ht="15.75" customHeight="1">
      <c r="B793" s="216" t="s">
        <v>525</v>
      </c>
      <c r="C793" s="212">
        <v>2309426</v>
      </c>
      <c r="D793" s="223">
        <v>35726270000169</v>
      </c>
      <c r="E793" s="217" t="s">
        <v>25</v>
      </c>
      <c r="F793" s="217" t="s">
        <v>958</v>
      </c>
      <c r="G793" s="217" t="s">
        <v>962</v>
      </c>
      <c r="H793" s="218" t="s">
        <v>66</v>
      </c>
      <c r="I793" s="217" t="s">
        <v>1841</v>
      </c>
      <c r="J793" s="217" t="s">
        <v>66</v>
      </c>
      <c r="K793" s="218"/>
      <c r="L793" s="212" t="s">
        <v>87</v>
      </c>
      <c r="M793" s="250"/>
      <c r="N793" s="239">
        <v>43889</v>
      </c>
      <c r="O793" s="210" t="s">
        <v>524</v>
      </c>
      <c r="P793" s="210" t="s">
        <v>1075</v>
      </c>
      <c r="Q793" s="210" t="s">
        <v>1076</v>
      </c>
      <c r="R793" s="210" t="s">
        <v>1084</v>
      </c>
      <c r="S793" s="210" t="s">
        <v>1078</v>
      </c>
      <c r="T793" s="210" t="s">
        <v>1082</v>
      </c>
      <c r="U793" s="210" t="s">
        <v>958</v>
      </c>
      <c r="V793" s="210" t="s">
        <v>25</v>
      </c>
      <c r="W793" s="211" t="s">
        <v>1012</v>
      </c>
      <c r="X793" s="211">
        <v>30</v>
      </c>
      <c r="Y793" s="211">
        <v>30</v>
      </c>
      <c r="Z793" s="212">
        <v>30</v>
      </c>
      <c r="AA793" s="240">
        <v>4</v>
      </c>
      <c r="AB793" s="213">
        <v>0.02</v>
      </c>
      <c r="AC793" s="213">
        <v>0.2</v>
      </c>
      <c r="AD793" s="213" t="s">
        <v>113</v>
      </c>
      <c r="AE793" s="213">
        <v>5.3333333333333332E-3</v>
      </c>
      <c r="AF793" s="241">
        <v>18625805.670000002</v>
      </c>
      <c r="AG793" s="241">
        <v>18625805.670000002</v>
      </c>
      <c r="AH793" s="213">
        <v>6.3E-2</v>
      </c>
      <c r="AI793" s="352">
        <v>0.97119999999999995</v>
      </c>
      <c r="AJ793" s="213">
        <v>8.8599999999999998E-2</v>
      </c>
      <c r="AK793" s="352">
        <v>0.94140000000000001</v>
      </c>
      <c r="AL793" s="213">
        <v>0.10440000000000001</v>
      </c>
      <c r="AM793" s="352">
        <v>0.86450000000000005</v>
      </c>
      <c r="AN793" s="213" t="s">
        <v>66</v>
      </c>
      <c r="AO793" s="352" t="s">
        <v>66</v>
      </c>
      <c r="AP793" s="213">
        <v>1.1599999999999999E-2</v>
      </c>
      <c r="AQ793" s="219">
        <v>-0.42805004150971726</v>
      </c>
      <c r="AR793" s="213" t="s">
        <v>1827</v>
      </c>
      <c r="AV793" s="343"/>
      <c r="AW793" s="328"/>
      <c r="AX793" s="329"/>
      <c r="AY793" s="328"/>
      <c r="AZ793" s="328"/>
      <c r="BA793" s="330"/>
      <c r="BB793" s="328"/>
      <c r="BC793" s="328"/>
      <c r="BD793" s="328"/>
      <c r="BE793" s="330"/>
      <c r="BF793" s="330"/>
      <c r="BG793" s="344"/>
      <c r="BH793" s="330"/>
      <c r="BI793" s="330"/>
      <c r="BJ793" s="330"/>
      <c r="BK793" s="330"/>
      <c r="BL793" s="330"/>
      <c r="BM793" s="330"/>
      <c r="BN793" s="330"/>
      <c r="BO793" s="330"/>
      <c r="BP793" s="331"/>
      <c r="BQ793" s="332"/>
      <c r="BR793" s="333"/>
    </row>
    <row r="794" spans="2:70" ht="15.75" customHeight="1">
      <c r="B794" s="216" t="s">
        <v>1512</v>
      </c>
      <c r="C794" s="212">
        <v>639302</v>
      </c>
      <c r="D794" s="223">
        <v>28911598000190</v>
      </c>
      <c r="E794" s="217" t="s">
        <v>25</v>
      </c>
      <c r="F794" s="217" t="s">
        <v>959</v>
      </c>
      <c r="G794" s="217" t="s">
        <v>960</v>
      </c>
      <c r="H794" s="218" t="s">
        <v>66</v>
      </c>
      <c r="I794" s="217" t="s">
        <v>1841</v>
      </c>
      <c r="J794" s="217" t="s">
        <v>66</v>
      </c>
      <c r="K794" s="218" t="s">
        <v>951</v>
      </c>
      <c r="L794" s="212" t="s">
        <v>87</v>
      </c>
      <c r="M794" s="250"/>
      <c r="N794" s="239">
        <v>43067</v>
      </c>
      <c r="O794" s="210" t="s">
        <v>526</v>
      </c>
      <c r="P794" s="210" t="s">
        <v>1090</v>
      </c>
      <c r="Q794" s="210" t="s">
        <v>1091</v>
      </c>
      <c r="R794" s="210" t="s">
        <v>1084</v>
      </c>
      <c r="S794" s="210" t="s">
        <v>1078</v>
      </c>
      <c r="T794" s="210" t="s">
        <v>1082</v>
      </c>
      <c r="U794" s="210" t="s">
        <v>1086</v>
      </c>
      <c r="V794" s="210" t="s">
        <v>25</v>
      </c>
      <c r="W794" s="211" t="s">
        <v>1023</v>
      </c>
      <c r="X794" s="211">
        <v>1000</v>
      </c>
      <c r="Y794" s="211">
        <v>500</v>
      </c>
      <c r="Z794" s="212">
        <v>1000</v>
      </c>
      <c r="AA794" s="240">
        <v>18</v>
      </c>
      <c r="AB794" s="213">
        <v>0.02</v>
      </c>
      <c r="AC794" s="213">
        <v>0.2</v>
      </c>
      <c r="AD794" s="213" t="s">
        <v>109</v>
      </c>
      <c r="AE794" s="213">
        <v>5.4000000000000003E-3</v>
      </c>
      <c r="AF794" s="241">
        <v>31795544.09</v>
      </c>
      <c r="AG794" s="241">
        <v>31795544.09</v>
      </c>
      <c r="AH794" s="213">
        <v>2.64E-2</v>
      </c>
      <c r="AI794" s="352">
        <v>0.40610000000000002</v>
      </c>
      <c r="AJ794" s="213">
        <v>-2.3E-3</v>
      </c>
      <c r="AK794" s="352">
        <v>-2.41E-2</v>
      </c>
      <c r="AL794" s="213">
        <v>4.6100000000000002E-2</v>
      </c>
      <c r="AM794" s="352">
        <v>0.38200000000000001</v>
      </c>
      <c r="AN794" s="213">
        <v>9.2700000000000005E-2</v>
      </c>
      <c r="AO794" s="352">
        <v>0.55020000000000002</v>
      </c>
      <c r="AP794" s="213">
        <v>4.53E-2</v>
      </c>
      <c r="AQ794" s="219">
        <v>-2.0139168885034646</v>
      </c>
      <c r="AR794" s="213" t="s">
        <v>1827</v>
      </c>
      <c r="AV794" s="343"/>
      <c r="AW794" s="328"/>
      <c r="AX794" s="329"/>
      <c r="AY794" s="328"/>
      <c r="AZ794" s="328"/>
      <c r="BA794" s="330"/>
      <c r="BB794" s="328"/>
      <c r="BC794" s="328"/>
      <c r="BD794" s="328"/>
      <c r="BE794" s="330"/>
      <c r="BF794" s="330"/>
      <c r="BG794" s="344"/>
      <c r="BH794" s="330"/>
      <c r="BI794" s="330"/>
      <c r="BJ794" s="330"/>
      <c r="BK794" s="330"/>
      <c r="BL794" s="330"/>
      <c r="BM794" s="330"/>
      <c r="BN794" s="330"/>
      <c r="BO794" s="330"/>
      <c r="BP794" s="331"/>
      <c r="BQ794" s="332"/>
      <c r="BR794" s="333"/>
    </row>
    <row r="795" spans="2:70" ht="15.75" customHeight="1">
      <c r="B795" s="216" t="s">
        <v>527</v>
      </c>
      <c r="C795" s="212">
        <v>537269</v>
      </c>
      <c r="D795" s="223">
        <v>26587503000107</v>
      </c>
      <c r="E795" s="217" t="s">
        <v>28</v>
      </c>
      <c r="F795" s="217" t="s">
        <v>950</v>
      </c>
      <c r="G795" s="217"/>
      <c r="H795" s="218"/>
      <c r="I795" s="217" t="s">
        <v>66</v>
      </c>
      <c r="J795" s="217" t="s">
        <v>66</v>
      </c>
      <c r="K795" s="218" t="s">
        <v>951</v>
      </c>
      <c r="L795" s="212" t="s">
        <v>87</v>
      </c>
      <c r="M795" s="250"/>
      <c r="N795" s="239">
        <v>42767</v>
      </c>
      <c r="O795" s="210" t="s">
        <v>526</v>
      </c>
      <c r="P795" s="210" t="s">
        <v>1090</v>
      </c>
      <c r="Q795" s="210" t="s">
        <v>1091</v>
      </c>
      <c r="R795" s="210" t="s">
        <v>1084</v>
      </c>
      <c r="S795" s="210" t="s">
        <v>1078</v>
      </c>
      <c r="T795" s="210" t="s">
        <v>1079</v>
      </c>
      <c r="U795" s="210" t="s">
        <v>950</v>
      </c>
      <c r="V795" s="210" t="s">
        <v>1080</v>
      </c>
      <c r="W795" s="211" t="s">
        <v>1018</v>
      </c>
      <c r="X795" s="211">
        <v>1000</v>
      </c>
      <c r="Y795" s="211">
        <v>500</v>
      </c>
      <c r="Z795" s="212">
        <v>1000</v>
      </c>
      <c r="AA795" s="240">
        <v>3</v>
      </c>
      <c r="AB795" s="213">
        <v>1.4999999999999999E-2</v>
      </c>
      <c r="AC795" s="213">
        <v>0.2</v>
      </c>
      <c r="AD795" s="213" t="s">
        <v>1014</v>
      </c>
      <c r="AE795" s="213">
        <v>4.9999999999999992E-3</v>
      </c>
      <c r="AF795" s="241">
        <v>4993566.0199999996</v>
      </c>
      <c r="AG795" s="241">
        <v>4993566.0199999996</v>
      </c>
      <c r="AH795" s="213">
        <v>-4.7000000000000002E-3</v>
      </c>
      <c r="AI795" s="352">
        <v>-7.1800000000000003E-2</v>
      </c>
      <c r="AJ795" s="213">
        <v>-0.16769999999999999</v>
      </c>
      <c r="AK795" s="352">
        <v>-1.7827999999999999</v>
      </c>
      <c r="AL795" s="213">
        <v>4.3E-3</v>
      </c>
      <c r="AM795" s="352">
        <v>3.5799999999999998E-2</v>
      </c>
      <c r="AN795" s="213">
        <v>2.1700000000000001E-2</v>
      </c>
      <c r="AO795" s="352">
        <v>0.129</v>
      </c>
      <c r="AP795" s="213">
        <v>0.20860000000000001</v>
      </c>
      <c r="AQ795" s="219">
        <v>-1.20639290143063</v>
      </c>
      <c r="AR795" s="213" t="s">
        <v>1824</v>
      </c>
      <c r="AV795" s="343"/>
      <c r="AW795" s="328"/>
      <c r="AX795" s="329"/>
      <c r="AY795" s="328"/>
      <c r="AZ795" s="328"/>
      <c r="BA795" s="330"/>
      <c r="BB795" s="328"/>
      <c r="BC795" s="328"/>
      <c r="BD795" s="328"/>
      <c r="BE795" s="330"/>
      <c r="BF795" s="330"/>
      <c r="BG795" s="344"/>
      <c r="BH795" s="330"/>
      <c r="BI795" s="330"/>
      <c r="BJ795" s="330"/>
      <c r="BK795" s="330"/>
      <c r="BL795" s="330"/>
      <c r="BM795" s="330"/>
      <c r="BN795" s="330"/>
      <c r="BO795" s="330"/>
      <c r="BP795" s="331"/>
      <c r="BQ795" s="332"/>
      <c r="BR795" s="333"/>
    </row>
    <row r="796" spans="2:70" ht="15.75" customHeight="1">
      <c r="B796" s="216" t="s">
        <v>830</v>
      </c>
      <c r="C796" s="212">
        <v>586868</v>
      </c>
      <c r="D796" s="223">
        <v>39806561000118</v>
      </c>
      <c r="E796" s="217" t="s">
        <v>19</v>
      </c>
      <c r="F796" s="217" t="s">
        <v>963</v>
      </c>
      <c r="G796" s="217" t="s">
        <v>1034</v>
      </c>
      <c r="H796" s="218" t="s">
        <v>1113</v>
      </c>
      <c r="I796" s="217" t="s">
        <v>66</v>
      </c>
      <c r="J796" s="217" t="s">
        <v>1822</v>
      </c>
      <c r="K796" s="218" t="s">
        <v>951</v>
      </c>
      <c r="L796" s="212" t="s">
        <v>87</v>
      </c>
      <c r="M796" s="250"/>
      <c r="N796" s="239">
        <v>44281</v>
      </c>
      <c r="O796" s="210" t="s">
        <v>526</v>
      </c>
      <c r="P796" s="210" t="s">
        <v>1117</v>
      </c>
      <c r="Q796" s="210" t="s">
        <v>1117</v>
      </c>
      <c r="R796" s="210" t="s">
        <v>1077</v>
      </c>
      <c r="S796" s="210" t="s">
        <v>1078</v>
      </c>
      <c r="T796" s="210" t="s">
        <v>1082</v>
      </c>
      <c r="U796" s="210" t="s">
        <v>958</v>
      </c>
      <c r="V796" s="210" t="s">
        <v>25</v>
      </c>
      <c r="W796" s="211" t="s">
        <v>1016</v>
      </c>
      <c r="X796" s="211">
        <v>1000</v>
      </c>
      <c r="Y796" s="211">
        <v>500</v>
      </c>
      <c r="Z796" s="212">
        <v>500</v>
      </c>
      <c r="AA796" s="240">
        <v>91</v>
      </c>
      <c r="AB796" s="213">
        <v>1.0699999999999999E-2</v>
      </c>
      <c r="AC796" s="213">
        <v>0.2</v>
      </c>
      <c r="AD796" s="213" t="s">
        <v>109</v>
      </c>
      <c r="AE796" s="213">
        <v>1.7836899999999997E-3</v>
      </c>
      <c r="AF796" s="241">
        <v>57914039.640000001</v>
      </c>
      <c r="AG796" s="241">
        <v>57914039.640000001</v>
      </c>
      <c r="AH796" s="213">
        <v>8.1100000000000005E-2</v>
      </c>
      <c r="AI796" s="352">
        <v>1.2485999999999999</v>
      </c>
      <c r="AJ796" s="213">
        <v>0.1212</v>
      </c>
      <c r="AK796" s="352">
        <v>1.2887</v>
      </c>
      <c r="AL796" s="213" t="s">
        <v>66</v>
      </c>
      <c r="AM796" s="352" t="s">
        <v>66</v>
      </c>
      <c r="AN796" s="213" t="s">
        <v>66</v>
      </c>
      <c r="AO796" s="352" t="s">
        <v>66</v>
      </c>
      <c r="AP796" s="213">
        <v>1.9E-3</v>
      </c>
      <c r="AQ796" s="219">
        <v>12.767983586607416</v>
      </c>
      <c r="AR796" s="213" t="s">
        <v>1827</v>
      </c>
      <c r="AV796" s="343"/>
      <c r="AW796" s="328"/>
      <c r="AX796" s="329"/>
      <c r="AY796" s="328"/>
      <c r="AZ796" s="328"/>
      <c r="BA796" s="330"/>
      <c r="BB796" s="328"/>
      <c r="BC796" s="328"/>
      <c r="BD796" s="328"/>
      <c r="BE796" s="330"/>
      <c r="BF796" s="330"/>
      <c r="BG796" s="344"/>
      <c r="BH796" s="330"/>
      <c r="BI796" s="330"/>
      <c r="BJ796" s="330"/>
      <c r="BK796" s="330"/>
      <c r="BL796" s="330"/>
      <c r="BM796" s="330"/>
      <c r="BN796" s="330"/>
      <c r="BO796" s="330"/>
      <c r="BP796" s="331"/>
      <c r="BQ796" s="332"/>
      <c r="BR796" s="333"/>
    </row>
    <row r="797" spans="2:70" ht="15.75" customHeight="1">
      <c r="B797" s="216" t="s">
        <v>831</v>
      </c>
      <c r="C797" s="212">
        <v>552343</v>
      </c>
      <c r="D797" s="223">
        <v>41128407000186</v>
      </c>
      <c r="E797" s="217" t="s">
        <v>25</v>
      </c>
      <c r="F797" s="217" t="s">
        <v>958</v>
      </c>
      <c r="G797" s="217" t="s">
        <v>962</v>
      </c>
      <c r="H797" s="218" t="s">
        <v>66</v>
      </c>
      <c r="I797" s="217" t="s">
        <v>1841</v>
      </c>
      <c r="J797" s="217" t="s">
        <v>66</v>
      </c>
      <c r="K797" s="218"/>
      <c r="L797" s="212" t="s">
        <v>87</v>
      </c>
      <c r="M797" s="250"/>
      <c r="N797" s="239">
        <v>44347</v>
      </c>
      <c r="O797" s="210" t="s">
        <v>526</v>
      </c>
      <c r="P797" s="210" t="s">
        <v>1090</v>
      </c>
      <c r="Q797" s="210" t="s">
        <v>1091</v>
      </c>
      <c r="R797" s="210" t="s">
        <v>1084</v>
      </c>
      <c r="S797" s="210" t="s">
        <v>1078</v>
      </c>
      <c r="T797" s="210" t="s">
        <v>1082</v>
      </c>
      <c r="U797" s="210" t="s">
        <v>958</v>
      </c>
      <c r="V797" s="210" t="s">
        <v>25</v>
      </c>
      <c r="W797" s="211" t="s">
        <v>1012</v>
      </c>
      <c r="X797" s="211">
        <v>500</v>
      </c>
      <c r="Y797" s="211">
        <v>500</v>
      </c>
      <c r="Z797" s="212">
        <v>500</v>
      </c>
      <c r="AA797" s="240">
        <v>31</v>
      </c>
      <c r="AB797" s="213">
        <v>0.02</v>
      </c>
      <c r="AC797" s="213">
        <v>0.2</v>
      </c>
      <c r="AD797" s="213" t="s">
        <v>109</v>
      </c>
      <c r="AE797" s="213">
        <v>5.3340000000000002E-3</v>
      </c>
      <c r="AF797" s="241">
        <v>26551688.93</v>
      </c>
      <c r="AG797" s="241">
        <v>26551688.93</v>
      </c>
      <c r="AH797" s="213">
        <v>5.1799999999999999E-2</v>
      </c>
      <c r="AI797" s="352">
        <v>0.7974</v>
      </c>
      <c r="AJ797" s="213">
        <v>0.1032</v>
      </c>
      <c r="AK797" s="352">
        <v>1.0972</v>
      </c>
      <c r="AL797" s="213" t="s">
        <v>66</v>
      </c>
      <c r="AM797" s="352" t="s">
        <v>66</v>
      </c>
      <c r="AN797" s="213" t="s">
        <v>66</v>
      </c>
      <c r="AO797" s="352" t="s">
        <v>66</v>
      </c>
      <c r="AP797" s="213">
        <v>3.09E-2</v>
      </c>
      <c r="AQ797" s="219">
        <v>0.2844345542817916</v>
      </c>
      <c r="AR797" s="213" t="s">
        <v>1827</v>
      </c>
      <c r="AV797" s="343"/>
      <c r="AW797" s="328"/>
      <c r="AX797" s="329"/>
      <c r="AY797" s="328"/>
      <c r="AZ797" s="328"/>
      <c r="BA797" s="330"/>
      <c r="BB797" s="328"/>
      <c r="BC797" s="328"/>
      <c r="BD797" s="328"/>
      <c r="BE797" s="330"/>
      <c r="BF797" s="330"/>
      <c r="BG797" s="344"/>
      <c r="BH797" s="330"/>
      <c r="BI797" s="330"/>
      <c r="BJ797" s="330"/>
      <c r="BK797" s="330"/>
      <c r="BL797" s="330"/>
      <c r="BM797" s="330"/>
      <c r="BN797" s="330"/>
      <c r="BO797" s="330"/>
      <c r="BP797" s="331"/>
      <c r="BQ797" s="332"/>
      <c r="BR797" s="333"/>
    </row>
    <row r="798" spans="2:70" ht="15.75" customHeight="1">
      <c r="B798" s="216" t="s">
        <v>1787</v>
      </c>
      <c r="C798" s="212">
        <v>4274275</v>
      </c>
      <c r="D798" s="223">
        <v>42102422000118</v>
      </c>
      <c r="E798" s="217" t="s">
        <v>19</v>
      </c>
      <c r="F798" s="217" t="s">
        <v>963</v>
      </c>
      <c r="G798" s="217" t="s">
        <v>1011</v>
      </c>
      <c r="H798" s="218" t="s">
        <v>1113</v>
      </c>
      <c r="I798" s="217" t="s">
        <v>66</v>
      </c>
      <c r="J798" s="217" t="s">
        <v>1794</v>
      </c>
      <c r="K798" s="218" t="s">
        <v>951</v>
      </c>
      <c r="L798" s="212" t="s">
        <v>87</v>
      </c>
      <c r="M798" s="250"/>
      <c r="N798" s="239">
        <v>44445</v>
      </c>
      <c r="O798" s="210" t="s">
        <v>1788</v>
      </c>
      <c r="P798" s="210" t="s">
        <v>1789</v>
      </c>
      <c r="Q798" s="210" t="s">
        <v>1789</v>
      </c>
      <c r="R798" s="210" t="s">
        <v>1761</v>
      </c>
      <c r="S798" s="210" t="s">
        <v>1078</v>
      </c>
      <c r="T798" s="210" t="s">
        <v>349</v>
      </c>
      <c r="U798" s="210" t="s">
        <v>1114</v>
      </c>
      <c r="V798" s="210" t="s">
        <v>1746</v>
      </c>
      <c r="W798" s="211" t="s">
        <v>1790</v>
      </c>
      <c r="X798" s="211">
        <v>1</v>
      </c>
      <c r="Y798" s="211">
        <v>1</v>
      </c>
      <c r="Z798" s="212">
        <v>1</v>
      </c>
      <c r="AA798" s="240">
        <v>0</v>
      </c>
      <c r="AB798" s="213">
        <v>4.0000000000000001E-3</v>
      </c>
      <c r="AC798" s="213" t="s">
        <v>1741</v>
      </c>
      <c r="AD798" s="213" t="s">
        <v>109</v>
      </c>
      <c r="AE798" s="213" t="s">
        <v>66</v>
      </c>
      <c r="AF798" s="241">
        <v>47453804.82</v>
      </c>
      <c r="AG798" s="241">
        <v>47453804.82</v>
      </c>
      <c r="AH798" s="213">
        <v>7.17E-2</v>
      </c>
      <c r="AI798" s="352">
        <v>1.1037999999999999</v>
      </c>
      <c r="AJ798" s="213" t="s">
        <v>66</v>
      </c>
      <c r="AK798" s="352" t="s">
        <v>66</v>
      </c>
      <c r="AL798" s="213" t="s">
        <v>66</v>
      </c>
      <c r="AM798" s="352" t="s">
        <v>66</v>
      </c>
      <c r="AN798" s="213" t="s">
        <v>66</v>
      </c>
      <c r="AO798" s="352" t="s">
        <v>66</v>
      </c>
      <c r="AP798" s="213" t="s">
        <v>66</v>
      </c>
      <c r="AQ798" s="219" t="s">
        <v>66</v>
      </c>
      <c r="AR798" s="213" t="s">
        <v>1827</v>
      </c>
      <c r="AV798" s="343"/>
      <c r="AW798" s="328"/>
      <c r="AX798" s="329"/>
      <c r="AY798" s="328"/>
      <c r="AZ798" s="328"/>
      <c r="BA798" s="330"/>
      <c r="BB798" s="328"/>
      <c r="BC798" s="328"/>
      <c r="BD798" s="328"/>
      <c r="BE798" s="330"/>
      <c r="BF798" s="330"/>
      <c r="BG798" s="344"/>
      <c r="BH798" s="330"/>
      <c r="BI798" s="330"/>
      <c r="BJ798" s="330"/>
      <c r="BK798" s="330"/>
      <c r="BL798" s="330"/>
      <c r="BM798" s="330"/>
      <c r="BN798" s="330"/>
      <c r="BO798" s="330"/>
      <c r="BP798" s="331"/>
      <c r="BQ798" s="332"/>
      <c r="BR798" s="333"/>
    </row>
    <row r="799" spans="2:70" ht="15.75" customHeight="1">
      <c r="B799" s="216" t="s">
        <v>889</v>
      </c>
      <c r="C799" s="212">
        <v>552172</v>
      </c>
      <c r="D799" s="223">
        <v>42747231000103</v>
      </c>
      <c r="E799" s="217" t="s">
        <v>28</v>
      </c>
      <c r="F799" s="217" t="s">
        <v>957</v>
      </c>
      <c r="G799" s="217" t="s">
        <v>953</v>
      </c>
      <c r="H799" s="218"/>
      <c r="I799" s="217" t="s">
        <v>1842</v>
      </c>
      <c r="J799" s="217" t="s">
        <v>66</v>
      </c>
      <c r="K799" s="218" t="s">
        <v>951</v>
      </c>
      <c r="L799" s="212" t="s">
        <v>87</v>
      </c>
      <c r="M799" s="250"/>
      <c r="N799" s="239">
        <v>44414</v>
      </c>
      <c r="O799" s="210" t="s">
        <v>890</v>
      </c>
      <c r="P799" s="210" t="s">
        <v>1075</v>
      </c>
      <c r="Q799" s="210" t="s">
        <v>1076</v>
      </c>
      <c r="R799" s="210" t="s">
        <v>1084</v>
      </c>
      <c r="S799" s="210" t="s">
        <v>1078</v>
      </c>
      <c r="T799" s="210" t="s">
        <v>1079</v>
      </c>
      <c r="U799" s="210" t="s">
        <v>957</v>
      </c>
      <c r="V799" s="210" t="s">
        <v>1080</v>
      </c>
      <c r="W799" s="211" t="s">
        <v>1007</v>
      </c>
      <c r="X799" s="211">
        <v>3000</v>
      </c>
      <c r="Y799" s="211">
        <v>0</v>
      </c>
      <c r="Z799" s="212">
        <v>0</v>
      </c>
      <c r="AA799" s="240">
        <v>32</v>
      </c>
      <c r="AB799" s="213">
        <v>0.02</v>
      </c>
      <c r="AC799" s="213">
        <v>0.2</v>
      </c>
      <c r="AD799" s="213" t="s">
        <v>113</v>
      </c>
      <c r="AE799" s="213">
        <v>6.6666666666666662E-3</v>
      </c>
      <c r="AF799" s="241">
        <v>21374270.27</v>
      </c>
      <c r="AG799" s="241">
        <v>21374270.27</v>
      </c>
      <c r="AH799" s="213">
        <v>6.4000000000000001E-2</v>
      </c>
      <c r="AI799" s="352">
        <v>0.98580000000000001</v>
      </c>
      <c r="AJ799" s="213" t="s">
        <v>66</v>
      </c>
      <c r="AK799" s="352" t="s">
        <v>66</v>
      </c>
      <c r="AL799" s="213" t="s">
        <v>66</v>
      </c>
      <c r="AM799" s="352" t="s">
        <v>66</v>
      </c>
      <c r="AN799" s="213" t="s">
        <v>66</v>
      </c>
      <c r="AO799" s="352" t="s">
        <v>66</v>
      </c>
      <c r="AP799" s="213" t="s">
        <v>66</v>
      </c>
      <c r="AQ799" s="219" t="s">
        <v>66</v>
      </c>
      <c r="AR799" s="213" t="s">
        <v>1827</v>
      </c>
      <c r="AV799" s="343"/>
      <c r="AW799" s="328"/>
      <c r="AX799" s="329"/>
      <c r="AY799" s="328"/>
      <c r="AZ799" s="328"/>
      <c r="BA799" s="330"/>
      <c r="BB799" s="328"/>
      <c r="BC799" s="328"/>
      <c r="BD799" s="328"/>
      <c r="BE799" s="330"/>
      <c r="BF799" s="330"/>
      <c r="BG799" s="344"/>
      <c r="BH799" s="330"/>
      <c r="BI799" s="330"/>
      <c r="BJ799" s="330"/>
      <c r="BK799" s="330"/>
      <c r="BL799" s="330"/>
      <c r="BM799" s="330"/>
      <c r="BN799" s="330"/>
      <c r="BO799" s="330"/>
      <c r="BP799" s="331"/>
      <c r="BQ799" s="332"/>
      <c r="BR799" s="333"/>
    </row>
    <row r="800" spans="2:70" ht="15.75" customHeight="1">
      <c r="B800" s="216" t="s">
        <v>905</v>
      </c>
      <c r="C800" s="212">
        <v>969300</v>
      </c>
      <c r="D800" s="223">
        <v>37994000000164</v>
      </c>
      <c r="E800" s="217" t="s">
        <v>28</v>
      </c>
      <c r="F800" s="217" t="s">
        <v>950</v>
      </c>
      <c r="G800" s="217"/>
      <c r="H800" s="218" t="s">
        <v>1260</v>
      </c>
      <c r="I800" s="217" t="s">
        <v>66</v>
      </c>
      <c r="J800" s="217" t="s">
        <v>66</v>
      </c>
      <c r="K800" s="218" t="s">
        <v>954</v>
      </c>
      <c r="L800" s="212" t="s">
        <v>88</v>
      </c>
      <c r="M800" s="250"/>
      <c r="N800" s="239">
        <v>44179</v>
      </c>
      <c r="O800" s="210" t="s">
        <v>906</v>
      </c>
      <c r="P800" s="210" t="s">
        <v>1117</v>
      </c>
      <c r="Q800" s="210" t="s">
        <v>1117</v>
      </c>
      <c r="R800" s="210" t="s">
        <v>1077</v>
      </c>
      <c r="S800" s="210" t="s">
        <v>1078</v>
      </c>
      <c r="T800" s="210" t="s">
        <v>1079</v>
      </c>
      <c r="U800" s="210" t="s">
        <v>65</v>
      </c>
      <c r="V800" s="210" t="s">
        <v>1080</v>
      </c>
      <c r="W800" s="211" t="s">
        <v>1036</v>
      </c>
      <c r="X800" s="211">
        <v>1000</v>
      </c>
      <c r="Y800" s="211">
        <v>1000</v>
      </c>
      <c r="Z800" s="212">
        <v>1000</v>
      </c>
      <c r="AA800" s="240">
        <v>6</v>
      </c>
      <c r="AB800" s="213">
        <v>2.5000000000000001E-3</v>
      </c>
      <c r="AC800" s="213">
        <v>0.2</v>
      </c>
      <c r="AD800" s="213" t="s">
        <v>1157</v>
      </c>
      <c r="AE800" s="213">
        <v>5.0000000000000001E-4</v>
      </c>
      <c r="AF800" s="241">
        <v>6234574.54</v>
      </c>
      <c r="AG800" s="241">
        <v>6234574.54</v>
      </c>
      <c r="AH800" s="213">
        <v>-0.33389999999999997</v>
      </c>
      <c r="AI800" s="352">
        <v>-5.1429999999999998</v>
      </c>
      <c r="AJ800" s="213">
        <v>-0.2908</v>
      </c>
      <c r="AK800" s="352">
        <v>-3.0903999999999998</v>
      </c>
      <c r="AL800" s="213" t="s">
        <v>66</v>
      </c>
      <c r="AM800" s="352" t="s">
        <v>66</v>
      </c>
      <c r="AN800" s="213" t="s">
        <v>66</v>
      </c>
      <c r="AO800" s="352" t="s">
        <v>66</v>
      </c>
      <c r="AP800" s="213">
        <v>0.32500000000000001</v>
      </c>
      <c r="AQ800" s="219">
        <v>-1.1712682031733168</v>
      </c>
      <c r="AR800" s="213" t="s">
        <v>1827</v>
      </c>
      <c r="AV800" s="343"/>
      <c r="AW800" s="328"/>
      <c r="AX800" s="329"/>
      <c r="AY800" s="328"/>
      <c r="AZ800" s="328"/>
      <c r="BA800" s="330"/>
      <c r="BB800" s="328"/>
      <c r="BC800" s="328"/>
      <c r="BD800" s="328"/>
      <c r="BE800" s="330"/>
      <c r="BF800" s="330"/>
      <c r="BG800" s="344"/>
      <c r="BH800" s="330"/>
      <c r="BI800" s="330"/>
      <c r="BJ800" s="330"/>
      <c r="BK800" s="330"/>
      <c r="BL800" s="330"/>
      <c r="BM800" s="330"/>
      <c r="BN800" s="330"/>
      <c r="BO800" s="330"/>
      <c r="BP800" s="331"/>
      <c r="BQ800" s="332"/>
      <c r="BR800" s="333"/>
    </row>
    <row r="801" spans="2:70" ht="15.75" customHeight="1">
      <c r="B801" s="216" t="s">
        <v>907</v>
      </c>
      <c r="C801" s="212">
        <v>2457322</v>
      </c>
      <c r="D801" s="223">
        <v>11145210000194</v>
      </c>
      <c r="E801" s="217" t="s">
        <v>28</v>
      </c>
      <c r="F801" s="217" t="s">
        <v>950</v>
      </c>
      <c r="G801" s="217"/>
      <c r="H801" s="218"/>
      <c r="I801" s="217" t="s">
        <v>66</v>
      </c>
      <c r="J801" s="217" t="s">
        <v>66</v>
      </c>
      <c r="K801" s="218" t="s">
        <v>954</v>
      </c>
      <c r="L801" s="212"/>
      <c r="M801" s="250"/>
      <c r="N801" s="239">
        <v>40085</v>
      </c>
      <c r="O801" s="210" t="s">
        <v>908</v>
      </c>
      <c r="P801" s="210" t="s">
        <v>1090</v>
      </c>
      <c r="Q801" s="210" t="s">
        <v>1091</v>
      </c>
      <c r="R801" s="210" t="s">
        <v>1077</v>
      </c>
      <c r="S801" s="210" t="s">
        <v>1078</v>
      </c>
      <c r="T801" s="210" t="s">
        <v>1079</v>
      </c>
      <c r="U801" s="210" t="s">
        <v>65</v>
      </c>
      <c r="V801" s="210" t="s">
        <v>1080</v>
      </c>
      <c r="W801" s="211" t="s">
        <v>1036</v>
      </c>
      <c r="X801" s="211">
        <v>1000</v>
      </c>
      <c r="Y801" s="211">
        <v>1000</v>
      </c>
      <c r="Z801" s="212">
        <v>1000</v>
      </c>
      <c r="AA801" s="240">
        <v>20</v>
      </c>
      <c r="AB801" s="213">
        <v>1.6E-2</v>
      </c>
      <c r="AC801" s="213">
        <v>0.15</v>
      </c>
      <c r="AD801" s="213" t="s">
        <v>1100</v>
      </c>
      <c r="AE801" s="213">
        <v>4.2671999999999996E-3</v>
      </c>
      <c r="AF801" s="241">
        <v>11453505.99</v>
      </c>
      <c r="AG801" s="241">
        <v>11453505.99</v>
      </c>
      <c r="AH801" s="213">
        <v>-0.1666</v>
      </c>
      <c r="AI801" s="352">
        <v>-2.5666000000000002</v>
      </c>
      <c r="AJ801" s="213">
        <v>-0.115</v>
      </c>
      <c r="AK801" s="352">
        <v>-1.2222999999999999</v>
      </c>
      <c r="AL801" s="213">
        <v>0.1321</v>
      </c>
      <c r="AM801" s="352">
        <v>1.0938000000000001</v>
      </c>
      <c r="AN801" s="213">
        <v>0.56310000000000004</v>
      </c>
      <c r="AO801" s="352">
        <v>3.3414000000000001</v>
      </c>
      <c r="AP801" s="213">
        <v>0.1802</v>
      </c>
      <c r="AQ801" s="219">
        <v>-1.0871172937916145</v>
      </c>
      <c r="AR801" s="213" t="s">
        <v>1827</v>
      </c>
      <c r="AU801" s="343"/>
      <c r="AV801" s="343"/>
      <c r="AW801" s="328"/>
      <c r="AX801" s="329"/>
      <c r="AY801" s="328"/>
      <c r="AZ801" s="328"/>
      <c r="BA801" s="330"/>
      <c r="BB801" s="328"/>
      <c r="BC801" s="328"/>
      <c r="BD801" s="328"/>
      <c r="BE801" s="330"/>
      <c r="BF801" s="330"/>
      <c r="BG801" s="344"/>
      <c r="BH801" s="383"/>
      <c r="BI801" s="330"/>
      <c r="BJ801" s="330"/>
      <c r="BK801" s="330"/>
      <c r="BL801" s="330"/>
      <c r="BM801" s="330"/>
      <c r="BN801" s="330"/>
      <c r="BO801" s="330"/>
      <c r="BP801" s="331"/>
      <c r="BQ801" s="332"/>
      <c r="BR801" s="333"/>
    </row>
    <row r="802" spans="2:70" ht="15.75" customHeight="1">
      <c r="B802" s="216" t="s">
        <v>1513</v>
      </c>
      <c r="C802" s="212">
        <v>3589042</v>
      </c>
      <c r="D802" s="223">
        <v>17703320000100</v>
      </c>
      <c r="E802" s="217" t="s">
        <v>28</v>
      </c>
      <c r="F802" s="217" t="s">
        <v>950</v>
      </c>
      <c r="G802" s="217"/>
      <c r="H802" s="218"/>
      <c r="I802" s="217" t="s">
        <v>66</v>
      </c>
      <c r="J802" s="217" t="s">
        <v>66</v>
      </c>
      <c r="K802" s="218" t="s">
        <v>954</v>
      </c>
      <c r="L802" s="212"/>
      <c r="M802" s="250"/>
      <c r="N802" s="239">
        <v>41422</v>
      </c>
      <c r="O802" s="210" t="s">
        <v>908</v>
      </c>
      <c r="P802" s="210" t="s">
        <v>1090</v>
      </c>
      <c r="Q802" s="210" t="s">
        <v>1091</v>
      </c>
      <c r="R802" s="210" t="s">
        <v>1084</v>
      </c>
      <c r="S802" s="210" t="s">
        <v>1078</v>
      </c>
      <c r="T802" s="210" t="s">
        <v>1079</v>
      </c>
      <c r="U802" s="210" t="s">
        <v>65</v>
      </c>
      <c r="V802" s="210" t="s">
        <v>1080</v>
      </c>
      <c r="W802" s="211" t="s">
        <v>1007</v>
      </c>
      <c r="X802" s="211">
        <v>500</v>
      </c>
      <c r="Y802" s="211">
        <v>500</v>
      </c>
      <c r="Z802" s="212">
        <v>500</v>
      </c>
      <c r="AA802" s="240">
        <v>20</v>
      </c>
      <c r="AB802" s="213">
        <v>0.02</v>
      </c>
      <c r="AC802" s="213">
        <v>0.2</v>
      </c>
      <c r="AD802" s="213" t="s">
        <v>1100</v>
      </c>
      <c r="AE802" s="213">
        <v>5.3340000000000002E-3</v>
      </c>
      <c r="AF802" s="241">
        <v>4842733.25</v>
      </c>
      <c r="AG802" s="241">
        <v>4842733.25</v>
      </c>
      <c r="AH802" s="213">
        <v>-0.17610000000000001</v>
      </c>
      <c r="AI802" s="352">
        <v>-2.7128000000000001</v>
      </c>
      <c r="AJ802" s="213">
        <v>-0.1109</v>
      </c>
      <c r="AK802" s="352">
        <v>-1.1785000000000001</v>
      </c>
      <c r="AL802" s="213">
        <v>0.17430000000000001</v>
      </c>
      <c r="AM802" s="352">
        <v>1.4428000000000001</v>
      </c>
      <c r="AN802" s="213">
        <v>0.61639999999999995</v>
      </c>
      <c r="AO802" s="352">
        <v>3.6581000000000001</v>
      </c>
      <c r="AP802" s="213">
        <v>0.18379999999999999</v>
      </c>
      <c r="AQ802" s="219">
        <v>-1.037018391025504</v>
      </c>
      <c r="AR802" s="213" t="s">
        <v>1827</v>
      </c>
      <c r="AV802" s="343"/>
      <c r="AW802" s="328"/>
      <c r="AX802" s="329"/>
      <c r="AY802" s="328"/>
      <c r="AZ802" s="328"/>
      <c r="BA802" s="330"/>
      <c r="BB802" s="328"/>
      <c r="BC802" s="328"/>
      <c r="BD802" s="328"/>
      <c r="BE802" s="330"/>
      <c r="BF802" s="330"/>
      <c r="BG802" s="344"/>
      <c r="BH802" s="330"/>
      <c r="BI802" s="330"/>
      <c r="BJ802" s="330"/>
      <c r="BK802" s="330"/>
      <c r="BL802" s="330"/>
      <c r="BM802" s="330"/>
      <c r="BN802" s="330"/>
      <c r="BO802" s="330"/>
      <c r="BP802" s="331"/>
      <c r="BQ802" s="332"/>
      <c r="BR802" s="333"/>
    </row>
    <row r="803" spans="2:70" ht="15.75" customHeight="1">
      <c r="B803" s="216" t="s">
        <v>1514</v>
      </c>
      <c r="C803" s="212">
        <v>618099</v>
      </c>
      <c r="D803" s="223">
        <v>39471486000181</v>
      </c>
      <c r="E803" s="217" t="s">
        <v>28</v>
      </c>
      <c r="F803" s="217" t="s">
        <v>950</v>
      </c>
      <c r="G803" s="217"/>
      <c r="H803" s="218"/>
      <c r="I803" s="217" t="s">
        <v>66</v>
      </c>
      <c r="J803" s="217" t="s">
        <v>66</v>
      </c>
      <c r="K803" s="218" t="s">
        <v>951</v>
      </c>
      <c r="L803" s="212" t="s">
        <v>87</v>
      </c>
      <c r="M803" s="250"/>
      <c r="N803" s="239">
        <v>44407</v>
      </c>
      <c r="O803" s="210" t="s">
        <v>1515</v>
      </c>
      <c r="P803" s="210" t="s">
        <v>1110</v>
      </c>
      <c r="Q803" s="210" t="s">
        <v>1110</v>
      </c>
      <c r="R803" s="210" t="s">
        <v>1084</v>
      </c>
      <c r="S803" s="210" t="s">
        <v>1078</v>
      </c>
      <c r="T803" s="210" t="s">
        <v>1079</v>
      </c>
      <c r="U803" s="210" t="s">
        <v>950</v>
      </c>
      <c r="V803" s="210" t="s">
        <v>1080</v>
      </c>
      <c r="W803" s="211" t="s">
        <v>1007</v>
      </c>
      <c r="X803" s="211">
        <v>10000</v>
      </c>
      <c r="Y803" s="211">
        <v>1000</v>
      </c>
      <c r="Z803" s="212">
        <v>1000</v>
      </c>
      <c r="AA803" s="240">
        <v>32</v>
      </c>
      <c r="AB803" s="213">
        <v>1.7999999999999999E-2</v>
      </c>
      <c r="AC803" s="213">
        <v>0.2</v>
      </c>
      <c r="AD803" s="213" t="s">
        <v>1014</v>
      </c>
      <c r="AE803" s="213">
        <v>3.5999999999999999E-3</v>
      </c>
      <c r="AF803" s="241">
        <v>13871085.41</v>
      </c>
      <c r="AG803" s="241">
        <v>13871085.41</v>
      </c>
      <c r="AH803" s="213">
        <v>-3.6900000000000002E-2</v>
      </c>
      <c r="AI803" s="352">
        <v>-0.56859999999999999</v>
      </c>
      <c r="AJ803" s="213" t="s">
        <v>66</v>
      </c>
      <c r="AK803" s="352" t="s">
        <v>66</v>
      </c>
      <c r="AL803" s="213" t="s">
        <v>66</v>
      </c>
      <c r="AM803" s="352" t="s">
        <v>66</v>
      </c>
      <c r="AN803" s="213" t="s">
        <v>66</v>
      </c>
      <c r="AO803" s="352" t="s">
        <v>66</v>
      </c>
      <c r="AP803" s="213" t="s">
        <v>66</v>
      </c>
      <c r="AQ803" s="219" t="s">
        <v>66</v>
      </c>
      <c r="AR803" s="213" t="s">
        <v>1824</v>
      </c>
      <c r="AV803" s="343"/>
      <c r="AW803" s="328"/>
      <c r="AX803" s="329"/>
      <c r="AY803" s="328"/>
      <c r="AZ803" s="328"/>
      <c r="BA803" s="330"/>
      <c r="BB803" s="328"/>
      <c r="BC803" s="328"/>
      <c r="BD803" s="328"/>
      <c r="BE803" s="330"/>
      <c r="BF803" s="330"/>
      <c r="BG803" s="344"/>
      <c r="BH803" s="330"/>
      <c r="BI803" s="330"/>
      <c r="BJ803" s="330"/>
      <c r="BK803" s="330"/>
      <c r="BL803" s="330"/>
      <c r="BM803" s="330"/>
      <c r="BN803" s="330"/>
      <c r="BO803" s="330"/>
      <c r="BP803" s="331"/>
      <c r="BQ803" s="332"/>
      <c r="BR803" s="333"/>
    </row>
    <row r="804" spans="2:70" ht="15.75" customHeight="1">
      <c r="B804" s="216" t="s">
        <v>1517</v>
      </c>
      <c r="C804" s="212">
        <v>587863</v>
      </c>
      <c r="D804" s="223">
        <v>39435574000128</v>
      </c>
      <c r="E804" s="217" t="s">
        <v>28</v>
      </c>
      <c r="F804" s="217" t="s">
        <v>950</v>
      </c>
      <c r="G804" s="217"/>
      <c r="H804" s="218"/>
      <c r="I804" s="217" t="s">
        <v>66</v>
      </c>
      <c r="J804" s="217" t="s">
        <v>66</v>
      </c>
      <c r="K804" s="218" t="s">
        <v>951</v>
      </c>
      <c r="L804" s="212" t="s">
        <v>87</v>
      </c>
      <c r="M804" s="250"/>
      <c r="N804" s="239">
        <v>44407</v>
      </c>
      <c r="O804" s="210" t="s">
        <v>1515</v>
      </c>
      <c r="P804" s="210" t="s">
        <v>1110</v>
      </c>
      <c r="Q804" s="210" t="s">
        <v>1110</v>
      </c>
      <c r="R804" s="210" t="s">
        <v>1077</v>
      </c>
      <c r="S804" s="210" t="s">
        <v>1078</v>
      </c>
      <c r="T804" s="210" t="s">
        <v>1079</v>
      </c>
      <c r="U804" s="210" t="s">
        <v>950</v>
      </c>
      <c r="V804" s="210" t="s">
        <v>1080</v>
      </c>
      <c r="W804" s="211" t="s">
        <v>1007</v>
      </c>
      <c r="X804" s="211">
        <v>10000</v>
      </c>
      <c r="Y804" s="211">
        <v>1000</v>
      </c>
      <c r="Z804" s="212">
        <v>1000</v>
      </c>
      <c r="AA804" s="240">
        <v>32</v>
      </c>
      <c r="AB804" s="213">
        <v>1.7999999999999999E-2</v>
      </c>
      <c r="AC804" s="213">
        <v>0.2</v>
      </c>
      <c r="AD804" s="213" t="s">
        <v>1014</v>
      </c>
      <c r="AE804" s="213">
        <v>3.5999999999999999E-3</v>
      </c>
      <c r="AF804" s="241">
        <v>14175702.050000001</v>
      </c>
      <c r="AG804" s="241">
        <v>14175702.050000001</v>
      </c>
      <c r="AH804" s="213">
        <v>-7.2800000000000004E-2</v>
      </c>
      <c r="AI804" s="352">
        <v>-1.1213</v>
      </c>
      <c r="AJ804" s="213" t="s">
        <v>66</v>
      </c>
      <c r="AK804" s="352" t="s">
        <v>66</v>
      </c>
      <c r="AL804" s="213" t="s">
        <v>66</v>
      </c>
      <c r="AM804" s="352" t="s">
        <v>66</v>
      </c>
      <c r="AN804" s="213" t="s">
        <v>66</v>
      </c>
      <c r="AO804" s="352" t="s">
        <v>66</v>
      </c>
      <c r="AP804" s="213" t="s">
        <v>66</v>
      </c>
      <c r="AQ804" s="219" t="s">
        <v>66</v>
      </c>
      <c r="AR804" s="213" t="s">
        <v>1827</v>
      </c>
      <c r="AV804" s="343"/>
      <c r="AW804" s="328"/>
      <c r="AX804" s="329"/>
      <c r="AY804" s="328"/>
      <c r="AZ804" s="328"/>
      <c r="BA804" s="330"/>
      <c r="BB804" s="328"/>
      <c r="BC804" s="328"/>
      <c r="BD804" s="328"/>
      <c r="BE804" s="330"/>
      <c r="BF804" s="330"/>
      <c r="BG804" s="344"/>
      <c r="BH804" s="330"/>
      <c r="BI804" s="330"/>
      <c r="BJ804" s="330"/>
      <c r="BK804" s="330"/>
      <c r="BL804" s="330"/>
      <c r="BM804" s="330"/>
      <c r="BN804" s="330"/>
      <c r="BO804" s="330"/>
      <c r="BP804" s="331"/>
      <c r="BQ804" s="332"/>
      <c r="BR804" s="333"/>
    </row>
    <row r="805" spans="2:70" ht="15.75" customHeight="1">
      <c r="B805" s="216" t="s">
        <v>1518</v>
      </c>
      <c r="C805" s="212">
        <v>532466</v>
      </c>
      <c r="D805" s="223">
        <v>21312739000109</v>
      </c>
      <c r="E805" s="217" t="s">
        <v>28</v>
      </c>
      <c r="F805" s="217" t="s">
        <v>957</v>
      </c>
      <c r="G805" s="217"/>
      <c r="H805" s="218"/>
      <c r="I805" s="217" t="s">
        <v>1842</v>
      </c>
      <c r="J805" s="217" t="s">
        <v>66</v>
      </c>
      <c r="K805" s="218" t="s">
        <v>951</v>
      </c>
      <c r="L805" s="212" t="s">
        <v>87</v>
      </c>
      <c r="M805" s="250"/>
      <c r="N805" s="239">
        <v>42006</v>
      </c>
      <c r="O805" s="210" t="s">
        <v>529</v>
      </c>
      <c r="P805" s="210" t="s">
        <v>1083</v>
      </c>
      <c r="Q805" s="210" t="s">
        <v>102</v>
      </c>
      <c r="R805" s="210" t="s">
        <v>1084</v>
      </c>
      <c r="S805" s="210" t="s">
        <v>1078</v>
      </c>
      <c r="T805" s="210" t="s">
        <v>1079</v>
      </c>
      <c r="U805" s="210" t="s">
        <v>950</v>
      </c>
      <c r="V805" s="210" t="s">
        <v>1080</v>
      </c>
      <c r="W805" s="211" t="s">
        <v>1007</v>
      </c>
      <c r="X805" s="211">
        <v>5000</v>
      </c>
      <c r="Y805" s="211">
        <v>1000</v>
      </c>
      <c r="Z805" s="212">
        <v>5000</v>
      </c>
      <c r="AA805" s="240">
        <v>9</v>
      </c>
      <c r="AB805" s="213">
        <v>1.9E-2</v>
      </c>
      <c r="AC805" s="213">
        <v>0.2</v>
      </c>
      <c r="AD805" s="213" t="s">
        <v>1014</v>
      </c>
      <c r="AE805" s="213">
        <v>6.6674166666666661E-3</v>
      </c>
      <c r="AF805" s="241">
        <v>13068248.26</v>
      </c>
      <c r="AG805" s="241">
        <v>13068248.26</v>
      </c>
      <c r="AH805" s="213">
        <v>-7.3300000000000004E-2</v>
      </c>
      <c r="AI805" s="352">
        <v>-1.1296999999999999</v>
      </c>
      <c r="AJ805" s="213">
        <v>-0.40849999999999997</v>
      </c>
      <c r="AK805" s="352">
        <v>-4.3414000000000001</v>
      </c>
      <c r="AL805" s="213">
        <v>-0.39279999999999998</v>
      </c>
      <c r="AM805" s="352">
        <v>-3.2513000000000001</v>
      </c>
      <c r="AN805" s="213">
        <v>-0.35120000000000001</v>
      </c>
      <c r="AO805" s="352">
        <v>-2.0840000000000001</v>
      </c>
      <c r="AP805" s="213">
        <v>0.39369999999999999</v>
      </c>
      <c r="AQ805" s="219">
        <v>-1.3637865109228329</v>
      </c>
      <c r="AR805" s="213" t="s">
        <v>1827</v>
      </c>
      <c r="AV805" s="343"/>
      <c r="AW805" s="328"/>
      <c r="AX805" s="329"/>
      <c r="AY805" s="328"/>
      <c r="AZ805" s="328"/>
      <c r="BA805" s="330"/>
      <c r="BB805" s="328"/>
      <c r="BC805" s="328"/>
      <c r="BD805" s="328"/>
      <c r="BE805" s="330"/>
      <c r="BF805" s="330"/>
      <c r="BG805" s="344"/>
      <c r="BH805" s="330"/>
      <c r="BI805" s="330"/>
      <c r="BJ805" s="330"/>
      <c r="BK805" s="330"/>
      <c r="BL805" s="330"/>
      <c r="BM805" s="330"/>
      <c r="BN805" s="330"/>
      <c r="BO805" s="330"/>
      <c r="BP805" s="331"/>
      <c r="BQ805" s="332"/>
      <c r="BR805" s="333"/>
    </row>
    <row r="806" spans="2:70" ht="15.75" customHeight="1">
      <c r="B806" s="216" t="s">
        <v>1519</v>
      </c>
      <c r="C806" s="212">
        <v>586222</v>
      </c>
      <c r="D806" s="223">
        <v>6301947000119</v>
      </c>
      <c r="E806" s="217" t="s">
        <v>25</v>
      </c>
      <c r="F806" s="217" t="s">
        <v>958</v>
      </c>
      <c r="G806" s="217" t="s">
        <v>962</v>
      </c>
      <c r="H806" s="218" t="s">
        <v>66</v>
      </c>
      <c r="I806" s="217" t="s">
        <v>1841</v>
      </c>
      <c r="J806" s="217" t="s">
        <v>66</v>
      </c>
      <c r="K806" s="218"/>
      <c r="L806" s="212" t="s">
        <v>87</v>
      </c>
      <c r="M806" s="250"/>
      <c r="N806" s="239">
        <v>38300</v>
      </c>
      <c r="O806" s="210" t="s">
        <v>529</v>
      </c>
      <c r="P806" s="210" t="s">
        <v>1083</v>
      </c>
      <c r="Q806" s="210" t="s">
        <v>102</v>
      </c>
      <c r="R806" s="210" t="s">
        <v>1084</v>
      </c>
      <c r="S806" s="210" t="s">
        <v>1078</v>
      </c>
      <c r="T806" s="210" t="s">
        <v>1082</v>
      </c>
      <c r="U806" s="210" t="s">
        <v>958</v>
      </c>
      <c r="V806" s="210" t="s">
        <v>25</v>
      </c>
      <c r="W806" s="211" t="s">
        <v>1012</v>
      </c>
      <c r="X806" s="211">
        <v>1000</v>
      </c>
      <c r="Y806" s="211">
        <v>1000</v>
      </c>
      <c r="Z806" s="212">
        <v>1000</v>
      </c>
      <c r="AA806" s="240">
        <v>1</v>
      </c>
      <c r="AB806" s="213">
        <v>8.9999999999999993E-3</v>
      </c>
      <c r="AC806" s="213">
        <v>0.2</v>
      </c>
      <c r="AD806" s="213" t="s">
        <v>109</v>
      </c>
      <c r="AE806" s="213">
        <v>2.8421999999999996E-3</v>
      </c>
      <c r="AF806" s="241">
        <v>199036214.88</v>
      </c>
      <c r="AG806" s="241">
        <v>199036214.88</v>
      </c>
      <c r="AH806" s="213">
        <v>9.2499999999999999E-2</v>
      </c>
      <c r="AI806" s="352">
        <v>1.4245000000000001</v>
      </c>
      <c r="AJ806" s="213">
        <v>0.1026</v>
      </c>
      <c r="AK806" s="352">
        <v>1.0904</v>
      </c>
      <c r="AL806" s="213">
        <v>0.13439999999999999</v>
      </c>
      <c r="AM806" s="352">
        <v>1.1124000000000001</v>
      </c>
      <c r="AN806" s="213">
        <v>0.1951</v>
      </c>
      <c r="AO806" s="352">
        <v>1.1575</v>
      </c>
      <c r="AP806" s="213">
        <v>1.6899999999999998E-2</v>
      </c>
      <c r="AQ806" s="219">
        <v>0.46808070935682528</v>
      </c>
      <c r="AR806" s="213" t="s">
        <v>1827</v>
      </c>
      <c r="AV806" s="343"/>
      <c r="AW806" s="328"/>
      <c r="AX806" s="329"/>
      <c r="AY806" s="328"/>
      <c r="AZ806" s="328"/>
      <c r="BA806" s="330"/>
      <c r="BB806" s="328"/>
      <c r="BC806" s="328"/>
      <c r="BD806" s="328"/>
      <c r="BE806" s="330"/>
      <c r="BF806" s="330"/>
      <c r="BG806" s="344"/>
      <c r="BH806" s="330"/>
      <c r="BI806" s="330"/>
      <c r="BJ806" s="330"/>
      <c r="BK806" s="330"/>
      <c r="BL806" s="330"/>
      <c r="BM806" s="330"/>
      <c r="BN806" s="330"/>
      <c r="BO806" s="330"/>
      <c r="BP806" s="331"/>
      <c r="BQ806" s="332"/>
      <c r="BR806" s="333"/>
    </row>
    <row r="807" spans="2:70" ht="15.75" customHeight="1">
      <c r="B807" s="216" t="s">
        <v>1520</v>
      </c>
      <c r="C807" s="212">
        <v>1012758</v>
      </c>
      <c r="D807" s="223">
        <v>14146726000141</v>
      </c>
      <c r="E807" s="217" t="s">
        <v>25</v>
      </c>
      <c r="F807" s="217" t="s">
        <v>958</v>
      </c>
      <c r="G807" s="217" t="s">
        <v>962</v>
      </c>
      <c r="H807" s="218" t="s">
        <v>66</v>
      </c>
      <c r="I807" s="217" t="s">
        <v>1259</v>
      </c>
      <c r="J807" s="217" t="s">
        <v>66</v>
      </c>
      <c r="K807" s="218"/>
      <c r="L807" s="212" t="s">
        <v>87</v>
      </c>
      <c r="M807" s="250"/>
      <c r="N807" s="239">
        <v>40932</v>
      </c>
      <c r="O807" s="210" t="s">
        <v>529</v>
      </c>
      <c r="P807" s="210" t="s">
        <v>1083</v>
      </c>
      <c r="Q807" s="210" t="s">
        <v>102</v>
      </c>
      <c r="R807" s="210" t="s">
        <v>1084</v>
      </c>
      <c r="S807" s="210" t="s">
        <v>1078</v>
      </c>
      <c r="T807" s="210" t="s">
        <v>1082</v>
      </c>
      <c r="U807" s="210" t="s">
        <v>958</v>
      </c>
      <c r="V807" s="210" t="s">
        <v>25</v>
      </c>
      <c r="W807" s="211" t="s">
        <v>1012</v>
      </c>
      <c r="X807" s="211">
        <v>5000</v>
      </c>
      <c r="Y807" s="211">
        <v>1000</v>
      </c>
      <c r="Z807" s="212">
        <v>1000</v>
      </c>
      <c r="AA807" s="240">
        <v>31</v>
      </c>
      <c r="AB807" s="213">
        <v>1.9E-2</v>
      </c>
      <c r="AC807" s="213">
        <v>0.2</v>
      </c>
      <c r="AD807" s="213" t="s">
        <v>109</v>
      </c>
      <c r="AE807" s="213">
        <v>4.0001333333333335E-3</v>
      </c>
      <c r="AF807" s="241">
        <v>69344776.370000005</v>
      </c>
      <c r="AG807" s="241">
        <v>69344776.370000005</v>
      </c>
      <c r="AH807" s="213">
        <v>0.16070000000000001</v>
      </c>
      <c r="AI807" s="352">
        <v>2.4759000000000002</v>
      </c>
      <c r="AJ807" s="213">
        <v>0.11210000000000001</v>
      </c>
      <c r="AK807" s="352">
        <v>1.1915</v>
      </c>
      <c r="AL807" s="213">
        <v>0.13150000000000001</v>
      </c>
      <c r="AM807" s="352">
        <v>1.0889</v>
      </c>
      <c r="AN807" s="213">
        <v>0.20230000000000001</v>
      </c>
      <c r="AO807" s="352">
        <v>1.2005999999999999</v>
      </c>
      <c r="AP807" s="213">
        <v>6.4899999999999999E-2</v>
      </c>
      <c r="AQ807" s="219">
        <v>0.28402950019739281</v>
      </c>
      <c r="AR807" s="213" t="s">
        <v>1827</v>
      </c>
      <c r="AV807" s="343"/>
      <c r="AW807" s="328"/>
      <c r="AX807" s="329"/>
      <c r="AY807" s="328"/>
      <c r="AZ807" s="328"/>
      <c r="BA807" s="330"/>
      <c r="BB807" s="328"/>
      <c r="BC807" s="328"/>
      <c r="BD807" s="328"/>
      <c r="BE807" s="330"/>
      <c r="BF807" s="330"/>
      <c r="BG807" s="344"/>
      <c r="BH807" s="330"/>
      <c r="BI807" s="330"/>
      <c r="BJ807" s="330"/>
      <c r="BK807" s="330"/>
      <c r="BL807" s="330"/>
      <c r="BM807" s="330"/>
      <c r="BN807" s="330"/>
      <c r="BO807" s="330"/>
      <c r="BP807" s="331"/>
      <c r="BQ807" s="332"/>
      <c r="BR807" s="333"/>
    </row>
    <row r="808" spans="2:70" ht="15.75" customHeight="1">
      <c r="B808" s="216" t="s">
        <v>1521</v>
      </c>
      <c r="C808" s="212">
        <v>1250981</v>
      </c>
      <c r="D808" s="223">
        <v>14806166000104</v>
      </c>
      <c r="E808" s="217" t="s">
        <v>25</v>
      </c>
      <c r="F808" s="217" t="s">
        <v>958</v>
      </c>
      <c r="G808" s="217" t="s">
        <v>962</v>
      </c>
      <c r="H808" s="218" t="s">
        <v>66</v>
      </c>
      <c r="I808" s="217" t="s">
        <v>1259</v>
      </c>
      <c r="J808" s="217" t="s">
        <v>66</v>
      </c>
      <c r="K808" s="218"/>
      <c r="L808" s="212" t="s">
        <v>87</v>
      </c>
      <c r="M808" s="250"/>
      <c r="N808" s="239">
        <v>41001</v>
      </c>
      <c r="O808" s="210" t="s">
        <v>529</v>
      </c>
      <c r="P808" s="210" t="s">
        <v>1083</v>
      </c>
      <c r="Q808" s="210" t="s">
        <v>102</v>
      </c>
      <c r="R808" s="210" t="s">
        <v>1084</v>
      </c>
      <c r="S808" s="210" t="s">
        <v>1085</v>
      </c>
      <c r="T808" s="210" t="s">
        <v>1082</v>
      </c>
      <c r="U808" s="210" t="s">
        <v>958</v>
      </c>
      <c r="V808" s="210" t="s">
        <v>25</v>
      </c>
      <c r="W808" s="211" t="s">
        <v>1012</v>
      </c>
      <c r="X808" s="211">
        <v>1000</v>
      </c>
      <c r="Y808" s="211">
        <v>1000</v>
      </c>
      <c r="Z808" s="212">
        <v>1000</v>
      </c>
      <c r="AA808" s="240">
        <v>5</v>
      </c>
      <c r="AB808" s="213">
        <v>1.9E-2</v>
      </c>
      <c r="AC808" s="213">
        <v>0.2</v>
      </c>
      <c r="AD808" s="213" t="s">
        <v>109</v>
      </c>
      <c r="AE808" s="213">
        <v>6.6674166666666661E-3</v>
      </c>
      <c r="AF808" s="241">
        <v>25598163.539999999</v>
      </c>
      <c r="AG808" s="241">
        <v>25598163.539999999</v>
      </c>
      <c r="AH808" s="213">
        <v>0.16039999999999999</v>
      </c>
      <c r="AI808" s="352">
        <v>2.4702999999999999</v>
      </c>
      <c r="AJ808" s="213">
        <v>0.1116</v>
      </c>
      <c r="AK808" s="352">
        <v>1.1867000000000001</v>
      </c>
      <c r="AL808" s="213">
        <v>0.13150000000000001</v>
      </c>
      <c r="AM808" s="352">
        <v>1.0881000000000001</v>
      </c>
      <c r="AN808" s="213">
        <v>0.20269999999999999</v>
      </c>
      <c r="AO808" s="352">
        <v>1.2029000000000001</v>
      </c>
      <c r="AP808" s="213">
        <v>6.4899999999999999E-2</v>
      </c>
      <c r="AQ808" s="219">
        <v>0.2778127544476075</v>
      </c>
      <c r="AR808" s="213" t="s">
        <v>1827</v>
      </c>
      <c r="AU808" s="343"/>
      <c r="AV808" s="343"/>
      <c r="AW808" s="328"/>
      <c r="AX808" s="329"/>
      <c r="AY808" s="328"/>
      <c r="AZ808" s="328"/>
      <c r="BA808" s="330"/>
      <c r="BB808" s="328"/>
      <c r="BC808" s="328"/>
      <c r="BD808" s="328"/>
      <c r="BE808" s="330"/>
      <c r="BF808" s="330"/>
      <c r="BG808" s="344"/>
      <c r="BH808" s="383"/>
      <c r="BI808" s="330"/>
      <c r="BJ808" s="330"/>
      <c r="BK808" s="330"/>
      <c r="BL808" s="330"/>
      <c r="BM808" s="330"/>
      <c r="BN808" s="330"/>
      <c r="BO808" s="330"/>
      <c r="BP808" s="331"/>
      <c r="BQ808" s="332"/>
      <c r="BR808" s="333"/>
    </row>
    <row r="809" spans="2:70" ht="15.75" customHeight="1">
      <c r="B809" s="216" t="s">
        <v>530</v>
      </c>
      <c r="C809" s="212">
        <v>911100</v>
      </c>
      <c r="D809" s="223">
        <v>30995398000104</v>
      </c>
      <c r="E809" s="217" t="s">
        <v>28</v>
      </c>
      <c r="F809" s="217" t="s">
        <v>957</v>
      </c>
      <c r="G809" s="217"/>
      <c r="H809" s="218"/>
      <c r="I809" s="217" t="s">
        <v>1842</v>
      </c>
      <c r="J809" s="217" t="s">
        <v>66</v>
      </c>
      <c r="K809" s="218" t="s">
        <v>951</v>
      </c>
      <c r="L809" s="212" t="s">
        <v>87</v>
      </c>
      <c r="M809" s="250"/>
      <c r="N809" s="239">
        <v>43462</v>
      </c>
      <c r="O809" s="210" t="s">
        <v>529</v>
      </c>
      <c r="P809" s="210" t="s">
        <v>1083</v>
      </c>
      <c r="Q809" s="210" t="s">
        <v>102</v>
      </c>
      <c r="R809" s="210" t="s">
        <v>1084</v>
      </c>
      <c r="S809" s="210" t="s">
        <v>1078</v>
      </c>
      <c r="T809" s="210" t="s">
        <v>1079</v>
      </c>
      <c r="U809" s="210" t="s">
        <v>957</v>
      </c>
      <c r="V809" s="210" t="s">
        <v>25</v>
      </c>
      <c r="W809" s="211" t="s">
        <v>1016</v>
      </c>
      <c r="X809" s="211">
        <v>5000</v>
      </c>
      <c r="Y809" s="211">
        <v>1000</v>
      </c>
      <c r="Z809" s="212">
        <v>5000</v>
      </c>
      <c r="AA809" s="240">
        <v>32</v>
      </c>
      <c r="AB809" s="213">
        <v>1.9E-2</v>
      </c>
      <c r="AC809" s="213">
        <v>0.2</v>
      </c>
      <c r="AD809" s="213" t="s">
        <v>109</v>
      </c>
      <c r="AE809" s="213">
        <v>6.6674166666666661E-3</v>
      </c>
      <c r="AF809" s="241">
        <v>12807441.15</v>
      </c>
      <c r="AG809" s="241">
        <v>12807441.15</v>
      </c>
      <c r="AH809" s="213">
        <v>0.1071</v>
      </c>
      <c r="AI809" s="352">
        <v>1.6489</v>
      </c>
      <c r="AJ809" s="213">
        <v>-0.17760000000000001</v>
      </c>
      <c r="AK809" s="352">
        <v>-1.8875</v>
      </c>
      <c r="AL809" s="213">
        <v>-0.2387</v>
      </c>
      <c r="AM809" s="352">
        <v>-1.9761</v>
      </c>
      <c r="AN809" s="213">
        <v>-0.13400000000000001</v>
      </c>
      <c r="AO809" s="352">
        <v>-0.79490000000000005</v>
      </c>
      <c r="AP809" s="213">
        <v>0.2233</v>
      </c>
      <c r="AQ809" s="219">
        <v>-1.1665901576073898</v>
      </c>
      <c r="AR809" s="213" t="s">
        <v>1827</v>
      </c>
      <c r="AV809" s="343"/>
      <c r="AW809" s="328"/>
      <c r="AX809" s="329"/>
      <c r="AY809" s="328"/>
      <c r="AZ809" s="328"/>
      <c r="BA809" s="330"/>
      <c r="BB809" s="328"/>
      <c r="BC809" s="328"/>
      <c r="BD809" s="328"/>
      <c r="BE809" s="330"/>
      <c r="BF809" s="330"/>
      <c r="BG809" s="344"/>
      <c r="BH809" s="330"/>
      <c r="BI809" s="330"/>
      <c r="BJ809" s="330"/>
      <c r="BK809" s="330"/>
      <c r="BL809" s="330"/>
      <c r="BM809" s="330"/>
      <c r="BN809" s="330"/>
      <c r="BO809" s="330"/>
      <c r="BP809" s="331"/>
      <c r="BQ809" s="332"/>
      <c r="BR809" s="333"/>
    </row>
    <row r="810" spans="2:70" ht="15.75" customHeight="1">
      <c r="B810" s="216" t="s">
        <v>50</v>
      </c>
      <c r="C810" s="212">
        <v>820878</v>
      </c>
      <c r="D810" s="223">
        <v>39958357000112</v>
      </c>
      <c r="E810" s="217" t="s">
        <v>25</v>
      </c>
      <c r="F810" s="217" t="s">
        <v>959</v>
      </c>
      <c r="G810" s="217" t="s">
        <v>962</v>
      </c>
      <c r="H810" s="218" t="s">
        <v>66</v>
      </c>
      <c r="I810" s="217" t="s">
        <v>1259</v>
      </c>
      <c r="J810" s="217" t="s">
        <v>66</v>
      </c>
      <c r="K810" s="218" t="s">
        <v>954</v>
      </c>
      <c r="L810" s="212" t="s">
        <v>87</v>
      </c>
      <c r="M810" s="250"/>
      <c r="N810" s="239">
        <v>44195</v>
      </c>
      <c r="O810" s="210" t="s">
        <v>533</v>
      </c>
      <c r="P810" s="210" t="s">
        <v>1075</v>
      </c>
      <c r="Q810" s="210" t="s">
        <v>1076</v>
      </c>
      <c r="R810" s="210" t="s">
        <v>1084</v>
      </c>
      <c r="S810" s="210" t="s">
        <v>1078</v>
      </c>
      <c r="T810" s="210" t="s">
        <v>1082</v>
      </c>
      <c r="U810" s="210" t="s">
        <v>65</v>
      </c>
      <c r="V810" s="210" t="s">
        <v>25</v>
      </c>
      <c r="W810" s="211" t="s">
        <v>1016</v>
      </c>
      <c r="X810" s="211">
        <v>1000</v>
      </c>
      <c r="Y810" s="211">
        <v>500</v>
      </c>
      <c r="Z810" s="212">
        <v>500</v>
      </c>
      <c r="AA810" s="240">
        <v>31</v>
      </c>
      <c r="AB810" s="213">
        <v>1.95E-2</v>
      </c>
      <c r="AC810" s="213">
        <v>0.2</v>
      </c>
      <c r="AD810" s="213" t="s">
        <v>113</v>
      </c>
      <c r="AE810" s="213">
        <v>5.2006500000000002E-3</v>
      </c>
      <c r="AF810" s="241">
        <v>153946714.78</v>
      </c>
      <c r="AG810" s="241">
        <v>153946714.78</v>
      </c>
      <c r="AH810" s="213">
        <v>5.3999999999999999E-2</v>
      </c>
      <c r="AI810" s="352">
        <v>0.83199999999999996</v>
      </c>
      <c r="AJ810" s="213">
        <v>6.5600000000000006E-2</v>
      </c>
      <c r="AK810" s="352">
        <v>0.69689999999999996</v>
      </c>
      <c r="AL810" s="213" t="s">
        <v>66</v>
      </c>
      <c r="AM810" s="352" t="s">
        <v>66</v>
      </c>
      <c r="AN810" s="213" t="s">
        <v>66</v>
      </c>
      <c r="AO810" s="352" t="s">
        <v>66</v>
      </c>
      <c r="AP810" s="213">
        <v>5.4699999999999999E-2</v>
      </c>
      <c r="AQ810" s="219">
        <v>-0.45576690680688708</v>
      </c>
      <c r="AR810" s="213" t="s">
        <v>1827</v>
      </c>
      <c r="AV810" s="343"/>
      <c r="AW810" s="328"/>
      <c r="AX810" s="329"/>
      <c r="AY810" s="328"/>
      <c r="AZ810" s="328"/>
      <c r="BA810" s="330"/>
      <c r="BB810" s="328"/>
      <c r="BC810" s="328"/>
      <c r="BD810" s="328"/>
      <c r="BE810" s="330"/>
      <c r="BF810" s="330"/>
      <c r="BG810" s="344"/>
      <c r="BH810" s="330"/>
      <c r="BI810" s="330"/>
      <c r="BJ810" s="330"/>
      <c r="BK810" s="330"/>
      <c r="BL810" s="330"/>
      <c r="BM810" s="330"/>
      <c r="BN810" s="330"/>
      <c r="BO810" s="330"/>
      <c r="BP810" s="331"/>
      <c r="BQ810" s="332"/>
      <c r="BR810" s="333"/>
    </row>
    <row r="811" spans="2:70" ht="15.75" customHeight="1">
      <c r="B811" s="216" t="s">
        <v>51</v>
      </c>
      <c r="C811" s="212">
        <v>564214</v>
      </c>
      <c r="D811" s="223">
        <v>39958195000112</v>
      </c>
      <c r="E811" s="217" t="s">
        <v>25</v>
      </c>
      <c r="F811" s="217" t="s">
        <v>959</v>
      </c>
      <c r="G811" s="217" t="s">
        <v>962</v>
      </c>
      <c r="H811" s="218" t="s">
        <v>66</v>
      </c>
      <c r="I811" s="217" t="s">
        <v>1842</v>
      </c>
      <c r="J811" s="217" t="s">
        <v>66</v>
      </c>
      <c r="K811" s="218" t="s">
        <v>954</v>
      </c>
      <c r="L811" s="212" t="s">
        <v>87</v>
      </c>
      <c r="M811" s="250"/>
      <c r="N811" s="239">
        <v>44183</v>
      </c>
      <c r="O811" s="210" t="s">
        <v>533</v>
      </c>
      <c r="P811" s="210" t="s">
        <v>1075</v>
      </c>
      <c r="Q811" s="210" t="s">
        <v>1076</v>
      </c>
      <c r="R811" s="210" t="s">
        <v>1077</v>
      </c>
      <c r="S811" s="210" t="s">
        <v>1078</v>
      </c>
      <c r="T811" s="210" t="s">
        <v>1082</v>
      </c>
      <c r="U811" s="210" t="s">
        <v>65</v>
      </c>
      <c r="V811" s="210" t="s">
        <v>25</v>
      </c>
      <c r="W811" s="211" t="s">
        <v>1016</v>
      </c>
      <c r="X811" s="211">
        <v>5000</v>
      </c>
      <c r="Y811" s="211">
        <v>1000</v>
      </c>
      <c r="Z811" s="212">
        <v>1000</v>
      </c>
      <c r="AA811" s="240">
        <v>31</v>
      </c>
      <c r="AB811" s="213">
        <v>1.95E-2</v>
      </c>
      <c r="AC811" s="213">
        <v>0.2</v>
      </c>
      <c r="AD811" s="213" t="s">
        <v>113</v>
      </c>
      <c r="AE811" s="213">
        <v>5.2006500000000002E-3</v>
      </c>
      <c r="AF811" s="241">
        <v>499680149.86000001</v>
      </c>
      <c r="AG811" s="241">
        <v>499680149.86000001</v>
      </c>
      <c r="AH811" s="213">
        <v>4.6899999999999997E-2</v>
      </c>
      <c r="AI811" s="352">
        <v>0.72270000000000001</v>
      </c>
      <c r="AJ811" s="213">
        <v>6.0299999999999999E-2</v>
      </c>
      <c r="AK811" s="352">
        <v>0.64090000000000003</v>
      </c>
      <c r="AL811" s="213" t="s">
        <v>66</v>
      </c>
      <c r="AM811" s="352" t="s">
        <v>66</v>
      </c>
      <c r="AN811" s="213" t="s">
        <v>66</v>
      </c>
      <c r="AO811" s="352" t="s">
        <v>66</v>
      </c>
      <c r="AP811" s="213">
        <v>7.0699999999999999E-2</v>
      </c>
      <c r="AQ811" s="219">
        <v>-0.40848552146753603</v>
      </c>
      <c r="AR811" s="213" t="s">
        <v>1827</v>
      </c>
      <c r="AV811" s="343"/>
      <c r="AW811" s="328"/>
      <c r="AX811" s="329"/>
      <c r="AY811" s="328"/>
      <c r="AZ811" s="328"/>
      <c r="BA811" s="330"/>
      <c r="BB811" s="328"/>
      <c r="BC811" s="328"/>
      <c r="BD811" s="328"/>
      <c r="BE811" s="330"/>
      <c r="BF811" s="330"/>
      <c r="BG811" s="344"/>
      <c r="BH811" s="330"/>
      <c r="BI811" s="330"/>
      <c r="BJ811" s="330"/>
      <c r="BK811" s="330"/>
      <c r="BL811" s="330"/>
      <c r="BM811" s="330"/>
      <c r="BN811" s="330"/>
      <c r="BO811" s="330"/>
      <c r="BP811" s="331"/>
      <c r="BQ811" s="332"/>
      <c r="BR811" s="333"/>
    </row>
    <row r="812" spans="2:70" ht="15.75" customHeight="1">
      <c r="B812" s="216" t="s">
        <v>796</v>
      </c>
      <c r="C812" s="212">
        <v>2386492</v>
      </c>
      <c r="D812" s="223">
        <v>29853005000149</v>
      </c>
      <c r="E812" s="217" t="s">
        <v>19</v>
      </c>
      <c r="F812" s="217" t="s">
        <v>1009</v>
      </c>
      <c r="G812" s="217"/>
      <c r="H812" s="218" t="s">
        <v>1113</v>
      </c>
      <c r="I812" s="217" t="s">
        <v>66</v>
      </c>
      <c r="J812" s="217"/>
      <c r="K812" s="218" t="s">
        <v>954</v>
      </c>
      <c r="L812" s="212" t="s">
        <v>87</v>
      </c>
      <c r="M812" s="250"/>
      <c r="N812" s="239">
        <v>43276</v>
      </c>
      <c r="O812" s="210" t="s">
        <v>120</v>
      </c>
      <c r="P812" s="210" t="s">
        <v>1090</v>
      </c>
      <c r="Q812" s="210" t="s">
        <v>1091</v>
      </c>
      <c r="R812" s="210" t="s">
        <v>1077</v>
      </c>
      <c r="S812" s="210" t="s">
        <v>1078</v>
      </c>
      <c r="T812" s="210" t="s">
        <v>349</v>
      </c>
      <c r="U812" s="210" t="s">
        <v>65</v>
      </c>
      <c r="V812" s="210" t="s">
        <v>25</v>
      </c>
      <c r="W812" s="211" t="s">
        <v>1028</v>
      </c>
      <c r="X812" s="211">
        <v>500</v>
      </c>
      <c r="Y812" s="211">
        <v>500</v>
      </c>
      <c r="Z812" s="212">
        <v>500</v>
      </c>
      <c r="AA812" s="240">
        <v>12</v>
      </c>
      <c r="AB812" s="213">
        <v>8.5000000000000006E-3</v>
      </c>
      <c r="AC812" s="213">
        <v>0</v>
      </c>
      <c r="AD812" s="213" t="s">
        <v>113</v>
      </c>
      <c r="AE812" s="213">
        <v>5.6666666666666671E-3</v>
      </c>
      <c r="AF812" s="241">
        <v>305345509.19999999</v>
      </c>
      <c r="AG812" s="241">
        <v>305345509.19999999</v>
      </c>
      <c r="AH812" s="213">
        <v>-3.61E-2</v>
      </c>
      <c r="AI812" s="352">
        <v>-0.55679999999999996</v>
      </c>
      <c r="AJ812" s="213">
        <v>-8.6999999999999994E-3</v>
      </c>
      <c r="AK812" s="352">
        <v>-9.2299999999999993E-2</v>
      </c>
      <c r="AL812" s="213">
        <v>8.4199999999999997E-2</v>
      </c>
      <c r="AM812" s="352">
        <v>0.69669999999999999</v>
      </c>
      <c r="AN812" s="213">
        <v>8.5699999999999998E-2</v>
      </c>
      <c r="AO812" s="352">
        <v>0.50880000000000003</v>
      </c>
      <c r="AP812" s="213">
        <v>3.8899999999999997E-2</v>
      </c>
      <c r="AQ812" s="219">
        <v>-2.5176841332618989</v>
      </c>
      <c r="AR812" s="213" t="s">
        <v>1824</v>
      </c>
      <c r="AV812" s="343"/>
      <c r="AW812" s="328"/>
      <c r="AX812" s="329"/>
      <c r="AY812" s="328"/>
      <c r="AZ812" s="328"/>
      <c r="BA812" s="330"/>
      <c r="BB812" s="328"/>
      <c r="BC812" s="328"/>
      <c r="BD812" s="328"/>
      <c r="BE812" s="330"/>
      <c r="BF812" s="330"/>
      <c r="BG812" s="344"/>
      <c r="BH812" s="330"/>
      <c r="BI812" s="330"/>
      <c r="BJ812" s="330"/>
      <c r="BK812" s="330"/>
      <c r="BL812" s="330"/>
      <c r="BM812" s="330"/>
      <c r="BN812" s="330"/>
      <c r="BO812" s="330"/>
      <c r="BP812" s="331"/>
      <c r="BQ812" s="332"/>
      <c r="BR812" s="333"/>
    </row>
    <row r="813" spans="2:70" ht="15.75" customHeight="1">
      <c r="B813" s="216" t="s">
        <v>534</v>
      </c>
      <c r="C813" s="212">
        <v>4274275</v>
      </c>
      <c r="D813" s="223">
        <v>40660810000199</v>
      </c>
      <c r="E813" s="217" t="s">
        <v>19</v>
      </c>
      <c r="F813" s="217" t="s">
        <v>1009</v>
      </c>
      <c r="G813" s="217"/>
      <c r="H813" s="218" t="s">
        <v>1113</v>
      </c>
      <c r="I813" s="217" t="s">
        <v>66</v>
      </c>
      <c r="J813" s="217"/>
      <c r="K813" s="218" t="s">
        <v>954</v>
      </c>
      <c r="L813" s="212" t="s">
        <v>88</v>
      </c>
      <c r="M813" s="250"/>
      <c r="N813" s="239">
        <v>44285</v>
      </c>
      <c r="O813" s="210" t="s">
        <v>120</v>
      </c>
      <c r="P813" s="210" t="s">
        <v>1090</v>
      </c>
      <c r="Q813" s="210" t="s">
        <v>1091</v>
      </c>
      <c r="R813" s="210" t="s">
        <v>1077</v>
      </c>
      <c r="S813" s="210" t="s">
        <v>1078</v>
      </c>
      <c r="T813" s="210" t="s">
        <v>349</v>
      </c>
      <c r="U813" s="210" t="s">
        <v>65</v>
      </c>
      <c r="V813" s="210" t="s">
        <v>25</v>
      </c>
      <c r="W813" s="211" t="s">
        <v>1028</v>
      </c>
      <c r="X813" s="211">
        <v>500</v>
      </c>
      <c r="Y813" s="211">
        <v>500</v>
      </c>
      <c r="Z813" s="212">
        <v>500</v>
      </c>
      <c r="AA813" s="240">
        <v>12</v>
      </c>
      <c r="AB813" s="213">
        <v>8.5000000000000006E-3</v>
      </c>
      <c r="AC813" s="213">
        <v>0</v>
      </c>
      <c r="AD813" s="213" t="s">
        <v>113</v>
      </c>
      <c r="AE813" s="213">
        <v>5.6666666666666671E-3</v>
      </c>
      <c r="AF813" s="241">
        <v>12803994.619999999</v>
      </c>
      <c r="AG813" s="241">
        <v>12803994.619999999</v>
      </c>
      <c r="AH813" s="213">
        <v>-0.14560000000000001</v>
      </c>
      <c r="AI813" s="352">
        <v>-2.2433999999999998</v>
      </c>
      <c r="AJ813" s="213">
        <v>-6.3100000000000003E-2</v>
      </c>
      <c r="AK813" s="352">
        <v>-0.67030000000000001</v>
      </c>
      <c r="AL813" s="213" t="s">
        <v>66</v>
      </c>
      <c r="AM813" s="352" t="s">
        <v>66</v>
      </c>
      <c r="AN813" s="213" t="s">
        <v>66</v>
      </c>
      <c r="AO813" s="352" t="s">
        <v>66</v>
      </c>
      <c r="AP813" s="213">
        <v>0.14779999999999999</v>
      </c>
      <c r="AQ813" s="219">
        <v>-0.97561726030019158</v>
      </c>
      <c r="AR813" s="213" t="s">
        <v>1827</v>
      </c>
      <c r="AV813" s="343"/>
      <c r="AW813" s="328"/>
      <c r="AX813" s="329"/>
      <c r="AY813" s="328"/>
      <c r="AZ813" s="328"/>
      <c r="BA813" s="330"/>
      <c r="BB813" s="328"/>
      <c r="BC813" s="328"/>
      <c r="BD813" s="328"/>
      <c r="BE813" s="330"/>
      <c r="BF813" s="330"/>
      <c r="BG813" s="344"/>
      <c r="BH813" s="330"/>
      <c r="BI813" s="330"/>
      <c r="BJ813" s="330"/>
      <c r="BK813" s="330"/>
      <c r="BL813" s="330"/>
      <c r="BM813" s="330"/>
      <c r="BN813" s="330"/>
      <c r="BO813" s="330"/>
      <c r="BP813" s="331"/>
      <c r="BQ813" s="332"/>
      <c r="BR813" s="333"/>
    </row>
    <row r="814" spans="2:70" ht="15.75" customHeight="1">
      <c r="B814" s="216" t="s">
        <v>535</v>
      </c>
      <c r="C814" s="212">
        <v>2392621</v>
      </c>
      <c r="D814" s="223">
        <v>11403956000150</v>
      </c>
      <c r="E814" s="217" t="s">
        <v>25</v>
      </c>
      <c r="F814" s="217" t="s">
        <v>959</v>
      </c>
      <c r="G814" s="217" t="s">
        <v>960</v>
      </c>
      <c r="H814" s="218" t="s">
        <v>66</v>
      </c>
      <c r="I814" s="217" t="s">
        <v>1841</v>
      </c>
      <c r="J814" s="217" t="s">
        <v>66</v>
      </c>
      <c r="K814" s="218" t="s">
        <v>951</v>
      </c>
      <c r="L814" s="212" t="s">
        <v>87</v>
      </c>
      <c r="M814" s="250"/>
      <c r="N814" s="239">
        <v>40259</v>
      </c>
      <c r="O814" s="210" t="s">
        <v>536</v>
      </c>
      <c r="P814" s="210" t="s">
        <v>1090</v>
      </c>
      <c r="Q814" s="210" t="s">
        <v>1091</v>
      </c>
      <c r="R814" s="210" t="s">
        <v>1084</v>
      </c>
      <c r="S814" s="210" t="s">
        <v>1078</v>
      </c>
      <c r="T814" s="210" t="s">
        <v>1082</v>
      </c>
      <c r="U814" s="210" t="s">
        <v>1086</v>
      </c>
      <c r="V814" s="210" t="s">
        <v>25</v>
      </c>
      <c r="W814" s="211" t="s">
        <v>1016</v>
      </c>
      <c r="X814" s="211">
        <v>5000</v>
      </c>
      <c r="Y814" s="211">
        <v>0</v>
      </c>
      <c r="Z814" s="212">
        <v>0</v>
      </c>
      <c r="AA814" s="240">
        <v>15</v>
      </c>
      <c r="AB814" s="213">
        <v>0.02</v>
      </c>
      <c r="AC814" s="213">
        <v>0.2</v>
      </c>
      <c r="AD814" s="213" t="s">
        <v>109</v>
      </c>
      <c r="AE814" s="213">
        <v>5.0000000000000001E-3</v>
      </c>
      <c r="AF814" s="241">
        <v>670173020.51999998</v>
      </c>
      <c r="AG814" s="241">
        <v>670173020.51999998</v>
      </c>
      <c r="AH814" s="213">
        <v>6.13E-2</v>
      </c>
      <c r="AI814" s="352">
        <v>0.94410000000000005</v>
      </c>
      <c r="AJ814" s="213">
        <v>7.9299999999999995E-2</v>
      </c>
      <c r="AK814" s="352">
        <v>0.8427</v>
      </c>
      <c r="AL814" s="213">
        <v>0.1051</v>
      </c>
      <c r="AM814" s="352">
        <v>0.86990000000000001</v>
      </c>
      <c r="AN814" s="213">
        <v>0.17849999999999999</v>
      </c>
      <c r="AO814" s="352">
        <v>1.0591999999999999</v>
      </c>
      <c r="AP814" s="213">
        <v>2.0299999999999999E-2</v>
      </c>
      <c r="AQ814" s="219">
        <v>-0.66054524994374353</v>
      </c>
      <c r="AR814" s="213" t="s">
        <v>1827</v>
      </c>
      <c r="AV814" s="343"/>
      <c r="AW814" s="328"/>
      <c r="AX814" s="329"/>
      <c r="AY814" s="328"/>
      <c r="AZ814" s="328"/>
      <c r="BA814" s="330"/>
      <c r="BB814" s="328"/>
      <c r="BC814" s="328"/>
      <c r="BD814" s="328"/>
      <c r="BE814" s="330"/>
      <c r="BF814" s="330"/>
      <c r="BG814" s="344"/>
      <c r="BH814" s="330"/>
      <c r="BI814" s="330"/>
      <c r="BJ814" s="330"/>
      <c r="BK814" s="330"/>
      <c r="BL814" s="330"/>
      <c r="BM814" s="330"/>
      <c r="BN814" s="330"/>
      <c r="BO814" s="330"/>
      <c r="BP814" s="331"/>
      <c r="BQ814" s="332"/>
      <c r="BR814" s="333"/>
    </row>
    <row r="815" spans="2:70" ht="15.75" customHeight="1">
      <c r="B815" s="216" t="s">
        <v>537</v>
      </c>
      <c r="C815" s="212">
        <v>2304603</v>
      </c>
      <c r="D815" s="223">
        <v>11628883000103</v>
      </c>
      <c r="E815" s="217" t="s">
        <v>28</v>
      </c>
      <c r="F815" s="217" t="s">
        <v>950</v>
      </c>
      <c r="G815" s="217"/>
      <c r="H815" s="218"/>
      <c r="I815" s="217" t="s">
        <v>66</v>
      </c>
      <c r="J815" s="217" t="s">
        <v>66</v>
      </c>
      <c r="K815" s="218" t="s">
        <v>951</v>
      </c>
      <c r="L815" s="212" t="s">
        <v>87</v>
      </c>
      <c r="M815" s="250"/>
      <c r="N815" s="239">
        <v>40269</v>
      </c>
      <c r="O815" s="210" t="s">
        <v>536</v>
      </c>
      <c r="P815" s="210" t="s">
        <v>1088</v>
      </c>
      <c r="Q815" s="210" t="s">
        <v>1089</v>
      </c>
      <c r="R815" s="210" t="s">
        <v>1084</v>
      </c>
      <c r="S815" s="210" t="s">
        <v>1078</v>
      </c>
      <c r="T815" s="210" t="s">
        <v>1079</v>
      </c>
      <c r="U815" s="210" t="s">
        <v>950</v>
      </c>
      <c r="V815" s="210" t="s">
        <v>1080</v>
      </c>
      <c r="W815" s="211" t="s">
        <v>1013</v>
      </c>
      <c r="X815" s="211">
        <v>5000</v>
      </c>
      <c r="Y815" s="211">
        <v>0</v>
      </c>
      <c r="Z815" s="212">
        <v>0</v>
      </c>
      <c r="AA815" s="240">
        <v>17</v>
      </c>
      <c r="AB815" s="213">
        <v>0.02</v>
      </c>
      <c r="AC815" s="213">
        <v>0.2</v>
      </c>
      <c r="AD815" s="213" t="s">
        <v>1014</v>
      </c>
      <c r="AE815" s="213">
        <v>5.3333333333333332E-3</v>
      </c>
      <c r="AF815" s="241">
        <v>941305603.49000001</v>
      </c>
      <c r="AG815" s="241">
        <v>941305603.49000001</v>
      </c>
      <c r="AH815" s="213">
        <v>-7.4999999999999997E-3</v>
      </c>
      <c r="AI815" s="352">
        <v>-0.11509999999999999</v>
      </c>
      <c r="AJ815" s="213">
        <v>-0.1648</v>
      </c>
      <c r="AK815" s="352">
        <v>-1.7521</v>
      </c>
      <c r="AL815" s="213">
        <v>-2.7900000000000001E-2</v>
      </c>
      <c r="AM815" s="352">
        <v>-0.23089999999999999</v>
      </c>
      <c r="AN815" s="213">
        <v>5.0500000000000003E-2</v>
      </c>
      <c r="AO815" s="352">
        <v>0.29980000000000001</v>
      </c>
      <c r="AP815" s="213">
        <v>0.18729999999999999</v>
      </c>
      <c r="AQ815" s="219">
        <v>-1.3482223420621517</v>
      </c>
      <c r="AR815" s="213" t="s">
        <v>1824</v>
      </c>
      <c r="AV815" s="343"/>
      <c r="AW815" s="328"/>
      <c r="AX815" s="329"/>
      <c r="AY815" s="328"/>
      <c r="AZ815" s="328"/>
      <c r="BA815" s="330"/>
      <c r="BB815" s="328"/>
      <c r="BC815" s="328"/>
      <c r="BD815" s="328"/>
      <c r="BE815" s="330"/>
      <c r="BF815" s="330"/>
      <c r="BG815" s="344"/>
      <c r="BH815" s="330"/>
      <c r="BI815" s="330"/>
      <c r="BJ815" s="330"/>
      <c r="BK815" s="330"/>
      <c r="BL815" s="330"/>
      <c r="BM815" s="330"/>
      <c r="BN815" s="330"/>
      <c r="BO815" s="330"/>
      <c r="BP815" s="331"/>
      <c r="BQ815" s="332"/>
      <c r="BR815" s="333"/>
    </row>
    <row r="816" spans="2:70" ht="15.75" customHeight="1">
      <c r="B816" s="216" t="s">
        <v>1043</v>
      </c>
      <c r="C816" s="212">
        <v>3349387</v>
      </c>
      <c r="D816" s="223">
        <v>23711486000171</v>
      </c>
      <c r="E816" s="217" t="s">
        <v>28</v>
      </c>
      <c r="F816" s="217" t="s">
        <v>32</v>
      </c>
      <c r="G816" s="217" t="s">
        <v>34</v>
      </c>
      <c r="H816" s="218"/>
      <c r="I816" s="217" t="s">
        <v>66</v>
      </c>
      <c r="J816" s="217" t="s">
        <v>66</v>
      </c>
      <c r="K816" s="218" t="s">
        <v>954</v>
      </c>
      <c r="L816" s="212" t="s">
        <v>88</v>
      </c>
      <c r="M816" s="250"/>
      <c r="N816" s="239">
        <v>42415</v>
      </c>
      <c r="O816" s="210" t="s">
        <v>536</v>
      </c>
      <c r="P816" s="210" t="s">
        <v>1090</v>
      </c>
      <c r="Q816" s="210" t="s">
        <v>1091</v>
      </c>
      <c r="R816" s="210" t="s">
        <v>1084</v>
      </c>
      <c r="S816" s="210" t="s">
        <v>1078</v>
      </c>
      <c r="T816" s="210" t="s">
        <v>34</v>
      </c>
      <c r="U816" s="210" t="s">
        <v>66</v>
      </c>
      <c r="V816" s="210" t="s">
        <v>34</v>
      </c>
      <c r="W816" s="211" t="s">
        <v>34</v>
      </c>
      <c r="X816" s="211">
        <v>5000</v>
      </c>
      <c r="Y816" s="211">
        <v>0</v>
      </c>
      <c r="Z816" s="212">
        <v>0</v>
      </c>
      <c r="AA816" s="240">
        <v>1</v>
      </c>
      <c r="AB816" s="213">
        <v>7.4999999999999997E-3</v>
      </c>
      <c r="AC816" s="213">
        <v>0</v>
      </c>
      <c r="AD816" s="213" t="s">
        <v>113</v>
      </c>
      <c r="AE816" s="213">
        <v>1.7499999999999998E-3</v>
      </c>
      <c r="AF816" s="241">
        <v>70824275.75</v>
      </c>
      <c r="AG816" s="241">
        <v>70824275.75</v>
      </c>
      <c r="AH816" s="213">
        <v>-6.9400000000000003E-2</v>
      </c>
      <c r="AI816" s="352">
        <v>-1.069</v>
      </c>
      <c r="AJ816" s="213">
        <v>2.1600000000000001E-2</v>
      </c>
      <c r="AK816" s="352">
        <v>0.22989999999999999</v>
      </c>
      <c r="AL816" s="213">
        <v>6.4000000000000003E-3</v>
      </c>
      <c r="AM816" s="352">
        <v>5.3199999999999997E-2</v>
      </c>
      <c r="AN816" s="213">
        <v>0.3805</v>
      </c>
      <c r="AO816" s="352">
        <v>2.2578999999999998</v>
      </c>
      <c r="AP816" s="213">
        <v>0.1648</v>
      </c>
      <c r="AQ816" s="219">
        <v>-0.33410767448761114</v>
      </c>
      <c r="AR816" s="213" t="s">
        <v>1827</v>
      </c>
      <c r="AV816" s="343"/>
      <c r="AW816" s="328"/>
      <c r="AX816" s="329"/>
      <c r="AY816" s="328"/>
      <c r="AZ816" s="328"/>
      <c r="BA816" s="330"/>
      <c r="BB816" s="328"/>
      <c r="BC816" s="328"/>
      <c r="BD816" s="328"/>
      <c r="BE816" s="330"/>
      <c r="BF816" s="330"/>
      <c r="BG816" s="344"/>
      <c r="BH816" s="330"/>
      <c r="BI816" s="330"/>
      <c r="BJ816" s="330"/>
      <c r="BK816" s="330"/>
      <c r="BL816" s="330"/>
      <c r="BM816" s="330"/>
      <c r="BN816" s="330"/>
      <c r="BO816" s="330"/>
      <c r="BP816" s="331"/>
      <c r="BQ816" s="332"/>
      <c r="BR816" s="333"/>
    </row>
    <row r="817" spans="2:70" ht="15.75" customHeight="1">
      <c r="B817" s="216" t="s">
        <v>832</v>
      </c>
      <c r="C817" s="212">
        <v>2994381</v>
      </c>
      <c r="D817" s="223">
        <v>11628865000113</v>
      </c>
      <c r="E817" s="217" t="s">
        <v>25</v>
      </c>
      <c r="F817" s="217" t="s">
        <v>958</v>
      </c>
      <c r="G817" s="217" t="s">
        <v>962</v>
      </c>
      <c r="H817" s="218"/>
      <c r="I817" s="217" t="s">
        <v>1841</v>
      </c>
      <c r="J817" s="217" t="s">
        <v>66</v>
      </c>
      <c r="K817" s="218" t="s">
        <v>954</v>
      </c>
      <c r="L817" s="212" t="s">
        <v>87</v>
      </c>
      <c r="M817" s="250"/>
      <c r="N817" s="239">
        <v>40269</v>
      </c>
      <c r="O817" s="210" t="s">
        <v>536</v>
      </c>
      <c r="P817" s="210" t="s">
        <v>1090</v>
      </c>
      <c r="Q817" s="210" t="s">
        <v>1091</v>
      </c>
      <c r="R817" s="210" t="s">
        <v>1084</v>
      </c>
      <c r="S817" s="210" t="s">
        <v>1078</v>
      </c>
      <c r="T817" s="210" t="s">
        <v>1082</v>
      </c>
      <c r="U817" s="210" t="s">
        <v>958</v>
      </c>
      <c r="V817" s="210" t="s">
        <v>25</v>
      </c>
      <c r="W817" s="211" t="s">
        <v>1016</v>
      </c>
      <c r="X817" s="211">
        <v>30000</v>
      </c>
      <c r="Y817" s="211">
        <v>0</v>
      </c>
      <c r="Z817" s="212">
        <v>0</v>
      </c>
      <c r="AA817" s="240">
        <v>1</v>
      </c>
      <c r="AB817" s="213">
        <v>7.4999999999999997E-3</v>
      </c>
      <c r="AC817" s="213">
        <v>0.2</v>
      </c>
      <c r="AD817" s="213" t="s">
        <v>109</v>
      </c>
      <c r="AE817" s="213">
        <v>1.8749999999999999E-3</v>
      </c>
      <c r="AF817" s="241">
        <v>5398069.6600000001</v>
      </c>
      <c r="AG817" s="241">
        <v>5398069.6600000001</v>
      </c>
      <c r="AH817" s="213">
        <v>5.2900000000000003E-2</v>
      </c>
      <c r="AI817" s="352">
        <v>0.81540000000000001</v>
      </c>
      <c r="AJ817" s="213">
        <v>7.6200000000000004E-2</v>
      </c>
      <c r="AK817" s="352">
        <v>0.80979999999999996</v>
      </c>
      <c r="AL817" s="213">
        <v>0.1038</v>
      </c>
      <c r="AM817" s="352">
        <v>0.85880000000000001</v>
      </c>
      <c r="AN817" s="213">
        <v>0.15620000000000001</v>
      </c>
      <c r="AO817" s="352">
        <v>0.92669999999999997</v>
      </c>
      <c r="AP817" s="213">
        <v>7.7999999999999996E-3</v>
      </c>
      <c r="AQ817" s="219">
        <v>-2.1223993436780995</v>
      </c>
      <c r="AR817" s="213" t="s">
        <v>1824</v>
      </c>
      <c r="AU817" s="343"/>
      <c r="AV817" s="343"/>
      <c r="AW817" s="328"/>
      <c r="AX817" s="329"/>
      <c r="AY817" s="328"/>
      <c r="AZ817" s="328"/>
      <c r="BA817" s="330"/>
      <c r="BB817" s="328"/>
      <c r="BC817" s="328"/>
      <c r="BD817" s="328"/>
      <c r="BE817" s="330"/>
      <c r="BF817" s="330"/>
      <c r="BG817" s="344"/>
      <c r="BH817" s="383"/>
      <c r="BI817" s="330"/>
      <c r="BJ817" s="330"/>
      <c r="BK817" s="330"/>
      <c r="BL817" s="330"/>
      <c r="BM817" s="330"/>
      <c r="BN817" s="330"/>
      <c r="BO817" s="330"/>
      <c r="BP817" s="331"/>
      <c r="BQ817" s="332"/>
      <c r="BR817" s="333"/>
    </row>
    <row r="818" spans="2:70" ht="15.75" customHeight="1">
      <c r="B818" s="216" t="s">
        <v>1524</v>
      </c>
      <c r="C818" s="212">
        <v>1447208</v>
      </c>
      <c r="D818" s="223">
        <v>15578417000103</v>
      </c>
      <c r="E818" s="217" t="s">
        <v>25</v>
      </c>
      <c r="F818" s="217" t="s">
        <v>958</v>
      </c>
      <c r="G818" s="217" t="s">
        <v>962</v>
      </c>
      <c r="H818" s="218" t="s">
        <v>66</v>
      </c>
      <c r="I818" s="217" t="s">
        <v>1841</v>
      </c>
      <c r="J818" s="217" t="s">
        <v>66</v>
      </c>
      <c r="K818" s="218"/>
      <c r="L818" s="212" t="s">
        <v>87</v>
      </c>
      <c r="M818" s="250"/>
      <c r="N818" s="239">
        <v>41096</v>
      </c>
      <c r="O818" s="210" t="s">
        <v>536</v>
      </c>
      <c r="P818" s="210" t="s">
        <v>1090</v>
      </c>
      <c r="Q818" s="210" t="s">
        <v>1091</v>
      </c>
      <c r="R818" s="210" t="s">
        <v>1084</v>
      </c>
      <c r="S818" s="210" t="s">
        <v>1078</v>
      </c>
      <c r="T818" s="210" t="s">
        <v>1082</v>
      </c>
      <c r="U818" s="210" t="s">
        <v>958</v>
      </c>
      <c r="V818" s="210" t="s">
        <v>25</v>
      </c>
      <c r="W818" s="211" t="s">
        <v>1016</v>
      </c>
      <c r="X818" s="211">
        <v>1000</v>
      </c>
      <c r="Y818" s="211">
        <v>0</v>
      </c>
      <c r="Z818" s="212">
        <v>0</v>
      </c>
      <c r="AA818" s="240">
        <v>1</v>
      </c>
      <c r="AB818" s="213">
        <v>0.01</v>
      </c>
      <c r="AC818" s="213">
        <v>0.2</v>
      </c>
      <c r="AD818" s="213" t="s">
        <v>109</v>
      </c>
      <c r="AE818" s="213">
        <v>2.5000000000000001E-3</v>
      </c>
      <c r="AF818" s="241">
        <v>633310597.30999994</v>
      </c>
      <c r="AG818" s="241">
        <v>633310597.30999994</v>
      </c>
      <c r="AH818" s="213">
        <v>5.3800000000000001E-2</v>
      </c>
      <c r="AI818" s="352">
        <v>0.82809999999999995</v>
      </c>
      <c r="AJ818" s="213">
        <v>7.6799999999999993E-2</v>
      </c>
      <c r="AK818" s="352">
        <v>0.81610000000000005</v>
      </c>
      <c r="AL818" s="213">
        <v>0.10290000000000001</v>
      </c>
      <c r="AM818" s="352">
        <v>0.85150000000000003</v>
      </c>
      <c r="AN818" s="213">
        <v>0.15390000000000001</v>
      </c>
      <c r="AO818" s="352">
        <v>0.91310000000000002</v>
      </c>
      <c r="AP818" s="213">
        <v>7.7999999999999996E-3</v>
      </c>
      <c r="AQ818" s="219">
        <v>-2.0333653389537392</v>
      </c>
      <c r="AR818" s="213" t="s">
        <v>1824</v>
      </c>
      <c r="AV818" s="343"/>
      <c r="AW818" s="328"/>
      <c r="AX818" s="329"/>
      <c r="AY818" s="328"/>
      <c r="AZ818" s="328"/>
      <c r="BA818" s="330"/>
      <c r="BB818" s="328"/>
      <c r="BC818" s="328"/>
      <c r="BD818" s="328"/>
      <c r="BE818" s="330"/>
      <c r="BF818" s="330"/>
      <c r="BG818" s="344"/>
      <c r="BH818" s="330"/>
      <c r="BI818" s="330"/>
      <c r="BJ818" s="330"/>
      <c r="BK818" s="330"/>
      <c r="BL818" s="330"/>
      <c r="BM818" s="330"/>
      <c r="BN818" s="330"/>
      <c r="BO818" s="330"/>
      <c r="BP818" s="331"/>
      <c r="BQ818" s="332"/>
      <c r="BR818" s="333"/>
    </row>
    <row r="819" spans="2:70" ht="15.75" customHeight="1">
      <c r="B819" s="216" t="s">
        <v>56</v>
      </c>
      <c r="C819" s="212">
        <v>2994371</v>
      </c>
      <c r="D819" s="223">
        <v>18525868000170</v>
      </c>
      <c r="E819" s="217" t="s">
        <v>28</v>
      </c>
      <c r="F819" s="217" t="s">
        <v>957</v>
      </c>
      <c r="G819" s="217"/>
      <c r="H819" s="218"/>
      <c r="I819" s="217" t="s">
        <v>1259</v>
      </c>
      <c r="J819" s="217" t="s">
        <v>66</v>
      </c>
      <c r="K819" s="218" t="s">
        <v>951</v>
      </c>
      <c r="L819" s="212" t="s">
        <v>87</v>
      </c>
      <c r="M819" s="250"/>
      <c r="N819" s="239">
        <v>41519</v>
      </c>
      <c r="O819" s="210" t="s">
        <v>536</v>
      </c>
      <c r="P819" s="210" t="s">
        <v>1090</v>
      </c>
      <c r="Q819" s="210" t="s">
        <v>1091</v>
      </c>
      <c r="R819" s="210" t="s">
        <v>1084</v>
      </c>
      <c r="S819" s="210" t="s">
        <v>1078</v>
      </c>
      <c r="T819" s="210" t="s">
        <v>1079</v>
      </c>
      <c r="U819" s="210" t="s">
        <v>957</v>
      </c>
      <c r="V819" s="210" t="s">
        <v>25</v>
      </c>
      <c r="W819" s="211" t="s">
        <v>1023</v>
      </c>
      <c r="X819" s="211">
        <v>5000</v>
      </c>
      <c r="Y819" s="211">
        <v>0</v>
      </c>
      <c r="Z819" s="212">
        <v>0</v>
      </c>
      <c r="AA819" s="240">
        <v>32</v>
      </c>
      <c r="AB819" s="213">
        <v>0.02</v>
      </c>
      <c r="AC819" s="213">
        <v>0.2</v>
      </c>
      <c r="AD819" s="213" t="s">
        <v>203</v>
      </c>
      <c r="AE819" s="213">
        <v>4.6666666666666662E-3</v>
      </c>
      <c r="AF819" s="241">
        <v>120844625.76000001</v>
      </c>
      <c r="AG819" s="241">
        <v>120844625.76000001</v>
      </c>
      <c r="AH819" s="213">
        <v>-6.3500000000000001E-2</v>
      </c>
      <c r="AI819" s="352">
        <v>-0.9778</v>
      </c>
      <c r="AJ819" s="213">
        <v>-0.1537</v>
      </c>
      <c r="AK819" s="352">
        <v>-1.6334</v>
      </c>
      <c r="AL819" s="213">
        <v>-0.10150000000000001</v>
      </c>
      <c r="AM819" s="352">
        <v>-0.84060000000000001</v>
      </c>
      <c r="AN819" s="213">
        <v>2.1399999999999999E-2</v>
      </c>
      <c r="AO819" s="352">
        <v>0.127</v>
      </c>
      <c r="AP819" s="213">
        <v>0.1212</v>
      </c>
      <c r="AQ819" s="219">
        <v>-2.0579248827895573</v>
      </c>
      <c r="AR819" s="213" t="s">
        <v>1827</v>
      </c>
      <c r="AV819" s="343"/>
      <c r="AW819" s="328"/>
      <c r="AX819" s="329"/>
      <c r="AY819" s="328"/>
      <c r="AZ819" s="328"/>
      <c r="BA819" s="330"/>
      <c r="BB819" s="328"/>
      <c r="BC819" s="328"/>
      <c r="BD819" s="328"/>
      <c r="BE819" s="330"/>
      <c r="BF819" s="330"/>
      <c r="BG819" s="344"/>
      <c r="BH819" s="330"/>
      <c r="BI819" s="330"/>
      <c r="BJ819" s="330"/>
      <c r="BK819" s="330"/>
      <c r="BL819" s="330"/>
      <c r="BM819" s="330"/>
      <c r="BN819" s="330"/>
      <c r="BO819" s="330"/>
      <c r="BP819" s="331"/>
      <c r="BQ819" s="332"/>
      <c r="BR819" s="333"/>
    </row>
    <row r="820" spans="2:70" ht="15.75" customHeight="1">
      <c r="B820" s="216" t="s">
        <v>1525</v>
      </c>
      <c r="C820" s="212">
        <v>514189</v>
      </c>
      <c r="D820" s="223">
        <v>17164789000119</v>
      </c>
      <c r="E820" s="217" t="s">
        <v>25</v>
      </c>
      <c r="F820" s="217" t="s">
        <v>959</v>
      </c>
      <c r="G820" s="217" t="s">
        <v>960</v>
      </c>
      <c r="H820" s="218" t="s">
        <v>66</v>
      </c>
      <c r="I820" s="217" t="s">
        <v>1841</v>
      </c>
      <c r="J820" s="217" t="s">
        <v>66</v>
      </c>
      <c r="K820" s="218" t="s">
        <v>951</v>
      </c>
      <c r="L820" s="212" t="s">
        <v>87</v>
      </c>
      <c r="M820" s="250"/>
      <c r="N820" s="239">
        <v>41262</v>
      </c>
      <c r="O820" s="210" t="s">
        <v>536</v>
      </c>
      <c r="P820" s="210" t="s">
        <v>1090</v>
      </c>
      <c r="Q820" s="210" t="s">
        <v>1091</v>
      </c>
      <c r="R820" s="210" t="s">
        <v>1084</v>
      </c>
      <c r="S820" s="210" t="s">
        <v>1085</v>
      </c>
      <c r="T820" s="210" t="s">
        <v>1082</v>
      </c>
      <c r="U820" s="210" t="s">
        <v>1086</v>
      </c>
      <c r="V820" s="210" t="s">
        <v>25</v>
      </c>
      <c r="W820" s="211" t="s">
        <v>1023</v>
      </c>
      <c r="X820" s="211">
        <v>5000</v>
      </c>
      <c r="Y820" s="211">
        <v>0</v>
      </c>
      <c r="Z820" s="212">
        <v>0</v>
      </c>
      <c r="AA820" s="240">
        <v>32</v>
      </c>
      <c r="AB820" s="213">
        <v>0.02</v>
      </c>
      <c r="AC820" s="213">
        <v>0.2</v>
      </c>
      <c r="AD820" s="213" t="s">
        <v>109</v>
      </c>
      <c r="AE820" s="213">
        <v>4.6666666666666662E-3</v>
      </c>
      <c r="AF820" s="241">
        <v>139492675.58000001</v>
      </c>
      <c r="AG820" s="241">
        <v>139492675.58000001</v>
      </c>
      <c r="AH820" s="213">
        <v>2.8999999999999998E-3</v>
      </c>
      <c r="AI820" s="352">
        <v>4.4200000000000003E-2</v>
      </c>
      <c r="AJ820" s="213">
        <v>-1.7999999999999999E-2</v>
      </c>
      <c r="AK820" s="352">
        <v>-0.19170000000000001</v>
      </c>
      <c r="AL820" s="213">
        <v>1.11E-2</v>
      </c>
      <c r="AM820" s="352">
        <v>9.1700000000000004E-2</v>
      </c>
      <c r="AN820" s="213">
        <v>9.5799999999999996E-2</v>
      </c>
      <c r="AO820" s="352">
        <v>0.56840000000000002</v>
      </c>
      <c r="AP820" s="213">
        <v>4.4400000000000002E-2</v>
      </c>
      <c r="AQ820" s="219">
        <v>-2.4145887979777014</v>
      </c>
      <c r="AR820" s="213" t="s">
        <v>1827</v>
      </c>
      <c r="AV820" s="343"/>
      <c r="AW820" s="328"/>
      <c r="AX820" s="329"/>
      <c r="AY820" s="328"/>
      <c r="AZ820" s="328"/>
      <c r="BA820" s="330"/>
      <c r="BB820" s="328"/>
      <c r="BC820" s="328"/>
      <c r="BD820" s="328"/>
      <c r="BE820" s="330"/>
      <c r="BF820" s="330"/>
      <c r="BG820" s="344"/>
      <c r="BH820" s="330"/>
      <c r="BI820" s="330"/>
      <c r="BJ820" s="330"/>
      <c r="BK820" s="330"/>
      <c r="BL820" s="330"/>
      <c r="BM820" s="330"/>
      <c r="BN820" s="330"/>
      <c r="BO820" s="330"/>
      <c r="BP820" s="331"/>
      <c r="BQ820" s="332"/>
      <c r="BR820" s="333"/>
    </row>
    <row r="821" spans="2:70" ht="15.75" customHeight="1">
      <c r="B821" s="216" t="s">
        <v>995</v>
      </c>
      <c r="C821" s="212">
        <v>536303</v>
      </c>
      <c r="D821" s="223">
        <v>17162002000180</v>
      </c>
      <c r="E821" s="217" t="s">
        <v>25</v>
      </c>
      <c r="F821" s="217" t="s">
        <v>958</v>
      </c>
      <c r="G821" s="217" t="s">
        <v>962</v>
      </c>
      <c r="H821" s="218" t="s">
        <v>66</v>
      </c>
      <c r="I821" s="217" t="s">
        <v>1841</v>
      </c>
      <c r="J821" s="217" t="s">
        <v>66</v>
      </c>
      <c r="K821" s="218"/>
      <c r="L821" s="212" t="s">
        <v>87</v>
      </c>
      <c r="M821" s="250"/>
      <c r="N821" s="239">
        <v>41284</v>
      </c>
      <c r="O821" s="210" t="s">
        <v>536</v>
      </c>
      <c r="P821" s="210" t="s">
        <v>1090</v>
      </c>
      <c r="Q821" s="210" t="s">
        <v>1091</v>
      </c>
      <c r="R821" s="210" t="s">
        <v>1084</v>
      </c>
      <c r="S821" s="210" t="s">
        <v>1078</v>
      </c>
      <c r="T821" s="210" t="s">
        <v>1082</v>
      </c>
      <c r="U821" s="210" t="s">
        <v>1086</v>
      </c>
      <c r="V821" s="210" t="s">
        <v>25</v>
      </c>
      <c r="W821" s="211" t="s">
        <v>1016</v>
      </c>
      <c r="X821" s="211">
        <v>10000</v>
      </c>
      <c r="Y821" s="211">
        <v>1000</v>
      </c>
      <c r="Z821" s="212">
        <v>0</v>
      </c>
      <c r="AA821" s="240">
        <v>32</v>
      </c>
      <c r="AB821" s="213">
        <v>0.02</v>
      </c>
      <c r="AC821" s="213">
        <v>0.2</v>
      </c>
      <c r="AD821" s="213" t="s">
        <v>109</v>
      </c>
      <c r="AE821" s="213">
        <v>5.0000000000000001E-3</v>
      </c>
      <c r="AF821" s="241">
        <v>1578493937.8199999</v>
      </c>
      <c r="AG821" s="241">
        <v>1578493937.8199999</v>
      </c>
      <c r="AH821" s="213">
        <v>6.7500000000000004E-2</v>
      </c>
      <c r="AI821" s="352">
        <v>1.0389999999999999</v>
      </c>
      <c r="AJ821" s="213">
        <v>8.2100000000000006E-2</v>
      </c>
      <c r="AK821" s="352">
        <v>0.87260000000000004</v>
      </c>
      <c r="AL821" s="213">
        <v>0.126</v>
      </c>
      <c r="AM821" s="352">
        <v>1.0427999999999999</v>
      </c>
      <c r="AN821" s="213">
        <v>0.24979999999999999</v>
      </c>
      <c r="AO821" s="352">
        <v>1.4824999999999999</v>
      </c>
      <c r="AP821" s="213">
        <v>3.4000000000000002E-2</v>
      </c>
      <c r="AQ821" s="219">
        <v>-0.30743490917705923</v>
      </c>
      <c r="AR821" s="213" t="s">
        <v>1827</v>
      </c>
      <c r="AV821" s="343"/>
      <c r="AW821" s="328"/>
      <c r="AX821" s="329"/>
      <c r="AY821" s="328"/>
      <c r="AZ821" s="328"/>
      <c r="BA821" s="330"/>
      <c r="BB821" s="328"/>
      <c r="BC821" s="328"/>
      <c r="BD821" s="328"/>
      <c r="BE821" s="330"/>
      <c r="BF821" s="330"/>
      <c r="BG821" s="344"/>
      <c r="BH821" s="330"/>
      <c r="BI821" s="330"/>
      <c r="BJ821" s="330"/>
      <c r="BK821" s="330"/>
      <c r="BL821" s="330"/>
      <c r="BM821" s="330"/>
      <c r="BN821" s="330"/>
      <c r="BO821" s="330"/>
      <c r="BP821" s="331"/>
      <c r="BQ821" s="332"/>
      <c r="BR821" s="333"/>
    </row>
    <row r="822" spans="2:70" ht="15.75" customHeight="1">
      <c r="B822" s="216" t="s">
        <v>891</v>
      </c>
      <c r="C822" s="212">
        <v>534138</v>
      </c>
      <c r="D822" s="223">
        <v>12823624000198</v>
      </c>
      <c r="E822" s="217" t="s">
        <v>28</v>
      </c>
      <c r="F822" s="217" t="s">
        <v>957</v>
      </c>
      <c r="G822" s="217"/>
      <c r="H822" s="218"/>
      <c r="I822" s="217" t="s">
        <v>1259</v>
      </c>
      <c r="J822" s="217" t="s">
        <v>66</v>
      </c>
      <c r="K822" s="218" t="s">
        <v>951</v>
      </c>
      <c r="L822" s="212" t="s">
        <v>87</v>
      </c>
      <c r="M822" s="250"/>
      <c r="N822" s="239">
        <v>40532</v>
      </c>
      <c r="O822" s="210" t="s">
        <v>540</v>
      </c>
      <c r="P822" s="210" t="s">
        <v>1090</v>
      </c>
      <c r="Q822" s="210" t="s">
        <v>1091</v>
      </c>
      <c r="R822" s="210" t="s">
        <v>1077</v>
      </c>
      <c r="S822" s="210" t="s">
        <v>1078</v>
      </c>
      <c r="T822" s="210" t="s">
        <v>1079</v>
      </c>
      <c r="U822" s="210" t="s">
        <v>957</v>
      </c>
      <c r="V822" s="210" t="s">
        <v>1080</v>
      </c>
      <c r="W822" s="211" t="s">
        <v>1007</v>
      </c>
      <c r="X822" s="211">
        <v>25000</v>
      </c>
      <c r="Y822" s="211">
        <v>10000</v>
      </c>
      <c r="Z822" s="212">
        <v>0</v>
      </c>
      <c r="AA822" s="240">
        <v>31</v>
      </c>
      <c r="AB822" s="213">
        <v>0.02</v>
      </c>
      <c r="AC822" s="213">
        <v>0.15</v>
      </c>
      <c r="AD822" s="213" t="s">
        <v>1100</v>
      </c>
      <c r="AE822" s="213">
        <v>3.3333333333333331E-3</v>
      </c>
      <c r="AF822" s="241">
        <v>339701349.16000003</v>
      </c>
      <c r="AG822" s="241">
        <v>339701349.16000003</v>
      </c>
      <c r="AH822" s="213">
        <v>2.0199999999999999E-2</v>
      </c>
      <c r="AI822" s="352">
        <v>0.31109999999999999</v>
      </c>
      <c r="AJ822" s="213">
        <v>-9.4100000000000003E-2</v>
      </c>
      <c r="AK822" s="352">
        <v>-1.0004999999999999</v>
      </c>
      <c r="AL822" s="213">
        <v>3.5799999999999998E-2</v>
      </c>
      <c r="AM822" s="352">
        <v>0.2964</v>
      </c>
      <c r="AN822" s="213">
        <v>9.9500000000000005E-2</v>
      </c>
      <c r="AO822" s="352">
        <v>0.59019999999999995</v>
      </c>
      <c r="AP822" s="213">
        <v>0.16900000000000001</v>
      </c>
      <c r="AQ822" s="219">
        <v>-1.0331075955082554</v>
      </c>
      <c r="AR822" s="213" t="s">
        <v>1827</v>
      </c>
      <c r="AV822" s="343"/>
      <c r="AW822" s="328"/>
      <c r="AX822" s="329"/>
      <c r="AY822" s="328"/>
      <c r="AZ822" s="328"/>
      <c r="BA822" s="330"/>
      <c r="BB822" s="328"/>
      <c r="BC822" s="328"/>
      <c r="BD822" s="328"/>
      <c r="BE822" s="330"/>
      <c r="BF822" s="330"/>
      <c r="BG822" s="344"/>
      <c r="BH822" s="330"/>
      <c r="BI822" s="330"/>
      <c r="BJ822" s="330"/>
      <c r="BK822" s="330"/>
      <c r="BL822" s="330"/>
      <c r="BM822" s="330"/>
      <c r="BN822" s="330"/>
      <c r="BO822" s="330"/>
      <c r="BP822" s="331"/>
      <c r="BQ822" s="332"/>
      <c r="BR822" s="333"/>
    </row>
    <row r="823" spans="2:70" ht="15.75" customHeight="1">
      <c r="B823" s="216" t="s">
        <v>538</v>
      </c>
      <c r="C823" s="212">
        <v>676756</v>
      </c>
      <c r="D823" s="223">
        <v>33146540000137</v>
      </c>
      <c r="E823" s="217" t="s">
        <v>28</v>
      </c>
      <c r="F823" s="217" t="s">
        <v>957</v>
      </c>
      <c r="G823" s="217"/>
      <c r="H823" s="218"/>
      <c r="I823" s="217" t="s">
        <v>1259</v>
      </c>
      <c r="J823" s="217" t="s">
        <v>66</v>
      </c>
      <c r="K823" s="218" t="s">
        <v>951</v>
      </c>
      <c r="L823" s="212" t="s">
        <v>87</v>
      </c>
      <c r="M823" s="250"/>
      <c r="N823" s="239">
        <v>43612</v>
      </c>
      <c r="O823" s="210" t="s">
        <v>114</v>
      </c>
      <c r="P823" s="210" t="s">
        <v>1075</v>
      </c>
      <c r="Q823" s="210" t="s">
        <v>1076</v>
      </c>
      <c r="R823" s="210" t="s">
        <v>1077</v>
      </c>
      <c r="S823" s="210" t="s">
        <v>1078</v>
      </c>
      <c r="T823" s="210" t="s">
        <v>1079</v>
      </c>
      <c r="U823" s="210" t="s">
        <v>957</v>
      </c>
      <c r="V823" s="210" t="s">
        <v>1080</v>
      </c>
      <c r="W823" s="211" t="s">
        <v>1007</v>
      </c>
      <c r="X823" s="211">
        <v>5000</v>
      </c>
      <c r="Y823" s="211">
        <v>5000</v>
      </c>
      <c r="Z823" s="212">
        <v>0</v>
      </c>
      <c r="AA823" s="240">
        <v>22</v>
      </c>
      <c r="AB823" s="213">
        <v>0.02</v>
      </c>
      <c r="AC823" s="213">
        <v>0.15</v>
      </c>
      <c r="AD823" s="213" t="s">
        <v>113</v>
      </c>
      <c r="AE823" s="213">
        <v>3.3333333333333331E-3</v>
      </c>
      <c r="AF823" s="241">
        <v>107645171.08</v>
      </c>
      <c r="AG823" s="241">
        <v>107645171.08</v>
      </c>
      <c r="AH823" s="213">
        <v>2.12E-2</v>
      </c>
      <c r="AI823" s="352">
        <v>0.32650000000000001</v>
      </c>
      <c r="AJ823" s="213">
        <v>-9.1499999999999998E-2</v>
      </c>
      <c r="AK823" s="352">
        <v>-0.97219999999999995</v>
      </c>
      <c r="AL823" s="213">
        <v>3.4299999999999997E-2</v>
      </c>
      <c r="AM823" s="352">
        <v>0.28370000000000001</v>
      </c>
      <c r="AN823" s="213">
        <v>0.10050000000000001</v>
      </c>
      <c r="AO823" s="352">
        <v>0.59609999999999996</v>
      </c>
      <c r="AP823" s="213">
        <v>0.16700000000000001</v>
      </c>
      <c r="AQ823" s="219">
        <v>-1.029245668455202</v>
      </c>
      <c r="AR823" s="213" t="s">
        <v>1827</v>
      </c>
      <c r="AV823" s="343"/>
      <c r="AW823" s="328"/>
      <c r="AX823" s="329"/>
      <c r="AY823" s="328"/>
      <c r="AZ823" s="328"/>
      <c r="BA823" s="330"/>
      <c r="BB823" s="328"/>
      <c r="BC823" s="328"/>
      <c r="BD823" s="328"/>
      <c r="BE823" s="330"/>
      <c r="BF823" s="330"/>
      <c r="BG823" s="344"/>
      <c r="BH823" s="330"/>
      <c r="BI823" s="330"/>
      <c r="BJ823" s="330"/>
      <c r="BK823" s="330"/>
      <c r="BL823" s="330"/>
      <c r="BM823" s="330"/>
      <c r="BN823" s="330"/>
      <c r="BO823" s="330"/>
      <c r="BP823" s="331"/>
      <c r="BQ823" s="332"/>
      <c r="BR823" s="333"/>
    </row>
    <row r="824" spans="2:70" ht="15.75" customHeight="1">
      <c r="B824" s="216" t="s">
        <v>892</v>
      </c>
      <c r="C824" s="212">
        <v>564552</v>
      </c>
      <c r="D824" s="223">
        <v>19496576000110</v>
      </c>
      <c r="E824" s="217" t="s">
        <v>28</v>
      </c>
      <c r="F824" s="217" t="s">
        <v>957</v>
      </c>
      <c r="G824" s="217"/>
      <c r="H824" s="218"/>
      <c r="I824" s="217" t="s">
        <v>1259</v>
      </c>
      <c r="J824" s="217" t="s">
        <v>66</v>
      </c>
      <c r="K824" s="218" t="s">
        <v>951</v>
      </c>
      <c r="L824" s="212" t="s">
        <v>87</v>
      </c>
      <c r="M824" s="250"/>
      <c r="N824" s="239">
        <v>41705</v>
      </c>
      <c r="O824" s="210" t="s">
        <v>540</v>
      </c>
      <c r="P824" s="210" t="s">
        <v>1090</v>
      </c>
      <c r="Q824" s="210" t="s">
        <v>1091</v>
      </c>
      <c r="R824" s="210" t="s">
        <v>1084</v>
      </c>
      <c r="S824" s="210" t="s">
        <v>1078</v>
      </c>
      <c r="T824" s="210" t="s">
        <v>1079</v>
      </c>
      <c r="U824" s="210" t="s">
        <v>957</v>
      </c>
      <c r="V824" s="210" t="s">
        <v>25</v>
      </c>
      <c r="W824" s="211" t="s">
        <v>1016</v>
      </c>
      <c r="X824" s="211">
        <v>50000</v>
      </c>
      <c r="Y824" s="211">
        <v>10000</v>
      </c>
      <c r="Z824" s="212">
        <v>50000</v>
      </c>
      <c r="AA824" s="240">
        <v>5</v>
      </c>
      <c r="AB824" s="213">
        <v>0.02</v>
      </c>
      <c r="AC824" s="213">
        <v>0.15</v>
      </c>
      <c r="AD824" s="213" t="s">
        <v>113</v>
      </c>
      <c r="AE824" s="213">
        <v>3.3333333333333331E-3</v>
      </c>
      <c r="AF824" s="241">
        <v>185635148.69</v>
      </c>
      <c r="AG824" s="241">
        <v>185635148.69</v>
      </c>
      <c r="AH824" s="213">
        <v>1.9400000000000001E-2</v>
      </c>
      <c r="AI824" s="352">
        <v>0.2989</v>
      </c>
      <c r="AJ824" s="213">
        <v>-9.4399999999999998E-2</v>
      </c>
      <c r="AK824" s="352">
        <v>-1.0038</v>
      </c>
      <c r="AL824" s="213">
        <v>3.44E-2</v>
      </c>
      <c r="AM824" s="352">
        <v>0.28510000000000002</v>
      </c>
      <c r="AN824" s="213">
        <v>9.4200000000000006E-2</v>
      </c>
      <c r="AO824" s="352">
        <v>0.55920000000000003</v>
      </c>
      <c r="AP824" s="213">
        <v>0.16950000000000001</v>
      </c>
      <c r="AQ824" s="219">
        <v>-1.0310572596693444</v>
      </c>
      <c r="AR824" s="213" t="s">
        <v>1827</v>
      </c>
      <c r="AV824" s="343"/>
      <c r="AW824" s="328"/>
      <c r="AX824" s="329"/>
      <c r="AY824" s="328"/>
      <c r="AZ824" s="328"/>
      <c r="BA824" s="330"/>
      <c r="BB824" s="328"/>
      <c r="BC824" s="328"/>
      <c r="BD824" s="328"/>
      <c r="BE824" s="330"/>
      <c r="BF824" s="330"/>
      <c r="BG824" s="344"/>
      <c r="BH824" s="330"/>
      <c r="BI824" s="330"/>
      <c r="BJ824" s="330"/>
      <c r="BK824" s="330"/>
      <c r="BL824" s="330"/>
      <c r="BM824" s="330"/>
      <c r="BN824" s="330"/>
      <c r="BO824" s="330"/>
      <c r="BP824" s="331"/>
      <c r="BQ824" s="332"/>
      <c r="BR824" s="333"/>
    </row>
    <row r="825" spans="2:70" ht="15.75" customHeight="1">
      <c r="B825" s="216" t="s">
        <v>539</v>
      </c>
      <c r="C825" s="212">
        <v>1811198</v>
      </c>
      <c r="D825" s="223">
        <v>36014054000153</v>
      </c>
      <c r="E825" s="217" t="s">
        <v>28</v>
      </c>
      <c r="F825" s="217" t="s">
        <v>950</v>
      </c>
      <c r="G825" s="217"/>
      <c r="H825" s="218"/>
      <c r="I825" s="217" t="s">
        <v>66</v>
      </c>
      <c r="J825" s="217" t="s">
        <v>66</v>
      </c>
      <c r="K825" s="218" t="s">
        <v>951</v>
      </c>
      <c r="L825" s="212" t="s">
        <v>87</v>
      </c>
      <c r="M825" s="250"/>
      <c r="N825" s="239">
        <v>43899</v>
      </c>
      <c r="O825" s="210" t="s">
        <v>114</v>
      </c>
      <c r="P825" s="210" t="s">
        <v>1075</v>
      </c>
      <c r="Q825" s="210" t="s">
        <v>1076</v>
      </c>
      <c r="R825" s="210" t="s">
        <v>1084</v>
      </c>
      <c r="S825" s="210" t="s">
        <v>1078</v>
      </c>
      <c r="T825" s="210" t="s">
        <v>1079</v>
      </c>
      <c r="U825" s="210" t="s">
        <v>950</v>
      </c>
      <c r="V825" s="210" t="s">
        <v>1080</v>
      </c>
      <c r="W825" s="211" t="s">
        <v>1007</v>
      </c>
      <c r="X825" s="211">
        <v>1000</v>
      </c>
      <c r="Y825" s="211">
        <v>1000</v>
      </c>
      <c r="Z825" s="212">
        <v>0</v>
      </c>
      <c r="AA825" s="240">
        <v>32</v>
      </c>
      <c r="AB825" s="213">
        <v>0.02</v>
      </c>
      <c r="AC825" s="213">
        <v>0.2</v>
      </c>
      <c r="AD825" s="213" t="s">
        <v>113</v>
      </c>
      <c r="AE825" s="213">
        <v>3.3333333333333331E-3</v>
      </c>
      <c r="AF825" s="241">
        <v>11243739.189999999</v>
      </c>
      <c r="AG825" s="241">
        <v>11243739.189999999</v>
      </c>
      <c r="AH825" s="213">
        <v>7.4000000000000003E-3</v>
      </c>
      <c r="AI825" s="352">
        <v>0.11360000000000001</v>
      </c>
      <c r="AJ825" s="213">
        <v>-0.1615</v>
      </c>
      <c r="AK825" s="352">
        <v>-1.7168000000000001</v>
      </c>
      <c r="AL825" s="213">
        <v>-2.75E-2</v>
      </c>
      <c r="AM825" s="352">
        <v>-0.22750000000000001</v>
      </c>
      <c r="AN825" s="213" t="s">
        <v>66</v>
      </c>
      <c r="AO825" s="352" t="s">
        <v>66</v>
      </c>
      <c r="AP825" s="213">
        <v>0.22289999999999999</v>
      </c>
      <c r="AQ825" s="219">
        <v>-1.0823370322013559</v>
      </c>
      <c r="AR825" s="213" t="s">
        <v>1824</v>
      </c>
      <c r="AV825" s="343"/>
      <c r="AW825" s="328"/>
      <c r="AX825" s="329"/>
      <c r="AY825" s="328"/>
      <c r="AZ825" s="328"/>
      <c r="BA825" s="330"/>
      <c r="BB825" s="328"/>
      <c r="BC825" s="328"/>
      <c r="BD825" s="328"/>
      <c r="BE825" s="330"/>
      <c r="BF825" s="330"/>
      <c r="BG825" s="344"/>
      <c r="BH825" s="330"/>
      <c r="BI825" s="330"/>
      <c r="BJ825" s="330"/>
      <c r="BK825" s="330"/>
      <c r="BL825" s="330"/>
      <c r="BM825" s="330"/>
      <c r="BN825" s="330"/>
      <c r="BO825" s="330"/>
      <c r="BP825" s="331"/>
      <c r="BQ825" s="332"/>
      <c r="BR825" s="333"/>
    </row>
    <row r="826" spans="2:70" ht="15.75" customHeight="1">
      <c r="B826" s="216" t="s">
        <v>1527</v>
      </c>
      <c r="C826" s="212">
        <v>1811237</v>
      </c>
      <c r="D826" s="223">
        <v>39846732000132</v>
      </c>
      <c r="E826" s="217" t="s">
        <v>28</v>
      </c>
      <c r="F826" s="217" t="s">
        <v>950</v>
      </c>
      <c r="G826" s="217"/>
      <c r="H826" s="218"/>
      <c r="I826" s="217" t="s">
        <v>66</v>
      </c>
      <c r="J826" s="217" t="s">
        <v>66</v>
      </c>
      <c r="K826" s="218" t="s">
        <v>951</v>
      </c>
      <c r="L826" s="212" t="s">
        <v>87</v>
      </c>
      <c r="M826" s="250"/>
      <c r="N826" s="239">
        <v>44193</v>
      </c>
      <c r="O826" s="210" t="s">
        <v>1528</v>
      </c>
      <c r="P826" s="210" t="s">
        <v>1075</v>
      </c>
      <c r="Q826" s="210" t="s">
        <v>1076</v>
      </c>
      <c r="R826" s="210" t="s">
        <v>1077</v>
      </c>
      <c r="S826" s="210" t="s">
        <v>1078</v>
      </c>
      <c r="T826" s="210" t="s">
        <v>1079</v>
      </c>
      <c r="U826" s="210" t="s">
        <v>950</v>
      </c>
      <c r="V826" s="210" t="s">
        <v>1080</v>
      </c>
      <c r="W826" s="211" t="s">
        <v>1007</v>
      </c>
      <c r="X826" s="211">
        <v>5000</v>
      </c>
      <c r="Y826" s="211">
        <v>5000</v>
      </c>
      <c r="Z826" s="212">
        <v>5000</v>
      </c>
      <c r="AA826" s="240">
        <v>32</v>
      </c>
      <c r="AB826" s="213">
        <v>0.01</v>
      </c>
      <c r="AC826" s="213">
        <v>0.1</v>
      </c>
      <c r="AD826" s="213" t="s">
        <v>113</v>
      </c>
      <c r="AE826" s="213">
        <v>3.3333333333333331E-3</v>
      </c>
      <c r="AF826" s="241">
        <v>15067610.880000001</v>
      </c>
      <c r="AG826" s="241">
        <v>15067610.880000001</v>
      </c>
      <c r="AH826" s="213">
        <v>-4.1500000000000002E-2</v>
      </c>
      <c r="AI826" s="352">
        <v>-0.63919999999999999</v>
      </c>
      <c r="AJ826" s="213">
        <v>-0.27779999999999999</v>
      </c>
      <c r="AK826" s="352">
        <v>-2.9529000000000001</v>
      </c>
      <c r="AL826" s="213" t="s">
        <v>66</v>
      </c>
      <c r="AM826" s="352" t="s">
        <v>66</v>
      </c>
      <c r="AN826" s="213" t="s">
        <v>66</v>
      </c>
      <c r="AO826" s="352" t="s">
        <v>66</v>
      </c>
      <c r="AP826" s="213">
        <v>0.21790000000000001</v>
      </c>
      <c r="AQ826" s="219">
        <v>-1.7963932737206756</v>
      </c>
      <c r="AR826" s="213" t="s">
        <v>1827</v>
      </c>
      <c r="AV826" s="343"/>
      <c r="AW826" s="328"/>
      <c r="AX826" s="329"/>
      <c r="AY826" s="328"/>
      <c r="AZ826" s="328"/>
      <c r="BA826" s="330"/>
      <c r="BB826" s="328"/>
      <c r="BC826" s="328"/>
      <c r="BD826" s="328"/>
      <c r="BE826" s="330"/>
      <c r="BF826" s="330"/>
      <c r="BG826" s="344"/>
      <c r="BH826" s="330"/>
      <c r="BI826" s="330"/>
      <c r="BJ826" s="330"/>
      <c r="BK826" s="330"/>
      <c r="BL826" s="330"/>
      <c r="BM826" s="330"/>
      <c r="BN826" s="330"/>
      <c r="BO826" s="330"/>
      <c r="BP826" s="331"/>
      <c r="BQ826" s="332"/>
      <c r="BR826" s="333"/>
    </row>
    <row r="827" spans="2:70" ht="15.75" customHeight="1">
      <c r="B827" s="216" t="s">
        <v>1529</v>
      </c>
      <c r="C827" s="212">
        <v>1187743</v>
      </c>
      <c r="D827" s="223">
        <v>27181717000133</v>
      </c>
      <c r="E827" s="217" t="s">
        <v>28</v>
      </c>
      <c r="F827" s="217" t="s">
        <v>950</v>
      </c>
      <c r="G827" s="217" t="s">
        <v>1254</v>
      </c>
      <c r="H827" s="218"/>
      <c r="I827" s="217" t="s">
        <v>66</v>
      </c>
      <c r="J827" s="217" t="s">
        <v>66</v>
      </c>
      <c r="K827" s="218" t="s">
        <v>954</v>
      </c>
      <c r="L827" s="212"/>
      <c r="M827" s="250"/>
      <c r="N827" s="239">
        <v>43418</v>
      </c>
      <c r="O827" s="210" t="s">
        <v>1530</v>
      </c>
      <c r="P827" s="210" t="s">
        <v>1075</v>
      </c>
      <c r="Q827" s="210" t="s">
        <v>1089</v>
      </c>
      <c r="R827" s="210" t="s">
        <v>1077</v>
      </c>
      <c r="S827" s="210" t="s">
        <v>1078</v>
      </c>
      <c r="T827" s="210" t="s">
        <v>1079</v>
      </c>
      <c r="U827" s="210" t="s">
        <v>65</v>
      </c>
      <c r="V827" s="210" t="s">
        <v>1080</v>
      </c>
      <c r="W827" s="211" t="s">
        <v>1036</v>
      </c>
      <c r="X827" s="211">
        <v>5000</v>
      </c>
      <c r="Y827" s="211">
        <v>200</v>
      </c>
      <c r="Z827" s="212">
        <v>200</v>
      </c>
      <c r="AA827" s="240">
        <v>6</v>
      </c>
      <c r="AB827" s="213">
        <v>1.7500000000000002E-2</v>
      </c>
      <c r="AC827" s="213">
        <v>0</v>
      </c>
      <c r="AD827" s="213" t="s">
        <v>1100</v>
      </c>
      <c r="AE827" s="213">
        <v>5.8333333333333336E-3</v>
      </c>
      <c r="AF827" s="241">
        <v>20657739.850000001</v>
      </c>
      <c r="AG827" s="241">
        <v>20657739.850000001</v>
      </c>
      <c r="AH827" s="213">
        <v>-0.15190000000000001</v>
      </c>
      <c r="AI827" s="352">
        <v>-2.3391000000000002</v>
      </c>
      <c r="AJ827" s="213">
        <v>-5.8099999999999999E-2</v>
      </c>
      <c r="AK827" s="352">
        <v>-0.61799999999999999</v>
      </c>
      <c r="AL827" s="213">
        <v>0.10009999999999999</v>
      </c>
      <c r="AM827" s="352">
        <v>0.82830000000000004</v>
      </c>
      <c r="AN827" s="213">
        <v>0.65790000000000004</v>
      </c>
      <c r="AO827" s="352">
        <v>3.9041999999999999</v>
      </c>
      <c r="AP827" s="213">
        <v>0.17169999999999999</v>
      </c>
      <c r="AQ827" s="219">
        <v>-0.78702868062820619</v>
      </c>
      <c r="AR827" s="213" t="s">
        <v>1824</v>
      </c>
      <c r="AV827" s="343"/>
      <c r="AW827" s="328"/>
      <c r="AX827" s="329"/>
      <c r="AY827" s="328"/>
      <c r="AZ827" s="328"/>
      <c r="BA827" s="330"/>
      <c r="BB827" s="328"/>
      <c r="BC827" s="328"/>
      <c r="BD827" s="328"/>
      <c r="BE827" s="330"/>
      <c r="BF827" s="330"/>
      <c r="BG827" s="344"/>
      <c r="BH827" s="330"/>
      <c r="BI827" s="330"/>
      <c r="BJ827" s="330"/>
      <c r="BK827" s="330"/>
      <c r="BL827" s="330"/>
      <c r="BM827" s="330"/>
      <c r="BN827" s="330"/>
      <c r="BO827" s="330"/>
      <c r="BP827" s="331"/>
      <c r="BQ827" s="332"/>
      <c r="BR827" s="333"/>
    </row>
    <row r="828" spans="2:70" ht="15.75" customHeight="1">
      <c r="B828" s="216" t="s">
        <v>1531</v>
      </c>
      <c r="C828" s="212">
        <v>2113978</v>
      </c>
      <c r="D828" s="223">
        <v>24597757000172</v>
      </c>
      <c r="E828" s="217" t="s">
        <v>28</v>
      </c>
      <c r="F828" s="217" t="s">
        <v>950</v>
      </c>
      <c r="G828" s="217"/>
      <c r="H828" s="218"/>
      <c r="I828" s="217" t="s">
        <v>66</v>
      </c>
      <c r="J828" s="217" t="s">
        <v>66</v>
      </c>
      <c r="K828" s="218" t="s">
        <v>954</v>
      </c>
      <c r="L828" s="212"/>
      <c r="M828" s="250"/>
      <c r="N828" s="239">
        <v>43418</v>
      </c>
      <c r="O828" s="210" t="s">
        <v>1530</v>
      </c>
      <c r="P828" s="210" t="s">
        <v>1075</v>
      </c>
      <c r="Q828" s="210" t="s">
        <v>1089</v>
      </c>
      <c r="R828" s="210" t="s">
        <v>1077</v>
      </c>
      <c r="S828" s="210" t="s">
        <v>1078</v>
      </c>
      <c r="T828" s="210" t="s">
        <v>1079</v>
      </c>
      <c r="U828" s="210" t="s">
        <v>65</v>
      </c>
      <c r="V828" s="210" t="s">
        <v>25</v>
      </c>
      <c r="W828" s="211" t="s">
        <v>1028</v>
      </c>
      <c r="X828" s="211">
        <v>5000</v>
      </c>
      <c r="Y828" s="211">
        <v>200</v>
      </c>
      <c r="Z828" s="212">
        <v>200</v>
      </c>
      <c r="AA828" s="240">
        <v>6</v>
      </c>
      <c r="AB828" s="213">
        <v>1.7500000000000002E-2</v>
      </c>
      <c r="AC828" s="213">
        <v>0</v>
      </c>
      <c r="AD828" s="213" t="s">
        <v>1100</v>
      </c>
      <c r="AE828" s="213">
        <v>5.8333333333333336E-3</v>
      </c>
      <c r="AF828" s="241">
        <v>14638639.51</v>
      </c>
      <c r="AG828" s="241">
        <v>14638639.51</v>
      </c>
      <c r="AH828" s="213">
        <v>-0.13919999999999999</v>
      </c>
      <c r="AI828" s="352">
        <v>-2.1438999999999999</v>
      </c>
      <c r="AJ828" s="213">
        <v>-4.0599999999999997E-2</v>
      </c>
      <c r="AK828" s="352">
        <v>-0.43190000000000001</v>
      </c>
      <c r="AL828" s="213">
        <v>9.5100000000000004E-2</v>
      </c>
      <c r="AM828" s="352">
        <v>0.78720000000000001</v>
      </c>
      <c r="AN828" s="213">
        <v>0.39419999999999999</v>
      </c>
      <c r="AO828" s="352">
        <v>2.3393999999999999</v>
      </c>
      <c r="AP828" s="213">
        <v>0.1527</v>
      </c>
      <c r="AQ828" s="219">
        <v>-0.78446143134430357</v>
      </c>
      <c r="AR828" s="213" t="s">
        <v>1824</v>
      </c>
      <c r="AV828" s="343"/>
      <c r="AW828" s="328"/>
      <c r="AX828" s="329"/>
      <c r="AY828" s="328"/>
      <c r="AZ828" s="328"/>
      <c r="BA828" s="330"/>
      <c r="BB828" s="328"/>
      <c r="BC828" s="328"/>
      <c r="BD828" s="328"/>
      <c r="BE828" s="330"/>
      <c r="BF828" s="330"/>
      <c r="BG828" s="344"/>
      <c r="BH828" s="330"/>
      <c r="BI828" s="330"/>
      <c r="BJ828" s="330"/>
      <c r="BK828" s="330"/>
      <c r="BL828" s="330"/>
      <c r="BM828" s="330"/>
      <c r="BN828" s="330"/>
      <c r="BO828" s="330"/>
      <c r="BP828" s="331"/>
      <c r="BQ828" s="332"/>
      <c r="BR828" s="333"/>
    </row>
    <row r="829" spans="2:70" ht="15.75" customHeight="1">
      <c r="B829" s="216" t="s">
        <v>1532</v>
      </c>
      <c r="C829" s="212">
        <v>1791819</v>
      </c>
      <c r="D829" s="223">
        <v>27181765000121</v>
      </c>
      <c r="E829" s="217" t="s">
        <v>28</v>
      </c>
      <c r="F829" s="217" t="s">
        <v>950</v>
      </c>
      <c r="G829" s="217"/>
      <c r="H829" s="218"/>
      <c r="I829" s="217" t="s">
        <v>66</v>
      </c>
      <c r="J829" s="217" t="s">
        <v>66</v>
      </c>
      <c r="K829" s="218" t="s">
        <v>954</v>
      </c>
      <c r="L829" s="212"/>
      <c r="M829" s="250"/>
      <c r="N829" s="239">
        <v>43418</v>
      </c>
      <c r="O829" s="210" t="s">
        <v>1530</v>
      </c>
      <c r="P829" s="210" t="s">
        <v>1075</v>
      </c>
      <c r="Q829" s="210" t="s">
        <v>1089</v>
      </c>
      <c r="R829" s="210" t="s">
        <v>1077</v>
      </c>
      <c r="S829" s="210" t="s">
        <v>1078</v>
      </c>
      <c r="T829" s="210" t="s">
        <v>1079</v>
      </c>
      <c r="U829" s="210" t="s">
        <v>65</v>
      </c>
      <c r="V829" s="210" t="s">
        <v>1080</v>
      </c>
      <c r="W829" s="211" t="s">
        <v>1036</v>
      </c>
      <c r="X829" s="211">
        <v>5000</v>
      </c>
      <c r="Y829" s="211">
        <v>200</v>
      </c>
      <c r="Z829" s="212">
        <v>200</v>
      </c>
      <c r="AA829" s="240">
        <v>6</v>
      </c>
      <c r="AB829" s="213">
        <v>1.7500000000000002E-2</v>
      </c>
      <c r="AC829" s="213">
        <v>0</v>
      </c>
      <c r="AD829" s="213" t="s">
        <v>1100</v>
      </c>
      <c r="AE829" s="213">
        <v>5.8333333333333336E-3</v>
      </c>
      <c r="AF829" s="241">
        <v>20103504.52</v>
      </c>
      <c r="AG829" s="241">
        <v>20103504.52</v>
      </c>
      <c r="AH829" s="213">
        <v>-0.35659999999999997</v>
      </c>
      <c r="AI829" s="352">
        <v>-5.4920999999999998</v>
      </c>
      <c r="AJ829" s="213">
        <v>-0.31009999999999999</v>
      </c>
      <c r="AK829" s="352">
        <v>-3.2955000000000001</v>
      </c>
      <c r="AL829" s="213">
        <v>-2.3999999999999998E-3</v>
      </c>
      <c r="AM829" s="352">
        <v>-2.0199999999999999E-2</v>
      </c>
      <c r="AN829" s="213">
        <v>0.43080000000000002</v>
      </c>
      <c r="AO829" s="352">
        <v>2.5565000000000002</v>
      </c>
      <c r="AP829" s="213">
        <v>0.27010000000000001</v>
      </c>
      <c r="AQ829" s="219">
        <v>-1.5718422049608352</v>
      </c>
      <c r="AR829" s="213" t="s">
        <v>1827</v>
      </c>
      <c r="AV829" s="343"/>
      <c r="AW829" s="328"/>
      <c r="AX829" s="329"/>
      <c r="AY829" s="328"/>
      <c r="AZ829" s="328"/>
      <c r="BA829" s="330"/>
      <c r="BB829" s="328"/>
      <c r="BC829" s="328"/>
      <c r="BD829" s="328"/>
      <c r="BE829" s="330"/>
      <c r="BF829" s="330"/>
      <c r="BG829" s="344"/>
      <c r="BH829" s="330"/>
      <c r="BI829" s="330"/>
      <c r="BJ829" s="330"/>
      <c r="BK829" s="330"/>
      <c r="BL829" s="330"/>
      <c r="BM829" s="330"/>
      <c r="BN829" s="330"/>
      <c r="BO829" s="330"/>
      <c r="BP829" s="331"/>
      <c r="BQ829" s="332"/>
      <c r="BR829" s="333"/>
    </row>
    <row r="830" spans="2:70" ht="15.75" customHeight="1">
      <c r="B830" s="216" t="s">
        <v>1533</v>
      </c>
      <c r="C830" s="212">
        <v>551604</v>
      </c>
      <c r="D830" s="223">
        <v>31392506000117</v>
      </c>
      <c r="E830" s="217" t="s">
        <v>28</v>
      </c>
      <c r="F830" s="217" t="s">
        <v>950</v>
      </c>
      <c r="G830" s="217"/>
      <c r="H830" s="218"/>
      <c r="I830" s="217" t="s">
        <v>66</v>
      </c>
      <c r="J830" s="217" t="s">
        <v>66</v>
      </c>
      <c r="K830" s="218" t="s">
        <v>954</v>
      </c>
      <c r="L830" s="212" t="s">
        <v>87</v>
      </c>
      <c r="M830" s="250"/>
      <c r="N830" s="239">
        <v>43434</v>
      </c>
      <c r="O830" s="210" t="s">
        <v>542</v>
      </c>
      <c r="P830" s="210" t="s">
        <v>1090</v>
      </c>
      <c r="Q830" s="210" t="s">
        <v>1091</v>
      </c>
      <c r="R830" s="210" t="s">
        <v>1077</v>
      </c>
      <c r="S830" s="210" t="s">
        <v>1078</v>
      </c>
      <c r="T830" s="210" t="s">
        <v>1079</v>
      </c>
      <c r="U830" s="210" t="s">
        <v>65</v>
      </c>
      <c r="V830" s="210" t="s">
        <v>1080</v>
      </c>
      <c r="W830" s="211" t="s">
        <v>1036</v>
      </c>
      <c r="X830" s="211">
        <v>5000</v>
      </c>
      <c r="Y830" s="211">
        <v>1000</v>
      </c>
      <c r="Z830" s="212">
        <v>5000</v>
      </c>
      <c r="AA830" s="240">
        <v>5</v>
      </c>
      <c r="AB830" s="213">
        <v>1.4999999999999999E-2</v>
      </c>
      <c r="AC830" s="213">
        <v>0.2</v>
      </c>
      <c r="AD830" s="213" t="s">
        <v>1100</v>
      </c>
      <c r="AE830" s="213">
        <v>4.0000000000000001E-3</v>
      </c>
      <c r="AF830" s="241">
        <v>161513858.05000001</v>
      </c>
      <c r="AG830" s="241">
        <v>161513858.05000001</v>
      </c>
      <c r="AH830" s="213">
        <v>-0.18160000000000001</v>
      </c>
      <c r="AI830" s="352">
        <v>-2.7965</v>
      </c>
      <c r="AJ830" s="213">
        <v>-0.17649999999999999</v>
      </c>
      <c r="AK830" s="352">
        <v>-1.8762000000000001</v>
      </c>
      <c r="AL830" s="213">
        <v>5.5399999999999998E-2</v>
      </c>
      <c r="AM830" s="352">
        <v>0.45860000000000001</v>
      </c>
      <c r="AN830" s="213">
        <v>0.25390000000000001</v>
      </c>
      <c r="AO830" s="352">
        <v>1.5065999999999999</v>
      </c>
      <c r="AP830" s="213">
        <v>0.25419999999999998</v>
      </c>
      <c r="AQ830" s="219">
        <v>-0.9904059301107152</v>
      </c>
      <c r="AR830" s="213" t="s">
        <v>1827</v>
      </c>
      <c r="AV830" s="343"/>
      <c r="AW830" s="328"/>
      <c r="AX830" s="329"/>
      <c r="AY830" s="328"/>
      <c r="AZ830" s="328"/>
      <c r="BA830" s="330"/>
      <c r="BB830" s="328"/>
      <c r="BC830" s="328"/>
      <c r="BD830" s="328"/>
      <c r="BE830" s="330"/>
      <c r="BF830" s="330"/>
      <c r="BG830" s="344"/>
      <c r="BH830" s="330"/>
      <c r="BI830" s="330"/>
      <c r="BJ830" s="330"/>
      <c r="BK830" s="330"/>
      <c r="BL830" s="330"/>
      <c r="BM830" s="330"/>
      <c r="BN830" s="330"/>
      <c r="BO830" s="330"/>
      <c r="BP830" s="331"/>
      <c r="BQ830" s="332"/>
      <c r="BR830" s="333"/>
    </row>
    <row r="831" spans="2:70" ht="15.75" customHeight="1">
      <c r="B831" s="216" t="s">
        <v>1534</v>
      </c>
      <c r="C831" s="212">
        <v>1176360</v>
      </c>
      <c r="D831" s="223">
        <v>23915589000153</v>
      </c>
      <c r="E831" s="217" t="s">
        <v>28</v>
      </c>
      <c r="F831" s="217" t="s">
        <v>957</v>
      </c>
      <c r="G831" s="217"/>
      <c r="H831" s="218"/>
      <c r="I831" s="217" t="s">
        <v>1842</v>
      </c>
      <c r="J831" s="217" t="s">
        <v>66</v>
      </c>
      <c r="K831" s="218" t="s">
        <v>954</v>
      </c>
      <c r="L831" s="212" t="s">
        <v>88</v>
      </c>
      <c r="M831" s="250"/>
      <c r="N831" s="239">
        <v>42445</v>
      </c>
      <c r="O831" s="210" t="s">
        <v>542</v>
      </c>
      <c r="P831" s="210" t="s">
        <v>1090</v>
      </c>
      <c r="Q831" s="210" t="s">
        <v>1091</v>
      </c>
      <c r="R831" s="210" t="s">
        <v>1077</v>
      </c>
      <c r="S831" s="210" t="s">
        <v>1078</v>
      </c>
      <c r="T831" s="210" t="s">
        <v>1079</v>
      </c>
      <c r="U831" s="210" t="s">
        <v>65</v>
      </c>
      <c r="V831" s="210" t="s">
        <v>1080</v>
      </c>
      <c r="W831" s="211" t="s">
        <v>1036</v>
      </c>
      <c r="X831" s="211">
        <v>5000</v>
      </c>
      <c r="Y831" s="211">
        <v>1000</v>
      </c>
      <c r="Z831" s="212">
        <v>5000</v>
      </c>
      <c r="AA831" s="240">
        <v>5</v>
      </c>
      <c r="AB831" s="213">
        <v>1.4999999999999999E-2</v>
      </c>
      <c r="AC831" s="213">
        <v>0.2</v>
      </c>
      <c r="AD831" s="213" t="s">
        <v>1157</v>
      </c>
      <c r="AE831" s="213">
        <v>4.0000000000000001E-3</v>
      </c>
      <c r="AF831" s="241">
        <v>80231547.189999998</v>
      </c>
      <c r="AG831" s="241">
        <v>80231547.189999998</v>
      </c>
      <c r="AH831" s="213">
        <v>-0.2893</v>
      </c>
      <c r="AI831" s="352">
        <v>-4.4568000000000003</v>
      </c>
      <c r="AJ831" s="213">
        <v>-0.23799999999999999</v>
      </c>
      <c r="AK831" s="352">
        <v>-2.5301</v>
      </c>
      <c r="AL831" s="213">
        <v>-5.2400000000000002E-2</v>
      </c>
      <c r="AM831" s="352">
        <v>-0.43380000000000002</v>
      </c>
      <c r="AN831" s="213">
        <v>0.59079999999999999</v>
      </c>
      <c r="AO831" s="352">
        <v>3.5059999999999998</v>
      </c>
      <c r="AP831" s="213">
        <v>0.26079999999999998</v>
      </c>
      <c r="AQ831" s="219">
        <v>-1.256709137357741</v>
      </c>
      <c r="AR831" s="213" t="s">
        <v>1827</v>
      </c>
      <c r="AV831" s="343"/>
      <c r="AW831" s="328"/>
      <c r="AX831" s="329"/>
      <c r="AY831" s="328"/>
      <c r="AZ831" s="328"/>
      <c r="BA831" s="330"/>
      <c r="BB831" s="328"/>
      <c r="BC831" s="328"/>
      <c r="BD831" s="328"/>
      <c r="BE831" s="330"/>
      <c r="BF831" s="330"/>
      <c r="BG831" s="344"/>
      <c r="BH831" s="330"/>
      <c r="BI831" s="330"/>
      <c r="BJ831" s="330"/>
      <c r="BK831" s="330"/>
      <c r="BL831" s="330"/>
      <c r="BM831" s="330"/>
      <c r="BN831" s="330"/>
      <c r="BO831" s="330"/>
      <c r="BP831" s="331"/>
      <c r="BQ831" s="332"/>
      <c r="BR831" s="333"/>
    </row>
    <row r="832" spans="2:70" ht="15.75" customHeight="1">
      <c r="B832" s="216" t="s">
        <v>55</v>
      </c>
      <c r="C832" s="212">
        <v>591915</v>
      </c>
      <c r="D832" s="223">
        <v>18471807000178</v>
      </c>
      <c r="E832" s="217" t="s">
        <v>28</v>
      </c>
      <c r="F832" s="217" t="s">
        <v>957</v>
      </c>
      <c r="G832" s="217"/>
      <c r="H832" s="218"/>
      <c r="I832" s="217" t="s">
        <v>1842</v>
      </c>
      <c r="J832" s="217" t="s">
        <v>66</v>
      </c>
      <c r="K832" s="218" t="s">
        <v>951</v>
      </c>
      <c r="L832" s="212" t="s">
        <v>87</v>
      </c>
      <c r="M832" s="250"/>
      <c r="N832" s="239">
        <v>41578</v>
      </c>
      <c r="O832" s="210" t="s">
        <v>542</v>
      </c>
      <c r="P832" s="210" t="s">
        <v>1090</v>
      </c>
      <c r="Q832" s="210" t="s">
        <v>1091</v>
      </c>
      <c r="R832" s="210" t="s">
        <v>1084</v>
      </c>
      <c r="S832" s="210" t="s">
        <v>1078</v>
      </c>
      <c r="T832" s="210" t="s">
        <v>1079</v>
      </c>
      <c r="U832" s="210" t="s">
        <v>957</v>
      </c>
      <c r="V832" s="210" t="s">
        <v>25</v>
      </c>
      <c r="W832" s="211" t="s">
        <v>1016</v>
      </c>
      <c r="X832" s="211">
        <v>5000</v>
      </c>
      <c r="Y832" s="211">
        <v>1000</v>
      </c>
      <c r="Z832" s="212">
        <v>5000</v>
      </c>
      <c r="AA832" s="240">
        <v>17</v>
      </c>
      <c r="AB832" s="213">
        <v>0.02</v>
      </c>
      <c r="AC832" s="213">
        <v>0.2</v>
      </c>
      <c r="AD832" s="213" t="s">
        <v>113</v>
      </c>
      <c r="AE832" s="213">
        <v>5.3333333333333332E-3</v>
      </c>
      <c r="AF832" s="241">
        <v>174062947.03999999</v>
      </c>
      <c r="AG832" s="241">
        <v>174062947.03999999</v>
      </c>
      <c r="AH832" s="213">
        <v>-0.1424</v>
      </c>
      <c r="AI832" s="352">
        <v>-2.1936</v>
      </c>
      <c r="AJ832" s="213">
        <v>-0.27400000000000002</v>
      </c>
      <c r="AK832" s="352">
        <v>-2.9121000000000001</v>
      </c>
      <c r="AL832" s="213">
        <v>-0.17519999999999999</v>
      </c>
      <c r="AM832" s="352">
        <v>-1.45</v>
      </c>
      <c r="AN832" s="213">
        <v>-1.6400000000000001E-2</v>
      </c>
      <c r="AO832" s="352">
        <v>-9.7600000000000006E-2</v>
      </c>
      <c r="AP832" s="213">
        <v>0.193</v>
      </c>
      <c r="AQ832" s="219">
        <v>-2.0274234723201294</v>
      </c>
      <c r="AR832" s="213" t="s">
        <v>1827</v>
      </c>
      <c r="AV832" s="343"/>
      <c r="AW832" s="328"/>
      <c r="AX832" s="329"/>
      <c r="AY832" s="328"/>
      <c r="AZ832" s="328"/>
      <c r="BA832" s="330"/>
      <c r="BB832" s="328"/>
      <c r="BC832" s="328"/>
      <c r="BD832" s="328"/>
      <c r="BE832" s="330"/>
      <c r="BF832" s="330"/>
      <c r="BG832" s="344"/>
      <c r="BH832" s="330"/>
      <c r="BI832" s="330"/>
      <c r="BJ832" s="330"/>
      <c r="BK832" s="330"/>
      <c r="BL832" s="330"/>
      <c r="BM832" s="330"/>
      <c r="BN832" s="330"/>
      <c r="BO832" s="330"/>
      <c r="BP832" s="331"/>
      <c r="BQ832" s="332"/>
      <c r="BR832" s="333"/>
    </row>
    <row r="833" spans="2:70" ht="15.75" customHeight="1">
      <c r="B833" s="216" t="s">
        <v>543</v>
      </c>
      <c r="C833" s="212">
        <v>548002</v>
      </c>
      <c r="D833" s="223">
        <v>947958000194</v>
      </c>
      <c r="E833" s="217" t="s">
        <v>25</v>
      </c>
      <c r="F833" s="217" t="s">
        <v>958</v>
      </c>
      <c r="G833" s="217" t="s">
        <v>962</v>
      </c>
      <c r="H833" s="218" t="s">
        <v>66</v>
      </c>
      <c r="I833" s="217" t="s">
        <v>1841</v>
      </c>
      <c r="J833" s="217" t="s">
        <v>66</v>
      </c>
      <c r="K833" s="218"/>
      <c r="L833" s="212" t="s">
        <v>87</v>
      </c>
      <c r="M833" s="250"/>
      <c r="N833" s="239">
        <v>35219</v>
      </c>
      <c r="O833" s="210" t="s">
        <v>542</v>
      </c>
      <c r="P833" s="210" t="s">
        <v>1090</v>
      </c>
      <c r="Q833" s="210" t="s">
        <v>1091</v>
      </c>
      <c r="R833" s="210" t="s">
        <v>1084</v>
      </c>
      <c r="S833" s="210" t="s">
        <v>1078</v>
      </c>
      <c r="T833" s="210" t="s">
        <v>1082</v>
      </c>
      <c r="U833" s="210" t="s">
        <v>958</v>
      </c>
      <c r="V833" s="210" t="s">
        <v>25</v>
      </c>
      <c r="W833" s="211" t="s">
        <v>1012</v>
      </c>
      <c r="X833" s="211">
        <v>5000</v>
      </c>
      <c r="Y833" s="211">
        <v>1000</v>
      </c>
      <c r="Z833" s="212">
        <v>5000</v>
      </c>
      <c r="AA833" s="240">
        <v>1</v>
      </c>
      <c r="AB833" s="213">
        <v>1.4999999999999999E-2</v>
      </c>
      <c r="AC833" s="213">
        <v>0.2</v>
      </c>
      <c r="AD833" s="213" t="s">
        <v>109</v>
      </c>
      <c r="AE833" s="213">
        <v>4.0000000000000001E-3</v>
      </c>
      <c r="AF833" s="241">
        <v>121743716.58</v>
      </c>
      <c r="AG833" s="241">
        <v>121743716.58</v>
      </c>
      <c r="AH833" s="213">
        <v>6.7400000000000002E-2</v>
      </c>
      <c r="AI833" s="352">
        <v>1.0383</v>
      </c>
      <c r="AJ833" s="213">
        <v>9.8900000000000002E-2</v>
      </c>
      <c r="AK833" s="352">
        <v>1.0512999999999999</v>
      </c>
      <c r="AL833" s="213">
        <v>0.1208</v>
      </c>
      <c r="AM833" s="352">
        <v>1</v>
      </c>
      <c r="AN833" s="213">
        <v>0.1656</v>
      </c>
      <c r="AO833" s="352">
        <v>0.98260000000000003</v>
      </c>
      <c r="AP833" s="213">
        <v>1.2200000000000001E-2</v>
      </c>
      <c r="AQ833" s="219">
        <v>0.36667919481180478</v>
      </c>
      <c r="AR833" s="213" t="s">
        <v>1827</v>
      </c>
      <c r="AV833" s="343"/>
      <c r="AW833" s="328"/>
      <c r="AX833" s="329"/>
      <c r="AY833" s="328"/>
      <c r="AZ833" s="328"/>
      <c r="BA833" s="330"/>
      <c r="BB833" s="328"/>
      <c r="BC833" s="328"/>
      <c r="BD833" s="328"/>
      <c r="BE833" s="330"/>
      <c r="BF833" s="330"/>
      <c r="BG833" s="344"/>
      <c r="BH833" s="330"/>
      <c r="BI833" s="330"/>
      <c r="BJ833" s="330"/>
      <c r="BK833" s="330"/>
      <c r="BL833" s="330"/>
      <c r="BM833" s="330"/>
      <c r="BN833" s="330"/>
      <c r="BO833" s="330"/>
      <c r="BP833" s="331"/>
      <c r="BQ833" s="332"/>
      <c r="BR833" s="333"/>
    </row>
    <row r="834" spans="2:70" ht="15.75" customHeight="1">
      <c r="B834" s="216" t="s">
        <v>544</v>
      </c>
      <c r="C834" s="212">
        <v>1933717</v>
      </c>
      <c r="D834" s="223">
        <v>3840166000104</v>
      </c>
      <c r="E834" s="217" t="s">
        <v>28</v>
      </c>
      <c r="F834" s="217" t="s">
        <v>950</v>
      </c>
      <c r="G834" s="217"/>
      <c r="H834" s="218"/>
      <c r="I834" s="217" t="s">
        <v>1842</v>
      </c>
      <c r="J834" s="217" t="s">
        <v>66</v>
      </c>
      <c r="K834" s="218" t="s">
        <v>951</v>
      </c>
      <c r="L834" s="212" t="s">
        <v>87</v>
      </c>
      <c r="M834" s="250"/>
      <c r="N834" s="239">
        <v>36669</v>
      </c>
      <c r="O834" s="210" t="s">
        <v>542</v>
      </c>
      <c r="P834" s="210" t="s">
        <v>1090</v>
      </c>
      <c r="Q834" s="210" t="s">
        <v>1091</v>
      </c>
      <c r="R834" s="210" t="s">
        <v>1077</v>
      </c>
      <c r="S834" s="210" t="s">
        <v>1085</v>
      </c>
      <c r="T834" s="210" t="s">
        <v>1079</v>
      </c>
      <c r="U834" s="210" t="s">
        <v>950</v>
      </c>
      <c r="V834" s="210" t="s">
        <v>25</v>
      </c>
      <c r="W834" s="211" t="s">
        <v>1016</v>
      </c>
      <c r="X834" s="211">
        <v>100000</v>
      </c>
      <c r="Y834" s="211">
        <v>5000</v>
      </c>
      <c r="Z834" s="212">
        <v>25000</v>
      </c>
      <c r="AA834" s="240">
        <v>3</v>
      </c>
      <c r="AB834" s="213">
        <v>0.02</v>
      </c>
      <c r="AC834" s="213">
        <v>0.2</v>
      </c>
      <c r="AD834" s="213" t="s">
        <v>1100</v>
      </c>
      <c r="AE834" s="213">
        <v>4.0000000000000001E-3</v>
      </c>
      <c r="AF834" s="241">
        <v>29358409.550000001</v>
      </c>
      <c r="AG834" s="241">
        <v>29358409.550000001</v>
      </c>
      <c r="AH834" s="213">
        <v>-9.5399999999999999E-2</v>
      </c>
      <c r="AI834" s="352">
        <v>-1.4693000000000001</v>
      </c>
      <c r="AJ834" s="213">
        <v>-0.2407</v>
      </c>
      <c r="AK834" s="352">
        <v>-2.5586000000000002</v>
      </c>
      <c r="AL834" s="213">
        <v>2.29E-2</v>
      </c>
      <c r="AM834" s="352">
        <v>0.1898</v>
      </c>
      <c r="AN834" s="213">
        <v>8.2699999999999996E-2</v>
      </c>
      <c r="AO834" s="352">
        <v>0.49049999999999999</v>
      </c>
      <c r="AP834" s="213">
        <v>0.19409999999999999</v>
      </c>
      <c r="AQ834" s="219">
        <v>-1.784383448712437</v>
      </c>
      <c r="AR834" s="213" t="s">
        <v>1827</v>
      </c>
      <c r="AV834" s="343"/>
      <c r="AW834" s="328"/>
      <c r="AX834" s="329"/>
      <c r="AY834" s="328"/>
      <c r="AZ834" s="328"/>
      <c r="BA834" s="330"/>
      <c r="BB834" s="328"/>
      <c r="BC834" s="328"/>
      <c r="BD834" s="328"/>
      <c r="BE834" s="330"/>
      <c r="BF834" s="330"/>
      <c r="BG834" s="344"/>
      <c r="BH834" s="330"/>
      <c r="BI834" s="330"/>
      <c r="BJ834" s="330"/>
      <c r="BK834" s="330"/>
      <c r="BL834" s="330"/>
      <c r="BM834" s="330"/>
      <c r="BN834" s="330"/>
      <c r="BO834" s="330"/>
      <c r="BP834" s="331"/>
      <c r="BQ834" s="332"/>
      <c r="BR834" s="333"/>
    </row>
    <row r="835" spans="2:70" ht="15.75" customHeight="1">
      <c r="B835" s="216" t="s">
        <v>545</v>
      </c>
      <c r="C835" s="212">
        <v>545040</v>
      </c>
      <c r="D835" s="223">
        <v>13106983000197</v>
      </c>
      <c r="E835" s="217" t="s">
        <v>28</v>
      </c>
      <c r="F835" s="217" t="s">
        <v>950</v>
      </c>
      <c r="G835" s="217"/>
      <c r="H835" s="218"/>
      <c r="I835" s="217" t="s">
        <v>1842</v>
      </c>
      <c r="J835" s="217" t="s">
        <v>66</v>
      </c>
      <c r="K835" s="218" t="s">
        <v>951</v>
      </c>
      <c r="L835" s="212" t="s">
        <v>87</v>
      </c>
      <c r="M835" s="250"/>
      <c r="N835" s="239">
        <v>40639</v>
      </c>
      <c r="O835" s="210" t="s">
        <v>542</v>
      </c>
      <c r="P835" s="210" t="s">
        <v>1090</v>
      </c>
      <c r="Q835" s="210" t="s">
        <v>1091</v>
      </c>
      <c r="R835" s="210" t="s">
        <v>1084</v>
      </c>
      <c r="S835" s="210" t="s">
        <v>1078</v>
      </c>
      <c r="T835" s="210" t="s">
        <v>1079</v>
      </c>
      <c r="U835" s="210" t="s">
        <v>950</v>
      </c>
      <c r="V835" s="210" t="s">
        <v>1080</v>
      </c>
      <c r="W835" s="211" t="s">
        <v>1007</v>
      </c>
      <c r="X835" s="211">
        <v>5000</v>
      </c>
      <c r="Y835" s="211">
        <v>1000</v>
      </c>
      <c r="Z835" s="212">
        <v>5000</v>
      </c>
      <c r="AA835" s="240">
        <v>3</v>
      </c>
      <c r="AB835" s="213">
        <v>0.02</v>
      </c>
      <c r="AC835" s="213">
        <v>0.2</v>
      </c>
      <c r="AD835" s="213" t="s">
        <v>1014</v>
      </c>
      <c r="AE835" s="213">
        <v>5.3333333333333332E-3</v>
      </c>
      <c r="AF835" s="241">
        <v>161309965.87</v>
      </c>
      <c r="AG835" s="241">
        <v>161309965.87</v>
      </c>
      <c r="AH835" s="213">
        <v>-0.1028</v>
      </c>
      <c r="AI835" s="352">
        <v>-1.5831999999999999</v>
      </c>
      <c r="AJ835" s="213">
        <v>-0.26300000000000001</v>
      </c>
      <c r="AK835" s="352">
        <v>-2.7951000000000001</v>
      </c>
      <c r="AL835" s="213">
        <v>-0.13739999999999999</v>
      </c>
      <c r="AM835" s="352">
        <v>-1.137</v>
      </c>
      <c r="AN835" s="213">
        <v>-2.1100000000000001E-2</v>
      </c>
      <c r="AO835" s="352">
        <v>-0.1249</v>
      </c>
      <c r="AP835" s="213">
        <v>0.21590000000000001</v>
      </c>
      <c r="AQ835" s="219">
        <v>-1.7207041170968975</v>
      </c>
      <c r="AR835" s="213" t="s">
        <v>1827</v>
      </c>
      <c r="AV835" s="343"/>
      <c r="AW835" s="328"/>
      <c r="AX835" s="329"/>
      <c r="AY835" s="328"/>
      <c r="AZ835" s="328"/>
      <c r="BA835" s="330"/>
      <c r="BB835" s="328"/>
      <c r="BC835" s="328"/>
      <c r="BD835" s="328"/>
      <c r="BE835" s="330"/>
      <c r="BF835" s="330"/>
      <c r="BG835" s="344"/>
      <c r="BH835" s="330"/>
      <c r="BI835" s="330"/>
      <c r="BJ835" s="330"/>
      <c r="BK835" s="330"/>
      <c r="BL835" s="330"/>
      <c r="BM835" s="330"/>
      <c r="BN835" s="330"/>
      <c r="BO835" s="330"/>
      <c r="BP835" s="331"/>
      <c r="BQ835" s="332"/>
      <c r="BR835" s="333"/>
    </row>
    <row r="836" spans="2:70" ht="15.75" customHeight="1">
      <c r="B836" s="216" t="s">
        <v>546</v>
      </c>
      <c r="C836" s="212">
        <v>591922</v>
      </c>
      <c r="D836" s="223">
        <v>5448587000110</v>
      </c>
      <c r="E836" s="217" t="s">
        <v>25</v>
      </c>
      <c r="F836" s="217" t="s">
        <v>958</v>
      </c>
      <c r="G836" s="217" t="s">
        <v>962</v>
      </c>
      <c r="H836" s="218"/>
      <c r="I836" s="217" t="s">
        <v>1841</v>
      </c>
      <c r="J836" s="217" t="s">
        <v>66</v>
      </c>
      <c r="K836" s="218" t="s">
        <v>951</v>
      </c>
      <c r="L836" s="212" t="s">
        <v>87</v>
      </c>
      <c r="M836" s="250"/>
      <c r="N836" s="239">
        <v>37749</v>
      </c>
      <c r="O836" s="210" t="s">
        <v>542</v>
      </c>
      <c r="P836" s="210" t="s">
        <v>1090</v>
      </c>
      <c r="Q836" s="210" t="s">
        <v>1091</v>
      </c>
      <c r="R836" s="210" t="s">
        <v>1084</v>
      </c>
      <c r="S836" s="210" t="s">
        <v>1078</v>
      </c>
      <c r="T836" s="210" t="s">
        <v>1082</v>
      </c>
      <c r="U836" s="210" t="s">
        <v>958</v>
      </c>
      <c r="V836" s="210" t="s">
        <v>25</v>
      </c>
      <c r="W836" s="211" t="s">
        <v>1012</v>
      </c>
      <c r="X836" s="211">
        <v>5000</v>
      </c>
      <c r="Y836" s="211">
        <v>1000</v>
      </c>
      <c r="Z836" s="212">
        <v>5000</v>
      </c>
      <c r="AA836" s="240">
        <v>3</v>
      </c>
      <c r="AB836" s="213">
        <v>0.02</v>
      </c>
      <c r="AC836" s="213">
        <v>0.2</v>
      </c>
      <c r="AD836" s="213" t="s">
        <v>109</v>
      </c>
      <c r="AE836" s="213">
        <v>5.3333333333333332E-3</v>
      </c>
      <c r="AF836" s="241">
        <v>1172616947.46</v>
      </c>
      <c r="AG836" s="241">
        <v>1172616947.46</v>
      </c>
      <c r="AH836" s="213">
        <v>7.85E-2</v>
      </c>
      <c r="AI836" s="352">
        <v>1.2094</v>
      </c>
      <c r="AJ836" s="213">
        <v>0.11849999999999999</v>
      </c>
      <c r="AK836" s="352">
        <v>1.2598</v>
      </c>
      <c r="AL836" s="213">
        <v>0.16350000000000001</v>
      </c>
      <c r="AM836" s="352">
        <v>1.3534999999999999</v>
      </c>
      <c r="AN836" s="213">
        <v>0.22589999999999999</v>
      </c>
      <c r="AO836" s="352">
        <v>1.3403</v>
      </c>
      <c r="AP836" s="213">
        <v>2.7900000000000001E-2</v>
      </c>
      <c r="AQ836" s="219">
        <v>0.80620124601065901</v>
      </c>
      <c r="AR836" s="213" t="s">
        <v>1827</v>
      </c>
      <c r="AV836" s="343"/>
      <c r="AW836" s="328"/>
      <c r="AX836" s="329"/>
      <c r="AY836" s="328"/>
      <c r="AZ836" s="328"/>
      <c r="BA836" s="330"/>
      <c r="BB836" s="328"/>
      <c r="BC836" s="328"/>
      <c r="BD836" s="328"/>
      <c r="BE836" s="330"/>
      <c r="BF836" s="330"/>
      <c r="BG836" s="344"/>
      <c r="BH836" s="330"/>
      <c r="BI836" s="330"/>
      <c r="BJ836" s="330"/>
      <c r="BK836" s="330"/>
      <c r="BL836" s="330"/>
      <c r="BM836" s="330"/>
      <c r="BN836" s="330"/>
      <c r="BO836" s="330"/>
      <c r="BP836" s="331"/>
      <c r="BQ836" s="332"/>
      <c r="BR836" s="333"/>
    </row>
    <row r="837" spans="2:70" ht="15.75" customHeight="1">
      <c r="B837" s="216" t="s">
        <v>1535</v>
      </c>
      <c r="C837" s="212">
        <v>591924</v>
      </c>
      <c r="D837" s="223">
        <v>30606457000105</v>
      </c>
      <c r="E837" s="217" t="s">
        <v>19</v>
      </c>
      <c r="F837" s="217" t="s">
        <v>963</v>
      </c>
      <c r="G837" s="217" t="s">
        <v>1011</v>
      </c>
      <c r="H837" s="218" t="s">
        <v>1113</v>
      </c>
      <c r="I837" s="217" t="s">
        <v>66</v>
      </c>
      <c r="J837" s="217"/>
      <c r="K837" s="218" t="s">
        <v>951</v>
      </c>
      <c r="L837" s="212" t="s">
        <v>87</v>
      </c>
      <c r="M837" s="250"/>
      <c r="N837" s="239">
        <v>43524</v>
      </c>
      <c r="O837" s="210" t="s">
        <v>547</v>
      </c>
      <c r="P837" s="210" t="s">
        <v>1075</v>
      </c>
      <c r="Q837" s="210" t="s">
        <v>1076</v>
      </c>
      <c r="R837" s="210" t="s">
        <v>1084</v>
      </c>
      <c r="S837" s="210" t="s">
        <v>1078</v>
      </c>
      <c r="T837" s="210" t="s">
        <v>349</v>
      </c>
      <c r="U837" s="210" t="s">
        <v>1114</v>
      </c>
      <c r="V837" s="210" t="s">
        <v>25</v>
      </c>
      <c r="W837" s="211" t="s">
        <v>1016</v>
      </c>
      <c r="X837" s="211">
        <v>0</v>
      </c>
      <c r="Y837" s="211">
        <v>0</v>
      </c>
      <c r="Z837" s="212">
        <v>0</v>
      </c>
      <c r="AA837" s="240">
        <v>6</v>
      </c>
      <c r="AB837" s="213">
        <v>5.0000000000000001E-3</v>
      </c>
      <c r="AC837" s="213">
        <v>0.2</v>
      </c>
      <c r="AD837" s="213" t="s">
        <v>109</v>
      </c>
      <c r="AE837" s="213">
        <v>1E-3</v>
      </c>
      <c r="AF837" s="241">
        <v>7266456.79</v>
      </c>
      <c r="AG837" s="241">
        <v>7266456.79</v>
      </c>
      <c r="AH837" s="213">
        <v>8.2900000000000001E-2</v>
      </c>
      <c r="AI837" s="352">
        <v>1.2769999999999999</v>
      </c>
      <c r="AJ837" s="213">
        <v>0.11940000000000001</v>
      </c>
      <c r="AK837" s="352">
        <v>1.2686999999999999</v>
      </c>
      <c r="AL837" s="213">
        <v>0.16750000000000001</v>
      </c>
      <c r="AM837" s="352">
        <v>1.3865000000000001</v>
      </c>
      <c r="AN837" s="213">
        <v>0.1812</v>
      </c>
      <c r="AO837" s="352">
        <v>1.0750999999999999</v>
      </c>
      <c r="AP837" s="213">
        <v>8.9999999999999993E-3</v>
      </c>
      <c r="AQ837" s="219">
        <v>2.5504934495558005</v>
      </c>
      <c r="AR837" s="213" t="s">
        <v>1827</v>
      </c>
      <c r="AV837" s="343"/>
      <c r="AW837" s="328"/>
      <c r="AX837" s="329"/>
      <c r="AY837" s="328"/>
      <c r="AZ837" s="328"/>
      <c r="BA837" s="330"/>
      <c r="BB837" s="328"/>
      <c r="BC837" s="328"/>
      <c r="BD837" s="328"/>
      <c r="BE837" s="330"/>
      <c r="BF837" s="330"/>
      <c r="BG837" s="344"/>
      <c r="BH837" s="330"/>
      <c r="BI837" s="330"/>
      <c r="BJ837" s="330"/>
      <c r="BK837" s="330"/>
      <c r="BL837" s="330"/>
      <c r="BM837" s="330"/>
      <c r="BN837" s="330"/>
      <c r="BO837" s="330"/>
      <c r="BP837" s="331"/>
      <c r="BQ837" s="332"/>
      <c r="BR837" s="333"/>
    </row>
    <row r="838" spans="2:70" ht="15.75" customHeight="1">
      <c r="B838" s="216" t="s">
        <v>1536</v>
      </c>
      <c r="C838" s="212">
        <v>545052</v>
      </c>
      <c r="D838" s="223">
        <v>24552346000160</v>
      </c>
      <c r="E838" s="217" t="s">
        <v>19</v>
      </c>
      <c r="F838" s="217" t="s">
        <v>964</v>
      </c>
      <c r="G838" s="217" t="s">
        <v>1042</v>
      </c>
      <c r="H838" s="218" t="s">
        <v>1113</v>
      </c>
      <c r="I838" s="217" t="s">
        <v>66</v>
      </c>
      <c r="J838" s="217"/>
      <c r="K838" s="218" t="s">
        <v>951</v>
      </c>
      <c r="L838" s="212" t="s">
        <v>87</v>
      </c>
      <c r="M838" s="250"/>
      <c r="N838" s="239">
        <v>42646</v>
      </c>
      <c r="O838" s="210" t="s">
        <v>547</v>
      </c>
      <c r="P838" s="210" t="s">
        <v>1075</v>
      </c>
      <c r="Q838" s="210" t="s">
        <v>1076</v>
      </c>
      <c r="R838" s="210" t="s">
        <v>1084</v>
      </c>
      <c r="S838" s="210" t="s">
        <v>1078</v>
      </c>
      <c r="T838" s="210" t="s">
        <v>349</v>
      </c>
      <c r="U838" s="210" t="s">
        <v>964</v>
      </c>
      <c r="V838" s="210" t="s">
        <v>19</v>
      </c>
      <c r="W838" s="211" t="s">
        <v>1024</v>
      </c>
      <c r="X838" s="211">
        <v>0</v>
      </c>
      <c r="Y838" s="211">
        <v>0</v>
      </c>
      <c r="Z838" s="212">
        <v>0</v>
      </c>
      <c r="AA838" s="240">
        <v>31</v>
      </c>
      <c r="AB838" s="213">
        <v>8.9999999999999993E-3</v>
      </c>
      <c r="AC838" s="213">
        <v>0.2</v>
      </c>
      <c r="AD838" s="213" t="s">
        <v>1100</v>
      </c>
      <c r="AE838" s="213">
        <v>1.7999999999999997E-3</v>
      </c>
      <c r="AF838" s="241">
        <v>44840082.130000003</v>
      </c>
      <c r="AG838" s="241">
        <v>44840082.130000003</v>
      </c>
      <c r="AH838" s="213">
        <v>5.2400000000000002E-2</v>
      </c>
      <c r="AI838" s="352">
        <v>0.80630000000000002</v>
      </c>
      <c r="AJ838" s="213">
        <v>7.8399999999999997E-2</v>
      </c>
      <c r="AK838" s="352">
        <v>0.83379999999999999</v>
      </c>
      <c r="AL838" s="213">
        <v>0.1547</v>
      </c>
      <c r="AM838" s="352">
        <v>1.2804</v>
      </c>
      <c r="AN838" s="213">
        <v>0.19059999999999999</v>
      </c>
      <c r="AO838" s="352">
        <v>1.1311</v>
      </c>
      <c r="AP838" s="213">
        <v>3.4000000000000002E-2</v>
      </c>
      <c r="AQ838" s="219">
        <v>-0.40708134335447438</v>
      </c>
      <c r="AR838" s="213" t="s">
        <v>1827</v>
      </c>
      <c r="AV838" s="343"/>
      <c r="AW838" s="328"/>
      <c r="AX838" s="329"/>
      <c r="AY838" s="328"/>
      <c r="AZ838" s="328"/>
      <c r="BA838" s="330"/>
      <c r="BB838" s="328"/>
      <c r="BC838" s="328"/>
      <c r="BD838" s="328"/>
      <c r="BE838" s="330"/>
      <c r="BF838" s="330"/>
      <c r="BG838" s="344"/>
      <c r="BH838" s="330"/>
      <c r="BI838" s="330"/>
      <c r="BJ838" s="330"/>
      <c r="BK838" s="330"/>
      <c r="BL838" s="330"/>
      <c r="BM838" s="330"/>
      <c r="BN838" s="330"/>
      <c r="BO838" s="330"/>
      <c r="BP838" s="331"/>
      <c r="BQ838" s="332"/>
      <c r="BR838" s="333"/>
    </row>
    <row r="839" spans="2:70" ht="15.75" customHeight="1">
      <c r="B839" s="216" t="s">
        <v>1909</v>
      </c>
      <c r="C839" s="212">
        <v>1179034</v>
      </c>
      <c r="D839" s="223">
        <v>13966590000153</v>
      </c>
      <c r="E839" s="217" t="s">
        <v>19</v>
      </c>
      <c r="F839" s="217" t="s">
        <v>964</v>
      </c>
      <c r="G839" s="217" t="s">
        <v>1021</v>
      </c>
      <c r="H839" s="218" t="s">
        <v>1113</v>
      </c>
      <c r="I839" s="217" t="s">
        <v>66</v>
      </c>
      <c r="J839" s="217"/>
      <c r="K839" s="218" t="s">
        <v>951</v>
      </c>
      <c r="L839" s="212" t="s">
        <v>87</v>
      </c>
      <c r="M839" s="250"/>
      <c r="N839" s="239">
        <v>40877</v>
      </c>
      <c r="O839" s="210" t="s">
        <v>547</v>
      </c>
      <c r="P839" s="210" t="s">
        <v>1075</v>
      </c>
      <c r="Q839" s="210" t="s">
        <v>1076</v>
      </c>
      <c r="R839" s="210" t="s">
        <v>1084</v>
      </c>
      <c r="S839" s="210" t="s">
        <v>1078</v>
      </c>
      <c r="T839" s="210" t="s">
        <v>349</v>
      </c>
      <c r="U839" s="210" t="s">
        <v>964</v>
      </c>
      <c r="V839" s="210" t="s">
        <v>19</v>
      </c>
      <c r="W839" s="211" t="s">
        <v>1025</v>
      </c>
      <c r="X839" s="211">
        <v>0</v>
      </c>
      <c r="Y839" s="211">
        <v>0</v>
      </c>
      <c r="Z839" s="212">
        <v>0</v>
      </c>
      <c r="AA839" s="240">
        <v>1</v>
      </c>
      <c r="AB839" s="213">
        <v>2E-3</v>
      </c>
      <c r="AC839" s="213">
        <v>0</v>
      </c>
      <c r="AD839" s="213" t="s">
        <v>203</v>
      </c>
      <c r="AE839" s="213">
        <v>3.9999999999999996E-4</v>
      </c>
      <c r="AF839" s="241">
        <v>36214248.359999999</v>
      </c>
      <c r="AG839" s="241">
        <v>36214248.359999999</v>
      </c>
      <c r="AH839" s="213">
        <v>5.5399999999999998E-2</v>
      </c>
      <c r="AI839" s="352">
        <v>0.85340000000000005</v>
      </c>
      <c r="AJ839" s="213">
        <v>8.5199999999999998E-2</v>
      </c>
      <c r="AK839" s="352">
        <v>0.90529999999999999</v>
      </c>
      <c r="AL839" s="213">
        <v>0.12330000000000001</v>
      </c>
      <c r="AM839" s="352">
        <v>1.0203</v>
      </c>
      <c r="AN839" s="213">
        <v>0.21440000000000001</v>
      </c>
      <c r="AO839" s="352">
        <v>1.2721</v>
      </c>
      <c r="AP839" s="213">
        <v>3.2199999999999999E-2</v>
      </c>
      <c r="AQ839" s="219">
        <v>-0.23795664209626907</v>
      </c>
      <c r="AR839" s="213" t="s">
        <v>1827</v>
      </c>
      <c r="AV839" s="343"/>
      <c r="AW839" s="328"/>
      <c r="AX839" s="329"/>
      <c r="AY839" s="328"/>
      <c r="AZ839" s="328"/>
      <c r="BA839" s="330"/>
      <c r="BB839" s="328"/>
      <c r="BC839" s="328"/>
      <c r="BD839" s="328"/>
      <c r="BE839" s="330"/>
      <c r="BF839" s="330"/>
      <c r="BG839" s="344"/>
      <c r="BH839" s="330"/>
      <c r="BI839" s="330"/>
      <c r="BJ839" s="330"/>
      <c r="BK839" s="330"/>
      <c r="BL839" s="330"/>
      <c r="BM839" s="330"/>
      <c r="BN839" s="330"/>
      <c r="BO839" s="330"/>
      <c r="BP839" s="331"/>
      <c r="BQ839" s="332"/>
      <c r="BR839" s="333"/>
    </row>
    <row r="840" spans="2:70" ht="15.75" customHeight="1">
      <c r="B840" s="216" t="s">
        <v>1537</v>
      </c>
      <c r="C840" s="212">
        <v>958110</v>
      </c>
      <c r="D840" s="223">
        <v>36014016000109</v>
      </c>
      <c r="E840" s="217" t="s">
        <v>19</v>
      </c>
      <c r="F840" s="217" t="s">
        <v>963</v>
      </c>
      <c r="G840" s="217" t="s">
        <v>1034</v>
      </c>
      <c r="H840" s="218" t="s">
        <v>1113</v>
      </c>
      <c r="I840" s="217" t="s">
        <v>66</v>
      </c>
      <c r="J840" s="217" t="s">
        <v>1822</v>
      </c>
      <c r="K840" s="218" t="s">
        <v>951</v>
      </c>
      <c r="L840" s="212" t="s">
        <v>87</v>
      </c>
      <c r="M840" s="250"/>
      <c r="N840" s="239">
        <v>43951</v>
      </c>
      <c r="O840" s="210" t="s">
        <v>547</v>
      </c>
      <c r="P840" s="210" t="s">
        <v>1075</v>
      </c>
      <c r="Q840" s="210" t="s">
        <v>1076</v>
      </c>
      <c r="R840" s="210" t="s">
        <v>1077</v>
      </c>
      <c r="S840" s="210" t="s">
        <v>1078</v>
      </c>
      <c r="T840" s="210" t="s">
        <v>32</v>
      </c>
      <c r="U840" s="210" t="s">
        <v>1150</v>
      </c>
      <c r="V840" s="210" t="s">
        <v>25</v>
      </c>
      <c r="W840" s="211" t="s">
        <v>1019</v>
      </c>
      <c r="X840" s="211">
        <v>0</v>
      </c>
      <c r="Y840" s="211">
        <v>0</v>
      </c>
      <c r="Z840" s="212">
        <v>0</v>
      </c>
      <c r="AA840" s="240">
        <v>34</v>
      </c>
      <c r="AB840" s="213">
        <v>7.0000000000000001E-3</v>
      </c>
      <c r="AC840" s="213">
        <v>0.2</v>
      </c>
      <c r="AD840" s="213" t="s">
        <v>109</v>
      </c>
      <c r="AE840" s="213">
        <v>1.4E-3</v>
      </c>
      <c r="AF840" s="241">
        <v>11284290.66</v>
      </c>
      <c r="AG840" s="241">
        <v>11284290.66</v>
      </c>
      <c r="AH840" s="213">
        <v>7.7799999999999994E-2</v>
      </c>
      <c r="AI840" s="352">
        <v>1.1987000000000001</v>
      </c>
      <c r="AJ840" s="213">
        <v>0.1188</v>
      </c>
      <c r="AK840" s="352">
        <v>1.2627999999999999</v>
      </c>
      <c r="AL840" s="213">
        <v>0.1709</v>
      </c>
      <c r="AM840" s="352">
        <v>1.4145000000000001</v>
      </c>
      <c r="AN840" s="213" t="s">
        <v>66</v>
      </c>
      <c r="AO840" s="352" t="s">
        <v>66</v>
      </c>
      <c r="AP840" s="213">
        <v>1.6999999999999999E-3</v>
      </c>
      <c r="AQ840" s="219">
        <v>12.829922998733711</v>
      </c>
      <c r="AR840" s="213" t="s">
        <v>1827</v>
      </c>
      <c r="AV840" s="343"/>
      <c r="AW840" s="328"/>
      <c r="AX840" s="329"/>
      <c r="AY840" s="328"/>
      <c r="AZ840" s="328"/>
      <c r="BA840" s="330"/>
      <c r="BB840" s="328"/>
      <c r="BC840" s="328"/>
      <c r="BD840" s="328"/>
      <c r="BE840" s="330"/>
      <c r="BF840" s="330"/>
      <c r="BG840" s="344"/>
      <c r="BH840" s="330"/>
      <c r="BI840" s="330"/>
      <c r="BJ840" s="330"/>
      <c r="BK840" s="330"/>
      <c r="BL840" s="330"/>
      <c r="BM840" s="330"/>
      <c r="BN840" s="330"/>
      <c r="BO840" s="330"/>
      <c r="BP840" s="331"/>
      <c r="BQ840" s="332"/>
      <c r="BR840" s="333"/>
    </row>
    <row r="841" spans="2:70" ht="15.75" customHeight="1">
      <c r="B841" s="216" t="s">
        <v>1538</v>
      </c>
      <c r="C841" s="212">
        <v>1166955</v>
      </c>
      <c r="D841" s="223">
        <v>9601190000177</v>
      </c>
      <c r="E841" s="217" t="s">
        <v>28</v>
      </c>
      <c r="F841" s="217" t="s">
        <v>32</v>
      </c>
      <c r="G841" s="217" t="s">
        <v>1049</v>
      </c>
      <c r="H841" s="218"/>
      <c r="I841" s="217" t="s">
        <v>66</v>
      </c>
      <c r="J841" s="217" t="s">
        <v>66</v>
      </c>
      <c r="K841" s="218" t="s">
        <v>954</v>
      </c>
      <c r="L841" s="212"/>
      <c r="M841" s="250"/>
      <c r="N841" s="239">
        <v>39660</v>
      </c>
      <c r="O841" s="210" t="s">
        <v>547</v>
      </c>
      <c r="P841" s="210" t="s">
        <v>1075</v>
      </c>
      <c r="Q841" s="210" t="s">
        <v>1076</v>
      </c>
      <c r="R841" s="210" t="s">
        <v>1084</v>
      </c>
      <c r="S841" s="210" t="s">
        <v>1078</v>
      </c>
      <c r="T841" s="210" t="s">
        <v>34</v>
      </c>
      <c r="U841" s="210" t="s">
        <v>66</v>
      </c>
      <c r="V841" s="210" t="s">
        <v>25</v>
      </c>
      <c r="W841" s="211" t="s">
        <v>1019</v>
      </c>
      <c r="X841" s="211">
        <v>0</v>
      </c>
      <c r="Y841" s="211">
        <v>0</v>
      </c>
      <c r="Z841" s="212">
        <v>0</v>
      </c>
      <c r="AA841" s="240">
        <v>4</v>
      </c>
      <c r="AB841" s="213">
        <v>6.0000000000000001E-3</v>
      </c>
      <c r="AC841" s="213">
        <v>0</v>
      </c>
      <c r="AD841" s="213" t="s">
        <v>258</v>
      </c>
      <c r="AE841" s="213">
        <v>1.1999999999999999E-3</v>
      </c>
      <c r="AF841" s="241">
        <v>133619518.48</v>
      </c>
      <c r="AG841" s="241">
        <v>133619518.48</v>
      </c>
      <c r="AH841" s="213">
        <v>-0.1168</v>
      </c>
      <c r="AI841" s="352">
        <v>-1.7994000000000001</v>
      </c>
      <c r="AJ841" s="213">
        <v>-3.3399999999999999E-2</v>
      </c>
      <c r="AK841" s="352">
        <v>-0.35510000000000003</v>
      </c>
      <c r="AL841" s="213">
        <v>-0.1426</v>
      </c>
      <c r="AM841" s="352">
        <v>-1.1802999999999999</v>
      </c>
      <c r="AN841" s="213">
        <v>0.46700000000000003</v>
      </c>
      <c r="AO841" s="352">
        <v>2.7713000000000001</v>
      </c>
      <c r="AP841" s="213">
        <v>0.16220000000000001</v>
      </c>
      <c r="AQ841" s="219">
        <v>-0.68335437320086523</v>
      </c>
      <c r="AR841" s="213" t="s">
        <v>1827</v>
      </c>
      <c r="AV841" s="343"/>
      <c r="AW841" s="328"/>
      <c r="AX841" s="329"/>
      <c r="AY841" s="328"/>
      <c r="AZ841" s="328"/>
      <c r="BA841" s="330"/>
      <c r="BB841" s="328"/>
      <c r="BC841" s="328"/>
      <c r="BD841" s="328"/>
      <c r="BE841" s="330"/>
      <c r="BF841" s="330"/>
      <c r="BG841" s="344"/>
      <c r="BH841" s="330"/>
      <c r="BI841" s="330"/>
      <c r="BJ841" s="330"/>
      <c r="BK841" s="330"/>
      <c r="BL841" s="330"/>
      <c r="BM841" s="330"/>
      <c r="BN841" s="330"/>
      <c r="BO841" s="330"/>
      <c r="BP841" s="331"/>
      <c r="BQ841" s="332"/>
      <c r="BR841" s="333"/>
    </row>
    <row r="842" spans="2:70" ht="15.75" customHeight="1">
      <c r="B842" s="216" t="s">
        <v>548</v>
      </c>
      <c r="C842" s="212">
        <v>2170200</v>
      </c>
      <c r="D842" s="223">
        <v>17400251000166</v>
      </c>
      <c r="E842" s="217" t="s">
        <v>28</v>
      </c>
      <c r="F842" s="217" t="s">
        <v>950</v>
      </c>
      <c r="G842" s="217"/>
      <c r="H842" s="218"/>
      <c r="I842" s="217" t="s">
        <v>66</v>
      </c>
      <c r="J842" s="217" t="s">
        <v>66</v>
      </c>
      <c r="K842" s="218" t="s">
        <v>951</v>
      </c>
      <c r="L842" s="212" t="s">
        <v>87</v>
      </c>
      <c r="M842" s="250"/>
      <c r="N842" s="239">
        <v>41327</v>
      </c>
      <c r="O842" s="210" t="s">
        <v>549</v>
      </c>
      <c r="P842" s="210" t="s">
        <v>1075</v>
      </c>
      <c r="Q842" s="210" t="s">
        <v>1076</v>
      </c>
      <c r="R842" s="210" t="s">
        <v>1077</v>
      </c>
      <c r="S842" s="210" t="s">
        <v>1078</v>
      </c>
      <c r="T842" s="210" t="s">
        <v>1079</v>
      </c>
      <c r="U842" s="210" t="s">
        <v>950</v>
      </c>
      <c r="V842" s="210" t="s">
        <v>1080</v>
      </c>
      <c r="W842" s="211" t="s">
        <v>1007</v>
      </c>
      <c r="X842" s="211">
        <v>10000</v>
      </c>
      <c r="Y842" s="211">
        <v>1000</v>
      </c>
      <c r="Z842" s="212">
        <v>5000</v>
      </c>
      <c r="AA842" s="240">
        <v>32</v>
      </c>
      <c r="AB842" s="213">
        <v>1.7999999999999999E-2</v>
      </c>
      <c r="AC842" s="213">
        <v>0.15</v>
      </c>
      <c r="AD842" s="213" t="s">
        <v>1100</v>
      </c>
      <c r="AE842" s="213">
        <v>3.5999999999999999E-3</v>
      </c>
      <c r="AF842" s="241">
        <v>127563072.62</v>
      </c>
      <c r="AG842" s="241">
        <v>127563072.62</v>
      </c>
      <c r="AH842" s="213">
        <v>1.6299999999999999E-2</v>
      </c>
      <c r="AI842" s="352">
        <v>0.25040000000000001</v>
      </c>
      <c r="AJ842" s="213">
        <v>-2.76E-2</v>
      </c>
      <c r="AK842" s="352">
        <v>-0.29320000000000002</v>
      </c>
      <c r="AL842" s="213">
        <v>0.81159999999999999</v>
      </c>
      <c r="AM842" s="352">
        <v>6.7179000000000002</v>
      </c>
      <c r="AN842" s="213">
        <v>0.62119999999999997</v>
      </c>
      <c r="AO842" s="352">
        <v>3.6865999999999999</v>
      </c>
      <c r="AP842" s="213">
        <v>0.2455</v>
      </c>
      <c r="AQ842" s="219">
        <v>-0.35790484007261347</v>
      </c>
      <c r="AR842" s="213" t="s">
        <v>1827</v>
      </c>
      <c r="AV842" s="343"/>
      <c r="AW842" s="328"/>
      <c r="AX842" s="329"/>
      <c r="AY842" s="328"/>
      <c r="AZ842" s="328"/>
      <c r="BA842" s="330"/>
      <c r="BB842" s="328"/>
      <c r="BC842" s="328"/>
      <c r="BD842" s="328"/>
      <c r="BE842" s="330"/>
      <c r="BF842" s="330"/>
      <c r="BG842" s="344"/>
      <c r="BH842" s="330"/>
      <c r="BI842" s="330"/>
      <c r="BJ842" s="330"/>
      <c r="BK842" s="330"/>
      <c r="BL842" s="330"/>
      <c r="BM842" s="330"/>
      <c r="BN842" s="330"/>
      <c r="BO842" s="330"/>
      <c r="BP842" s="331"/>
      <c r="BQ842" s="332"/>
      <c r="BR842" s="333"/>
    </row>
    <row r="843" spans="2:70" ht="15.75" customHeight="1">
      <c r="B843" s="216" t="s">
        <v>1539</v>
      </c>
      <c r="C843" s="212">
        <v>1168573</v>
      </c>
      <c r="D843" s="223">
        <v>20331359000159</v>
      </c>
      <c r="E843" s="217" t="s">
        <v>28</v>
      </c>
      <c r="F843" s="217" t="s">
        <v>950</v>
      </c>
      <c r="G843" s="217"/>
      <c r="H843" s="218"/>
      <c r="I843" s="217" t="s">
        <v>66</v>
      </c>
      <c r="J843" s="217" t="s">
        <v>66</v>
      </c>
      <c r="K843" s="218" t="s">
        <v>951</v>
      </c>
      <c r="L843" s="212" t="s">
        <v>87</v>
      </c>
      <c r="M843" s="250"/>
      <c r="N843" s="239">
        <v>41879</v>
      </c>
      <c r="O843" s="210" t="s">
        <v>1540</v>
      </c>
      <c r="P843" s="210" t="s">
        <v>1088</v>
      </c>
      <c r="Q843" s="210" t="s">
        <v>1089</v>
      </c>
      <c r="R843" s="210" t="s">
        <v>1077</v>
      </c>
      <c r="S843" s="210" t="s">
        <v>1078</v>
      </c>
      <c r="T843" s="210" t="s">
        <v>1079</v>
      </c>
      <c r="U843" s="210" t="s">
        <v>950</v>
      </c>
      <c r="V843" s="210" t="s">
        <v>1080</v>
      </c>
      <c r="W843" s="211" t="s">
        <v>1007</v>
      </c>
      <c r="X843" s="211">
        <v>1000</v>
      </c>
      <c r="Y843" s="211">
        <v>100</v>
      </c>
      <c r="Z843" s="212">
        <v>1000</v>
      </c>
      <c r="AA843" s="240">
        <v>32</v>
      </c>
      <c r="AB843" s="213">
        <v>0.02</v>
      </c>
      <c r="AC843" s="213">
        <v>0.2</v>
      </c>
      <c r="AD843" s="213" t="s">
        <v>203</v>
      </c>
      <c r="AE843" s="213">
        <v>4.0000000000000001E-3</v>
      </c>
      <c r="AF843" s="241">
        <v>70335692.939999998</v>
      </c>
      <c r="AG843" s="241">
        <v>70335692.939999998</v>
      </c>
      <c r="AH843" s="213">
        <v>-9.2399999999999996E-2</v>
      </c>
      <c r="AI843" s="352">
        <v>-1.4233</v>
      </c>
      <c r="AJ843" s="213">
        <v>-0.33879999999999999</v>
      </c>
      <c r="AK843" s="352">
        <v>-3.601</v>
      </c>
      <c r="AL843" s="213">
        <v>-0.28970000000000001</v>
      </c>
      <c r="AM843" s="352">
        <v>-2.3982999999999999</v>
      </c>
      <c r="AN843" s="213">
        <v>-0.1608</v>
      </c>
      <c r="AO843" s="352">
        <v>-0.95430000000000004</v>
      </c>
      <c r="AP843" s="213">
        <v>0.27950000000000003</v>
      </c>
      <c r="AQ843" s="219">
        <v>-1.6609843883692745</v>
      </c>
      <c r="AR843" s="213" t="s">
        <v>1827</v>
      </c>
      <c r="AV843" s="343"/>
      <c r="AW843" s="328"/>
      <c r="AX843" s="329"/>
      <c r="AY843" s="328"/>
      <c r="AZ843" s="328"/>
      <c r="BA843" s="330"/>
      <c r="BB843" s="328"/>
      <c r="BC843" s="328"/>
      <c r="BD843" s="328"/>
      <c r="BE843" s="330"/>
      <c r="BF843" s="330"/>
      <c r="BG843" s="344"/>
      <c r="BH843" s="330"/>
      <c r="BI843" s="330"/>
      <c r="BJ843" s="330"/>
      <c r="BK843" s="330"/>
      <c r="BL843" s="330"/>
      <c r="BM843" s="330"/>
      <c r="BN843" s="330"/>
      <c r="BO843" s="330"/>
      <c r="BP843" s="331"/>
      <c r="BQ843" s="332"/>
      <c r="BR843" s="333"/>
    </row>
    <row r="844" spans="2:70" ht="15.75" customHeight="1">
      <c r="B844" s="216" t="s">
        <v>1541</v>
      </c>
      <c r="C844" s="212">
        <v>1218974</v>
      </c>
      <c r="D844" s="223">
        <v>28788359000194</v>
      </c>
      <c r="E844" s="217" t="s">
        <v>28</v>
      </c>
      <c r="F844" s="217" t="s">
        <v>950</v>
      </c>
      <c r="G844" s="217"/>
      <c r="H844" s="218"/>
      <c r="I844" s="217" t="s">
        <v>66</v>
      </c>
      <c r="J844" s="217" t="s">
        <v>66</v>
      </c>
      <c r="K844" s="218" t="s">
        <v>951</v>
      </c>
      <c r="L844" s="212" t="s">
        <v>87</v>
      </c>
      <c r="M844" s="250"/>
      <c r="N844" s="239">
        <v>43075</v>
      </c>
      <c r="O844" s="210" t="s">
        <v>1540</v>
      </c>
      <c r="P844" s="210" t="s">
        <v>1088</v>
      </c>
      <c r="Q844" s="210" t="s">
        <v>1089</v>
      </c>
      <c r="R844" s="210" t="s">
        <v>1084</v>
      </c>
      <c r="S844" s="210" t="s">
        <v>1078</v>
      </c>
      <c r="T844" s="210" t="s">
        <v>1079</v>
      </c>
      <c r="U844" s="210" t="s">
        <v>950</v>
      </c>
      <c r="V844" s="210" t="s">
        <v>1080</v>
      </c>
      <c r="W844" s="211" t="s">
        <v>1007</v>
      </c>
      <c r="X844" s="211">
        <v>1000</v>
      </c>
      <c r="Y844" s="211">
        <v>100</v>
      </c>
      <c r="Z844" s="212">
        <v>1000</v>
      </c>
      <c r="AA844" s="240">
        <v>32</v>
      </c>
      <c r="AB844" s="213">
        <v>1.9699999999999999E-2</v>
      </c>
      <c r="AC844" s="213">
        <v>0.2</v>
      </c>
      <c r="AD844" s="213" t="s">
        <v>1014</v>
      </c>
      <c r="AE844" s="213">
        <v>3.9399999999999991E-3</v>
      </c>
      <c r="AF844" s="241">
        <v>9021424.6999999993</v>
      </c>
      <c r="AG844" s="241">
        <v>9021424.6999999993</v>
      </c>
      <c r="AH844" s="213">
        <v>-9.5100000000000004E-2</v>
      </c>
      <c r="AI844" s="352">
        <v>-1.4651000000000001</v>
      </c>
      <c r="AJ844" s="213">
        <v>-0.35220000000000001</v>
      </c>
      <c r="AK844" s="352">
        <v>-3.7431000000000001</v>
      </c>
      <c r="AL844" s="213">
        <v>-0.316</v>
      </c>
      <c r="AM844" s="352">
        <v>-2.6156000000000001</v>
      </c>
      <c r="AN844" s="213">
        <v>-0.26019999999999999</v>
      </c>
      <c r="AO844" s="352">
        <v>-1.544</v>
      </c>
      <c r="AP844" s="213">
        <v>0.27829999999999999</v>
      </c>
      <c r="AQ844" s="219">
        <v>-1.7428474936530436</v>
      </c>
      <c r="AR844" s="213" t="s">
        <v>1827</v>
      </c>
      <c r="AV844" s="343"/>
      <c r="AW844" s="328"/>
      <c r="AX844" s="329"/>
      <c r="AY844" s="328"/>
      <c r="AZ844" s="328"/>
      <c r="BA844" s="330"/>
      <c r="BB844" s="328"/>
      <c r="BC844" s="328"/>
      <c r="BD844" s="328"/>
      <c r="BE844" s="330"/>
      <c r="BF844" s="330"/>
      <c r="BG844" s="344"/>
      <c r="BH844" s="330"/>
      <c r="BI844" s="330"/>
      <c r="BJ844" s="330"/>
      <c r="BK844" s="330"/>
      <c r="BL844" s="330"/>
      <c r="BM844" s="330"/>
      <c r="BN844" s="330"/>
      <c r="BO844" s="330"/>
      <c r="BP844" s="331"/>
      <c r="BQ844" s="332"/>
      <c r="BR844" s="333"/>
    </row>
    <row r="845" spans="2:70" ht="15.75" customHeight="1">
      <c r="B845" s="216" t="s">
        <v>550</v>
      </c>
      <c r="C845" s="212">
        <v>620825</v>
      </c>
      <c r="D845" s="223">
        <v>18628896000113</v>
      </c>
      <c r="E845" s="217" t="s">
        <v>28</v>
      </c>
      <c r="F845" s="217" t="s">
        <v>950</v>
      </c>
      <c r="G845" s="217"/>
      <c r="H845" s="218"/>
      <c r="I845" s="217" t="s">
        <v>66</v>
      </c>
      <c r="J845" s="217" t="s">
        <v>66</v>
      </c>
      <c r="K845" s="218" t="s">
        <v>954</v>
      </c>
      <c r="L845" s="212" t="s">
        <v>87</v>
      </c>
      <c r="M845" s="250"/>
      <c r="N845" s="239">
        <v>43508</v>
      </c>
      <c r="O845" s="210" t="s">
        <v>551</v>
      </c>
      <c r="P845" s="210" t="s">
        <v>1117</v>
      </c>
      <c r="Q845" s="210" t="s">
        <v>1117</v>
      </c>
      <c r="R845" s="210" t="s">
        <v>1084</v>
      </c>
      <c r="S845" s="210" t="s">
        <v>1078</v>
      </c>
      <c r="T845" s="210" t="s">
        <v>32</v>
      </c>
      <c r="U845" s="210" t="s">
        <v>1150</v>
      </c>
      <c r="V845" s="210" t="s">
        <v>1080</v>
      </c>
      <c r="W845" s="211" t="s">
        <v>1007</v>
      </c>
      <c r="X845" s="211">
        <v>1000</v>
      </c>
      <c r="Y845" s="211">
        <v>1000</v>
      </c>
      <c r="Z845" s="212">
        <v>1000</v>
      </c>
      <c r="AA845" s="240">
        <v>3</v>
      </c>
      <c r="AB845" s="213">
        <v>0.02</v>
      </c>
      <c r="AC845" s="213">
        <v>0.2</v>
      </c>
      <c r="AD845" s="213" t="s">
        <v>1014</v>
      </c>
      <c r="AE845" s="213">
        <v>6.6666666666666662E-3</v>
      </c>
      <c r="AF845" s="241">
        <v>2993269.76</v>
      </c>
      <c r="AG845" s="241">
        <v>2993269.76</v>
      </c>
      <c r="AH845" s="213">
        <v>-2.46E-2</v>
      </c>
      <c r="AI845" s="352">
        <v>-0.37909999999999999</v>
      </c>
      <c r="AJ845" s="213">
        <v>-0.31730000000000003</v>
      </c>
      <c r="AK845" s="352">
        <v>-3.3721000000000001</v>
      </c>
      <c r="AL845" s="213">
        <v>-0.23480000000000001</v>
      </c>
      <c r="AM845" s="352">
        <v>-1.9439</v>
      </c>
      <c r="AN845" s="213">
        <v>-0.1016</v>
      </c>
      <c r="AO845" s="352">
        <v>-0.60299999999999998</v>
      </c>
      <c r="AP845" s="213">
        <v>0.23369999999999999</v>
      </c>
      <c r="AQ845" s="219">
        <v>-1.8995642403418307</v>
      </c>
      <c r="AR845" s="213" t="s">
        <v>1824</v>
      </c>
      <c r="AV845" s="343"/>
      <c r="AW845" s="328"/>
      <c r="AX845" s="329"/>
      <c r="AY845" s="328"/>
      <c r="AZ845" s="328"/>
      <c r="BA845" s="330"/>
      <c r="BB845" s="328"/>
      <c r="BC845" s="328"/>
      <c r="BD845" s="328"/>
      <c r="BE845" s="330"/>
      <c r="BF845" s="330"/>
      <c r="BG845" s="344"/>
      <c r="BH845" s="330"/>
      <c r="BI845" s="330"/>
      <c r="BJ845" s="330"/>
      <c r="BK845" s="330"/>
      <c r="BL845" s="330"/>
      <c r="BM845" s="330"/>
      <c r="BN845" s="330"/>
      <c r="BO845" s="330"/>
      <c r="BP845" s="331"/>
      <c r="BQ845" s="332"/>
      <c r="BR845" s="333"/>
    </row>
    <row r="846" spans="2:70" ht="15.75" customHeight="1">
      <c r="B846" s="216" t="s">
        <v>1542</v>
      </c>
      <c r="C846" s="212">
        <v>620853</v>
      </c>
      <c r="D846" s="223">
        <v>14171578000115</v>
      </c>
      <c r="E846" s="217" t="s">
        <v>19</v>
      </c>
      <c r="F846" s="217" t="s">
        <v>963</v>
      </c>
      <c r="G846" s="217" t="s">
        <v>1034</v>
      </c>
      <c r="H846" s="218" t="s">
        <v>1113</v>
      </c>
      <c r="I846" s="217" t="s">
        <v>66</v>
      </c>
      <c r="J846" s="217" t="s">
        <v>1822</v>
      </c>
      <c r="K846" s="218" t="s">
        <v>951</v>
      </c>
      <c r="L846" s="212" t="s">
        <v>87</v>
      </c>
      <c r="M846" s="250"/>
      <c r="N846" s="239">
        <v>41087</v>
      </c>
      <c r="O846" s="210" t="s">
        <v>551</v>
      </c>
      <c r="P846" s="210" t="s">
        <v>1140</v>
      </c>
      <c r="Q846" s="210" t="s">
        <v>1140</v>
      </c>
      <c r="R846" s="210" t="s">
        <v>1077</v>
      </c>
      <c r="S846" s="210" t="s">
        <v>1078</v>
      </c>
      <c r="T846" s="210" t="s">
        <v>32</v>
      </c>
      <c r="U846" s="210" t="s">
        <v>1150</v>
      </c>
      <c r="V846" s="210" t="s">
        <v>25</v>
      </c>
      <c r="W846" s="211" t="s">
        <v>1016</v>
      </c>
      <c r="X846" s="211">
        <v>1000</v>
      </c>
      <c r="Y846" s="211">
        <v>1000</v>
      </c>
      <c r="Z846" s="212">
        <v>1000</v>
      </c>
      <c r="AA846" s="240">
        <v>71</v>
      </c>
      <c r="AB846" s="213">
        <v>1.4E-2</v>
      </c>
      <c r="AC846" s="213">
        <v>0.2</v>
      </c>
      <c r="AD846" s="213" t="s">
        <v>109</v>
      </c>
      <c r="AE846" s="213">
        <v>4.6666666666666662E-3</v>
      </c>
      <c r="AF846" s="241">
        <v>226269321.66999999</v>
      </c>
      <c r="AG846" s="241">
        <v>226269321.66999999</v>
      </c>
      <c r="AH846" s="213">
        <v>8.2600000000000007E-2</v>
      </c>
      <c r="AI846" s="352">
        <v>1.2725</v>
      </c>
      <c r="AJ846" s="213">
        <v>0.13</v>
      </c>
      <c r="AK846" s="352">
        <v>1.3818999999999999</v>
      </c>
      <c r="AL846" s="213">
        <v>0.19919999999999999</v>
      </c>
      <c r="AM846" s="352">
        <v>1.6489</v>
      </c>
      <c r="AN846" s="213">
        <v>0.27029999999999998</v>
      </c>
      <c r="AO846" s="352">
        <v>1.6042000000000001</v>
      </c>
      <c r="AP846" s="213">
        <v>1.4E-3</v>
      </c>
      <c r="AQ846" s="219">
        <v>23.486747389823673</v>
      </c>
      <c r="AR846" s="213" t="s">
        <v>1827</v>
      </c>
      <c r="AV846" s="343"/>
      <c r="AW846" s="328"/>
      <c r="AX846" s="329"/>
      <c r="AY846" s="328"/>
      <c r="AZ846" s="328"/>
      <c r="BA846" s="330"/>
      <c r="BB846" s="328"/>
      <c r="BC846" s="328"/>
      <c r="BD846" s="328"/>
      <c r="BE846" s="330"/>
      <c r="BF846" s="330"/>
      <c r="BG846" s="344"/>
      <c r="BH846" s="330"/>
      <c r="BI846" s="330"/>
      <c r="BJ846" s="330"/>
      <c r="BK846" s="330"/>
      <c r="BL846" s="330"/>
      <c r="BM846" s="330"/>
      <c r="BN846" s="330"/>
      <c r="BO846" s="330"/>
      <c r="BP846" s="331"/>
      <c r="BQ846" s="332"/>
      <c r="BR846" s="333"/>
    </row>
    <row r="847" spans="2:70" ht="15.75" customHeight="1">
      <c r="B847" s="216" t="s">
        <v>552</v>
      </c>
      <c r="C847" s="212">
        <v>620836</v>
      </c>
      <c r="D847" s="223">
        <v>23970201000117</v>
      </c>
      <c r="E847" s="217" t="s">
        <v>19</v>
      </c>
      <c r="F847" s="217" t="s">
        <v>963</v>
      </c>
      <c r="G847" s="217" t="s">
        <v>1011</v>
      </c>
      <c r="H847" s="218" t="s">
        <v>1113</v>
      </c>
      <c r="I847" s="217" t="s">
        <v>66</v>
      </c>
      <c r="J847" s="217"/>
      <c r="K847" s="218" t="s">
        <v>951</v>
      </c>
      <c r="L847" s="212" t="s">
        <v>87</v>
      </c>
      <c r="M847" s="250"/>
      <c r="N847" s="239">
        <v>42621</v>
      </c>
      <c r="O847" s="210" t="s">
        <v>551</v>
      </c>
      <c r="P847" s="210" t="s">
        <v>1117</v>
      </c>
      <c r="Q847" s="210" t="s">
        <v>1117</v>
      </c>
      <c r="R847" s="210" t="s">
        <v>1084</v>
      </c>
      <c r="S847" s="210" t="s">
        <v>1078</v>
      </c>
      <c r="T847" s="210" t="s">
        <v>32</v>
      </c>
      <c r="U847" s="210" t="s">
        <v>1150</v>
      </c>
      <c r="V847" s="210" t="s">
        <v>19</v>
      </c>
      <c r="W847" s="211" t="s">
        <v>1024</v>
      </c>
      <c r="X847" s="211">
        <v>100</v>
      </c>
      <c r="Y847" s="211">
        <v>100</v>
      </c>
      <c r="Z847" s="212">
        <v>100</v>
      </c>
      <c r="AA847" s="240">
        <v>3</v>
      </c>
      <c r="AB847" s="213">
        <v>6.0000000000000001E-3</v>
      </c>
      <c r="AC847" s="213">
        <v>0</v>
      </c>
      <c r="AD847" s="213" t="s">
        <v>109</v>
      </c>
      <c r="AE847" s="213">
        <v>1.6000000000000001E-3</v>
      </c>
      <c r="AF847" s="241">
        <v>103870836.02</v>
      </c>
      <c r="AG847" s="241">
        <v>103870836.02</v>
      </c>
      <c r="AH847" s="213">
        <v>6.9199999999999998E-2</v>
      </c>
      <c r="AI847" s="352">
        <v>1.0664</v>
      </c>
      <c r="AJ847" s="213">
        <v>0.1036</v>
      </c>
      <c r="AK847" s="352">
        <v>1.1012999999999999</v>
      </c>
      <c r="AL847" s="213">
        <v>0.13869999999999999</v>
      </c>
      <c r="AM847" s="352">
        <v>1.1483000000000001</v>
      </c>
      <c r="AN847" s="213">
        <v>0.192</v>
      </c>
      <c r="AO847" s="352">
        <v>1.1391</v>
      </c>
      <c r="AP847" s="213">
        <v>1.6000000000000001E-3</v>
      </c>
      <c r="AQ847" s="219">
        <v>5.5736563267378179</v>
      </c>
      <c r="AR847" s="213" t="s">
        <v>1827</v>
      </c>
      <c r="AV847" s="343"/>
      <c r="AW847" s="328"/>
      <c r="AX847" s="329"/>
      <c r="AY847" s="328"/>
      <c r="AZ847" s="328"/>
      <c r="BA847" s="330"/>
      <c r="BB847" s="328"/>
      <c r="BC847" s="328"/>
      <c r="BD847" s="328"/>
      <c r="BE847" s="330"/>
      <c r="BF847" s="330"/>
      <c r="BG847" s="344"/>
      <c r="BH847" s="330"/>
      <c r="BI847" s="330"/>
      <c r="BJ847" s="330"/>
      <c r="BK847" s="330"/>
      <c r="BL847" s="330"/>
      <c r="BM847" s="330"/>
      <c r="BN847" s="330"/>
      <c r="BO847" s="330"/>
      <c r="BP847" s="331"/>
      <c r="BQ847" s="332"/>
      <c r="BR847" s="333"/>
    </row>
    <row r="848" spans="2:70" ht="15.75" customHeight="1">
      <c r="B848" s="216" t="s">
        <v>1543</v>
      </c>
      <c r="C848" s="212">
        <v>1101669</v>
      </c>
      <c r="D848" s="223">
        <v>14083797000142</v>
      </c>
      <c r="E848" s="217" t="s">
        <v>28</v>
      </c>
      <c r="F848" s="217" t="s">
        <v>950</v>
      </c>
      <c r="G848" s="217"/>
      <c r="H848" s="218"/>
      <c r="I848" s="217" t="s">
        <v>66</v>
      </c>
      <c r="J848" s="217" t="s">
        <v>66</v>
      </c>
      <c r="K848" s="218" t="s">
        <v>951</v>
      </c>
      <c r="L848" s="212" t="s">
        <v>87</v>
      </c>
      <c r="M848" s="250"/>
      <c r="N848" s="239">
        <v>40816</v>
      </c>
      <c r="O848" s="210" t="s">
        <v>553</v>
      </c>
      <c r="P848" s="210" t="s">
        <v>1090</v>
      </c>
      <c r="Q848" s="210" t="s">
        <v>1091</v>
      </c>
      <c r="R848" s="210" t="s">
        <v>1084</v>
      </c>
      <c r="S848" s="210" t="s">
        <v>1078</v>
      </c>
      <c r="T848" s="210" t="s">
        <v>1079</v>
      </c>
      <c r="U848" s="210" t="s">
        <v>950</v>
      </c>
      <c r="V848" s="210" t="s">
        <v>1080</v>
      </c>
      <c r="W848" s="211" t="s">
        <v>1007</v>
      </c>
      <c r="X848" s="211">
        <v>10000</v>
      </c>
      <c r="Y848" s="211">
        <v>5000</v>
      </c>
      <c r="Z848" s="212">
        <v>5000</v>
      </c>
      <c r="AA848" s="240">
        <v>17</v>
      </c>
      <c r="AB848" s="213">
        <v>2.93E-2</v>
      </c>
      <c r="AC848" s="213">
        <v>0</v>
      </c>
      <c r="AD848" s="213" t="s">
        <v>1100</v>
      </c>
      <c r="AE848" s="213">
        <v>4.8833333333333333E-3</v>
      </c>
      <c r="AF848" s="241">
        <v>135732691.37</v>
      </c>
      <c r="AG848" s="241">
        <v>135732691.37</v>
      </c>
      <c r="AH848" s="213">
        <v>-3.7699999999999997E-2</v>
      </c>
      <c r="AI848" s="352">
        <v>-0.58020000000000005</v>
      </c>
      <c r="AJ848" s="213">
        <v>-0.27500000000000002</v>
      </c>
      <c r="AK848" s="352">
        <v>-2.9226000000000001</v>
      </c>
      <c r="AL848" s="213">
        <v>-0.13700000000000001</v>
      </c>
      <c r="AM848" s="352">
        <v>-1.1337999999999999</v>
      </c>
      <c r="AN848" s="213">
        <v>-2.47E-2</v>
      </c>
      <c r="AO848" s="352">
        <v>-0.14630000000000001</v>
      </c>
      <c r="AP848" s="213">
        <v>0.22459999999999999</v>
      </c>
      <c r="AQ848" s="219">
        <v>-1.7189894919944746</v>
      </c>
      <c r="AR848" s="213" t="s">
        <v>1824</v>
      </c>
      <c r="AV848" s="343"/>
      <c r="AW848" s="328"/>
      <c r="AX848" s="329"/>
      <c r="AY848" s="328"/>
      <c r="AZ848" s="328"/>
      <c r="BA848" s="330"/>
      <c r="BB848" s="328"/>
      <c r="BC848" s="328"/>
      <c r="BD848" s="328"/>
      <c r="BE848" s="330"/>
      <c r="BF848" s="330"/>
      <c r="BG848" s="344"/>
      <c r="BH848" s="330"/>
      <c r="BI848" s="330"/>
      <c r="BJ848" s="330"/>
      <c r="BK848" s="330"/>
      <c r="BL848" s="330"/>
      <c r="BM848" s="330"/>
      <c r="BN848" s="330"/>
      <c r="BO848" s="330"/>
      <c r="BP848" s="331"/>
      <c r="BQ848" s="332"/>
      <c r="BR848" s="333"/>
    </row>
    <row r="849" spans="2:70" ht="15.75" customHeight="1">
      <c r="B849" s="216" t="s">
        <v>1544</v>
      </c>
      <c r="C849" s="212">
        <v>1101674</v>
      </c>
      <c r="D849" s="223">
        <v>28235674000194</v>
      </c>
      <c r="E849" s="217" t="s">
        <v>28</v>
      </c>
      <c r="F849" s="217" t="s">
        <v>957</v>
      </c>
      <c r="G849" s="217"/>
      <c r="H849" s="218"/>
      <c r="I849" s="217" t="s">
        <v>1842</v>
      </c>
      <c r="J849" s="217" t="s">
        <v>66</v>
      </c>
      <c r="K849" s="218" t="s">
        <v>951</v>
      </c>
      <c r="L849" s="212" t="s">
        <v>87</v>
      </c>
      <c r="M849" s="250"/>
      <c r="N849" s="239">
        <v>43026</v>
      </c>
      <c r="O849" s="210" t="s">
        <v>114</v>
      </c>
      <c r="P849" s="210" t="s">
        <v>1075</v>
      </c>
      <c r="Q849" s="210" t="s">
        <v>1076</v>
      </c>
      <c r="R849" s="210" t="s">
        <v>1084</v>
      </c>
      <c r="S849" s="210" t="s">
        <v>1078</v>
      </c>
      <c r="T849" s="210" t="s">
        <v>1079</v>
      </c>
      <c r="U849" s="210" t="s">
        <v>957</v>
      </c>
      <c r="V849" s="210" t="s">
        <v>25</v>
      </c>
      <c r="W849" s="211" t="s">
        <v>1016</v>
      </c>
      <c r="X849" s="211">
        <v>5000</v>
      </c>
      <c r="Y849" s="211">
        <v>5000</v>
      </c>
      <c r="Z849" s="212">
        <v>5000</v>
      </c>
      <c r="AA849" s="240">
        <v>33</v>
      </c>
      <c r="AB849" s="213">
        <v>1.9300000000000001E-2</v>
      </c>
      <c r="AC849" s="213">
        <v>0.2</v>
      </c>
      <c r="AD849" s="213" t="s">
        <v>113</v>
      </c>
      <c r="AE849" s="213">
        <v>4.8250000000000003E-3</v>
      </c>
      <c r="AF849" s="241">
        <v>11857643.710000001</v>
      </c>
      <c r="AG849" s="241">
        <v>11857643.710000001</v>
      </c>
      <c r="AH849" s="213">
        <v>3.8100000000000002E-2</v>
      </c>
      <c r="AI849" s="352">
        <v>0.58740000000000003</v>
      </c>
      <c r="AJ849" s="213">
        <v>-0.20250000000000001</v>
      </c>
      <c r="AK849" s="352">
        <v>-2.1520999999999999</v>
      </c>
      <c r="AL849" s="213">
        <v>-4.3299999999999998E-2</v>
      </c>
      <c r="AM849" s="352">
        <v>-0.35830000000000001</v>
      </c>
      <c r="AN849" s="213">
        <v>6.4899999999999999E-2</v>
      </c>
      <c r="AO849" s="352">
        <v>0.3851</v>
      </c>
      <c r="AP849" s="213">
        <v>0.20979999999999999</v>
      </c>
      <c r="AQ849" s="219">
        <v>-1.4015046562197468</v>
      </c>
      <c r="AR849" s="213" t="s">
        <v>1827</v>
      </c>
      <c r="AV849" s="343"/>
      <c r="AW849" s="328"/>
      <c r="AX849" s="329"/>
      <c r="AY849" s="328"/>
      <c r="AZ849" s="328"/>
      <c r="BA849" s="330"/>
      <c r="BB849" s="328"/>
      <c r="BC849" s="328"/>
      <c r="BD849" s="328"/>
      <c r="BE849" s="330"/>
      <c r="BF849" s="330"/>
      <c r="BG849" s="344"/>
      <c r="BH849" s="330"/>
      <c r="BI849" s="330"/>
      <c r="BJ849" s="330"/>
      <c r="BK849" s="330"/>
      <c r="BL849" s="330"/>
      <c r="BM849" s="330"/>
      <c r="BN849" s="330"/>
      <c r="BO849" s="330"/>
      <c r="BP849" s="331"/>
      <c r="BQ849" s="332"/>
      <c r="BR849" s="333"/>
    </row>
    <row r="850" spans="2:70" ht="15.75" customHeight="1">
      <c r="B850" s="216" t="s">
        <v>1545</v>
      </c>
      <c r="C850" s="212">
        <v>584111</v>
      </c>
      <c r="D850" s="223">
        <v>17002861000101</v>
      </c>
      <c r="E850" s="217" t="s">
        <v>28</v>
      </c>
      <c r="F850" s="217" t="s">
        <v>957</v>
      </c>
      <c r="G850" s="217"/>
      <c r="H850" s="218"/>
      <c r="I850" s="217" t="s">
        <v>1842</v>
      </c>
      <c r="J850" s="217" t="s">
        <v>66</v>
      </c>
      <c r="K850" s="218" t="s">
        <v>951</v>
      </c>
      <c r="L850" s="212" t="s">
        <v>87</v>
      </c>
      <c r="M850" s="250"/>
      <c r="N850" s="239">
        <v>41263</v>
      </c>
      <c r="O850" s="210" t="s">
        <v>553</v>
      </c>
      <c r="P850" s="210" t="s">
        <v>1090</v>
      </c>
      <c r="Q850" s="210" t="s">
        <v>1091</v>
      </c>
      <c r="R850" s="210" t="s">
        <v>1084</v>
      </c>
      <c r="S850" s="210" t="s">
        <v>1078</v>
      </c>
      <c r="T850" s="210" t="s">
        <v>1079</v>
      </c>
      <c r="U850" s="210" t="s">
        <v>957</v>
      </c>
      <c r="V850" s="210" t="s">
        <v>25</v>
      </c>
      <c r="W850" s="211" t="s">
        <v>1016</v>
      </c>
      <c r="X850" s="211">
        <v>10000</v>
      </c>
      <c r="Y850" s="211">
        <v>5000</v>
      </c>
      <c r="Z850" s="212">
        <v>5000</v>
      </c>
      <c r="AA850" s="240">
        <v>32</v>
      </c>
      <c r="AB850" s="213">
        <v>1.9300000000000001E-2</v>
      </c>
      <c r="AC850" s="213">
        <v>0.2</v>
      </c>
      <c r="AD850" s="213" t="s">
        <v>203</v>
      </c>
      <c r="AE850" s="213">
        <v>4.8250000000000003E-3</v>
      </c>
      <c r="AF850" s="241">
        <v>211996798.88999999</v>
      </c>
      <c r="AG850" s="241">
        <v>211996798.88999999</v>
      </c>
      <c r="AH850" s="213">
        <v>4.2099999999999999E-2</v>
      </c>
      <c r="AI850" s="352">
        <v>0.64870000000000005</v>
      </c>
      <c r="AJ850" s="213">
        <v>-0.19989999999999999</v>
      </c>
      <c r="AK850" s="352">
        <v>-2.125</v>
      </c>
      <c r="AL850" s="213">
        <v>-5.0599999999999999E-2</v>
      </c>
      <c r="AM850" s="352">
        <v>-0.41870000000000002</v>
      </c>
      <c r="AN850" s="213">
        <v>5.79E-2</v>
      </c>
      <c r="AO850" s="352">
        <v>0.34329999999999999</v>
      </c>
      <c r="AP850" s="213">
        <v>0.2114</v>
      </c>
      <c r="AQ850" s="219">
        <v>-1.3748036645082371</v>
      </c>
      <c r="AR850" s="213" t="s">
        <v>1827</v>
      </c>
      <c r="AV850" s="343"/>
      <c r="AW850" s="328"/>
      <c r="AX850" s="329"/>
      <c r="AY850" s="328"/>
      <c r="AZ850" s="328"/>
      <c r="BA850" s="330"/>
      <c r="BB850" s="328"/>
      <c r="BC850" s="328"/>
      <c r="BD850" s="328"/>
      <c r="BE850" s="330"/>
      <c r="BF850" s="330"/>
      <c r="BG850" s="344"/>
      <c r="BH850" s="330"/>
      <c r="BI850" s="330"/>
      <c r="BJ850" s="330"/>
      <c r="BK850" s="330"/>
      <c r="BL850" s="330"/>
      <c r="BM850" s="330"/>
      <c r="BN850" s="330"/>
      <c r="BO850" s="330"/>
      <c r="BP850" s="331"/>
      <c r="BQ850" s="332"/>
      <c r="BR850" s="333"/>
    </row>
    <row r="851" spans="2:70" ht="15.75" customHeight="1">
      <c r="B851" s="216" t="s">
        <v>1546</v>
      </c>
      <c r="C851" s="212">
        <v>564512</v>
      </c>
      <c r="D851" s="223">
        <v>29177015000101</v>
      </c>
      <c r="E851" s="217" t="s">
        <v>25</v>
      </c>
      <c r="F851" s="217" t="s">
        <v>958</v>
      </c>
      <c r="G851" s="217" t="s">
        <v>962</v>
      </c>
      <c r="H851" s="218" t="s">
        <v>66</v>
      </c>
      <c r="I851" s="217" t="s">
        <v>1841</v>
      </c>
      <c r="J851" s="217" t="s">
        <v>66</v>
      </c>
      <c r="K851" s="218"/>
      <c r="L851" s="212" t="s">
        <v>87</v>
      </c>
      <c r="M851" s="250"/>
      <c r="N851" s="239">
        <v>43235</v>
      </c>
      <c r="O851" s="210" t="s">
        <v>114</v>
      </c>
      <c r="P851" s="210" t="s">
        <v>1075</v>
      </c>
      <c r="Q851" s="210" t="s">
        <v>1076</v>
      </c>
      <c r="R851" s="210" t="s">
        <v>1084</v>
      </c>
      <c r="S851" s="210" t="s">
        <v>1078</v>
      </c>
      <c r="T851" s="210" t="s">
        <v>1082</v>
      </c>
      <c r="U851" s="210" t="s">
        <v>958</v>
      </c>
      <c r="V851" s="210" t="s">
        <v>25</v>
      </c>
      <c r="W851" s="211" t="s">
        <v>1016</v>
      </c>
      <c r="X851" s="211">
        <v>5000</v>
      </c>
      <c r="Y851" s="211">
        <v>5000</v>
      </c>
      <c r="Z851" s="212">
        <v>5000</v>
      </c>
      <c r="AA851" s="240">
        <v>31</v>
      </c>
      <c r="AB851" s="213">
        <v>1.9300000000000001E-2</v>
      </c>
      <c r="AC851" s="213">
        <v>0.2</v>
      </c>
      <c r="AD851" s="213" t="s">
        <v>113</v>
      </c>
      <c r="AE851" s="213">
        <v>4.8250000000000003E-3</v>
      </c>
      <c r="AF851" s="241">
        <v>7068630.9299999997</v>
      </c>
      <c r="AG851" s="241">
        <v>7068630.9299999997</v>
      </c>
      <c r="AH851" s="213">
        <v>2.5100000000000001E-2</v>
      </c>
      <c r="AI851" s="352">
        <v>0.38679999999999998</v>
      </c>
      <c r="AJ851" s="213">
        <v>8.3000000000000001E-3</v>
      </c>
      <c r="AK851" s="352">
        <v>8.8499999999999995E-2</v>
      </c>
      <c r="AL851" s="213">
        <v>1.49E-2</v>
      </c>
      <c r="AM851" s="352">
        <v>0.123</v>
      </c>
      <c r="AN851" s="213">
        <v>7.8E-2</v>
      </c>
      <c r="AO851" s="352">
        <v>0.4627</v>
      </c>
      <c r="AP851" s="213">
        <v>4.4200000000000003E-2</v>
      </c>
      <c r="AQ851" s="219">
        <v>-1.8235860202108507</v>
      </c>
      <c r="AR851" s="213" t="s">
        <v>1827</v>
      </c>
      <c r="AV851" s="343"/>
      <c r="AW851" s="328"/>
      <c r="AX851" s="329"/>
      <c r="AY851" s="328"/>
      <c r="AZ851" s="328"/>
      <c r="BA851" s="330"/>
      <c r="BB851" s="328"/>
      <c r="BC851" s="328"/>
      <c r="BD851" s="328"/>
      <c r="BE851" s="330"/>
      <c r="BF851" s="330"/>
      <c r="BG851" s="344"/>
      <c r="BH851" s="330"/>
      <c r="BI851" s="330"/>
      <c r="BJ851" s="330"/>
      <c r="BK851" s="330"/>
      <c r="BL851" s="330"/>
      <c r="BM851" s="330"/>
      <c r="BN851" s="330"/>
      <c r="BO851" s="330"/>
      <c r="BP851" s="331"/>
      <c r="BQ851" s="332"/>
      <c r="BR851" s="333"/>
    </row>
    <row r="852" spans="2:70" ht="15.75" customHeight="1">
      <c r="B852" s="216" t="s">
        <v>554</v>
      </c>
      <c r="C852" s="212">
        <v>924282</v>
      </c>
      <c r="D852" s="223">
        <v>22354046000141</v>
      </c>
      <c r="E852" s="217" t="s">
        <v>25</v>
      </c>
      <c r="F852" s="217" t="s">
        <v>958</v>
      </c>
      <c r="G852" s="217" t="s">
        <v>962</v>
      </c>
      <c r="H852" s="218" t="s">
        <v>66</v>
      </c>
      <c r="I852" s="217" t="s">
        <v>1841</v>
      </c>
      <c r="J852" s="217" t="s">
        <v>66</v>
      </c>
      <c r="K852" s="218"/>
      <c r="L852" s="212" t="s">
        <v>87</v>
      </c>
      <c r="M852" s="250"/>
      <c r="N852" s="239">
        <v>42247</v>
      </c>
      <c r="O852" s="210" t="s">
        <v>553</v>
      </c>
      <c r="P852" s="210" t="s">
        <v>1090</v>
      </c>
      <c r="Q852" s="210" t="s">
        <v>1091</v>
      </c>
      <c r="R852" s="210" t="s">
        <v>1084</v>
      </c>
      <c r="S852" s="210" t="s">
        <v>1078</v>
      </c>
      <c r="T852" s="210" t="s">
        <v>1082</v>
      </c>
      <c r="U852" s="210" t="s">
        <v>958</v>
      </c>
      <c r="V852" s="210" t="s">
        <v>25</v>
      </c>
      <c r="W852" s="211" t="s">
        <v>1012</v>
      </c>
      <c r="X852" s="211">
        <v>10000</v>
      </c>
      <c r="Y852" s="211">
        <v>5000</v>
      </c>
      <c r="Z852" s="212">
        <v>5000</v>
      </c>
      <c r="AA852" s="240">
        <v>31</v>
      </c>
      <c r="AB852" s="213">
        <v>1.9300000000000001E-2</v>
      </c>
      <c r="AC852" s="213">
        <v>0.2</v>
      </c>
      <c r="AD852" s="213" t="s">
        <v>109</v>
      </c>
      <c r="AE852" s="213">
        <v>4.8250000000000003E-3</v>
      </c>
      <c r="AF852" s="241">
        <v>141000682.88999999</v>
      </c>
      <c r="AG852" s="241">
        <v>141000682.88999999</v>
      </c>
      <c r="AH852" s="213">
        <v>2.52E-2</v>
      </c>
      <c r="AI852" s="352">
        <v>0.38850000000000001</v>
      </c>
      <c r="AJ852" s="213">
        <v>8.0999999999999996E-3</v>
      </c>
      <c r="AK852" s="352">
        <v>8.6499999999999994E-2</v>
      </c>
      <c r="AL852" s="213">
        <v>1.4999999999999999E-2</v>
      </c>
      <c r="AM852" s="352">
        <v>0.1239</v>
      </c>
      <c r="AN852" s="213">
        <v>7.8799999999999995E-2</v>
      </c>
      <c r="AO852" s="352">
        <v>0.46739999999999998</v>
      </c>
      <c r="AP852" s="213">
        <v>4.4699999999999997E-2</v>
      </c>
      <c r="AQ852" s="219">
        <v>-1.8069250873500706</v>
      </c>
      <c r="AR852" s="213" t="s">
        <v>1827</v>
      </c>
      <c r="AV852" s="343"/>
      <c r="AW852" s="328"/>
      <c r="AX852" s="329"/>
      <c r="AY852" s="328"/>
      <c r="AZ852" s="328"/>
      <c r="BA852" s="330"/>
      <c r="BB852" s="328"/>
      <c r="BC852" s="328"/>
      <c r="BD852" s="328"/>
      <c r="BE852" s="330"/>
      <c r="BF852" s="330"/>
      <c r="BG852" s="344"/>
      <c r="BH852" s="330"/>
      <c r="BI852" s="330"/>
      <c r="BJ852" s="330"/>
      <c r="BK852" s="330"/>
      <c r="BL852" s="330"/>
      <c r="BM852" s="330"/>
      <c r="BN852" s="330"/>
      <c r="BO852" s="330"/>
      <c r="BP852" s="331"/>
      <c r="BQ852" s="332"/>
      <c r="BR852" s="333"/>
    </row>
    <row r="853" spans="2:70" ht="15.75" customHeight="1">
      <c r="B853" s="216" t="s">
        <v>555</v>
      </c>
      <c r="C853" s="212">
        <v>584110</v>
      </c>
      <c r="D853" s="223">
        <v>34799112000176</v>
      </c>
      <c r="E853" s="217" t="s">
        <v>25</v>
      </c>
      <c r="F853" s="217" t="s">
        <v>958</v>
      </c>
      <c r="G853" s="217" t="s">
        <v>962</v>
      </c>
      <c r="H853" s="218" t="s">
        <v>66</v>
      </c>
      <c r="I853" s="217" t="s">
        <v>1259</v>
      </c>
      <c r="J853" s="217" t="s">
        <v>66</v>
      </c>
      <c r="K853" s="218"/>
      <c r="L853" s="212" t="s">
        <v>87</v>
      </c>
      <c r="M853" s="250"/>
      <c r="N853" s="239">
        <v>43803</v>
      </c>
      <c r="O853" s="210" t="s">
        <v>556</v>
      </c>
      <c r="P853" s="210" t="s">
        <v>1088</v>
      </c>
      <c r="Q853" s="210" t="s">
        <v>1089</v>
      </c>
      <c r="R853" s="210" t="s">
        <v>1084</v>
      </c>
      <c r="S853" s="210" t="s">
        <v>1078</v>
      </c>
      <c r="T853" s="210" t="s">
        <v>1082</v>
      </c>
      <c r="U853" s="210" t="s">
        <v>958</v>
      </c>
      <c r="V853" s="210" t="s">
        <v>25</v>
      </c>
      <c r="W853" s="211" t="s">
        <v>1016</v>
      </c>
      <c r="X853" s="211">
        <v>5000</v>
      </c>
      <c r="Y853" s="211">
        <v>1000</v>
      </c>
      <c r="Z853" s="212">
        <v>1000</v>
      </c>
      <c r="AA853" s="240">
        <v>31</v>
      </c>
      <c r="AB853" s="213">
        <v>1.9E-2</v>
      </c>
      <c r="AC853" s="213">
        <v>0.2</v>
      </c>
      <c r="AD853" s="213" t="s">
        <v>1157</v>
      </c>
      <c r="AE853" s="213">
        <v>6.3333333333333332E-3</v>
      </c>
      <c r="AF853" s="241">
        <v>38385189.960000001</v>
      </c>
      <c r="AG853" s="241">
        <v>38385189.960000001</v>
      </c>
      <c r="AH853" s="213">
        <v>5.0299999999999997E-2</v>
      </c>
      <c r="AI853" s="352">
        <v>0.77529999999999999</v>
      </c>
      <c r="AJ853" s="213">
        <v>4.65E-2</v>
      </c>
      <c r="AK853" s="352">
        <v>0.49430000000000002</v>
      </c>
      <c r="AL853" s="213">
        <v>2.0299999999999999E-2</v>
      </c>
      <c r="AM853" s="352">
        <v>0.1681</v>
      </c>
      <c r="AN853" s="213" t="s">
        <v>66</v>
      </c>
      <c r="AO853" s="352" t="s">
        <v>66</v>
      </c>
      <c r="AP853" s="213">
        <v>6.8000000000000005E-2</v>
      </c>
      <c r="AQ853" s="219">
        <v>-0.61984213095771901</v>
      </c>
      <c r="AR853" s="213" t="s">
        <v>1827</v>
      </c>
      <c r="AV853" s="343"/>
      <c r="AW853" s="328"/>
      <c r="AX853" s="329"/>
      <c r="AY853" s="328"/>
      <c r="AZ853" s="328"/>
      <c r="BA853" s="330"/>
      <c r="BB853" s="328"/>
      <c r="BC853" s="328"/>
      <c r="BD853" s="328"/>
      <c r="BE853" s="330"/>
      <c r="BF853" s="330"/>
      <c r="BG853" s="344"/>
      <c r="BH853" s="330"/>
      <c r="BI853" s="330"/>
      <c r="BJ853" s="330"/>
      <c r="BK853" s="330"/>
      <c r="BL853" s="330"/>
      <c r="BM853" s="330"/>
      <c r="BN853" s="330"/>
      <c r="BO853" s="330"/>
      <c r="BP853" s="331"/>
      <c r="BQ853" s="332"/>
      <c r="BR853" s="333"/>
    </row>
    <row r="854" spans="2:70" ht="15.75" customHeight="1">
      <c r="B854" s="216" t="s">
        <v>557</v>
      </c>
      <c r="C854" s="212">
        <v>564507</v>
      </c>
      <c r="D854" s="223">
        <v>24140265000153</v>
      </c>
      <c r="E854" s="217" t="s">
        <v>25</v>
      </c>
      <c r="F854" s="217" t="s">
        <v>959</v>
      </c>
      <c r="G854" s="217" t="s">
        <v>953</v>
      </c>
      <c r="H854" s="218" t="s">
        <v>66</v>
      </c>
      <c r="I854" s="217" t="s">
        <v>1841</v>
      </c>
      <c r="J854" s="217" t="s">
        <v>66</v>
      </c>
      <c r="K854" s="218"/>
      <c r="L854" s="212" t="s">
        <v>87</v>
      </c>
      <c r="M854" s="250"/>
      <c r="N854" s="239">
        <v>42528</v>
      </c>
      <c r="O854" s="210" t="s">
        <v>558</v>
      </c>
      <c r="P854" s="210" t="s">
        <v>1075</v>
      </c>
      <c r="Q854" s="210" t="s">
        <v>1076</v>
      </c>
      <c r="R854" s="210" t="s">
        <v>1084</v>
      </c>
      <c r="S854" s="210" t="s">
        <v>1078</v>
      </c>
      <c r="T854" s="210" t="s">
        <v>1082</v>
      </c>
      <c r="U854" s="210" t="s">
        <v>1086</v>
      </c>
      <c r="V854" s="210" t="s">
        <v>25</v>
      </c>
      <c r="W854" s="211" t="s">
        <v>1012</v>
      </c>
      <c r="X854" s="211">
        <v>500</v>
      </c>
      <c r="Y854" s="211">
        <v>100</v>
      </c>
      <c r="Z854" s="212">
        <v>500</v>
      </c>
      <c r="AA854" s="240">
        <v>4</v>
      </c>
      <c r="AB854" s="213">
        <v>1.4E-2</v>
      </c>
      <c r="AC854" s="213">
        <v>0.2</v>
      </c>
      <c r="AD854" s="213" t="s">
        <v>113</v>
      </c>
      <c r="AE854" s="213">
        <v>4.6666666666666662E-3</v>
      </c>
      <c r="AF854" s="241">
        <v>188002625.74000001</v>
      </c>
      <c r="AG854" s="241">
        <v>188002625.74000001</v>
      </c>
      <c r="AH854" s="213">
        <v>2.2700000000000001E-2</v>
      </c>
      <c r="AI854" s="352">
        <v>0.35020000000000001</v>
      </c>
      <c r="AJ854" s="213">
        <v>5.45E-2</v>
      </c>
      <c r="AK854" s="352">
        <v>0.5796</v>
      </c>
      <c r="AL854" s="213">
        <v>6.9199999999999998E-2</v>
      </c>
      <c r="AM854" s="352">
        <v>0.57289999999999996</v>
      </c>
      <c r="AN854" s="213">
        <v>0.14860000000000001</v>
      </c>
      <c r="AO854" s="352">
        <v>0.88170000000000004</v>
      </c>
      <c r="AP854" s="213">
        <v>4.53E-2</v>
      </c>
      <c r="AQ854" s="219">
        <v>-0.7905979654853228</v>
      </c>
      <c r="AR854" s="213" t="s">
        <v>1827</v>
      </c>
      <c r="AV854" s="343"/>
      <c r="AW854" s="328"/>
      <c r="AX854" s="329"/>
      <c r="AY854" s="328"/>
      <c r="AZ854" s="328"/>
      <c r="BA854" s="330"/>
      <c r="BB854" s="328"/>
      <c r="BC854" s="328"/>
      <c r="BD854" s="328"/>
      <c r="BE854" s="330"/>
      <c r="BF854" s="330"/>
      <c r="BG854" s="344"/>
      <c r="BH854" s="330"/>
      <c r="BI854" s="330"/>
      <c r="BJ854" s="330"/>
      <c r="BK854" s="330"/>
      <c r="BL854" s="330"/>
      <c r="BM854" s="330"/>
      <c r="BN854" s="330"/>
      <c r="BO854" s="330"/>
      <c r="BP854" s="331"/>
      <c r="BQ854" s="332"/>
      <c r="BR854" s="333"/>
    </row>
    <row r="855" spans="2:70" ht="15.75" customHeight="1">
      <c r="B855" s="216" t="s">
        <v>559</v>
      </c>
      <c r="C855" s="212">
        <v>1495626</v>
      </c>
      <c r="D855" s="223">
        <v>26344639000188</v>
      </c>
      <c r="E855" s="217" t="s">
        <v>25</v>
      </c>
      <c r="F855" s="217" t="s">
        <v>959</v>
      </c>
      <c r="G855" s="217" t="s">
        <v>953</v>
      </c>
      <c r="H855" s="218" t="s">
        <v>66</v>
      </c>
      <c r="I855" s="217" t="s">
        <v>1841</v>
      </c>
      <c r="J855" s="217" t="s">
        <v>66</v>
      </c>
      <c r="K855" s="218"/>
      <c r="L855" s="212" t="s">
        <v>87</v>
      </c>
      <c r="M855" s="250"/>
      <c r="N855" s="239">
        <v>42850</v>
      </c>
      <c r="O855" s="210" t="s">
        <v>558</v>
      </c>
      <c r="P855" s="210" t="s">
        <v>1075</v>
      </c>
      <c r="Q855" s="210" t="s">
        <v>1076</v>
      </c>
      <c r="R855" s="210" t="s">
        <v>1084</v>
      </c>
      <c r="S855" s="210" t="s">
        <v>1078</v>
      </c>
      <c r="T855" s="210" t="s">
        <v>1082</v>
      </c>
      <c r="U855" s="210" t="s">
        <v>1086</v>
      </c>
      <c r="V855" s="210" t="s">
        <v>25</v>
      </c>
      <c r="W855" s="211" t="s">
        <v>1012</v>
      </c>
      <c r="X855" s="211">
        <v>50000</v>
      </c>
      <c r="Y855" s="211">
        <v>10000</v>
      </c>
      <c r="Z855" s="212">
        <v>50000</v>
      </c>
      <c r="AA855" s="240">
        <v>4</v>
      </c>
      <c r="AB855" s="213">
        <v>8.9999999999999993E-3</v>
      </c>
      <c r="AC855" s="213">
        <v>0.2</v>
      </c>
      <c r="AD855" s="213" t="s">
        <v>113</v>
      </c>
      <c r="AE855" s="213" t="s">
        <v>66</v>
      </c>
      <c r="AF855" s="241">
        <v>23389766.359999999</v>
      </c>
      <c r="AG855" s="241">
        <v>23389766.359999999</v>
      </c>
      <c r="AH855" s="213">
        <v>2.5399999999999999E-2</v>
      </c>
      <c r="AI855" s="352">
        <v>0.39079999999999998</v>
      </c>
      <c r="AJ855" s="213">
        <v>5.9700000000000003E-2</v>
      </c>
      <c r="AK855" s="352">
        <v>0.63460000000000005</v>
      </c>
      <c r="AL855" s="213">
        <v>7.8899999999999998E-2</v>
      </c>
      <c r="AM855" s="352">
        <v>0.6532</v>
      </c>
      <c r="AN855" s="213">
        <v>0.16400000000000001</v>
      </c>
      <c r="AO855" s="352">
        <v>0.97319999999999995</v>
      </c>
      <c r="AP855" s="213">
        <v>4.58E-2</v>
      </c>
      <c r="AQ855" s="219">
        <v>-0.6747100323780042</v>
      </c>
      <c r="AR855" s="213" t="s">
        <v>1827</v>
      </c>
      <c r="AV855" s="343"/>
      <c r="AW855" s="328"/>
      <c r="AX855" s="329"/>
      <c r="AY855" s="328"/>
      <c r="AZ855" s="328"/>
      <c r="BA855" s="330"/>
      <c r="BB855" s="328"/>
      <c r="BC855" s="328"/>
      <c r="BD855" s="328"/>
      <c r="BE855" s="330"/>
      <c r="BF855" s="330"/>
      <c r="BG855" s="344"/>
      <c r="BH855" s="330"/>
      <c r="BI855" s="330"/>
      <c r="BJ855" s="330"/>
      <c r="BK855" s="330"/>
      <c r="BL855" s="330"/>
      <c r="BM855" s="330"/>
      <c r="BN855" s="330"/>
      <c r="BO855" s="330"/>
      <c r="BP855" s="331"/>
      <c r="BQ855" s="332"/>
      <c r="BR855" s="333"/>
    </row>
    <row r="856" spans="2:70" ht="15.75" customHeight="1">
      <c r="B856" s="216" t="s">
        <v>560</v>
      </c>
      <c r="C856" s="212">
        <v>544367</v>
      </c>
      <c r="D856" s="223">
        <v>34096132000180</v>
      </c>
      <c r="E856" s="217" t="s">
        <v>28</v>
      </c>
      <c r="F856" s="217" t="s">
        <v>957</v>
      </c>
      <c r="G856" s="217"/>
      <c r="H856" s="218"/>
      <c r="I856" s="217" t="s">
        <v>1259</v>
      </c>
      <c r="J856" s="217" t="s">
        <v>66</v>
      </c>
      <c r="K856" s="218" t="s">
        <v>951</v>
      </c>
      <c r="L856" s="212" t="s">
        <v>87</v>
      </c>
      <c r="M856" s="250"/>
      <c r="N856" s="239">
        <v>43670</v>
      </c>
      <c r="O856" s="210" t="s">
        <v>558</v>
      </c>
      <c r="P856" s="210" t="s">
        <v>1075</v>
      </c>
      <c r="Q856" s="210" t="s">
        <v>1076</v>
      </c>
      <c r="R856" s="210" t="s">
        <v>1084</v>
      </c>
      <c r="S856" s="210" t="s">
        <v>1078</v>
      </c>
      <c r="T856" s="210" t="s">
        <v>1079</v>
      </c>
      <c r="U856" s="210" t="s">
        <v>957</v>
      </c>
      <c r="V856" s="210" t="s">
        <v>25</v>
      </c>
      <c r="W856" s="211" t="s">
        <v>1016</v>
      </c>
      <c r="X856" s="211">
        <v>500</v>
      </c>
      <c r="Y856" s="211">
        <v>100</v>
      </c>
      <c r="Z856" s="212">
        <v>500</v>
      </c>
      <c r="AA856" s="240">
        <v>32</v>
      </c>
      <c r="AB856" s="213">
        <v>1.4E-2</v>
      </c>
      <c r="AC856" s="213">
        <v>0.2</v>
      </c>
      <c r="AD856" s="213" t="s">
        <v>113</v>
      </c>
      <c r="AE856" s="213">
        <v>4.6666666666666662E-3</v>
      </c>
      <c r="AF856" s="241">
        <v>53011103.689999998</v>
      </c>
      <c r="AG856" s="241">
        <v>53011103.689999998</v>
      </c>
      <c r="AH856" s="213">
        <v>-0.11219999999999999</v>
      </c>
      <c r="AI856" s="352">
        <v>-1.7276</v>
      </c>
      <c r="AJ856" s="213">
        <v>-0.18149999999999999</v>
      </c>
      <c r="AK856" s="352">
        <v>-1.9287000000000001</v>
      </c>
      <c r="AL856" s="213">
        <v>-8.14E-2</v>
      </c>
      <c r="AM856" s="352">
        <v>-0.67379999999999995</v>
      </c>
      <c r="AN856" s="213">
        <v>4.9799999999999997E-2</v>
      </c>
      <c r="AO856" s="352">
        <v>0.29570000000000002</v>
      </c>
      <c r="AP856" s="213">
        <v>0.13439999999999999</v>
      </c>
      <c r="AQ856" s="219">
        <v>-2.0921463094275845</v>
      </c>
      <c r="AR856" s="213" t="s">
        <v>1827</v>
      </c>
      <c r="AV856" s="343"/>
      <c r="AW856" s="328"/>
      <c r="AX856" s="329"/>
      <c r="AY856" s="328"/>
      <c r="AZ856" s="328"/>
      <c r="BA856" s="330"/>
      <c r="BB856" s="328"/>
      <c r="BC856" s="328"/>
      <c r="BD856" s="328"/>
      <c r="BE856" s="330"/>
      <c r="BF856" s="330"/>
      <c r="BG856" s="344"/>
      <c r="BH856" s="330"/>
      <c r="BI856" s="330"/>
      <c r="BJ856" s="330"/>
      <c r="BK856" s="330"/>
      <c r="BL856" s="330"/>
      <c r="BM856" s="330"/>
      <c r="BN856" s="330"/>
      <c r="BO856" s="330"/>
      <c r="BP856" s="331"/>
      <c r="BQ856" s="332"/>
      <c r="BR856" s="333"/>
    </row>
    <row r="857" spans="2:70" ht="15.75" customHeight="1">
      <c r="B857" s="216" t="s">
        <v>1547</v>
      </c>
      <c r="C857" s="212">
        <v>3136953</v>
      </c>
      <c r="D857" s="223">
        <v>32525986000100</v>
      </c>
      <c r="E857" s="217" t="s">
        <v>19</v>
      </c>
      <c r="F857" s="217" t="s">
        <v>963</v>
      </c>
      <c r="G857" s="217" t="s">
        <v>1011</v>
      </c>
      <c r="H857" s="218" t="s">
        <v>1113</v>
      </c>
      <c r="I857" s="217" t="s">
        <v>66</v>
      </c>
      <c r="J857" s="217" t="s">
        <v>1794</v>
      </c>
      <c r="K857" s="218" t="s">
        <v>951</v>
      </c>
      <c r="L857" s="212" t="s">
        <v>87</v>
      </c>
      <c r="M857" s="250"/>
      <c r="N857" s="239">
        <v>43775</v>
      </c>
      <c r="O857" s="210" t="s">
        <v>1548</v>
      </c>
      <c r="P857" s="210" t="s">
        <v>1331</v>
      </c>
      <c r="Q857" s="210" t="s">
        <v>1331</v>
      </c>
      <c r="R857" s="210" t="s">
        <v>1077</v>
      </c>
      <c r="S857" s="210" t="s">
        <v>1085</v>
      </c>
      <c r="T857" s="210" t="s">
        <v>1082</v>
      </c>
      <c r="U857" s="210" t="s">
        <v>958</v>
      </c>
      <c r="V857" s="210" t="s">
        <v>25</v>
      </c>
      <c r="W857" s="211" t="s">
        <v>1016</v>
      </c>
      <c r="X857" s="211">
        <v>20000</v>
      </c>
      <c r="Y857" s="211">
        <v>10000</v>
      </c>
      <c r="Z857" s="212">
        <v>1000</v>
      </c>
      <c r="AA857" s="240">
        <v>31</v>
      </c>
      <c r="AB857" s="213">
        <v>4.7999999999999996E-3</v>
      </c>
      <c r="AC857" s="213">
        <v>0</v>
      </c>
      <c r="AD857" s="213" t="s">
        <v>113</v>
      </c>
      <c r="AE857" s="213">
        <v>3.1999999999999997E-3</v>
      </c>
      <c r="AF857" s="241">
        <v>57014900.469999999</v>
      </c>
      <c r="AG857" s="241">
        <v>57014900.469999999</v>
      </c>
      <c r="AH857" s="213">
        <v>8.3099999999999993E-2</v>
      </c>
      <c r="AI857" s="352">
        <v>1.2802</v>
      </c>
      <c r="AJ857" s="213">
        <v>0.1265</v>
      </c>
      <c r="AK857" s="352">
        <v>1.3441000000000001</v>
      </c>
      <c r="AL857" s="213">
        <v>0.18990000000000001</v>
      </c>
      <c r="AM857" s="352">
        <v>1.5718000000000001</v>
      </c>
      <c r="AN857" s="213" t="s">
        <v>66</v>
      </c>
      <c r="AO857" s="352" t="s">
        <v>66</v>
      </c>
      <c r="AP857" s="213">
        <v>1.6999999999999999E-3</v>
      </c>
      <c r="AQ857" s="219">
        <v>17.344902735588846</v>
      </c>
      <c r="AR857" s="213" t="s">
        <v>1827</v>
      </c>
      <c r="AV857" s="343"/>
      <c r="AW857" s="328"/>
      <c r="AX857" s="329"/>
      <c r="AY857" s="328"/>
      <c r="AZ857" s="328"/>
      <c r="BA857" s="330"/>
      <c r="BB857" s="328"/>
      <c r="BC857" s="328"/>
      <c r="BD857" s="328"/>
      <c r="BE857" s="330"/>
      <c r="BF857" s="330"/>
      <c r="BG857" s="344"/>
      <c r="BH857" s="330"/>
      <c r="BI857" s="330"/>
      <c r="BJ857" s="330"/>
      <c r="BK857" s="330"/>
      <c r="BL857" s="330"/>
      <c r="BM857" s="330"/>
      <c r="BN857" s="330"/>
      <c r="BO857" s="330"/>
      <c r="BP857" s="331"/>
      <c r="BQ857" s="332"/>
      <c r="BR857" s="333"/>
    </row>
    <row r="858" spans="2:70" ht="15.75" customHeight="1">
      <c r="B858" s="216" t="s">
        <v>1549</v>
      </c>
      <c r="C858" s="212">
        <v>3136946</v>
      </c>
      <c r="D858" s="223">
        <v>31594537000150</v>
      </c>
      <c r="E858" s="217" t="s">
        <v>25</v>
      </c>
      <c r="F858" s="217" t="s">
        <v>959</v>
      </c>
      <c r="G858" s="217" t="s">
        <v>960</v>
      </c>
      <c r="H858" s="218" t="s">
        <v>66</v>
      </c>
      <c r="I858" s="217" t="s">
        <v>1842</v>
      </c>
      <c r="J858" s="217" t="s">
        <v>66</v>
      </c>
      <c r="K858" s="218" t="s">
        <v>951</v>
      </c>
      <c r="L858" s="212" t="s">
        <v>87</v>
      </c>
      <c r="M858" s="250"/>
      <c r="N858" s="239">
        <v>43467</v>
      </c>
      <c r="O858" s="210" t="s">
        <v>1550</v>
      </c>
      <c r="P858" s="210" t="s">
        <v>1090</v>
      </c>
      <c r="Q858" s="210" t="s">
        <v>1091</v>
      </c>
      <c r="R858" s="210" t="s">
        <v>1084</v>
      </c>
      <c r="S858" s="210" t="s">
        <v>1078</v>
      </c>
      <c r="T858" s="210" t="s">
        <v>1082</v>
      </c>
      <c r="U858" s="210" t="s">
        <v>958</v>
      </c>
      <c r="V858" s="210" t="s">
        <v>25</v>
      </c>
      <c r="W858" s="211" t="s">
        <v>1016</v>
      </c>
      <c r="X858" s="211">
        <v>500</v>
      </c>
      <c r="Y858" s="211">
        <v>100</v>
      </c>
      <c r="Z858" s="212">
        <v>500</v>
      </c>
      <c r="AA858" s="240">
        <v>31</v>
      </c>
      <c r="AB858" s="213">
        <v>1.9E-2</v>
      </c>
      <c r="AC858" s="213">
        <v>0.2</v>
      </c>
      <c r="AD858" s="213" t="s">
        <v>1100</v>
      </c>
      <c r="AE858" s="213">
        <v>5.0672999999999994E-3</v>
      </c>
      <c r="AF858" s="241">
        <v>462616424.99000001</v>
      </c>
      <c r="AG858" s="241">
        <v>462616424.99000001</v>
      </c>
      <c r="AH858" s="213">
        <v>5.0700000000000002E-2</v>
      </c>
      <c r="AI858" s="352">
        <v>0.78149999999999997</v>
      </c>
      <c r="AJ858" s="213">
        <v>7.2900000000000006E-2</v>
      </c>
      <c r="AK858" s="352">
        <v>0.77439999999999998</v>
      </c>
      <c r="AL858" s="213">
        <v>0.17449999999999999</v>
      </c>
      <c r="AM858" s="352">
        <v>1.4448000000000001</v>
      </c>
      <c r="AN858" s="213">
        <v>0.22889999999999999</v>
      </c>
      <c r="AO858" s="352">
        <v>1.3585</v>
      </c>
      <c r="AP858" s="213">
        <v>7.9299999999999995E-2</v>
      </c>
      <c r="AQ858" s="219">
        <v>-0.20760166608699357</v>
      </c>
      <c r="AR858" s="213" t="s">
        <v>1827</v>
      </c>
      <c r="AV858" s="343"/>
      <c r="AW858" s="328"/>
      <c r="AX858" s="329"/>
      <c r="AY858" s="328"/>
      <c r="AZ858" s="328"/>
      <c r="BA858" s="330"/>
      <c r="BB858" s="328"/>
      <c r="BC858" s="328"/>
      <c r="BD858" s="328"/>
      <c r="BE858" s="330"/>
      <c r="BF858" s="330"/>
      <c r="BG858" s="344"/>
      <c r="BH858" s="330"/>
      <c r="BI858" s="330"/>
      <c r="BJ858" s="330"/>
      <c r="BK858" s="330"/>
      <c r="BL858" s="330"/>
      <c r="BM858" s="330"/>
      <c r="BN858" s="330"/>
      <c r="BO858" s="330"/>
      <c r="BP858" s="331"/>
      <c r="BQ858" s="332"/>
      <c r="BR858" s="333"/>
    </row>
    <row r="859" spans="2:70" ht="15.75" customHeight="1">
      <c r="B859" s="216" t="s">
        <v>1551</v>
      </c>
      <c r="C859" s="212">
        <v>544371</v>
      </c>
      <c r="D859" s="223">
        <v>32320734000144</v>
      </c>
      <c r="E859" s="217" t="s">
        <v>28</v>
      </c>
      <c r="F859" s="217" t="s">
        <v>950</v>
      </c>
      <c r="G859" s="217"/>
      <c r="H859" s="218"/>
      <c r="I859" s="217" t="s">
        <v>66</v>
      </c>
      <c r="J859" s="217" t="s">
        <v>66</v>
      </c>
      <c r="K859" s="218" t="s">
        <v>951</v>
      </c>
      <c r="L859" s="212" t="s">
        <v>87</v>
      </c>
      <c r="M859" s="250"/>
      <c r="N859" s="239">
        <v>43686</v>
      </c>
      <c r="O859" s="210" t="s">
        <v>1552</v>
      </c>
      <c r="P859" s="210" t="s">
        <v>1083</v>
      </c>
      <c r="Q859" s="210" t="s">
        <v>102</v>
      </c>
      <c r="R859" s="210" t="s">
        <v>1077</v>
      </c>
      <c r="S859" s="210" t="s">
        <v>1078</v>
      </c>
      <c r="T859" s="210" t="s">
        <v>1079</v>
      </c>
      <c r="U859" s="210" t="s">
        <v>950</v>
      </c>
      <c r="V859" s="210" t="s">
        <v>1080</v>
      </c>
      <c r="W859" s="211" t="s">
        <v>1007</v>
      </c>
      <c r="X859" s="211">
        <v>25000</v>
      </c>
      <c r="Y859" s="211">
        <v>10000</v>
      </c>
      <c r="Z859" s="212">
        <v>10000</v>
      </c>
      <c r="AA859" s="240">
        <v>362</v>
      </c>
      <c r="AB859" s="213">
        <v>0.02</v>
      </c>
      <c r="AC859" s="213">
        <v>0.2</v>
      </c>
      <c r="AD859" s="213" t="s">
        <v>203</v>
      </c>
      <c r="AE859" s="213">
        <v>5.3333333333333332E-3</v>
      </c>
      <c r="AF859" s="241">
        <v>35680046.469999999</v>
      </c>
      <c r="AG859" s="241">
        <v>35680046.469999999</v>
      </c>
      <c r="AH859" s="213">
        <v>-0.27550000000000002</v>
      </c>
      <c r="AI859" s="352">
        <v>-4.2439999999999998</v>
      </c>
      <c r="AJ859" s="213">
        <v>-0.47249999999999998</v>
      </c>
      <c r="AK859" s="352">
        <v>-5.0221999999999998</v>
      </c>
      <c r="AL859" s="213">
        <v>-0.44550000000000001</v>
      </c>
      <c r="AM859" s="352">
        <v>-3.6876000000000002</v>
      </c>
      <c r="AN859" s="213" t="s">
        <v>66</v>
      </c>
      <c r="AO859" s="352" t="s">
        <v>66</v>
      </c>
      <c r="AP859" s="213">
        <v>0.36609999999999998</v>
      </c>
      <c r="AQ859" s="219">
        <v>-1.8089030642806248</v>
      </c>
      <c r="AR859" s="213" t="s">
        <v>1827</v>
      </c>
      <c r="AV859" s="343"/>
      <c r="AW859" s="328"/>
      <c r="AX859" s="329"/>
      <c r="AY859" s="328"/>
      <c r="AZ859" s="328"/>
      <c r="BA859" s="330"/>
      <c r="BB859" s="328"/>
      <c r="BC859" s="328"/>
      <c r="BD859" s="328"/>
      <c r="BE859" s="330"/>
      <c r="BF859" s="330"/>
      <c r="BG859" s="344"/>
      <c r="BH859" s="330"/>
      <c r="BI859" s="330"/>
      <c r="BJ859" s="330"/>
      <c r="BK859" s="330"/>
      <c r="BL859" s="330"/>
      <c r="BM859" s="330"/>
      <c r="BN859" s="330"/>
      <c r="BO859" s="330"/>
      <c r="BP859" s="331"/>
      <c r="BQ859" s="332"/>
      <c r="BR859" s="333"/>
    </row>
    <row r="860" spans="2:70" ht="15.75" customHeight="1">
      <c r="B860" s="216" t="s">
        <v>561</v>
      </c>
      <c r="C860" s="212">
        <v>1250794</v>
      </c>
      <c r="D860" s="223">
        <v>1745808000160</v>
      </c>
      <c r="E860" s="217" t="s">
        <v>28</v>
      </c>
      <c r="F860" s="217" t="s">
        <v>950</v>
      </c>
      <c r="G860" s="217"/>
      <c r="H860" s="218"/>
      <c r="I860" s="217" t="s">
        <v>66</v>
      </c>
      <c r="J860" s="217" t="s">
        <v>66</v>
      </c>
      <c r="K860" s="218" t="s">
        <v>951</v>
      </c>
      <c r="L860" s="212" t="s">
        <v>87</v>
      </c>
      <c r="M860" s="250"/>
      <c r="N860" s="239">
        <v>35528</v>
      </c>
      <c r="O860" s="210" t="s">
        <v>562</v>
      </c>
      <c r="P860" s="210" t="s">
        <v>1075</v>
      </c>
      <c r="Q860" s="210" t="s">
        <v>1076</v>
      </c>
      <c r="R860" s="210" t="s">
        <v>1084</v>
      </c>
      <c r="S860" s="210" t="s">
        <v>1078</v>
      </c>
      <c r="T860" s="210" t="s">
        <v>1079</v>
      </c>
      <c r="U860" s="210" t="s">
        <v>950</v>
      </c>
      <c r="V860" s="210" t="s">
        <v>1080</v>
      </c>
      <c r="W860" s="211" t="s">
        <v>1007</v>
      </c>
      <c r="X860" s="211">
        <v>20000</v>
      </c>
      <c r="Y860" s="211">
        <v>5000</v>
      </c>
      <c r="Z860" s="212">
        <v>5000</v>
      </c>
      <c r="AA860" s="240">
        <v>32</v>
      </c>
      <c r="AB860" s="213">
        <v>0.02</v>
      </c>
      <c r="AC860" s="213">
        <v>0.15</v>
      </c>
      <c r="AD860" s="213" t="s">
        <v>1157</v>
      </c>
      <c r="AE860" s="213" t="s">
        <v>66</v>
      </c>
      <c r="AF860" s="241">
        <v>137515022.68000001</v>
      </c>
      <c r="AG860" s="241">
        <v>137515022.68000001</v>
      </c>
      <c r="AH860" s="213">
        <v>-0.1148</v>
      </c>
      <c r="AI860" s="352">
        <v>-1.768</v>
      </c>
      <c r="AJ860" s="213">
        <v>-0.2258</v>
      </c>
      <c r="AK860" s="352">
        <v>-2.3996</v>
      </c>
      <c r="AL860" s="213">
        <v>-9.98E-2</v>
      </c>
      <c r="AM860" s="352">
        <v>-0.82589999999999997</v>
      </c>
      <c r="AN860" s="213">
        <v>5.1900000000000002E-2</v>
      </c>
      <c r="AO860" s="352">
        <v>0.30809999999999998</v>
      </c>
      <c r="AP860" s="213">
        <v>0.21929999999999999</v>
      </c>
      <c r="AQ860" s="219">
        <v>-1.4669642610111964</v>
      </c>
      <c r="AR860" s="213" t="s">
        <v>1827</v>
      </c>
      <c r="AV860" s="343"/>
      <c r="AW860" s="328"/>
      <c r="AX860" s="329"/>
      <c r="AY860" s="328"/>
      <c r="AZ860" s="328"/>
      <c r="BA860" s="330"/>
      <c r="BB860" s="328"/>
      <c r="BC860" s="328"/>
      <c r="BD860" s="328"/>
      <c r="BE860" s="330"/>
      <c r="BF860" s="330"/>
      <c r="BG860" s="344"/>
      <c r="BH860" s="330"/>
      <c r="BI860" s="330"/>
      <c r="BJ860" s="330"/>
      <c r="BK860" s="330"/>
      <c r="BL860" s="330"/>
      <c r="BM860" s="330"/>
      <c r="BN860" s="330"/>
      <c r="BO860" s="330"/>
      <c r="BP860" s="331"/>
      <c r="BQ860" s="332"/>
      <c r="BR860" s="333"/>
    </row>
    <row r="861" spans="2:70" ht="15.75" customHeight="1">
      <c r="B861" s="216" t="s">
        <v>563</v>
      </c>
      <c r="C861" s="212">
        <v>944382</v>
      </c>
      <c r="D861" s="223">
        <v>9068336000160</v>
      </c>
      <c r="E861" s="217" t="s">
        <v>25</v>
      </c>
      <c r="F861" s="217" t="s">
        <v>959</v>
      </c>
      <c r="G861" s="217" t="s">
        <v>960</v>
      </c>
      <c r="H861" s="218" t="s">
        <v>66</v>
      </c>
      <c r="I861" s="217" t="s">
        <v>1842</v>
      </c>
      <c r="J861" s="217" t="s">
        <v>66</v>
      </c>
      <c r="K861" s="218" t="s">
        <v>951</v>
      </c>
      <c r="L861" s="212" t="s">
        <v>87</v>
      </c>
      <c r="M861" s="250"/>
      <c r="N861" s="239">
        <v>39370</v>
      </c>
      <c r="O861" s="210" t="s">
        <v>564</v>
      </c>
      <c r="P861" s="210" t="s">
        <v>1088</v>
      </c>
      <c r="Q861" s="210" t="s">
        <v>1089</v>
      </c>
      <c r="R861" s="210" t="s">
        <v>1084</v>
      </c>
      <c r="S861" s="210" t="s">
        <v>1078</v>
      </c>
      <c r="T861" s="210" t="s">
        <v>1082</v>
      </c>
      <c r="U861" s="210" t="s">
        <v>1086</v>
      </c>
      <c r="V861" s="210" t="s">
        <v>25</v>
      </c>
      <c r="W861" s="211" t="s">
        <v>1016</v>
      </c>
      <c r="X861" s="211">
        <v>1000</v>
      </c>
      <c r="Y861" s="211">
        <v>1000</v>
      </c>
      <c r="Z861" s="212">
        <v>1000</v>
      </c>
      <c r="AA861" s="240">
        <v>16</v>
      </c>
      <c r="AB861" s="213">
        <v>1.35E-2</v>
      </c>
      <c r="AC861" s="213">
        <v>0.2</v>
      </c>
      <c r="AD861" s="213" t="s">
        <v>109</v>
      </c>
      <c r="AE861" s="213">
        <v>4.0499999999999998E-3</v>
      </c>
      <c r="AF861" s="241">
        <v>26453565.300000001</v>
      </c>
      <c r="AG861" s="241">
        <v>26453565.300000001</v>
      </c>
      <c r="AH861" s="213">
        <v>4.7300000000000002E-2</v>
      </c>
      <c r="AI861" s="352">
        <v>0.7288</v>
      </c>
      <c r="AJ861" s="213">
        <v>-0.14419999999999999</v>
      </c>
      <c r="AK861" s="352">
        <v>-1.5324</v>
      </c>
      <c r="AL861" s="213">
        <v>-0.15770000000000001</v>
      </c>
      <c r="AM861" s="352">
        <v>-1.3055000000000001</v>
      </c>
      <c r="AN861" s="213">
        <v>-0.1648</v>
      </c>
      <c r="AO861" s="352">
        <v>-0.97819999999999996</v>
      </c>
      <c r="AP861" s="213">
        <v>0.1278</v>
      </c>
      <c r="AQ861" s="219">
        <v>-1.8576129702146211</v>
      </c>
      <c r="AR861" s="213" t="s">
        <v>1824</v>
      </c>
      <c r="AV861" s="343"/>
      <c r="AW861" s="328"/>
      <c r="AX861" s="329"/>
      <c r="AY861" s="328"/>
      <c r="AZ861" s="328"/>
      <c r="BA861" s="330"/>
      <c r="BB861" s="328"/>
      <c r="BC861" s="328"/>
      <c r="BD861" s="328"/>
      <c r="BE861" s="330"/>
      <c r="BF861" s="330"/>
      <c r="BG861" s="344"/>
      <c r="BH861" s="330"/>
      <c r="BI861" s="330"/>
      <c r="BJ861" s="330"/>
      <c r="BK861" s="330"/>
      <c r="BL861" s="330"/>
      <c r="BM861" s="330"/>
      <c r="BN861" s="330"/>
      <c r="BO861" s="330"/>
      <c r="BP861" s="331"/>
      <c r="BQ861" s="332"/>
      <c r="BR861" s="333"/>
    </row>
    <row r="862" spans="2:70" ht="15.75" customHeight="1">
      <c r="B862" s="216" t="s">
        <v>565</v>
      </c>
      <c r="C862" s="212">
        <v>917343</v>
      </c>
      <c r="D862" s="223">
        <v>9401978000130</v>
      </c>
      <c r="E862" s="217" t="s">
        <v>28</v>
      </c>
      <c r="F862" s="217" t="s">
        <v>950</v>
      </c>
      <c r="G862" s="217"/>
      <c r="H862" s="218"/>
      <c r="I862" s="217" t="s">
        <v>66</v>
      </c>
      <c r="J862" s="217" t="s">
        <v>66</v>
      </c>
      <c r="K862" s="218" t="s">
        <v>951</v>
      </c>
      <c r="L862" s="212" t="s">
        <v>87</v>
      </c>
      <c r="M862" s="250"/>
      <c r="N862" s="239">
        <v>39587</v>
      </c>
      <c r="O862" s="210" t="s">
        <v>564</v>
      </c>
      <c r="P862" s="210" t="s">
        <v>1088</v>
      </c>
      <c r="Q862" s="210" t="s">
        <v>1089</v>
      </c>
      <c r="R862" s="210" t="s">
        <v>1077</v>
      </c>
      <c r="S862" s="210" t="s">
        <v>1078</v>
      </c>
      <c r="T862" s="210" t="s">
        <v>1079</v>
      </c>
      <c r="U862" s="210" t="s">
        <v>950</v>
      </c>
      <c r="V862" s="210" t="s">
        <v>1080</v>
      </c>
      <c r="W862" s="211" t="s">
        <v>1007</v>
      </c>
      <c r="X862" s="211">
        <v>5000</v>
      </c>
      <c r="Y862" s="211">
        <v>5000</v>
      </c>
      <c r="Z862" s="212">
        <v>5000</v>
      </c>
      <c r="AA862" s="240">
        <v>33</v>
      </c>
      <c r="AB862" s="213">
        <v>1.8499999999999999E-2</v>
      </c>
      <c r="AC862" s="213">
        <v>0.2</v>
      </c>
      <c r="AD862" s="213" t="s">
        <v>1219</v>
      </c>
      <c r="AE862" s="213">
        <v>4.4399999999999995E-3</v>
      </c>
      <c r="AF862" s="241">
        <v>39192996.289999999</v>
      </c>
      <c r="AG862" s="241">
        <v>39192996.289999999</v>
      </c>
      <c r="AH862" s="213">
        <v>-3.6700000000000003E-2</v>
      </c>
      <c r="AI862" s="352">
        <v>-0.56559999999999999</v>
      </c>
      <c r="AJ862" s="213">
        <v>-0.28510000000000002</v>
      </c>
      <c r="AK862" s="352">
        <v>-3.0306999999999999</v>
      </c>
      <c r="AL862" s="213">
        <v>-0.26729999999999998</v>
      </c>
      <c r="AM862" s="352">
        <v>-2.2128999999999999</v>
      </c>
      <c r="AN862" s="213">
        <v>-0.2006</v>
      </c>
      <c r="AO862" s="352">
        <v>-1.1906000000000001</v>
      </c>
      <c r="AP862" s="213">
        <v>0.21129999999999999</v>
      </c>
      <c r="AQ862" s="219">
        <v>-1.90754310748112</v>
      </c>
      <c r="AR862" s="213" t="s">
        <v>1824</v>
      </c>
      <c r="AV862" s="343"/>
      <c r="AW862" s="328"/>
      <c r="AX862" s="329"/>
      <c r="AY862" s="328"/>
      <c r="AZ862" s="328"/>
      <c r="BA862" s="330"/>
      <c r="BB862" s="328"/>
      <c r="BC862" s="328"/>
      <c r="BD862" s="328"/>
      <c r="BE862" s="330"/>
      <c r="BF862" s="330"/>
      <c r="BG862" s="344"/>
      <c r="BH862" s="330"/>
      <c r="BI862" s="330"/>
      <c r="BJ862" s="330"/>
      <c r="BK862" s="330"/>
      <c r="BL862" s="330"/>
      <c r="BM862" s="330"/>
      <c r="BN862" s="330"/>
      <c r="BO862" s="330"/>
      <c r="BP862" s="331"/>
      <c r="BQ862" s="332"/>
      <c r="BR862" s="333"/>
    </row>
    <row r="863" spans="2:70" ht="15.75" customHeight="1">
      <c r="B863" s="216" t="s">
        <v>566</v>
      </c>
      <c r="C863" s="212">
        <v>1220729</v>
      </c>
      <c r="D863" s="223">
        <v>10608762000129</v>
      </c>
      <c r="E863" s="217" t="s">
        <v>28</v>
      </c>
      <c r="F863" s="217" t="s">
        <v>950</v>
      </c>
      <c r="G863" s="217"/>
      <c r="H863" s="218"/>
      <c r="I863" s="217" t="s">
        <v>66</v>
      </c>
      <c r="J863" s="217" t="s">
        <v>66</v>
      </c>
      <c r="K863" s="218" t="s">
        <v>951</v>
      </c>
      <c r="L863" s="212" t="s">
        <v>87</v>
      </c>
      <c r="M863" s="250"/>
      <c r="N863" s="239">
        <v>39966</v>
      </c>
      <c r="O863" s="210" t="s">
        <v>564</v>
      </c>
      <c r="P863" s="210" t="s">
        <v>1088</v>
      </c>
      <c r="Q863" s="210" t="s">
        <v>1089</v>
      </c>
      <c r="R863" s="210" t="s">
        <v>1084</v>
      </c>
      <c r="S863" s="210" t="s">
        <v>1078</v>
      </c>
      <c r="T863" s="210" t="s">
        <v>1079</v>
      </c>
      <c r="U863" s="210" t="s">
        <v>950</v>
      </c>
      <c r="V863" s="210" t="s">
        <v>1080</v>
      </c>
      <c r="W863" s="211" t="s">
        <v>1007</v>
      </c>
      <c r="X863" s="211">
        <v>5000</v>
      </c>
      <c r="Y863" s="211">
        <v>1000</v>
      </c>
      <c r="Z863" s="212">
        <v>1000</v>
      </c>
      <c r="AA863" s="240">
        <v>32</v>
      </c>
      <c r="AB863" s="213">
        <v>1.8499999999999999E-2</v>
      </c>
      <c r="AC863" s="213">
        <v>0.2</v>
      </c>
      <c r="AD863" s="213" t="s">
        <v>1014</v>
      </c>
      <c r="AE863" s="213">
        <v>4.4399999999999995E-3</v>
      </c>
      <c r="AF863" s="241">
        <v>167783615.41999999</v>
      </c>
      <c r="AG863" s="241">
        <v>167783615.41999999</v>
      </c>
      <c r="AH863" s="213">
        <v>-3.6600000000000001E-2</v>
      </c>
      <c r="AI863" s="352">
        <v>-0.5635</v>
      </c>
      <c r="AJ863" s="213">
        <v>-0.28489999999999999</v>
      </c>
      <c r="AK863" s="352">
        <v>-3.0284</v>
      </c>
      <c r="AL863" s="213">
        <v>-0.26929999999999998</v>
      </c>
      <c r="AM863" s="352">
        <v>-2.2294</v>
      </c>
      <c r="AN863" s="213">
        <v>-0.1905</v>
      </c>
      <c r="AO863" s="352">
        <v>-1.1307</v>
      </c>
      <c r="AP863" s="213">
        <v>0.2112</v>
      </c>
      <c r="AQ863" s="219">
        <v>-1.9065678710177669</v>
      </c>
      <c r="AR863" s="213" t="s">
        <v>1824</v>
      </c>
      <c r="AV863" s="343"/>
      <c r="AW863" s="328"/>
      <c r="AX863" s="329"/>
      <c r="AY863" s="328"/>
      <c r="AZ863" s="328"/>
      <c r="BA863" s="330"/>
      <c r="BB863" s="328"/>
      <c r="BC863" s="328"/>
      <c r="BD863" s="328"/>
      <c r="BE863" s="330"/>
      <c r="BF863" s="330"/>
      <c r="BG863" s="344"/>
      <c r="BH863" s="330"/>
      <c r="BI863" s="330"/>
      <c r="BJ863" s="330"/>
      <c r="BK863" s="330"/>
      <c r="BL863" s="330"/>
      <c r="BM863" s="330"/>
      <c r="BN863" s="330"/>
      <c r="BO863" s="330"/>
      <c r="BP863" s="331"/>
      <c r="BQ863" s="332"/>
      <c r="BR863" s="333"/>
    </row>
    <row r="864" spans="2:70" ht="15.75" customHeight="1">
      <c r="B864" s="216" t="s">
        <v>1553</v>
      </c>
      <c r="C864" s="212">
        <v>578962</v>
      </c>
      <c r="D864" s="223">
        <v>13863646000144</v>
      </c>
      <c r="E864" s="217" t="s">
        <v>25</v>
      </c>
      <c r="F864" s="217" t="s">
        <v>959</v>
      </c>
      <c r="G864" s="217" t="s">
        <v>960</v>
      </c>
      <c r="H864" s="218" t="s">
        <v>66</v>
      </c>
      <c r="I864" s="217" t="s">
        <v>1842</v>
      </c>
      <c r="J864" s="217" t="s">
        <v>66</v>
      </c>
      <c r="K864" s="218" t="s">
        <v>951</v>
      </c>
      <c r="L864" s="212" t="s">
        <v>87</v>
      </c>
      <c r="M864" s="250"/>
      <c r="N864" s="239">
        <v>40749</v>
      </c>
      <c r="O864" s="210" t="s">
        <v>564</v>
      </c>
      <c r="P864" s="210" t="s">
        <v>1088</v>
      </c>
      <c r="Q864" s="210" t="s">
        <v>1089</v>
      </c>
      <c r="R864" s="210" t="s">
        <v>1077</v>
      </c>
      <c r="S864" s="210" t="s">
        <v>1078</v>
      </c>
      <c r="T864" s="210" t="s">
        <v>1082</v>
      </c>
      <c r="U864" s="210" t="s">
        <v>1086</v>
      </c>
      <c r="V864" s="210" t="s">
        <v>1080</v>
      </c>
      <c r="W864" s="211" t="s">
        <v>1007</v>
      </c>
      <c r="X864" s="211">
        <v>5000</v>
      </c>
      <c r="Y864" s="211">
        <v>5000</v>
      </c>
      <c r="Z864" s="212">
        <v>5000</v>
      </c>
      <c r="AA864" s="240">
        <v>16</v>
      </c>
      <c r="AB864" s="213">
        <v>1.4E-2</v>
      </c>
      <c r="AC864" s="213">
        <v>0.2</v>
      </c>
      <c r="AD864" s="213" t="s">
        <v>1157</v>
      </c>
      <c r="AE864" s="213">
        <v>4.1999999999999997E-3</v>
      </c>
      <c r="AF864" s="241">
        <v>20606931.329999998</v>
      </c>
      <c r="AG864" s="241">
        <v>20606931.329999998</v>
      </c>
      <c r="AH864" s="213">
        <v>4.9399999999999999E-2</v>
      </c>
      <c r="AI864" s="352">
        <v>0.76139999999999997</v>
      </c>
      <c r="AJ864" s="213">
        <v>-0.1421</v>
      </c>
      <c r="AK864" s="352">
        <v>-1.5105</v>
      </c>
      <c r="AL864" s="213">
        <v>-0.153</v>
      </c>
      <c r="AM864" s="352">
        <v>-1.2668999999999999</v>
      </c>
      <c r="AN864" s="213">
        <v>-0.1545</v>
      </c>
      <c r="AO864" s="352">
        <v>-0.91710000000000003</v>
      </c>
      <c r="AP864" s="213">
        <v>0.1225</v>
      </c>
      <c r="AQ864" s="219">
        <v>-1.9234709531447658</v>
      </c>
      <c r="AR864" s="213" t="s">
        <v>1827</v>
      </c>
      <c r="AV864" s="343"/>
      <c r="AW864" s="328"/>
      <c r="AX864" s="329"/>
      <c r="AY864" s="328"/>
      <c r="AZ864" s="328"/>
      <c r="BA864" s="330"/>
      <c r="BB864" s="328"/>
      <c r="BC864" s="328"/>
      <c r="BD864" s="328"/>
      <c r="BE864" s="330"/>
      <c r="BF864" s="330"/>
      <c r="BG864" s="344"/>
      <c r="BH864" s="330"/>
      <c r="BI864" s="330"/>
      <c r="BJ864" s="330"/>
      <c r="BK864" s="330"/>
      <c r="BL864" s="330"/>
      <c r="BM864" s="330"/>
      <c r="BN864" s="330"/>
      <c r="BO864" s="330"/>
      <c r="BP864" s="331"/>
      <c r="BQ864" s="332"/>
      <c r="BR864" s="333"/>
    </row>
    <row r="865" spans="2:70" ht="15.75" customHeight="1">
      <c r="B865" s="216" t="s">
        <v>1791</v>
      </c>
      <c r="C865" s="212">
        <v>4122249</v>
      </c>
      <c r="D865" s="223">
        <v>40226121000170</v>
      </c>
      <c r="E865" s="217" t="s">
        <v>28</v>
      </c>
      <c r="F865" s="217" t="s">
        <v>950</v>
      </c>
      <c r="G865" s="217"/>
      <c r="H865" s="218"/>
      <c r="I865" s="217" t="s">
        <v>66</v>
      </c>
      <c r="J865" s="217" t="s">
        <v>66</v>
      </c>
      <c r="K865" s="218" t="s">
        <v>951</v>
      </c>
      <c r="L865" s="212" t="s">
        <v>87</v>
      </c>
      <c r="M865" s="250"/>
      <c r="N865" s="239">
        <v>44712</v>
      </c>
      <c r="O865" s="210" t="s">
        <v>1792</v>
      </c>
      <c r="P865" s="210" t="s">
        <v>1777</v>
      </c>
      <c r="Q865" s="210" t="s">
        <v>1752</v>
      </c>
      <c r="R865" s="210" t="s">
        <v>1738</v>
      </c>
      <c r="S865" s="210" t="s">
        <v>1078</v>
      </c>
      <c r="T865" s="210" t="s">
        <v>1079</v>
      </c>
      <c r="U865" s="210" t="s">
        <v>1739</v>
      </c>
      <c r="V865" s="210" t="s">
        <v>25</v>
      </c>
      <c r="W865" s="211" t="s">
        <v>1768</v>
      </c>
      <c r="X865" s="211">
        <v>5000</v>
      </c>
      <c r="Y865" s="211">
        <v>1000</v>
      </c>
      <c r="Z865" s="212">
        <v>1000</v>
      </c>
      <c r="AA865" s="240">
        <v>32</v>
      </c>
      <c r="AB865" s="213">
        <v>1.35E-2</v>
      </c>
      <c r="AC865" s="213">
        <v>0.2</v>
      </c>
      <c r="AD865" s="213" t="s">
        <v>203</v>
      </c>
      <c r="AE865" s="213">
        <v>4.3166666666666657E-3</v>
      </c>
      <c r="AF865" s="241">
        <v>10389113.59</v>
      </c>
      <c r="AG865" s="241">
        <v>10389113.59</v>
      </c>
      <c r="AH865" s="213" t="s">
        <v>66</v>
      </c>
      <c r="AI865" s="352" t="s">
        <v>66</v>
      </c>
      <c r="AJ865" s="213" t="s">
        <v>66</v>
      </c>
      <c r="AK865" s="352" t="s">
        <v>66</v>
      </c>
      <c r="AL865" s="213" t="s">
        <v>66</v>
      </c>
      <c r="AM865" s="352" t="s">
        <v>66</v>
      </c>
      <c r="AN865" s="213" t="s">
        <v>66</v>
      </c>
      <c r="AO865" s="352" t="s">
        <v>66</v>
      </c>
      <c r="AP865" s="213" t="s">
        <v>66</v>
      </c>
      <c r="AQ865" s="219" t="s">
        <v>66</v>
      </c>
      <c r="AR865" s="213" t="s">
        <v>1827</v>
      </c>
      <c r="AV865" s="343"/>
      <c r="AW865" s="328"/>
      <c r="AX865" s="329"/>
      <c r="AY865" s="328"/>
      <c r="AZ865" s="328"/>
      <c r="BA865" s="330"/>
      <c r="BB865" s="328"/>
      <c r="BC865" s="328"/>
      <c r="BD865" s="328"/>
      <c r="BE865" s="330"/>
      <c r="BF865" s="330"/>
      <c r="BG865" s="344"/>
      <c r="BH865" s="330"/>
      <c r="BI865" s="330"/>
      <c r="BJ865" s="330"/>
      <c r="BK865" s="330"/>
      <c r="BL865" s="330"/>
      <c r="BM865" s="330"/>
      <c r="BN865" s="330"/>
      <c r="BO865" s="330"/>
      <c r="BP865" s="331"/>
      <c r="BQ865" s="332"/>
      <c r="BR865" s="333"/>
    </row>
    <row r="866" spans="2:70" ht="15.75" customHeight="1">
      <c r="B866" s="216" t="s">
        <v>884</v>
      </c>
      <c r="C866" s="212">
        <v>1904633</v>
      </c>
      <c r="D866" s="223">
        <v>39703177000190</v>
      </c>
      <c r="E866" s="217" t="s">
        <v>28</v>
      </c>
      <c r="F866" s="217" t="s">
        <v>950</v>
      </c>
      <c r="G866" s="217"/>
      <c r="H866" s="218"/>
      <c r="I866" s="217" t="s">
        <v>66</v>
      </c>
      <c r="J866" s="217" t="s">
        <v>66</v>
      </c>
      <c r="K866" s="218" t="s">
        <v>951</v>
      </c>
      <c r="L866" s="212" t="s">
        <v>87</v>
      </c>
      <c r="M866" s="250"/>
      <c r="N866" s="239">
        <v>44186</v>
      </c>
      <c r="O866" s="210" t="s">
        <v>564</v>
      </c>
      <c r="P866" s="210" t="s">
        <v>1088</v>
      </c>
      <c r="Q866" s="210" t="s">
        <v>1089</v>
      </c>
      <c r="R866" s="210" t="s">
        <v>1077</v>
      </c>
      <c r="S866" s="210" t="s">
        <v>1085</v>
      </c>
      <c r="T866" s="210" t="s">
        <v>1079</v>
      </c>
      <c r="U866" s="210" t="s">
        <v>950</v>
      </c>
      <c r="V866" s="210" t="s">
        <v>1080</v>
      </c>
      <c r="W866" s="211" t="s">
        <v>1007</v>
      </c>
      <c r="X866" s="211">
        <v>5000</v>
      </c>
      <c r="Y866" s="211">
        <v>1000</v>
      </c>
      <c r="Z866" s="212">
        <v>1000</v>
      </c>
      <c r="AA866" s="240">
        <v>32</v>
      </c>
      <c r="AB866" s="213">
        <v>8.5000000000000006E-3</v>
      </c>
      <c r="AC866" s="213">
        <v>0.12</v>
      </c>
      <c r="AD866" s="213" t="s">
        <v>203</v>
      </c>
      <c r="AE866" s="213">
        <v>1.9833333333333335E-3</v>
      </c>
      <c r="AF866" s="241">
        <v>54731719.390000001</v>
      </c>
      <c r="AG866" s="241">
        <v>54731719.390000001</v>
      </c>
      <c r="AH866" s="213">
        <v>0.1595</v>
      </c>
      <c r="AI866" s="352">
        <v>2.4565999999999999</v>
      </c>
      <c r="AJ866" s="213">
        <v>0.1081</v>
      </c>
      <c r="AK866" s="352">
        <v>1.1486000000000001</v>
      </c>
      <c r="AL866" s="213" t="s">
        <v>66</v>
      </c>
      <c r="AM866" s="352" t="s">
        <v>66</v>
      </c>
      <c r="AN866" s="213" t="s">
        <v>66</v>
      </c>
      <c r="AO866" s="352" t="s">
        <v>66</v>
      </c>
      <c r="AP866" s="213">
        <v>0.187</v>
      </c>
      <c r="AQ866" s="219">
        <v>0.16102886636265953</v>
      </c>
      <c r="AR866" s="213" t="s">
        <v>1827</v>
      </c>
      <c r="AV866" s="343"/>
      <c r="AW866" s="328"/>
      <c r="AX866" s="329"/>
      <c r="AY866" s="328"/>
      <c r="AZ866" s="328"/>
      <c r="BA866" s="330"/>
      <c r="BB866" s="328"/>
      <c r="BC866" s="328"/>
      <c r="BD866" s="328"/>
      <c r="BE866" s="330"/>
      <c r="BF866" s="330"/>
      <c r="BG866" s="344"/>
      <c r="BH866" s="330"/>
      <c r="BI866" s="330"/>
      <c r="BJ866" s="330"/>
      <c r="BK866" s="330"/>
      <c r="BL866" s="330"/>
      <c r="BM866" s="330"/>
      <c r="BN866" s="330"/>
      <c r="BO866" s="330"/>
      <c r="BP866" s="331"/>
      <c r="BQ866" s="332"/>
      <c r="BR866" s="333"/>
    </row>
    <row r="867" spans="2:70" ht="15.75" customHeight="1">
      <c r="B867" s="216" t="s">
        <v>567</v>
      </c>
      <c r="C867" s="212">
        <v>847393</v>
      </c>
      <c r="D867" s="223">
        <v>31326427000108</v>
      </c>
      <c r="E867" s="217" t="s">
        <v>25</v>
      </c>
      <c r="F867" s="217" t="s">
        <v>958</v>
      </c>
      <c r="G867" s="217" t="s">
        <v>962</v>
      </c>
      <c r="H867" s="218" t="s">
        <v>66</v>
      </c>
      <c r="I867" s="217" t="s">
        <v>1841</v>
      </c>
      <c r="J867" s="217" t="s">
        <v>66</v>
      </c>
      <c r="K867" s="218"/>
      <c r="L867" s="212" t="s">
        <v>87</v>
      </c>
      <c r="M867" s="250"/>
      <c r="N867" s="239">
        <v>43404</v>
      </c>
      <c r="O867" s="210" t="s">
        <v>568</v>
      </c>
      <c r="P867" s="210" t="s">
        <v>1075</v>
      </c>
      <c r="Q867" s="210" t="s">
        <v>1076</v>
      </c>
      <c r="R867" s="210" t="s">
        <v>1084</v>
      </c>
      <c r="S867" s="210" t="s">
        <v>1078</v>
      </c>
      <c r="T867" s="210" t="s">
        <v>1082</v>
      </c>
      <c r="U867" s="210" t="s">
        <v>958</v>
      </c>
      <c r="V867" s="210" t="s">
        <v>25</v>
      </c>
      <c r="W867" s="211" t="s">
        <v>1012</v>
      </c>
      <c r="X867" s="211">
        <v>500</v>
      </c>
      <c r="Y867" s="211">
        <v>100</v>
      </c>
      <c r="Z867" s="212">
        <v>100</v>
      </c>
      <c r="AA867" s="240">
        <v>31</v>
      </c>
      <c r="AB867" s="213">
        <v>1.84E-2</v>
      </c>
      <c r="AC867" s="213">
        <v>0.2</v>
      </c>
      <c r="AD867" s="213" t="s">
        <v>113</v>
      </c>
      <c r="AE867" s="213">
        <v>4.9680000000000002E-3</v>
      </c>
      <c r="AF867" s="241">
        <v>105862188.66</v>
      </c>
      <c r="AG867" s="241">
        <v>105862188.66</v>
      </c>
      <c r="AH867" s="213">
        <v>-4.4000000000000003E-3</v>
      </c>
      <c r="AI867" s="352">
        <v>-6.7900000000000002E-2</v>
      </c>
      <c r="AJ867" s="213">
        <v>-2.4400000000000002E-2</v>
      </c>
      <c r="AK867" s="352">
        <v>-0.25879999999999997</v>
      </c>
      <c r="AL867" s="213">
        <v>-5.7099999999999998E-2</v>
      </c>
      <c r="AM867" s="352">
        <v>-0.47270000000000001</v>
      </c>
      <c r="AN867" s="213">
        <v>2.1399999999999999E-2</v>
      </c>
      <c r="AO867" s="352">
        <v>0.12720000000000001</v>
      </c>
      <c r="AP867" s="213">
        <v>4.7100000000000003E-2</v>
      </c>
      <c r="AQ867" s="219">
        <v>-2.4117506557567543</v>
      </c>
      <c r="AR867" s="213" t="s">
        <v>1827</v>
      </c>
      <c r="AV867" s="343"/>
      <c r="AW867" s="328"/>
      <c r="AX867" s="329"/>
      <c r="AY867" s="328"/>
      <c r="AZ867" s="328"/>
      <c r="BA867" s="330"/>
      <c r="BB867" s="328"/>
      <c r="BC867" s="328"/>
      <c r="BD867" s="328"/>
      <c r="BE867" s="330"/>
      <c r="BF867" s="330"/>
      <c r="BG867" s="344"/>
      <c r="BH867" s="330"/>
      <c r="BI867" s="330"/>
      <c r="BJ867" s="330"/>
      <c r="BK867" s="330"/>
      <c r="BL867" s="330"/>
      <c r="BM867" s="330"/>
      <c r="BN867" s="330"/>
      <c r="BO867" s="330"/>
      <c r="BP867" s="331"/>
      <c r="BQ867" s="332"/>
      <c r="BR867" s="333"/>
    </row>
    <row r="868" spans="2:70" ht="15.75" customHeight="1">
      <c r="B868" s="216" t="s">
        <v>1554</v>
      </c>
      <c r="C868" s="212">
        <v>1180052</v>
      </c>
      <c r="D868" s="223">
        <v>44417598000194</v>
      </c>
      <c r="E868" s="217" t="s">
        <v>28</v>
      </c>
      <c r="F868" s="217" t="s">
        <v>957</v>
      </c>
      <c r="G868" s="217"/>
      <c r="H868" s="218"/>
      <c r="I868" s="217" t="s">
        <v>1842</v>
      </c>
      <c r="J868" s="217" t="s">
        <v>66</v>
      </c>
      <c r="K868" s="218" t="s">
        <v>951</v>
      </c>
      <c r="L868" s="212" t="s">
        <v>87</v>
      </c>
      <c r="M868" s="250"/>
      <c r="N868" s="239">
        <v>44617</v>
      </c>
      <c r="O868" s="210" t="s">
        <v>568</v>
      </c>
      <c r="P868" s="210" t="s">
        <v>1075</v>
      </c>
      <c r="Q868" s="210" t="s">
        <v>1076</v>
      </c>
      <c r="R868" s="210" t="s">
        <v>1084</v>
      </c>
      <c r="S868" s="210" t="s">
        <v>1078</v>
      </c>
      <c r="T868" s="210" t="s">
        <v>1079</v>
      </c>
      <c r="U868" s="210" t="s">
        <v>957</v>
      </c>
      <c r="V868" s="210" t="s">
        <v>25</v>
      </c>
      <c r="W868" s="211" t="s">
        <v>1016</v>
      </c>
      <c r="X868" s="211">
        <v>1</v>
      </c>
      <c r="Y868" s="211">
        <v>1</v>
      </c>
      <c r="Z868" s="212">
        <v>1</v>
      </c>
      <c r="AA868" s="240">
        <v>32</v>
      </c>
      <c r="AB868" s="213">
        <v>1.84E-2</v>
      </c>
      <c r="AC868" s="213">
        <v>0.2</v>
      </c>
      <c r="AD868" s="213" t="s">
        <v>1100</v>
      </c>
      <c r="AE868" s="213">
        <v>4.9680000000000002E-3</v>
      </c>
      <c r="AF868" s="241">
        <v>12574779.210000001</v>
      </c>
      <c r="AG868" s="241">
        <v>12574779.210000001</v>
      </c>
      <c r="AH868" s="213" t="s">
        <v>66</v>
      </c>
      <c r="AI868" s="352" t="s">
        <v>66</v>
      </c>
      <c r="AJ868" s="213" t="s">
        <v>66</v>
      </c>
      <c r="AK868" s="352" t="s">
        <v>66</v>
      </c>
      <c r="AL868" s="213" t="s">
        <v>66</v>
      </c>
      <c r="AM868" s="352" t="s">
        <v>66</v>
      </c>
      <c r="AN868" s="213" t="s">
        <v>66</v>
      </c>
      <c r="AO868" s="352" t="s">
        <v>66</v>
      </c>
      <c r="AP868" s="213" t="s">
        <v>66</v>
      </c>
      <c r="AQ868" s="219" t="s">
        <v>66</v>
      </c>
      <c r="AR868" s="213" t="s">
        <v>1827</v>
      </c>
      <c r="AV868" s="343"/>
      <c r="AW868" s="328"/>
      <c r="AX868" s="329"/>
      <c r="AY868" s="328"/>
      <c r="AZ868" s="328"/>
      <c r="BA868" s="330"/>
      <c r="BB868" s="328"/>
      <c r="BC868" s="328"/>
      <c r="BD868" s="328"/>
      <c r="BE868" s="330"/>
      <c r="BF868" s="330"/>
      <c r="BG868" s="344"/>
      <c r="BH868" s="330"/>
      <c r="BI868" s="330"/>
      <c r="BJ868" s="330"/>
      <c r="BK868" s="330"/>
      <c r="BL868" s="330"/>
      <c r="BM868" s="330"/>
      <c r="BN868" s="330"/>
      <c r="BO868" s="330"/>
      <c r="BP868" s="331"/>
      <c r="BQ868" s="332"/>
      <c r="BR868" s="333"/>
    </row>
    <row r="869" spans="2:70" ht="15.75" customHeight="1">
      <c r="B869" s="216" t="s">
        <v>1555</v>
      </c>
      <c r="C869" s="212">
        <v>555309</v>
      </c>
      <c r="D869" s="223">
        <v>38048878000170</v>
      </c>
      <c r="E869" s="217" t="s">
        <v>28</v>
      </c>
      <c r="F869" s="217" t="s">
        <v>950</v>
      </c>
      <c r="G869" s="217"/>
      <c r="H869" s="218"/>
      <c r="I869" s="217" t="s">
        <v>66</v>
      </c>
      <c r="J869" s="217" t="s">
        <v>66</v>
      </c>
      <c r="K869" s="218" t="s">
        <v>954</v>
      </c>
      <c r="L869" s="212"/>
      <c r="M869" s="250"/>
      <c r="N869" s="239">
        <v>44062</v>
      </c>
      <c r="O869" s="210" t="s">
        <v>114</v>
      </c>
      <c r="P869" s="210" t="s">
        <v>1075</v>
      </c>
      <c r="Q869" s="210" t="s">
        <v>1076</v>
      </c>
      <c r="R869" s="210" t="s">
        <v>1077</v>
      </c>
      <c r="S869" s="210" t="s">
        <v>1078</v>
      </c>
      <c r="T869" s="210" t="s">
        <v>1079</v>
      </c>
      <c r="U869" s="210" t="s">
        <v>65</v>
      </c>
      <c r="V869" s="210" t="s">
        <v>1080</v>
      </c>
      <c r="W869" s="211" t="s">
        <v>1036</v>
      </c>
      <c r="X869" s="211">
        <v>10000</v>
      </c>
      <c r="Y869" s="211">
        <v>10000</v>
      </c>
      <c r="Z869" s="212">
        <v>10000</v>
      </c>
      <c r="AA869" s="240">
        <v>3</v>
      </c>
      <c r="AB869" s="213">
        <v>6.4999999999999997E-3</v>
      </c>
      <c r="AC869" s="213">
        <v>0</v>
      </c>
      <c r="AD869" s="213" t="s">
        <v>113</v>
      </c>
      <c r="AE869" s="213">
        <v>4.5499999999999994E-3</v>
      </c>
      <c r="AF869" s="241">
        <v>38519811.560000002</v>
      </c>
      <c r="AG869" s="241">
        <v>38519811.560000002</v>
      </c>
      <c r="AH869" s="213">
        <v>-0.26090000000000002</v>
      </c>
      <c r="AI869" s="352">
        <v>-4.0186000000000002</v>
      </c>
      <c r="AJ869" s="213">
        <v>-5.3400000000000003E-2</v>
      </c>
      <c r="AK869" s="352">
        <v>-0.5675</v>
      </c>
      <c r="AL869" s="213" t="s">
        <v>66</v>
      </c>
      <c r="AM869" s="352" t="s">
        <v>66</v>
      </c>
      <c r="AN869" s="213" t="s">
        <v>66</v>
      </c>
      <c r="AO869" s="352" t="s">
        <v>66</v>
      </c>
      <c r="AP869" s="213">
        <v>0.28220000000000001</v>
      </c>
      <c r="AQ869" s="219">
        <v>-0.37247153838746172</v>
      </c>
      <c r="AR869" s="213" t="s">
        <v>1827</v>
      </c>
      <c r="AV869" s="343"/>
      <c r="AW869" s="328"/>
      <c r="AX869" s="329"/>
      <c r="AY869" s="328"/>
      <c r="AZ869" s="328"/>
      <c r="BA869" s="330"/>
      <c r="BB869" s="328"/>
      <c r="BC869" s="328"/>
      <c r="BD869" s="328"/>
      <c r="BE869" s="330"/>
      <c r="BF869" s="330"/>
      <c r="BG869" s="344"/>
      <c r="BH869" s="330"/>
      <c r="BI869" s="330"/>
      <c r="BJ869" s="330"/>
      <c r="BK869" s="330"/>
      <c r="BL869" s="330"/>
      <c r="BM869" s="330"/>
      <c r="BN869" s="330"/>
      <c r="BO869" s="330"/>
      <c r="BP869" s="331"/>
      <c r="BQ869" s="332"/>
      <c r="BR869" s="333"/>
    </row>
    <row r="870" spans="2:70" ht="15.75" customHeight="1">
      <c r="B870" s="216" t="s">
        <v>569</v>
      </c>
      <c r="C870" s="212">
        <v>1179020</v>
      </c>
      <c r="D870" s="223">
        <v>20142615000160</v>
      </c>
      <c r="E870" s="217" t="s">
        <v>19</v>
      </c>
      <c r="F870" s="217" t="s">
        <v>963</v>
      </c>
      <c r="G870" s="217" t="s">
        <v>1034</v>
      </c>
      <c r="H870" s="218" t="s">
        <v>1113</v>
      </c>
      <c r="I870" s="217" t="s">
        <v>66</v>
      </c>
      <c r="J870" s="217" t="s">
        <v>1822</v>
      </c>
      <c r="K870" s="218" t="s">
        <v>951</v>
      </c>
      <c r="L870" s="212" t="s">
        <v>87</v>
      </c>
      <c r="M870" s="250"/>
      <c r="N870" s="239">
        <v>41796</v>
      </c>
      <c r="O870" s="210" t="s">
        <v>570</v>
      </c>
      <c r="P870" s="210" t="s">
        <v>1075</v>
      </c>
      <c r="Q870" s="210" t="s">
        <v>1076</v>
      </c>
      <c r="R870" s="210" t="s">
        <v>1084</v>
      </c>
      <c r="S870" s="210" t="s">
        <v>1078</v>
      </c>
      <c r="T870" s="210" t="s">
        <v>32</v>
      </c>
      <c r="U870" s="210" t="s">
        <v>1150</v>
      </c>
      <c r="V870" s="210" t="s">
        <v>25</v>
      </c>
      <c r="W870" s="211" t="s">
        <v>1016</v>
      </c>
      <c r="X870" s="211">
        <v>20000</v>
      </c>
      <c r="Y870" s="211">
        <v>10000</v>
      </c>
      <c r="Z870" s="212">
        <v>20000</v>
      </c>
      <c r="AA870" s="240">
        <v>62</v>
      </c>
      <c r="AB870" s="213">
        <v>0.02</v>
      </c>
      <c r="AC870" s="213">
        <v>0.2</v>
      </c>
      <c r="AD870" s="213" t="s">
        <v>113</v>
      </c>
      <c r="AE870" s="213">
        <v>5.3333333333333332E-3</v>
      </c>
      <c r="AF870" s="241">
        <v>1269688.71</v>
      </c>
      <c r="AG870" s="241">
        <v>1269688.71</v>
      </c>
      <c r="AH870" s="213">
        <v>-0.13370000000000001</v>
      </c>
      <c r="AI870" s="352">
        <v>-2.0592999999999999</v>
      </c>
      <c r="AJ870" s="213">
        <v>-0.33400000000000002</v>
      </c>
      <c r="AK870" s="352">
        <v>-3.5495000000000001</v>
      </c>
      <c r="AL870" s="213">
        <v>-0.4002</v>
      </c>
      <c r="AM870" s="352">
        <v>-3.3127</v>
      </c>
      <c r="AN870" s="213">
        <v>5.2299999999999999E-2</v>
      </c>
      <c r="AO870" s="352">
        <v>0.31009999999999999</v>
      </c>
      <c r="AP870" s="213">
        <v>0.27650000000000002</v>
      </c>
      <c r="AQ870" s="219">
        <v>-1.6557950852019525</v>
      </c>
      <c r="AR870" s="213" t="s">
        <v>1827</v>
      </c>
      <c r="AV870" s="343"/>
      <c r="AW870" s="328"/>
      <c r="AX870" s="329"/>
      <c r="AY870" s="328"/>
      <c r="AZ870" s="328"/>
      <c r="BA870" s="330"/>
      <c r="BB870" s="328"/>
      <c r="BC870" s="328"/>
      <c r="BD870" s="328"/>
      <c r="BE870" s="330"/>
      <c r="BF870" s="330"/>
      <c r="BG870" s="344"/>
      <c r="BH870" s="330"/>
      <c r="BI870" s="330"/>
      <c r="BJ870" s="330"/>
      <c r="BK870" s="330"/>
      <c r="BL870" s="330"/>
      <c r="BM870" s="330"/>
      <c r="BN870" s="330"/>
      <c r="BO870" s="330"/>
      <c r="BP870" s="331"/>
      <c r="BQ870" s="332"/>
      <c r="BR870" s="333"/>
    </row>
    <row r="871" spans="2:70" ht="15.75" customHeight="1">
      <c r="B871" s="216" t="s">
        <v>1556</v>
      </c>
      <c r="C871" s="212">
        <v>562311</v>
      </c>
      <c r="D871" s="223">
        <v>33158068000152</v>
      </c>
      <c r="E871" s="217" t="s">
        <v>28</v>
      </c>
      <c r="F871" s="217" t="s">
        <v>950</v>
      </c>
      <c r="G871" s="217" t="s">
        <v>1254</v>
      </c>
      <c r="H871" s="218"/>
      <c r="I871" s="217" t="s">
        <v>66</v>
      </c>
      <c r="J871" s="217" t="s">
        <v>66</v>
      </c>
      <c r="K871" s="218" t="s">
        <v>954</v>
      </c>
      <c r="L871" s="212"/>
      <c r="M871" s="250"/>
      <c r="N871" s="239">
        <v>43668</v>
      </c>
      <c r="O871" s="210" t="s">
        <v>249</v>
      </c>
      <c r="P871" s="210" t="s">
        <v>1075</v>
      </c>
      <c r="Q871" s="210" t="s">
        <v>1076</v>
      </c>
      <c r="R871" s="210" t="s">
        <v>1077</v>
      </c>
      <c r="S871" s="210" t="s">
        <v>1078</v>
      </c>
      <c r="T871" s="210" t="s">
        <v>1082</v>
      </c>
      <c r="U871" s="210" t="s">
        <v>65</v>
      </c>
      <c r="V871" s="210" t="s">
        <v>25</v>
      </c>
      <c r="W871" s="211" t="s">
        <v>1028</v>
      </c>
      <c r="X871" s="211">
        <v>5000</v>
      </c>
      <c r="Y871" s="211">
        <v>5000</v>
      </c>
      <c r="Z871" s="212">
        <v>5000</v>
      </c>
      <c r="AA871" s="240">
        <v>5</v>
      </c>
      <c r="AB871" s="213">
        <v>0.01</v>
      </c>
      <c r="AC871" s="213">
        <v>0</v>
      </c>
      <c r="AD871" s="213" t="s">
        <v>113</v>
      </c>
      <c r="AE871" s="213">
        <v>8.0000000000000002E-3</v>
      </c>
      <c r="AF871" s="241">
        <v>21678755.899999999</v>
      </c>
      <c r="AG871" s="241">
        <v>21678755.899999999</v>
      </c>
      <c r="AH871" s="213">
        <v>-0.15329999999999999</v>
      </c>
      <c r="AI871" s="352">
        <v>-2.3618999999999999</v>
      </c>
      <c r="AJ871" s="213">
        <v>-0.1196</v>
      </c>
      <c r="AK871" s="352">
        <v>-1.2717000000000001</v>
      </c>
      <c r="AL871" s="213">
        <v>0.12180000000000001</v>
      </c>
      <c r="AM871" s="352">
        <v>1.0082</v>
      </c>
      <c r="AN871" s="213">
        <v>0.2069</v>
      </c>
      <c r="AO871" s="352">
        <v>1.228</v>
      </c>
      <c r="AP871" s="213">
        <v>0.22819999999999999</v>
      </c>
      <c r="AQ871" s="219">
        <v>-0.83839937735582115</v>
      </c>
      <c r="AR871" s="213" t="s">
        <v>1827</v>
      </c>
      <c r="AV871" s="343"/>
      <c r="AW871" s="328"/>
      <c r="AX871" s="329"/>
      <c r="AY871" s="328"/>
      <c r="AZ871" s="328"/>
      <c r="BA871" s="330"/>
      <c r="BB871" s="328"/>
      <c r="BC871" s="328"/>
      <c r="BD871" s="328"/>
      <c r="BE871" s="330"/>
      <c r="BF871" s="330"/>
      <c r="BG871" s="344"/>
      <c r="BH871" s="330"/>
      <c r="BI871" s="330"/>
      <c r="BJ871" s="330"/>
      <c r="BK871" s="330"/>
      <c r="BL871" s="330"/>
      <c r="BM871" s="330"/>
      <c r="BN871" s="330"/>
      <c r="BO871" s="330"/>
      <c r="BP871" s="331"/>
      <c r="BQ871" s="332"/>
      <c r="BR871" s="333"/>
    </row>
    <row r="872" spans="2:70" ht="15.75" customHeight="1">
      <c r="B872" s="216" t="s">
        <v>571</v>
      </c>
      <c r="C872" s="212">
        <v>857097</v>
      </c>
      <c r="D872" s="223">
        <v>39991941000170</v>
      </c>
      <c r="E872" s="217" t="s">
        <v>28</v>
      </c>
      <c r="F872" s="217" t="s">
        <v>950</v>
      </c>
      <c r="G872" s="217"/>
      <c r="H872" s="218"/>
      <c r="I872" s="217" t="s">
        <v>66</v>
      </c>
      <c r="J872" s="217" t="s">
        <v>66</v>
      </c>
      <c r="K872" s="218" t="s">
        <v>954</v>
      </c>
      <c r="L872" s="212" t="s">
        <v>88</v>
      </c>
      <c r="M872" s="250"/>
      <c r="N872" s="239">
        <v>44301</v>
      </c>
      <c r="O872" s="210" t="s">
        <v>249</v>
      </c>
      <c r="P872" s="210" t="s">
        <v>1075</v>
      </c>
      <c r="Q872" s="210" t="s">
        <v>1076</v>
      </c>
      <c r="R872" s="210" t="s">
        <v>1077</v>
      </c>
      <c r="S872" s="210" t="s">
        <v>1078</v>
      </c>
      <c r="T872" s="210" t="s">
        <v>1082</v>
      </c>
      <c r="U872" s="210" t="s">
        <v>65</v>
      </c>
      <c r="V872" s="210" t="s">
        <v>25</v>
      </c>
      <c r="W872" s="211" t="s">
        <v>1028</v>
      </c>
      <c r="X872" s="211">
        <v>5000</v>
      </c>
      <c r="Y872" s="211">
        <v>5000</v>
      </c>
      <c r="Z872" s="212">
        <v>5000</v>
      </c>
      <c r="AA872" s="240">
        <v>6</v>
      </c>
      <c r="AB872" s="213">
        <v>0.01</v>
      </c>
      <c r="AC872" s="213">
        <v>0</v>
      </c>
      <c r="AD872" s="213" t="s">
        <v>113</v>
      </c>
      <c r="AE872" s="213">
        <v>6.6669999999999993E-3</v>
      </c>
      <c r="AF872" s="241">
        <v>8153433.2800000003</v>
      </c>
      <c r="AG872" s="241">
        <v>8153433.2800000003</v>
      </c>
      <c r="AH872" s="213">
        <v>-0.2656</v>
      </c>
      <c r="AI872" s="352">
        <v>-4.0907999999999998</v>
      </c>
      <c r="AJ872" s="213">
        <v>-0.19189999999999999</v>
      </c>
      <c r="AK872" s="352">
        <v>-2.0392999999999999</v>
      </c>
      <c r="AL872" s="213" t="s">
        <v>66</v>
      </c>
      <c r="AM872" s="352" t="s">
        <v>66</v>
      </c>
      <c r="AN872" s="213" t="s">
        <v>66</v>
      </c>
      <c r="AO872" s="352" t="s">
        <v>66</v>
      </c>
      <c r="AP872" s="213">
        <v>0.22409999999999999</v>
      </c>
      <c r="AQ872" s="219">
        <v>-1.2396555007855627</v>
      </c>
      <c r="AR872" s="213" t="s">
        <v>1824</v>
      </c>
      <c r="AV872" s="343"/>
      <c r="AW872" s="328"/>
      <c r="AX872" s="329"/>
      <c r="AY872" s="328"/>
      <c r="AZ872" s="328"/>
      <c r="BA872" s="330"/>
      <c r="BB872" s="328"/>
      <c r="BC872" s="328"/>
      <c r="BD872" s="328"/>
      <c r="BE872" s="330"/>
      <c r="BF872" s="330"/>
      <c r="BG872" s="344"/>
      <c r="BH872" s="330"/>
      <c r="BI872" s="330"/>
      <c r="BJ872" s="330"/>
      <c r="BK872" s="330"/>
      <c r="BL872" s="330"/>
      <c r="BM872" s="330"/>
      <c r="BN872" s="330"/>
      <c r="BO872" s="330"/>
      <c r="BP872" s="331"/>
      <c r="BQ872" s="332"/>
      <c r="BR872" s="333"/>
    </row>
    <row r="873" spans="2:70" ht="15.75" customHeight="1">
      <c r="B873" s="216" t="s">
        <v>1557</v>
      </c>
      <c r="C873" s="212">
        <v>596723</v>
      </c>
      <c r="D873" s="223">
        <v>29066331000106</v>
      </c>
      <c r="E873" s="217" t="s">
        <v>19</v>
      </c>
      <c r="F873" s="217" t="s">
        <v>1009</v>
      </c>
      <c r="G873" s="217"/>
      <c r="H873" s="218"/>
      <c r="I873" s="217" t="s">
        <v>66</v>
      </c>
      <c r="J873" s="217"/>
      <c r="K873" s="218" t="s">
        <v>954</v>
      </c>
      <c r="L873" s="212" t="s">
        <v>87</v>
      </c>
      <c r="M873" s="250"/>
      <c r="N873" s="239">
        <v>43097</v>
      </c>
      <c r="O873" s="210" t="s">
        <v>573</v>
      </c>
      <c r="P873" s="210" t="s">
        <v>1090</v>
      </c>
      <c r="Q873" s="210" t="s">
        <v>1091</v>
      </c>
      <c r="R873" s="210" t="s">
        <v>1077</v>
      </c>
      <c r="S873" s="210" t="s">
        <v>1078</v>
      </c>
      <c r="T873" s="210" t="s">
        <v>349</v>
      </c>
      <c r="U873" s="210" t="s">
        <v>65</v>
      </c>
      <c r="V873" s="210" t="s">
        <v>25</v>
      </c>
      <c r="W873" s="211" t="s">
        <v>1028</v>
      </c>
      <c r="X873" s="211">
        <v>5000</v>
      </c>
      <c r="Y873" s="211">
        <v>1000</v>
      </c>
      <c r="Z873" s="212">
        <v>1000</v>
      </c>
      <c r="AA873" s="240">
        <v>6</v>
      </c>
      <c r="AB873" s="213">
        <v>9.2999999999999992E-3</v>
      </c>
      <c r="AC873" s="213">
        <v>0</v>
      </c>
      <c r="AD873" s="213" t="s">
        <v>113</v>
      </c>
      <c r="AE873" s="213">
        <v>5.0697399999999988E-3</v>
      </c>
      <c r="AF873" s="241">
        <v>69039551.909999996</v>
      </c>
      <c r="AG873" s="241">
        <v>69039551.909999996</v>
      </c>
      <c r="AH873" s="213">
        <v>-5.6599999999999998E-2</v>
      </c>
      <c r="AI873" s="352">
        <v>-0.87239999999999995</v>
      </c>
      <c r="AJ873" s="213">
        <v>-3.2599999999999997E-2</v>
      </c>
      <c r="AK873" s="352">
        <v>-0.34689999999999999</v>
      </c>
      <c r="AL873" s="213">
        <v>0.10390000000000001</v>
      </c>
      <c r="AM873" s="352">
        <v>0.86009999999999998</v>
      </c>
      <c r="AN873" s="213">
        <v>0.13789999999999999</v>
      </c>
      <c r="AO873" s="352">
        <v>0.81830000000000003</v>
      </c>
      <c r="AP873" s="213">
        <v>6.0499999999999998E-2</v>
      </c>
      <c r="AQ873" s="219">
        <v>-2.0042683315997829</v>
      </c>
      <c r="AR873" s="213" t="s">
        <v>1824</v>
      </c>
      <c r="AU873" s="343"/>
      <c r="AV873" s="343"/>
      <c r="AW873" s="328"/>
      <c r="AX873" s="329"/>
      <c r="AY873" s="328"/>
      <c r="AZ873" s="328"/>
      <c r="BA873" s="330"/>
      <c r="BB873" s="328"/>
      <c r="BC873" s="328"/>
      <c r="BD873" s="328"/>
      <c r="BE873" s="330"/>
      <c r="BF873" s="330"/>
      <c r="BG873" s="344"/>
      <c r="BH873" s="383"/>
      <c r="BI873" s="330"/>
      <c r="BJ873" s="330"/>
      <c r="BK873" s="330"/>
      <c r="BL873" s="330"/>
      <c r="BM873" s="330"/>
      <c r="BN873" s="330"/>
      <c r="BO873" s="330"/>
      <c r="BP873" s="331"/>
      <c r="BQ873" s="332"/>
      <c r="BR873" s="333"/>
    </row>
    <row r="874" spans="2:70" ht="15.75" customHeight="1">
      <c r="B874" s="216" t="s">
        <v>1558</v>
      </c>
      <c r="C874" s="212">
        <v>1250868</v>
      </c>
      <c r="D874" s="223">
        <v>32225478000106</v>
      </c>
      <c r="E874" s="217" t="s">
        <v>19</v>
      </c>
      <c r="F874" s="217" t="s">
        <v>1009</v>
      </c>
      <c r="G874" s="217"/>
      <c r="H874" s="218"/>
      <c r="I874" s="217" t="s">
        <v>66</v>
      </c>
      <c r="J874" s="217"/>
      <c r="K874" s="218" t="s">
        <v>954</v>
      </c>
      <c r="L874" s="212" t="s">
        <v>88</v>
      </c>
      <c r="M874" s="250"/>
      <c r="N874" s="239">
        <v>43523</v>
      </c>
      <c r="O874" s="210" t="s">
        <v>573</v>
      </c>
      <c r="P874" s="210" t="s">
        <v>1090</v>
      </c>
      <c r="Q874" s="210" t="s">
        <v>1091</v>
      </c>
      <c r="R874" s="210" t="s">
        <v>1077</v>
      </c>
      <c r="S874" s="210" t="s">
        <v>1078</v>
      </c>
      <c r="T874" s="210" t="s">
        <v>349</v>
      </c>
      <c r="U874" s="210" t="s">
        <v>65</v>
      </c>
      <c r="V874" s="210" t="s">
        <v>25</v>
      </c>
      <c r="W874" s="211" t="s">
        <v>1028</v>
      </c>
      <c r="X874" s="211">
        <v>5000</v>
      </c>
      <c r="Y874" s="211">
        <v>1000</v>
      </c>
      <c r="Z874" s="212">
        <v>1000</v>
      </c>
      <c r="AA874" s="240">
        <v>6</v>
      </c>
      <c r="AB874" s="213">
        <v>9.2999999999999992E-3</v>
      </c>
      <c r="AC874" s="213">
        <v>0</v>
      </c>
      <c r="AD874" s="213" t="s">
        <v>113</v>
      </c>
      <c r="AE874" s="213">
        <v>4.3499199999999993E-3</v>
      </c>
      <c r="AF874" s="241">
        <v>217477360.56999999</v>
      </c>
      <c r="AG874" s="241">
        <v>217477360.56999999</v>
      </c>
      <c r="AH874" s="213">
        <v>-0.13600000000000001</v>
      </c>
      <c r="AI874" s="352">
        <v>-2.0948000000000002</v>
      </c>
      <c r="AJ874" s="213">
        <v>-5.2600000000000001E-2</v>
      </c>
      <c r="AK874" s="352">
        <v>-0.55869999999999997</v>
      </c>
      <c r="AL874" s="213">
        <v>2.7000000000000001E-3</v>
      </c>
      <c r="AM874" s="352">
        <v>2.2200000000000001E-2</v>
      </c>
      <c r="AN874" s="213">
        <v>0.3735</v>
      </c>
      <c r="AO874" s="352">
        <v>2.2162999999999999</v>
      </c>
      <c r="AP874" s="213">
        <v>0.1472</v>
      </c>
      <c r="AQ874" s="219">
        <v>-0.90446122138912532</v>
      </c>
      <c r="AR874" s="213" t="s">
        <v>1824</v>
      </c>
      <c r="AV874" s="343"/>
      <c r="AW874" s="328"/>
      <c r="AX874" s="329"/>
      <c r="AY874" s="328"/>
      <c r="AZ874" s="328"/>
      <c r="BA874" s="330"/>
      <c r="BB874" s="328"/>
      <c r="BC874" s="328"/>
      <c r="BD874" s="328"/>
      <c r="BE874" s="330"/>
      <c r="BF874" s="330"/>
      <c r="BG874" s="344"/>
      <c r="BH874" s="330"/>
      <c r="BI874" s="330"/>
      <c r="BJ874" s="330"/>
      <c r="BK874" s="330"/>
      <c r="BL874" s="330"/>
      <c r="BM874" s="330"/>
      <c r="BN874" s="330"/>
      <c r="BO874" s="330"/>
      <c r="BP874" s="331"/>
      <c r="BQ874" s="332"/>
      <c r="BR874" s="333"/>
    </row>
    <row r="875" spans="2:70" ht="15.75" customHeight="1">
      <c r="B875" s="216" t="s">
        <v>1559</v>
      </c>
      <c r="C875" s="212">
        <v>947543</v>
      </c>
      <c r="D875" s="223">
        <v>23729512000199</v>
      </c>
      <c r="E875" s="217" t="s">
        <v>19</v>
      </c>
      <c r="F875" s="217" t="s">
        <v>1009</v>
      </c>
      <c r="G875" s="217"/>
      <c r="H875" s="218"/>
      <c r="I875" s="217" t="s">
        <v>66</v>
      </c>
      <c r="J875" s="217"/>
      <c r="K875" s="218" t="s">
        <v>954</v>
      </c>
      <c r="L875" s="212" t="s">
        <v>87</v>
      </c>
      <c r="M875" s="250"/>
      <c r="N875" s="239">
        <v>42403</v>
      </c>
      <c r="O875" s="210" t="s">
        <v>573</v>
      </c>
      <c r="P875" s="210" t="s">
        <v>1090</v>
      </c>
      <c r="Q875" s="210" t="s">
        <v>1091</v>
      </c>
      <c r="R875" s="210" t="s">
        <v>1077</v>
      </c>
      <c r="S875" s="210" t="s">
        <v>1078</v>
      </c>
      <c r="T875" s="210" t="s">
        <v>349</v>
      </c>
      <c r="U875" s="210" t="s">
        <v>65</v>
      </c>
      <c r="V875" s="210" t="s">
        <v>25</v>
      </c>
      <c r="W875" s="211" t="s">
        <v>1028</v>
      </c>
      <c r="X875" s="211">
        <v>5000</v>
      </c>
      <c r="Y875" s="211">
        <v>1000</v>
      </c>
      <c r="Z875" s="212">
        <v>1000</v>
      </c>
      <c r="AA875" s="240">
        <v>6</v>
      </c>
      <c r="AB875" s="213">
        <v>9.2999999999999992E-3</v>
      </c>
      <c r="AC875" s="213">
        <v>0</v>
      </c>
      <c r="AD875" s="213" t="s">
        <v>113</v>
      </c>
      <c r="AE875" s="213">
        <v>4.3499199999999993E-3</v>
      </c>
      <c r="AF875" s="241">
        <v>441547867.63</v>
      </c>
      <c r="AG875" s="241">
        <v>441547867.63</v>
      </c>
      <c r="AH875" s="213">
        <v>-2.5000000000000001E-2</v>
      </c>
      <c r="AI875" s="352">
        <v>-0.38540000000000002</v>
      </c>
      <c r="AJ875" s="213">
        <v>-2.5000000000000001E-3</v>
      </c>
      <c r="AK875" s="352">
        <v>-2.6499999999999999E-2</v>
      </c>
      <c r="AL875" s="213">
        <v>8.7300000000000003E-2</v>
      </c>
      <c r="AM875" s="352">
        <v>0.72289999999999999</v>
      </c>
      <c r="AN875" s="213">
        <v>0.1202</v>
      </c>
      <c r="AO875" s="352">
        <v>0.71350000000000002</v>
      </c>
      <c r="AP875" s="213">
        <v>5.04E-2</v>
      </c>
      <c r="AQ875" s="219">
        <v>-1.8101136797194499</v>
      </c>
      <c r="AR875" s="213" t="s">
        <v>1824</v>
      </c>
      <c r="AV875" s="343"/>
      <c r="AW875" s="328"/>
      <c r="AX875" s="329"/>
      <c r="AY875" s="328"/>
      <c r="AZ875" s="328"/>
      <c r="BA875" s="330"/>
      <c r="BB875" s="328"/>
      <c r="BC875" s="328"/>
      <c r="BD875" s="328"/>
      <c r="BE875" s="330"/>
      <c r="BF875" s="330"/>
      <c r="BG875" s="344"/>
      <c r="BH875" s="330"/>
      <c r="BI875" s="330"/>
      <c r="BJ875" s="330"/>
      <c r="BK875" s="330"/>
      <c r="BL875" s="330"/>
      <c r="BM875" s="330"/>
      <c r="BN875" s="330"/>
      <c r="BO875" s="330"/>
      <c r="BP875" s="331"/>
      <c r="BQ875" s="332"/>
      <c r="BR875" s="333"/>
    </row>
    <row r="876" spans="2:70" ht="15.75" customHeight="1">
      <c r="B876" s="216" t="s">
        <v>1908</v>
      </c>
      <c r="C876" s="212">
        <v>1530086</v>
      </c>
      <c r="D876" s="223">
        <v>18316558000146</v>
      </c>
      <c r="E876" s="217" t="s">
        <v>19</v>
      </c>
      <c r="F876" s="217" t="s">
        <v>963</v>
      </c>
      <c r="G876" s="217" t="s">
        <v>1011</v>
      </c>
      <c r="H876" s="218" t="s">
        <v>1113</v>
      </c>
      <c r="I876" s="217" t="s">
        <v>66</v>
      </c>
      <c r="J876" s="217"/>
      <c r="K876" s="218" t="s">
        <v>951</v>
      </c>
      <c r="L876" s="212" t="s">
        <v>87</v>
      </c>
      <c r="M876" s="250"/>
      <c r="N876" s="239">
        <v>41537</v>
      </c>
      <c r="O876" s="210" t="s">
        <v>133</v>
      </c>
      <c r="P876" s="210" t="s">
        <v>1090</v>
      </c>
      <c r="Q876" s="210" t="s">
        <v>1091</v>
      </c>
      <c r="R876" s="210" t="s">
        <v>1084</v>
      </c>
      <c r="S876" s="210" t="s">
        <v>1078</v>
      </c>
      <c r="T876" s="210" t="s">
        <v>349</v>
      </c>
      <c r="U876" s="210" t="s">
        <v>1114</v>
      </c>
      <c r="V876" s="210" t="s">
        <v>19</v>
      </c>
      <c r="W876" s="211" t="s">
        <v>1024</v>
      </c>
      <c r="X876" s="211">
        <v>3000</v>
      </c>
      <c r="Y876" s="211">
        <v>100</v>
      </c>
      <c r="Z876" s="212">
        <v>100</v>
      </c>
      <c r="AA876" s="240">
        <v>31</v>
      </c>
      <c r="AB876" s="213">
        <v>5.0000000000000001E-3</v>
      </c>
      <c r="AC876" s="213">
        <v>0.2</v>
      </c>
      <c r="AD876" s="213" t="s">
        <v>109</v>
      </c>
      <c r="AE876" s="213">
        <v>1.3500000000000001E-3</v>
      </c>
      <c r="AF876" s="241">
        <v>129985739.86</v>
      </c>
      <c r="AG876" s="241">
        <v>129985739.86</v>
      </c>
      <c r="AH876" s="213">
        <v>7.1300000000000002E-2</v>
      </c>
      <c r="AI876" s="352">
        <v>1.0983000000000001</v>
      </c>
      <c r="AJ876" s="213">
        <v>0.1067</v>
      </c>
      <c r="AK876" s="352">
        <v>1.1341000000000001</v>
      </c>
      <c r="AL876" s="213">
        <v>0.16569999999999999</v>
      </c>
      <c r="AM876" s="352">
        <v>1.3717999999999999</v>
      </c>
      <c r="AN876" s="213">
        <v>0.14630000000000001</v>
      </c>
      <c r="AO876" s="352">
        <v>0.86809999999999998</v>
      </c>
      <c r="AP876" s="213">
        <v>1.6999999999999999E-3</v>
      </c>
      <c r="AQ876" s="219">
        <v>6.807993184755273</v>
      </c>
      <c r="AR876" s="213" t="s">
        <v>1827</v>
      </c>
      <c r="AV876" s="343"/>
      <c r="AW876" s="328"/>
      <c r="AX876" s="329"/>
      <c r="AY876" s="328"/>
      <c r="AZ876" s="328"/>
      <c r="BA876" s="330"/>
      <c r="BB876" s="328"/>
      <c r="BC876" s="328"/>
      <c r="BD876" s="328"/>
      <c r="BE876" s="330"/>
      <c r="BF876" s="330"/>
      <c r="BG876" s="344"/>
      <c r="BH876" s="330"/>
      <c r="BI876" s="330"/>
      <c r="BJ876" s="330"/>
      <c r="BK876" s="330"/>
      <c r="BL876" s="330"/>
      <c r="BM876" s="330"/>
      <c r="BN876" s="330"/>
      <c r="BO876" s="330"/>
      <c r="BP876" s="331"/>
      <c r="BQ876" s="332"/>
      <c r="BR876" s="333"/>
    </row>
    <row r="877" spans="2:70" ht="15.75" customHeight="1">
      <c r="B877" s="216" t="s">
        <v>1560</v>
      </c>
      <c r="C877" s="212">
        <v>3028258</v>
      </c>
      <c r="D877" s="223">
        <v>38281169000130</v>
      </c>
      <c r="E877" s="217" t="s">
        <v>19</v>
      </c>
      <c r="F877" s="217" t="s">
        <v>963</v>
      </c>
      <c r="G877" s="217" t="s">
        <v>1011</v>
      </c>
      <c r="H877" s="218" t="s">
        <v>1113</v>
      </c>
      <c r="I877" s="217" t="s">
        <v>66</v>
      </c>
      <c r="J877" s="217" t="s">
        <v>1794</v>
      </c>
      <c r="K877" s="218" t="s">
        <v>951</v>
      </c>
      <c r="L877" s="212" t="s">
        <v>87</v>
      </c>
      <c r="M877" s="250"/>
      <c r="N877" s="239">
        <v>44166</v>
      </c>
      <c r="O877" s="210" t="s">
        <v>133</v>
      </c>
      <c r="P877" s="210" t="s">
        <v>1090</v>
      </c>
      <c r="Q877" s="210" t="s">
        <v>1091</v>
      </c>
      <c r="R877" s="210" t="s">
        <v>1084</v>
      </c>
      <c r="S877" s="210" t="s">
        <v>1078</v>
      </c>
      <c r="T877" s="210" t="s">
        <v>349</v>
      </c>
      <c r="U877" s="210" t="s">
        <v>1114</v>
      </c>
      <c r="V877" s="210" t="s">
        <v>19</v>
      </c>
      <c r="W877" s="211" t="s">
        <v>1024</v>
      </c>
      <c r="X877" s="211">
        <v>10</v>
      </c>
      <c r="Y877" s="211">
        <v>10</v>
      </c>
      <c r="Z877" s="212">
        <v>10</v>
      </c>
      <c r="AA877" s="240">
        <v>46</v>
      </c>
      <c r="AB877" s="213">
        <v>7.4999999999999997E-3</v>
      </c>
      <c r="AC877" s="213">
        <v>0.2</v>
      </c>
      <c r="AD877" s="213" t="s">
        <v>113</v>
      </c>
      <c r="AE877" s="213">
        <v>1.4999999999999998E-3</v>
      </c>
      <c r="AF877" s="241">
        <v>10726293.300000001</v>
      </c>
      <c r="AG877" s="241">
        <v>10726293.300000001</v>
      </c>
      <c r="AH877" s="213">
        <v>6.6900000000000001E-2</v>
      </c>
      <c r="AI877" s="352">
        <v>1.0303</v>
      </c>
      <c r="AJ877" s="213">
        <v>9.9199999999999997E-2</v>
      </c>
      <c r="AK877" s="352">
        <v>1.054</v>
      </c>
      <c r="AL877" s="213" t="s">
        <v>66</v>
      </c>
      <c r="AM877" s="352" t="s">
        <v>66</v>
      </c>
      <c r="AN877" s="213" t="s">
        <v>66</v>
      </c>
      <c r="AO877" s="352" t="s">
        <v>66</v>
      </c>
      <c r="AP877" s="213">
        <v>2.7000000000000001E-3</v>
      </c>
      <c r="AQ877" s="219">
        <v>1.7440227173950644</v>
      </c>
      <c r="AR877" s="213" t="s">
        <v>1827</v>
      </c>
      <c r="AV877" s="343"/>
      <c r="AW877" s="328"/>
      <c r="AX877" s="329"/>
      <c r="AY877" s="328"/>
      <c r="AZ877" s="328"/>
      <c r="BA877" s="330"/>
      <c r="BB877" s="328"/>
      <c r="BC877" s="328"/>
      <c r="BD877" s="328"/>
      <c r="BE877" s="330"/>
      <c r="BF877" s="330"/>
      <c r="BG877" s="344"/>
      <c r="BH877" s="330"/>
      <c r="BI877" s="330"/>
      <c r="BJ877" s="330"/>
      <c r="BK877" s="330"/>
      <c r="BL877" s="330"/>
      <c r="BM877" s="330"/>
      <c r="BN877" s="330"/>
      <c r="BO877" s="330"/>
      <c r="BP877" s="331"/>
      <c r="BQ877" s="332"/>
      <c r="BR877" s="333"/>
    </row>
    <row r="878" spans="2:70" ht="15.75" customHeight="1">
      <c r="B878" s="216" t="s">
        <v>912</v>
      </c>
      <c r="C878" s="212">
        <v>1115097</v>
      </c>
      <c r="D878" s="223">
        <v>37322097000169</v>
      </c>
      <c r="E878" s="217" t="s">
        <v>28</v>
      </c>
      <c r="F878" s="217" t="s">
        <v>950</v>
      </c>
      <c r="G878" s="217"/>
      <c r="H878" s="218"/>
      <c r="I878" s="217" t="s">
        <v>66</v>
      </c>
      <c r="J878" s="217" t="s">
        <v>66</v>
      </c>
      <c r="K878" s="218" t="s">
        <v>954</v>
      </c>
      <c r="L878" s="212"/>
      <c r="M878" s="250"/>
      <c r="N878" s="239">
        <v>44042</v>
      </c>
      <c r="O878" s="210" t="s">
        <v>236</v>
      </c>
      <c r="P878" s="210" t="s">
        <v>1088</v>
      </c>
      <c r="Q878" s="210" t="s">
        <v>1089</v>
      </c>
      <c r="R878" s="210" t="s">
        <v>1084</v>
      </c>
      <c r="S878" s="210" t="s">
        <v>1078</v>
      </c>
      <c r="T878" s="210" t="s">
        <v>1079</v>
      </c>
      <c r="U878" s="210" t="s">
        <v>65</v>
      </c>
      <c r="V878" s="210" t="s">
        <v>1080</v>
      </c>
      <c r="W878" s="211" t="s">
        <v>1007</v>
      </c>
      <c r="X878" s="211">
        <v>100</v>
      </c>
      <c r="Y878" s="211">
        <v>100</v>
      </c>
      <c r="Z878" s="212">
        <v>100</v>
      </c>
      <c r="AA878" s="240">
        <v>5</v>
      </c>
      <c r="AB878" s="213">
        <v>1.95E-2</v>
      </c>
      <c r="AC878" s="213">
        <v>0</v>
      </c>
      <c r="AD878" s="213" t="s">
        <v>1157</v>
      </c>
      <c r="AE878" s="213" t="s">
        <v>66</v>
      </c>
      <c r="AF878" s="241">
        <v>27967974.309999999</v>
      </c>
      <c r="AG878" s="241">
        <v>27967974.309999999</v>
      </c>
      <c r="AH878" s="213">
        <v>-0.2467</v>
      </c>
      <c r="AI878" s="352">
        <v>-3.7993000000000001</v>
      </c>
      <c r="AJ878" s="213">
        <v>-0.14410000000000001</v>
      </c>
      <c r="AK878" s="352">
        <v>-1.5321</v>
      </c>
      <c r="AL878" s="213" t="s">
        <v>66</v>
      </c>
      <c r="AM878" s="352" t="s">
        <v>66</v>
      </c>
      <c r="AN878" s="213" t="s">
        <v>66</v>
      </c>
      <c r="AO878" s="352" t="s">
        <v>66</v>
      </c>
      <c r="AP878" s="213">
        <v>0.22389999999999999</v>
      </c>
      <c r="AQ878" s="219">
        <v>-0.9854270741667982</v>
      </c>
      <c r="AR878" s="213" t="s">
        <v>1824</v>
      </c>
      <c r="AU878" s="343"/>
      <c r="AV878" s="343"/>
      <c r="AW878" s="328"/>
      <c r="AX878" s="329"/>
      <c r="AY878" s="328"/>
      <c r="AZ878" s="328"/>
      <c r="BA878" s="330"/>
      <c r="BB878" s="328"/>
      <c r="BC878" s="328"/>
      <c r="BD878" s="328"/>
      <c r="BE878" s="330"/>
      <c r="BF878" s="330"/>
      <c r="BG878" s="344"/>
      <c r="BH878" s="383"/>
      <c r="BI878" s="330"/>
      <c r="BJ878" s="330"/>
      <c r="BK878" s="330"/>
      <c r="BL878" s="330"/>
      <c r="BM878" s="330"/>
      <c r="BN878" s="330"/>
      <c r="BO878" s="330"/>
      <c r="BP878" s="331"/>
      <c r="BQ878" s="332"/>
      <c r="BR878" s="333"/>
    </row>
    <row r="879" spans="2:70" ht="15.75" customHeight="1">
      <c r="B879" s="216" t="s">
        <v>575</v>
      </c>
      <c r="C879" s="212">
        <v>1093316</v>
      </c>
      <c r="D879" s="223">
        <v>37414101000119</v>
      </c>
      <c r="E879" s="217" t="s">
        <v>28</v>
      </c>
      <c r="F879" s="217" t="s">
        <v>950</v>
      </c>
      <c r="G879" s="217"/>
      <c r="H879" s="218"/>
      <c r="I879" s="217" t="s">
        <v>66</v>
      </c>
      <c r="J879" s="217" t="s">
        <v>66</v>
      </c>
      <c r="K879" s="218" t="s">
        <v>951</v>
      </c>
      <c r="L879" s="212" t="s">
        <v>87</v>
      </c>
      <c r="M879" s="250"/>
      <c r="N879" s="239">
        <v>44029</v>
      </c>
      <c r="O879" s="210" t="s">
        <v>236</v>
      </c>
      <c r="P879" s="210" t="s">
        <v>1140</v>
      </c>
      <c r="Q879" s="210" t="s">
        <v>1140</v>
      </c>
      <c r="R879" s="210" t="s">
        <v>1084</v>
      </c>
      <c r="S879" s="210" t="s">
        <v>1078</v>
      </c>
      <c r="T879" s="210" t="s">
        <v>1079</v>
      </c>
      <c r="U879" s="210" t="s">
        <v>950</v>
      </c>
      <c r="V879" s="210" t="s">
        <v>1080</v>
      </c>
      <c r="W879" s="211" t="s">
        <v>1007</v>
      </c>
      <c r="X879" s="211">
        <v>100</v>
      </c>
      <c r="Y879" s="211">
        <v>100</v>
      </c>
      <c r="Z879" s="212">
        <v>100</v>
      </c>
      <c r="AA879" s="240">
        <v>29</v>
      </c>
      <c r="AB879" s="213">
        <v>0.02</v>
      </c>
      <c r="AC879" s="213">
        <v>0.2</v>
      </c>
      <c r="AD879" s="213" t="s">
        <v>1157</v>
      </c>
      <c r="AE879" s="213">
        <v>3.3333333333333331E-3</v>
      </c>
      <c r="AF879" s="241">
        <v>4270665.8600000003</v>
      </c>
      <c r="AG879" s="241">
        <v>4270665.8600000003</v>
      </c>
      <c r="AH879" s="213">
        <v>-0.17449999999999999</v>
      </c>
      <c r="AI879" s="352">
        <v>-2.6884000000000001</v>
      </c>
      <c r="AJ879" s="213">
        <v>-0.373</v>
      </c>
      <c r="AK879" s="352">
        <v>-3.9641999999999999</v>
      </c>
      <c r="AL879" s="213">
        <v>1.9099999999999999E-2</v>
      </c>
      <c r="AM879" s="352">
        <v>0.15770000000000001</v>
      </c>
      <c r="AN879" s="213" t="s">
        <v>66</v>
      </c>
      <c r="AO879" s="352" t="s">
        <v>66</v>
      </c>
      <c r="AP879" s="213">
        <v>0.30080000000000001</v>
      </c>
      <c r="AQ879" s="219">
        <v>-1.6988064180037372</v>
      </c>
      <c r="AR879" s="213" t="s">
        <v>1827</v>
      </c>
      <c r="AV879" s="343"/>
      <c r="AW879" s="328"/>
      <c r="AX879" s="329"/>
      <c r="AY879" s="328"/>
      <c r="AZ879" s="328"/>
      <c r="BA879" s="330"/>
      <c r="BB879" s="328"/>
      <c r="BC879" s="328"/>
      <c r="BD879" s="328"/>
      <c r="BE879" s="330"/>
      <c r="BF879" s="330"/>
      <c r="BG879" s="344"/>
      <c r="BH879" s="330"/>
      <c r="BI879" s="330"/>
      <c r="BJ879" s="330"/>
      <c r="BK879" s="330"/>
      <c r="BL879" s="330"/>
      <c r="BM879" s="330"/>
      <c r="BN879" s="330"/>
      <c r="BO879" s="330"/>
      <c r="BP879" s="331"/>
      <c r="BQ879" s="332"/>
      <c r="BR879" s="333"/>
    </row>
    <row r="880" spans="2:70" ht="15.75" customHeight="1">
      <c r="B880" s="216" t="s">
        <v>1561</v>
      </c>
      <c r="C880" s="212">
        <v>958111</v>
      </c>
      <c r="D880" s="223">
        <v>27739565000141</v>
      </c>
      <c r="E880" s="217" t="s">
        <v>19</v>
      </c>
      <c r="F880" s="217" t="s">
        <v>1009</v>
      </c>
      <c r="G880" s="217"/>
      <c r="H880" s="218"/>
      <c r="I880" s="217" t="s">
        <v>66</v>
      </c>
      <c r="J880" s="217"/>
      <c r="K880" s="218" t="s">
        <v>954</v>
      </c>
      <c r="L880" s="212" t="s">
        <v>87</v>
      </c>
      <c r="M880" s="250"/>
      <c r="N880" s="239">
        <v>42921</v>
      </c>
      <c r="O880" s="210" t="s">
        <v>114</v>
      </c>
      <c r="P880" s="210" t="s">
        <v>1075</v>
      </c>
      <c r="Q880" s="210" t="s">
        <v>1076</v>
      </c>
      <c r="R880" s="210" t="s">
        <v>1077</v>
      </c>
      <c r="S880" s="210" t="s">
        <v>1078</v>
      </c>
      <c r="T880" s="210" t="s">
        <v>349</v>
      </c>
      <c r="U880" s="210" t="s">
        <v>65</v>
      </c>
      <c r="V880" s="210" t="s">
        <v>25</v>
      </c>
      <c r="W880" s="211" t="s">
        <v>1028</v>
      </c>
      <c r="X880" s="211">
        <v>5000</v>
      </c>
      <c r="Y880" s="211">
        <v>1000</v>
      </c>
      <c r="Z880" s="212">
        <v>1000</v>
      </c>
      <c r="AA880" s="240">
        <v>6</v>
      </c>
      <c r="AB880" s="213">
        <v>9.2999999999999992E-3</v>
      </c>
      <c r="AC880" s="213">
        <v>0</v>
      </c>
      <c r="AD880" s="213" t="s">
        <v>113</v>
      </c>
      <c r="AE880" s="213">
        <v>4.3499199999999993E-3</v>
      </c>
      <c r="AF880" s="241">
        <v>6317962.3700000001</v>
      </c>
      <c r="AG880" s="241">
        <v>6317962.3700000001</v>
      </c>
      <c r="AH880" s="213">
        <v>-2.46E-2</v>
      </c>
      <c r="AI880" s="352">
        <v>-0.379</v>
      </c>
      <c r="AJ880" s="213">
        <v>-2.3E-3</v>
      </c>
      <c r="AK880" s="352">
        <v>-2.4E-2</v>
      </c>
      <c r="AL880" s="213">
        <v>8.6300000000000002E-2</v>
      </c>
      <c r="AM880" s="352">
        <v>0.71450000000000002</v>
      </c>
      <c r="AN880" s="213">
        <v>0.1157</v>
      </c>
      <c r="AO880" s="352">
        <v>0.68679999999999997</v>
      </c>
      <c r="AP880" s="213">
        <v>4.9599999999999998E-2</v>
      </c>
      <c r="AQ880" s="219">
        <v>-1.833587718706631</v>
      </c>
      <c r="AR880" s="213" t="s">
        <v>1827</v>
      </c>
      <c r="AV880" s="343"/>
      <c r="AW880" s="328"/>
      <c r="AX880" s="329"/>
      <c r="AY880" s="328"/>
      <c r="AZ880" s="328"/>
      <c r="BA880" s="330"/>
      <c r="BB880" s="328"/>
      <c r="BC880" s="328"/>
      <c r="BD880" s="328"/>
      <c r="BE880" s="330"/>
      <c r="BF880" s="330"/>
      <c r="BG880" s="344"/>
      <c r="BH880" s="330"/>
      <c r="BI880" s="330"/>
      <c r="BJ880" s="330"/>
      <c r="BK880" s="330"/>
      <c r="BL880" s="330"/>
      <c r="BM880" s="330"/>
      <c r="BN880" s="330"/>
      <c r="BO880" s="330"/>
      <c r="BP880" s="331"/>
      <c r="BQ880" s="332"/>
      <c r="BR880" s="333"/>
    </row>
    <row r="881" spans="2:70" ht="15.75" customHeight="1">
      <c r="B881" s="216" t="s">
        <v>1562</v>
      </c>
      <c r="C881" s="212">
        <v>849883</v>
      </c>
      <c r="D881" s="223">
        <v>27347332000101</v>
      </c>
      <c r="E881" s="217" t="s">
        <v>28</v>
      </c>
      <c r="F881" s="217" t="s">
        <v>957</v>
      </c>
      <c r="G881" s="217"/>
      <c r="H881" s="218"/>
      <c r="I881" s="217" t="s">
        <v>1842</v>
      </c>
      <c r="J881" s="217" t="s">
        <v>66</v>
      </c>
      <c r="K881" s="218" t="s">
        <v>951</v>
      </c>
      <c r="L881" s="212" t="s">
        <v>87</v>
      </c>
      <c r="M881" s="250"/>
      <c r="N881" s="239">
        <v>43012</v>
      </c>
      <c r="O881" s="210" t="s">
        <v>576</v>
      </c>
      <c r="P881" s="210" t="s">
        <v>1090</v>
      </c>
      <c r="Q881" s="210" t="s">
        <v>1091</v>
      </c>
      <c r="R881" s="210" t="s">
        <v>1084</v>
      </c>
      <c r="S881" s="210" t="s">
        <v>1078</v>
      </c>
      <c r="T881" s="210" t="s">
        <v>1079</v>
      </c>
      <c r="U881" s="210" t="s">
        <v>957</v>
      </c>
      <c r="V881" s="210" t="s">
        <v>25</v>
      </c>
      <c r="W881" s="211" t="s">
        <v>1016</v>
      </c>
      <c r="X881" s="211">
        <v>5000</v>
      </c>
      <c r="Y881" s="211">
        <v>5000</v>
      </c>
      <c r="Z881" s="212">
        <v>5000</v>
      </c>
      <c r="AA881" s="240">
        <v>32</v>
      </c>
      <c r="AB881" s="213">
        <v>1.7999999999999999E-2</v>
      </c>
      <c r="AC881" s="213">
        <v>0.2</v>
      </c>
      <c r="AD881" s="213" t="s">
        <v>203</v>
      </c>
      <c r="AE881" s="213">
        <v>4.7999999999999996E-3</v>
      </c>
      <c r="AF881" s="241">
        <v>53559554.869999997</v>
      </c>
      <c r="AG881" s="241">
        <v>53559554.869999997</v>
      </c>
      <c r="AH881" s="213">
        <v>-8.8300000000000003E-2</v>
      </c>
      <c r="AI881" s="352">
        <v>-1.3599000000000001</v>
      </c>
      <c r="AJ881" s="213">
        <v>-0.2631</v>
      </c>
      <c r="AK881" s="352">
        <v>-2.7961</v>
      </c>
      <c r="AL881" s="213">
        <v>-0.125</v>
      </c>
      <c r="AM881" s="352">
        <v>-1.0348999999999999</v>
      </c>
      <c r="AN881" s="213">
        <v>1.8100000000000002E-2</v>
      </c>
      <c r="AO881" s="352">
        <v>0.1075</v>
      </c>
      <c r="AP881" s="213">
        <v>0.25580000000000003</v>
      </c>
      <c r="AQ881" s="219">
        <v>-1.4163865798779189</v>
      </c>
      <c r="AR881" s="213" t="s">
        <v>1827</v>
      </c>
      <c r="AV881" s="343"/>
      <c r="AW881" s="328"/>
      <c r="AX881" s="329"/>
      <c r="AY881" s="328"/>
      <c r="AZ881" s="328"/>
      <c r="BA881" s="330"/>
      <c r="BB881" s="328"/>
      <c r="BC881" s="328"/>
      <c r="BD881" s="328"/>
      <c r="BE881" s="330"/>
      <c r="BF881" s="330"/>
      <c r="BG881" s="344"/>
      <c r="BH881" s="330"/>
      <c r="BI881" s="330"/>
      <c r="BJ881" s="330"/>
      <c r="BK881" s="330"/>
      <c r="BL881" s="330"/>
      <c r="BM881" s="330"/>
      <c r="BN881" s="330"/>
      <c r="BO881" s="330"/>
      <c r="BP881" s="331"/>
      <c r="BQ881" s="332"/>
      <c r="BR881" s="333"/>
    </row>
    <row r="882" spans="2:70" ht="15.75" customHeight="1">
      <c r="B882" s="216" t="s">
        <v>577</v>
      </c>
      <c r="C882" s="212">
        <v>537425</v>
      </c>
      <c r="D882" s="223">
        <v>11228500000100</v>
      </c>
      <c r="E882" s="217" t="s">
        <v>25</v>
      </c>
      <c r="F882" s="217" t="s">
        <v>958</v>
      </c>
      <c r="G882" s="217" t="s">
        <v>962</v>
      </c>
      <c r="H882" s="218" t="s">
        <v>66</v>
      </c>
      <c r="I882" s="217" t="s">
        <v>1842</v>
      </c>
      <c r="J882" s="217" t="s">
        <v>66</v>
      </c>
      <c r="K882" s="218"/>
      <c r="L882" s="212" t="s">
        <v>87</v>
      </c>
      <c r="M882" s="250"/>
      <c r="N882" s="239">
        <v>40176</v>
      </c>
      <c r="O882" s="210" t="s">
        <v>576</v>
      </c>
      <c r="P882" s="210" t="s">
        <v>1090</v>
      </c>
      <c r="Q882" s="210" t="s">
        <v>1091</v>
      </c>
      <c r="R882" s="210" t="s">
        <v>1084</v>
      </c>
      <c r="S882" s="210" t="s">
        <v>1085</v>
      </c>
      <c r="T882" s="210" t="s">
        <v>1082</v>
      </c>
      <c r="U882" s="210" t="s">
        <v>958</v>
      </c>
      <c r="V882" s="210" t="s">
        <v>25</v>
      </c>
      <c r="W882" s="211" t="s">
        <v>1012</v>
      </c>
      <c r="X882" s="211">
        <v>5000</v>
      </c>
      <c r="Y882" s="211">
        <v>5000</v>
      </c>
      <c r="Z882" s="212">
        <v>5000</v>
      </c>
      <c r="AA882" s="240">
        <v>31</v>
      </c>
      <c r="AB882" s="213">
        <v>0.02</v>
      </c>
      <c r="AC882" s="213">
        <v>0.2</v>
      </c>
      <c r="AD882" s="213" t="s">
        <v>109</v>
      </c>
      <c r="AE882" s="213">
        <v>5.0000000000000001E-3</v>
      </c>
      <c r="AF882" s="241" t="s">
        <v>66</v>
      </c>
      <c r="AG882" s="241" t="s">
        <v>66</v>
      </c>
      <c r="AH882" s="213" t="s">
        <v>66</v>
      </c>
      <c r="AI882" s="352" t="s">
        <v>66</v>
      </c>
      <c r="AJ882" s="213" t="s">
        <v>66</v>
      </c>
      <c r="AK882" s="352" t="s">
        <v>66</v>
      </c>
      <c r="AL882" s="213" t="s">
        <v>66</v>
      </c>
      <c r="AM882" s="352" t="s">
        <v>66</v>
      </c>
      <c r="AN882" s="213" t="s">
        <v>66</v>
      </c>
      <c r="AO882" s="352" t="s">
        <v>66</v>
      </c>
      <c r="AP882" s="213" t="s">
        <v>66</v>
      </c>
      <c r="AQ882" s="219" t="s">
        <v>66</v>
      </c>
      <c r="AR882" s="213" t="s">
        <v>1827</v>
      </c>
      <c r="AV882" s="343"/>
      <c r="AW882" s="328"/>
      <c r="AX882" s="329"/>
      <c r="AY882" s="328"/>
      <c r="AZ882" s="328"/>
      <c r="BA882" s="330"/>
      <c r="BB882" s="328"/>
      <c r="BC882" s="328"/>
      <c r="BD882" s="328"/>
      <c r="BE882" s="330"/>
      <c r="BF882" s="330"/>
      <c r="BG882" s="344"/>
      <c r="BH882" s="330"/>
      <c r="BI882" s="330"/>
      <c r="BJ882" s="330"/>
      <c r="BK882" s="330"/>
      <c r="BL882" s="330"/>
      <c r="BM882" s="330"/>
      <c r="BN882" s="330"/>
      <c r="BO882" s="330"/>
      <c r="BP882" s="331"/>
      <c r="BQ882" s="332"/>
      <c r="BR882" s="333"/>
    </row>
    <row r="883" spans="2:70" ht="15.75" customHeight="1">
      <c r="B883" s="216" t="s">
        <v>1563</v>
      </c>
      <c r="C883" s="212">
        <v>3247540</v>
      </c>
      <c r="D883" s="223">
        <v>7013315000112</v>
      </c>
      <c r="E883" s="217" t="s">
        <v>25</v>
      </c>
      <c r="F883" s="217" t="s">
        <v>959</v>
      </c>
      <c r="G883" s="217" t="s">
        <v>960</v>
      </c>
      <c r="H883" s="218" t="s">
        <v>66</v>
      </c>
      <c r="I883" s="217" t="s">
        <v>1842</v>
      </c>
      <c r="J883" s="217" t="s">
        <v>66</v>
      </c>
      <c r="K883" s="218" t="s">
        <v>951</v>
      </c>
      <c r="L883" s="212" t="s">
        <v>87</v>
      </c>
      <c r="M883" s="250"/>
      <c r="N883" s="239">
        <v>38265</v>
      </c>
      <c r="O883" s="210" t="s">
        <v>576</v>
      </c>
      <c r="P883" s="210" t="s">
        <v>1090</v>
      </c>
      <c r="Q883" s="210" t="s">
        <v>1091</v>
      </c>
      <c r="R883" s="210" t="s">
        <v>1084</v>
      </c>
      <c r="S883" s="210" t="s">
        <v>1078</v>
      </c>
      <c r="T883" s="210" t="s">
        <v>1082</v>
      </c>
      <c r="U883" s="210" t="s">
        <v>1086</v>
      </c>
      <c r="V883" s="210" t="s">
        <v>25</v>
      </c>
      <c r="W883" s="211" t="s">
        <v>1023</v>
      </c>
      <c r="X883" s="211">
        <v>5000</v>
      </c>
      <c r="Y883" s="211">
        <v>5000</v>
      </c>
      <c r="Z883" s="212">
        <v>5000</v>
      </c>
      <c r="AA883" s="240">
        <v>32</v>
      </c>
      <c r="AB883" s="213">
        <v>1.7999999999999999E-2</v>
      </c>
      <c r="AC883" s="213">
        <v>0.2</v>
      </c>
      <c r="AD883" s="213" t="s">
        <v>109</v>
      </c>
      <c r="AE883" s="213">
        <v>4.7999999999999996E-3</v>
      </c>
      <c r="AF883" s="241">
        <v>125043687.45999999</v>
      </c>
      <c r="AG883" s="241">
        <v>125043687.45999999</v>
      </c>
      <c r="AH883" s="213">
        <v>-5.8099999999999999E-2</v>
      </c>
      <c r="AI883" s="352">
        <v>-0.89559999999999995</v>
      </c>
      <c r="AJ883" s="213">
        <v>-9.3600000000000003E-2</v>
      </c>
      <c r="AK883" s="352">
        <v>-0.99480000000000002</v>
      </c>
      <c r="AL883" s="213">
        <v>-6.8599999999999994E-2</v>
      </c>
      <c r="AM883" s="352">
        <v>-0.56769999999999998</v>
      </c>
      <c r="AN883" s="213">
        <v>9.6500000000000002E-2</v>
      </c>
      <c r="AO883" s="352">
        <v>0.57289999999999996</v>
      </c>
      <c r="AP883" s="213">
        <v>0.13869999999999999</v>
      </c>
      <c r="AQ883" s="219">
        <v>-1.2877716876593364</v>
      </c>
      <c r="AR883" s="213" t="s">
        <v>1827</v>
      </c>
      <c r="AV883" s="343"/>
      <c r="AW883" s="328"/>
      <c r="AX883" s="329"/>
      <c r="AY883" s="328"/>
      <c r="AZ883" s="328"/>
      <c r="BA883" s="330"/>
      <c r="BB883" s="328"/>
      <c r="BC883" s="328"/>
      <c r="BD883" s="328"/>
      <c r="BE883" s="330"/>
      <c r="BF883" s="330"/>
      <c r="BG883" s="344"/>
      <c r="BH883" s="330"/>
      <c r="BI883" s="330"/>
      <c r="BJ883" s="330"/>
      <c r="BK883" s="330"/>
      <c r="BL883" s="330"/>
      <c r="BM883" s="330"/>
      <c r="BN883" s="330"/>
      <c r="BO883" s="330"/>
      <c r="BP883" s="331"/>
      <c r="BQ883" s="332"/>
      <c r="BR883" s="333"/>
    </row>
    <row r="884" spans="2:70" ht="15.75" customHeight="1">
      <c r="B884" s="216" t="s">
        <v>1564</v>
      </c>
      <c r="C884" s="212">
        <v>4122249</v>
      </c>
      <c r="D884" s="223">
        <v>23601467000192</v>
      </c>
      <c r="E884" s="217" t="s">
        <v>19</v>
      </c>
      <c r="F884" s="217" t="s">
        <v>963</v>
      </c>
      <c r="G884" s="217" t="s">
        <v>1034</v>
      </c>
      <c r="H884" s="218" t="s">
        <v>1113</v>
      </c>
      <c r="I884" s="217" t="s">
        <v>66</v>
      </c>
      <c r="J884" s="217" t="s">
        <v>1822</v>
      </c>
      <c r="K884" s="218" t="s">
        <v>951</v>
      </c>
      <c r="L884" s="212" t="s">
        <v>87</v>
      </c>
      <c r="M884" s="250"/>
      <c r="N884" s="239">
        <v>42432</v>
      </c>
      <c r="O884" s="210" t="s">
        <v>576</v>
      </c>
      <c r="P884" s="210" t="s">
        <v>1090</v>
      </c>
      <c r="Q884" s="210" t="s">
        <v>1091</v>
      </c>
      <c r="R884" s="210" t="s">
        <v>1077</v>
      </c>
      <c r="S884" s="210" t="s">
        <v>1078</v>
      </c>
      <c r="T884" s="210" t="s">
        <v>32</v>
      </c>
      <c r="U884" s="210" t="s">
        <v>1150</v>
      </c>
      <c r="V884" s="210" t="s">
        <v>25</v>
      </c>
      <c r="W884" s="211" t="s">
        <v>1016</v>
      </c>
      <c r="X884" s="211">
        <v>5000</v>
      </c>
      <c r="Y884" s="211">
        <v>5000</v>
      </c>
      <c r="Z884" s="212">
        <v>5000</v>
      </c>
      <c r="AA884" s="240">
        <v>33</v>
      </c>
      <c r="AB884" s="213">
        <v>0.01</v>
      </c>
      <c r="AC884" s="213">
        <v>0.2</v>
      </c>
      <c r="AD884" s="213" t="s">
        <v>109</v>
      </c>
      <c r="AE884" s="213">
        <v>2.6666666666666666E-3</v>
      </c>
      <c r="AF884" s="241">
        <v>37809210.340000004</v>
      </c>
      <c r="AG884" s="241">
        <v>37809210.340000004</v>
      </c>
      <c r="AH884" s="213">
        <v>5.9200000000000003E-2</v>
      </c>
      <c r="AI884" s="352">
        <v>0.91120000000000001</v>
      </c>
      <c r="AJ884" s="213">
        <v>9.35E-2</v>
      </c>
      <c r="AK884" s="352">
        <v>0.99419999999999997</v>
      </c>
      <c r="AL884" s="213">
        <v>0.16639999999999999</v>
      </c>
      <c r="AM884" s="352">
        <v>1.3773</v>
      </c>
      <c r="AN884" s="213">
        <v>7.9799999999999996E-2</v>
      </c>
      <c r="AO884" s="352">
        <v>0.47360000000000002</v>
      </c>
      <c r="AP884" s="213">
        <v>1.7000000000000001E-2</v>
      </c>
      <c r="AQ884" s="219">
        <v>-2.1225525331348478E-2</v>
      </c>
      <c r="AR884" s="213" t="s">
        <v>1827</v>
      </c>
      <c r="AV884" s="343"/>
      <c r="AW884" s="328"/>
      <c r="AX884" s="329"/>
      <c r="AY884" s="328"/>
      <c r="AZ884" s="328"/>
      <c r="BA884" s="330"/>
      <c r="BB884" s="328"/>
      <c r="BC884" s="328"/>
      <c r="BD884" s="328"/>
      <c r="BE884" s="330"/>
      <c r="BF884" s="330"/>
      <c r="BG884" s="344"/>
      <c r="BH884" s="330"/>
      <c r="BI884" s="330"/>
      <c r="BJ884" s="330"/>
      <c r="BK884" s="330"/>
      <c r="BL884" s="330"/>
      <c r="BM884" s="330"/>
      <c r="BN884" s="330"/>
      <c r="BO884" s="330"/>
      <c r="BP884" s="331"/>
      <c r="BQ884" s="332"/>
      <c r="BR884" s="333"/>
    </row>
    <row r="885" spans="2:70" ht="15.75" customHeight="1">
      <c r="B885" s="216" t="s">
        <v>833</v>
      </c>
      <c r="C885" s="212">
        <v>1994806</v>
      </c>
      <c r="D885" s="223">
        <v>17092258000168</v>
      </c>
      <c r="E885" s="217" t="s">
        <v>25</v>
      </c>
      <c r="F885" s="217" t="s">
        <v>958</v>
      </c>
      <c r="G885" s="217" t="s">
        <v>962</v>
      </c>
      <c r="H885" s="218" t="s">
        <v>66</v>
      </c>
      <c r="I885" s="217" t="s">
        <v>1841</v>
      </c>
      <c r="J885" s="217" t="s">
        <v>66</v>
      </c>
      <c r="K885" s="218"/>
      <c r="L885" s="212" t="s">
        <v>87</v>
      </c>
      <c r="M885" s="250"/>
      <c r="N885" s="239">
        <v>41361</v>
      </c>
      <c r="O885" s="210" t="s">
        <v>578</v>
      </c>
      <c r="P885" s="210" t="s">
        <v>1083</v>
      </c>
      <c r="Q885" s="210" t="s">
        <v>102</v>
      </c>
      <c r="R885" s="210" t="s">
        <v>1084</v>
      </c>
      <c r="S885" s="210" t="s">
        <v>1078</v>
      </c>
      <c r="T885" s="210" t="s">
        <v>1082</v>
      </c>
      <c r="U885" s="210" t="s">
        <v>958</v>
      </c>
      <c r="V885" s="210" t="s">
        <v>25</v>
      </c>
      <c r="W885" s="211" t="s">
        <v>1035</v>
      </c>
      <c r="X885" s="211">
        <v>1000</v>
      </c>
      <c r="Y885" s="211">
        <v>1000</v>
      </c>
      <c r="Z885" s="212">
        <v>1000</v>
      </c>
      <c r="AA885" s="240">
        <v>34</v>
      </c>
      <c r="AB885" s="213">
        <v>5.0000000000000001E-3</v>
      </c>
      <c r="AC885" s="213">
        <v>0</v>
      </c>
      <c r="AD885" s="213" t="s">
        <v>109</v>
      </c>
      <c r="AE885" s="213">
        <v>1.3333333333333333E-3</v>
      </c>
      <c r="AF885" s="241">
        <v>95894717.409999996</v>
      </c>
      <c r="AG885" s="241">
        <v>95894717.409999996</v>
      </c>
      <c r="AH885" s="213">
        <v>9.5899999999999999E-2</v>
      </c>
      <c r="AI885" s="352">
        <v>1.4767999999999999</v>
      </c>
      <c r="AJ885" s="213">
        <v>0.13</v>
      </c>
      <c r="AK885" s="352">
        <v>1.3814</v>
      </c>
      <c r="AL885" s="213">
        <v>0.1641</v>
      </c>
      <c r="AM885" s="352">
        <v>1.3580000000000001</v>
      </c>
      <c r="AN885" s="213">
        <v>0.27710000000000001</v>
      </c>
      <c r="AO885" s="352">
        <v>1.6444000000000001</v>
      </c>
      <c r="AP885" s="213">
        <v>2.8299999999999999E-2</v>
      </c>
      <c r="AQ885" s="219">
        <v>1.1541365040752256</v>
      </c>
      <c r="AR885" s="213" t="s">
        <v>1827</v>
      </c>
      <c r="AV885" s="343"/>
      <c r="AW885" s="328"/>
      <c r="AX885" s="329"/>
      <c r="AY885" s="328"/>
      <c r="AZ885" s="328"/>
      <c r="BA885" s="330"/>
      <c r="BB885" s="328"/>
      <c r="BC885" s="328"/>
      <c r="BD885" s="328"/>
      <c r="BE885" s="330"/>
      <c r="BF885" s="330"/>
      <c r="BG885" s="344"/>
      <c r="BH885" s="330"/>
      <c r="BI885" s="330"/>
      <c r="BJ885" s="330"/>
      <c r="BK885" s="330"/>
      <c r="BL885" s="330"/>
      <c r="BM885" s="330"/>
      <c r="BN885" s="330"/>
      <c r="BO885" s="330"/>
      <c r="BP885" s="331"/>
      <c r="BQ885" s="332"/>
      <c r="BR885" s="333"/>
    </row>
    <row r="886" spans="2:70" ht="15.75" customHeight="1">
      <c r="B886" s="216" t="s">
        <v>1565</v>
      </c>
      <c r="C886" s="212">
        <v>586838</v>
      </c>
      <c r="D886" s="223">
        <v>2603461000184</v>
      </c>
      <c r="E886" s="217" t="s">
        <v>19</v>
      </c>
      <c r="F886" s="217" t="s">
        <v>963</v>
      </c>
      <c r="G886" s="217" t="s">
        <v>1011</v>
      </c>
      <c r="H886" s="218" t="s">
        <v>1113</v>
      </c>
      <c r="I886" s="217" t="s">
        <v>66</v>
      </c>
      <c r="J886" s="217"/>
      <c r="K886" s="218" t="s">
        <v>951</v>
      </c>
      <c r="L886" s="212" t="s">
        <v>87</v>
      </c>
      <c r="M886" s="250"/>
      <c r="N886" s="239">
        <v>35979</v>
      </c>
      <c r="O886" s="210" t="s">
        <v>578</v>
      </c>
      <c r="P886" s="210" t="s">
        <v>1083</v>
      </c>
      <c r="Q886" s="210" t="s">
        <v>102</v>
      </c>
      <c r="R886" s="210" t="s">
        <v>1084</v>
      </c>
      <c r="S886" s="210" t="s">
        <v>1078</v>
      </c>
      <c r="T886" s="210" t="s">
        <v>349</v>
      </c>
      <c r="U886" s="210" t="s">
        <v>1114</v>
      </c>
      <c r="V886" s="210" t="s">
        <v>19</v>
      </c>
      <c r="W886" s="211" t="s">
        <v>1017</v>
      </c>
      <c r="X886" s="211">
        <v>3000</v>
      </c>
      <c r="Y886" s="211">
        <v>100</v>
      </c>
      <c r="Z886" s="212">
        <v>1000</v>
      </c>
      <c r="AA886" s="240">
        <v>1</v>
      </c>
      <c r="AB886" s="213">
        <v>5.0000000000000001E-3</v>
      </c>
      <c r="AC886" s="213">
        <v>0.2</v>
      </c>
      <c r="AD886" s="213" t="s">
        <v>109</v>
      </c>
      <c r="AE886" s="213">
        <v>1.3333333333333333E-3</v>
      </c>
      <c r="AF886" s="241">
        <v>541979933.22000003</v>
      </c>
      <c r="AG886" s="241">
        <v>541979933.22000003</v>
      </c>
      <c r="AH886" s="213">
        <v>5.7000000000000002E-2</v>
      </c>
      <c r="AI886" s="352">
        <v>0.87749999999999995</v>
      </c>
      <c r="AJ886" s="213">
        <v>8.0299999999999996E-2</v>
      </c>
      <c r="AK886" s="352">
        <v>0.85360000000000003</v>
      </c>
      <c r="AL886" s="213">
        <v>9.5799999999999996E-2</v>
      </c>
      <c r="AM886" s="352">
        <v>0.79310000000000003</v>
      </c>
      <c r="AN886" s="213">
        <v>0.14879999999999999</v>
      </c>
      <c r="AO886" s="352">
        <v>0.88300000000000001</v>
      </c>
      <c r="AP886" s="213">
        <v>1.2200000000000001E-2</v>
      </c>
      <c r="AQ886" s="219">
        <v>-1.0366749241321043</v>
      </c>
      <c r="AR886" s="213" t="s">
        <v>1827</v>
      </c>
      <c r="AV886" s="343"/>
      <c r="AW886" s="328"/>
      <c r="AX886" s="329"/>
      <c r="AY886" s="328"/>
      <c r="AZ886" s="328"/>
      <c r="BA886" s="330"/>
      <c r="BB886" s="328"/>
      <c r="BC886" s="328"/>
      <c r="BD886" s="328"/>
      <c r="BE886" s="330"/>
      <c r="BF886" s="330"/>
      <c r="BG886" s="344"/>
      <c r="BH886" s="330"/>
      <c r="BI886" s="330"/>
      <c r="BJ886" s="330"/>
      <c r="BK886" s="330"/>
      <c r="BL886" s="330"/>
      <c r="BM886" s="330"/>
      <c r="BN886" s="330"/>
      <c r="BO886" s="330"/>
      <c r="BP886" s="331"/>
      <c r="BQ886" s="332"/>
      <c r="BR886" s="333"/>
    </row>
    <row r="887" spans="2:70" ht="15.75" customHeight="1">
      <c r="B887" s="216" t="s">
        <v>1566</v>
      </c>
      <c r="C887" s="212">
        <v>3684223</v>
      </c>
      <c r="D887" s="223">
        <v>18719154000101</v>
      </c>
      <c r="E887" s="217" t="s">
        <v>19</v>
      </c>
      <c r="F887" s="217" t="s">
        <v>963</v>
      </c>
      <c r="G887" s="217" t="s">
        <v>1021</v>
      </c>
      <c r="H887" s="218" t="s">
        <v>1113</v>
      </c>
      <c r="I887" s="217" t="s">
        <v>66</v>
      </c>
      <c r="J887" s="217"/>
      <c r="K887" s="218" t="s">
        <v>951</v>
      </c>
      <c r="L887" s="212" t="s">
        <v>87</v>
      </c>
      <c r="M887" s="250"/>
      <c r="N887" s="239">
        <v>41698</v>
      </c>
      <c r="O887" s="210" t="s">
        <v>578</v>
      </c>
      <c r="P887" s="210" t="s">
        <v>1083</v>
      </c>
      <c r="Q887" s="210" t="s">
        <v>102</v>
      </c>
      <c r="R887" s="210" t="s">
        <v>1084</v>
      </c>
      <c r="S887" s="210" t="s">
        <v>1085</v>
      </c>
      <c r="T887" s="210" t="s">
        <v>349</v>
      </c>
      <c r="U887" s="210" t="s">
        <v>1114</v>
      </c>
      <c r="V887" s="210" t="s">
        <v>19</v>
      </c>
      <c r="W887" s="211" t="s">
        <v>1026</v>
      </c>
      <c r="X887" s="211">
        <v>1000</v>
      </c>
      <c r="Y887" s="211">
        <v>100</v>
      </c>
      <c r="Z887" s="212">
        <v>1000</v>
      </c>
      <c r="AA887" s="240">
        <v>0</v>
      </c>
      <c r="AB887" s="213">
        <v>4.0000000000000001E-3</v>
      </c>
      <c r="AC887" s="213">
        <v>0</v>
      </c>
      <c r="AD887" s="213" t="s">
        <v>109</v>
      </c>
      <c r="AE887" s="213">
        <v>6.6666666666666664E-4</v>
      </c>
      <c r="AF887" s="241">
        <v>4222748283.6900001</v>
      </c>
      <c r="AG887" s="241">
        <v>4222748283.6900001</v>
      </c>
      <c r="AH887" s="213">
        <v>6.9599999999999995E-2</v>
      </c>
      <c r="AI887" s="352">
        <v>1.0719000000000001</v>
      </c>
      <c r="AJ887" s="213">
        <v>0.1053</v>
      </c>
      <c r="AK887" s="352">
        <v>1.1193</v>
      </c>
      <c r="AL887" s="213">
        <v>0.16880000000000001</v>
      </c>
      <c r="AM887" s="352">
        <v>1.3972</v>
      </c>
      <c r="AN887" s="213">
        <v>0.18559999999999999</v>
      </c>
      <c r="AO887" s="352">
        <v>1.1016999999999999</v>
      </c>
      <c r="AP887" s="213">
        <v>1.8E-3</v>
      </c>
      <c r="AQ887" s="219">
        <v>5.5426112048690266</v>
      </c>
      <c r="AR887" s="213" t="s">
        <v>1827</v>
      </c>
      <c r="AV887" s="343"/>
      <c r="AW887" s="328"/>
      <c r="AX887" s="329"/>
      <c r="AY887" s="328"/>
      <c r="AZ887" s="328"/>
      <c r="BA887" s="330"/>
      <c r="BB887" s="328"/>
      <c r="BC887" s="328"/>
      <c r="BD887" s="328"/>
      <c r="BE887" s="330"/>
      <c r="BF887" s="330"/>
      <c r="BG887" s="344"/>
      <c r="BH887" s="330"/>
      <c r="BI887" s="330"/>
      <c r="BJ887" s="330"/>
      <c r="BK887" s="330"/>
      <c r="BL887" s="330"/>
      <c r="BM887" s="330"/>
      <c r="BN887" s="330"/>
      <c r="BO887" s="330"/>
      <c r="BP887" s="331"/>
      <c r="BQ887" s="332"/>
      <c r="BR887" s="333"/>
    </row>
    <row r="888" spans="2:70" ht="15.75" customHeight="1">
      <c r="B888" s="216" t="s">
        <v>579</v>
      </c>
      <c r="C888" s="212">
        <v>1167001</v>
      </c>
      <c r="D888" s="223">
        <v>398561000190</v>
      </c>
      <c r="E888" s="217" t="s">
        <v>28</v>
      </c>
      <c r="F888" s="217" t="s">
        <v>950</v>
      </c>
      <c r="G888" s="217"/>
      <c r="H888" s="218"/>
      <c r="I888" s="217" t="s">
        <v>66</v>
      </c>
      <c r="J888" s="217" t="s">
        <v>66</v>
      </c>
      <c r="K888" s="218" t="s">
        <v>951</v>
      </c>
      <c r="L888" s="212" t="s">
        <v>87</v>
      </c>
      <c r="M888" s="250"/>
      <c r="N888" s="239">
        <v>34723</v>
      </c>
      <c r="O888" s="210" t="s">
        <v>578</v>
      </c>
      <c r="P888" s="210" t="s">
        <v>1083</v>
      </c>
      <c r="Q888" s="210" t="s">
        <v>102</v>
      </c>
      <c r="R888" s="210" t="s">
        <v>1084</v>
      </c>
      <c r="S888" s="210" t="s">
        <v>1078</v>
      </c>
      <c r="T888" s="210" t="s">
        <v>1079</v>
      </c>
      <c r="U888" s="210" t="s">
        <v>950</v>
      </c>
      <c r="V888" s="210" t="s">
        <v>1080</v>
      </c>
      <c r="W888" s="211" t="s">
        <v>1007</v>
      </c>
      <c r="X888" s="211">
        <v>1000</v>
      </c>
      <c r="Y888" s="211">
        <v>100</v>
      </c>
      <c r="Z888" s="212">
        <v>1000</v>
      </c>
      <c r="AA888" s="240">
        <v>3</v>
      </c>
      <c r="AB888" s="213">
        <v>0.02</v>
      </c>
      <c r="AC888" s="213">
        <v>0.2</v>
      </c>
      <c r="AD888" s="213" t="s">
        <v>1014</v>
      </c>
      <c r="AE888" s="213">
        <v>6.0000000000000001E-3</v>
      </c>
      <c r="AF888" s="241">
        <v>86702375.420000002</v>
      </c>
      <c r="AG888" s="241">
        <v>86702375.420000002</v>
      </c>
      <c r="AH888" s="213">
        <v>-5.4699999999999999E-2</v>
      </c>
      <c r="AI888" s="352">
        <v>-0.84289999999999998</v>
      </c>
      <c r="AJ888" s="213">
        <v>-0.2581</v>
      </c>
      <c r="AK888" s="352">
        <v>-2.7429000000000001</v>
      </c>
      <c r="AL888" s="213">
        <v>-6.5699999999999995E-2</v>
      </c>
      <c r="AM888" s="352">
        <v>-0.54339999999999999</v>
      </c>
      <c r="AN888" s="213">
        <v>-0.1027</v>
      </c>
      <c r="AO888" s="352">
        <v>-0.60950000000000004</v>
      </c>
      <c r="AP888" s="213">
        <v>0.23880000000000001</v>
      </c>
      <c r="AQ888" s="219">
        <v>-1.5066322640594862</v>
      </c>
      <c r="AR888" s="213" t="s">
        <v>1827</v>
      </c>
      <c r="AV888" s="343"/>
      <c r="AW888" s="328"/>
      <c r="AX888" s="329"/>
      <c r="AY888" s="328"/>
      <c r="AZ888" s="328"/>
      <c r="BA888" s="330"/>
      <c r="BB888" s="328"/>
      <c r="BC888" s="328"/>
      <c r="BD888" s="328"/>
      <c r="BE888" s="330"/>
      <c r="BF888" s="330"/>
      <c r="BG888" s="344"/>
      <c r="BH888" s="330"/>
      <c r="BI888" s="330"/>
      <c r="BJ888" s="330"/>
      <c r="BK888" s="330"/>
      <c r="BL888" s="330"/>
      <c r="BM888" s="330"/>
      <c r="BN888" s="330"/>
      <c r="BO888" s="330"/>
      <c r="BP888" s="331"/>
      <c r="BQ888" s="332"/>
      <c r="BR888" s="333"/>
    </row>
    <row r="889" spans="2:70" ht="15.75" customHeight="1">
      <c r="B889" s="216" t="s">
        <v>580</v>
      </c>
      <c r="C889" s="212">
        <v>1218966</v>
      </c>
      <c r="D889" s="223">
        <v>24011864000177</v>
      </c>
      <c r="E889" s="217" t="s">
        <v>19</v>
      </c>
      <c r="F889" s="217" t="s">
        <v>964</v>
      </c>
      <c r="G889" s="217" t="s">
        <v>1021</v>
      </c>
      <c r="H889" s="218" t="s">
        <v>1113</v>
      </c>
      <c r="I889" s="217" t="s">
        <v>66</v>
      </c>
      <c r="J889" s="217"/>
      <c r="K889" s="218" t="s">
        <v>951</v>
      </c>
      <c r="L889" s="212" t="s">
        <v>87</v>
      </c>
      <c r="M889" s="250"/>
      <c r="N889" s="239">
        <v>42430</v>
      </c>
      <c r="O889" s="210" t="s">
        <v>578</v>
      </c>
      <c r="P889" s="210" t="s">
        <v>1083</v>
      </c>
      <c r="Q889" s="210" t="s">
        <v>102</v>
      </c>
      <c r="R889" s="210" t="s">
        <v>1084</v>
      </c>
      <c r="S889" s="210" t="s">
        <v>1078</v>
      </c>
      <c r="T889" s="210" t="s">
        <v>349</v>
      </c>
      <c r="U889" s="210" t="s">
        <v>964</v>
      </c>
      <c r="V889" s="210" t="s">
        <v>19</v>
      </c>
      <c r="W889" s="211" t="s">
        <v>1895</v>
      </c>
      <c r="X889" s="211">
        <v>5000</v>
      </c>
      <c r="Y889" s="211">
        <v>100</v>
      </c>
      <c r="Z889" s="212">
        <v>1000</v>
      </c>
      <c r="AA889" s="240">
        <v>1</v>
      </c>
      <c r="AB889" s="213">
        <v>5.0000000000000001E-3</v>
      </c>
      <c r="AC889" s="213">
        <v>0.2</v>
      </c>
      <c r="AD889" s="213" t="s">
        <v>981</v>
      </c>
      <c r="AE889" s="213">
        <v>1.3333333333333333E-3</v>
      </c>
      <c r="AF889" s="241">
        <v>164703657.97999999</v>
      </c>
      <c r="AG889" s="241">
        <v>164703657.97999999</v>
      </c>
      <c r="AH889" s="213">
        <v>6.2399999999999997E-2</v>
      </c>
      <c r="AI889" s="352">
        <v>0.96140000000000003</v>
      </c>
      <c r="AJ889" s="213">
        <v>9.2799999999999994E-2</v>
      </c>
      <c r="AK889" s="352">
        <v>0.9859</v>
      </c>
      <c r="AL889" s="213">
        <v>0.15690000000000001</v>
      </c>
      <c r="AM889" s="352">
        <v>1.2987</v>
      </c>
      <c r="AN889" s="213">
        <v>0.2545</v>
      </c>
      <c r="AO889" s="352">
        <v>1.5105</v>
      </c>
      <c r="AP889" s="213">
        <v>2.76E-2</v>
      </c>
      <c r="AQ889" s="219">
        <v>-3.0185855109429002E-2</v>
      </c>
      <c r="AR889" s="213" t="s">
        <v>1824</v>
      </c>
      <c r="AV889" s="343"/>
      <c r="AW889" s="328"/>
      <c r="AX889" s="329"/>
      <c r="AY889" s="328"/>
      <c r="AZ889" s="328"/>
      <c r="BA889" s="330"/>
      <c r="BB889" s="328"/>
      <c r="BC889" s="328"/>
      <c r="BD889" s="328"/>
      <c r="BE889" s="330"/>
      <c r="BF889" s="330"/>
      <c r="BG889" s="344"/>
      <c r="BH889" s="330"/>
      <c r="BI889" s="330"/>
      <c r="BJ889" s="330"/>
      <c r="BK889" s="330"/>
      <c r="BL889" s="330"/>
      <c r="BM889" s="330"/>
      <c r="BN889" s="330"/>
      <c r="BO889" s="330"/>
      <c r="BP889" s="331"/>
      <c r="BQ889" s="332"/>
      <c r="BR889" s="333"/>
    </row>
    <row r="890" spans="2:70" ht="15.75" customHeight="1">
      <c r="B890" s="216" t="s">
        <v>1567</v>
      </c>
      <c r="C890" s="212">
        <v>1183824</v>
      </c>
      <c r="D890" s="223">
        <v>35378376000119</v>
      </c>
      <c r="E890" s="217" t="s">
        <v>19</v>
      </c>
      <c r="F890" s="217" t="s">
        <v>963</v>
      </c>
      <c r="G890" s="217" t="s">
        <v>1011</v>
      </c>
      <c r="H890" s="218" t="s">
        <v>1113</v>
      </c>
      <c r="I890" s="217" t="s">
        <v>66</v>
      </c>
      <c r="J890" s="217"/>
      <c r="K890" s="218" t="s">
        <v>951</v>
      </c>
      <c r="L890" s="212" t="s">
        <v>87</v>
      </c>
      <c r="M890" s="250"/>
      <c r="N890" s="239">
        <v>43798</v>
      </c>
      <c r="O890" s="210" t="s">
        <v>578</v>
      </c>
      <c r="P890" s="210" t="s">
        <v>1083</v>
      </c>
      <c r="Q890" s="210" t="s">
        <v>102</v>
      </c>
      <c r="R890" s="210" t="s">
        <v>1084</v>
      </c>
      <c r="S890" s="210" t="s">
        <v>1078</v>
      </c>
      <c r="T890" s="210" t="s">
        <v>349</v>
      </c>
      <c r="U890" s="210" t="s">
        <v>964</v>
      </c>
      <c r="V890" s="210" t="s">
        <v>19</v>
      </c>
      <c r="W890" s="211" t="s">
        <v>1024</v>
      </c>
      <c r="X890" s="211">
        <v>3000</v>
      </c>
      <c r="Y890" s="211">
        <v>100</v>
      </c>
      <c r="Z890" s="212">
        <v>1000</v>
      </c>
      <c r="AA890" s="240">
        <v>30</v>
      </c>
      <c r="AB890" s="213">
        <v>5.0000000000000001E-3</v>
      </c>
      <c r="AC890" s="213">
        <v>0.2</v>
      </c>
      <c r="AD890" s="213" t="s">
        <v>109</v>
      </c>
      <c r="AE890" s="213">
        <v>1.3333333333333333E-3</v>
      </c>
      <c r="AF890" s="241">
        <v>194613081.88999999</v>
      </c>
      <c r="AG890" s="241">
        <v>194613081.88999999</v>
      </c>
      <c r="AH890" s="213">
        <v>7.3899999999999993E-2</v>
      </c>
      <c r="AI890" s="352">
        <v>1.1380999999999999</v>
      </c>
      <c r="AJ890" s="213">
        <v>0.1133</v>
      </c>
      <c r="AK890" s="352">
        <v>1.2048000000000001</v>
      </c>
      <c r="AL890" s="213">
        <v>0.1852</v>
      </c>
      <c r="AM890" s="352">
        <v>1.5333000000000001</v>
      </c>
      <c r="AN890" s="213" t="s">
        <v>66</v>
      </c>
      <c r="AO890" s="352" t="s">
        <v>66</v>
      </c>
      <c r="AP890" s="213">
        <v>3.3E-3</v>
      </c>
      <c r="AQ890" s="219">
        <v>5.3495931701238773</v>
      </c>
      <c r="AR890" s="213" t="s">
        <v>1827</v>
      </c>
      <c r="AV890" s="343"/>
      <c r="AW890" s="328"/>
      <c r="AX890" s="329"/>
      <c r="AY890" s="328"/>
      <c r="AZ890" s="328"/>
      <c r="BA890" s="330"/>
      <c r="BB890" s="328"/>
      <c r="BC890" s="328"/>
      <c r="BD890" s="328"/>
      <c r="BE890" s="330"/>
      <c r="BF890" s="330"/>
      <c r="BG890" s="344"/>
      <c r="BH890" s="330"/>
      <c r="BI890" s="330"/>
      <c r="BJ890" s="330"/>
      <c r="BK890" s="330"/>
      <c r="BL890" s="330"/>
      <c r="BM890" s="330"/>
      <c r="BN890" s="330"/>
      <c r="BO890" s="330"/>
      <c r="BP890" s="331"/>
      <c r="BQ890" s="332"/>
      <c r="BR890" s="333"/>
    </row>
    <row r="891" spans="2:70" ht="15.75" customHeight="1">
      <c r="B891" s="216" t="s">
        <v>1568</v>
      </c>
      <c r="C891" s="212">
        <v>2864812</v>
      </c>
      <c r="D891" s="223">
        <v>21625026000103</v>
      </c>
      <c r="E891" s="217" t="s">
        <v>19</v>
      </c>
      <c r="F891" s="217" t="s">
        <v>964</v>
      </c>
      <c r="G891" s="217" t="s">
        <v>1011</v>
      </c>
      <c r="H891" s="218" t="s">
        <v>1259</v>
      </c>
      <c r="I891" s="217" t="s">
        <v>66</v>
      </c>
      <c r="J891" s="217"/>
      <c r="K891" s="218" t="s">
        <v>951</v>
      </c>
      <c r="L891" s="212" t="s">
        <v>87</v>
      </c>
      <c r="M891" s="250"/>
      <c r="N891" s="239">
        <v>42111</v>
      </c>
      <c r="O891" s="210" t="s">
        <v>578</v>
      </c>
      <c r="P891" s="210" t="s">
        <v>1083</v>
      </c>
      <c r="Q891" s="210" t="s">
        <v>102</v>
      </c>
      <c r="R891" s="210" t="s">
        <v>1084</v>
      </c>
      <c r="S891" s="210" t="s">
        <v>1085</v>
      </c>
      <c r="T891" s="210" t="s">
        <v>349</v>
      </c>
      <c r="U891" s="210" t="s">
        <v>964</v>
      </c>
      <c r="V891" s="210" t="s">
        <v>19</v>
      </c>
      <c r="W891" s="211" t="s">
        <v>1017</v>
      </c>
      <c r="X891" s="211">
        <v>20000</v>
      </c>
      <c r="Y891" s="211">
        <v>100</v>
      </c>
      <c r="Z891" s="212">
        <v>1000</v>
      </c>
      <c r="AA891" s="240">
        <v>1</v>
      </c>
      <c r="AB891" s="213">
        <v>5.0000000000000001E-3</v>
      </c>
      <c r="AC891" s="213">
        <v>0.2</v>
      </c>
      <c r="AD891" s="213" t="s">
        <v>1425</v>
      </c>
      <c r="AE891" s="213">
        <v>1.3333333333333333E-3</v>
      </c>
      <c r="AF891" s="241">
        <v>31027390.620000001</v>
      </c>
      <c r="AG891" s="241">
        <v>31027390.620000001</v>
      </c>
      <c r="AH891" s="213">
        <v>3.1800000000000002E-2</v>
      </c>
      <c r="AI891" s="352">
        <v>0.48949999999999999</v>
      </c>
      <c r="AJ891" s="213">
        <v>1.4500000000000001E-2</v>
      </c>
      <c r="AK891" s="352">
        <v>0.15429999999999999</v>
      </c>
      <c r="AL891" s="213">
        <v>5.6599999999999998E-2</v>
      </c>
      <c r="AM891" s="352">
        <v>0.46820000000000001</v>
      </c>
      <c r="AN891" s="213">
        <v>0.13339999999999999</v>
      </c>
      <c r="AO891" s="352">
        <v>0.79139999999999999</v>
      </c>
      <c r="AP891" s="213">
        <v>6.0299999999999999E-2</v>
      </c>
      <c r="AQ891" s="219">
        <v>-1.2222852976554626</v>
      </c>
      <c r="AR891" s="213" t="s">
        <v>1824</v>
      </c>
      <c r="AV891" s="343"/>
      <c r="AW891" s="328"/>
      <c r="AX891" s="329"/>
      <c r="AY891" s="328"/>
      <c r="AZ891" s="328"/>
      <c r="BA891" s="330"/>
      <c r="BB891" s="328"/>
      <c r="BC891" s="328"/>
      <c r="BD891" s="328"/>
      <c r="BE891" s="330"/>
      <c r="BF891" s="330"/>
      <c r="BG891" s="344"/>
      <c r="BH891" s="330"/>
      <c r="BI891" s="330"/>
      <c r="BJ891" s="330"/>
      <c r="BK891" s="330"/>
      <c r="BL891" s="330"/>
      <c r="BM891" s="330"/>
      <c r="BN891" s="330"/>
      <c r="BO891" s="330"/>
      <c r="BP891" s="331"/>
      <c r="BQ891" s="332"/>
      <c r="BR891" s="333"/>
    </row>
    <row r="892" spans="2:70" ht="15.75" customHeight="1">
      <c r="B892" s="216" t="s">
        <v>581</v>
      </c>
      <c r="C892" s="212">
        <v>827813</v>
      </c>
      <c r="D892" s="223">
        <v>400490000113</v>
      </c>
      <c r="E892" s="217" t="s">
        <v>25</v>
      </c>
      <c r="F892" s="217" t="s">
        <v>958</v>
      </c>
      <c r="G892" s="217" t="s">
        <v>962</v>
      </c>
      <c r="H892" s="218" t="s">
        <v>66</v>
      </c>
      <c r="I892" s="217" t="s">
        <v>1841</v>
      </c>
      <c r="J892" s="217" t="s">
        <v>66</v>
      </c>
      <c r="K892" s="218"/>
      <c r="L892" s="212" t="s">
        <v>87</v>
      </c>
      <c r="M892" s="250"/>
      <c r="N892" s="239">
        <v>34731</v>
      </c>
      <c r="O892" s="210" t="s">
        <v>578</v>
      </c>
      <c r="P892" s="210" t="s">
        <v>1083</v>
      </c>
      <c r="Q892" s="210" t="s">
        <v>102</v>
      </c>
      <c r="R892" s="210" t="s">
        <v>1084</v>
      </c>
      <c r="S892" s="210" t="s">
        <v>1078</v>
      </c>
      <c r="T892" s="210" t="s">
        <v>1082</v>
      </c>
      <c r="U892" s="210" t="s">
        <v>958</v>
      </c>
      <c r="V892" s="210" t="s">
        <v>25</v>
      </c>
      <c r="W892" s="211" t="s">
        <v>1012</v>
      </c>
      <c r="X892" s="211">
        <v>5000</v>
      </c>
      <c r="Y892" s="211">
        <v>100</v>
      </c>
      <c r="Z892" s="212">
        <v>5000</v>
      </c>
      <c r="AA892" s="240">
        <v>6</v>
      </c>
      <c r="AB892" s="213">
        <v>1.4999999999999999E-2</v>
      </c>
      <c r="AC892" s="213">
        <v>0.2</v>
      </c>
      <c r="AD892" s="213" t="s">
        <v>109</v>
      </c>
      <c r="AE892" s="213">
        <v>4.4999999999999997E-3</v>
      </c>
      <c r="AF892" s="241">
        <v>291140085.19</v>
      </c>
      <c r="AG892" s="241">
        <v>291140085.19</v>
      </c>
      <c r="AH892" s="213">
        <v>8.4599999999999995E-2</v>
      </c>
      <c r="AI892" s="352">
        <v>1.3025</v>
      </c>
      <c r="AJ892" s="213">
        <v>0.1056</v>
      </c>
      <c r="AK892" s="352">
        <v>1.1227</v>
      </c>
      <c r="AL892" s="213">
        <v>0.1343</v>
      </c>
      <c r="AM892" s="352">
        <v>1.1115999999999999</v>
      </c>
      <c r="AN892" s="213">
        <v>0.24479999999999999</v>
      </c>
      <c r="AO892" s="352">
        <v>1.4527000000000001</v>
      </c>
      <c r="AP892" s="213">
        <v>4.3900000000000002E-2</v>
      </c>
      <c r="AQ892" s="219">
        <v>0.26118423528878421</v>
      </c>
      <c r="AR892" s="213" t="s">
        <v>1827</v>
      </c>
      <c r="AV892" s="343"/>
      <c r="AW892" s="328"/>
      <c r="AX892" s="329"/>
      <c r="AY892" s="328"/>
      <c r="AZ892" s="328"/>
      <c r="BA892" s="330"/>
      <c r="BB892" s="328"/>
      <c r="BC892" s="328"/>
      <c r="BD892" s="328"/>
      <c r="BE892" s="330"/>
      <c r="BF892" s="330"/>
      <c r="BG892" s="344"/>
      <c r="BH892" s="330"/>
      <c r="BI892" s="330"/>
      <c r="BJ892" s="330"/>
      <c r="BK892" s="330"/>
      <c r="BL892" s="330"/>
      <c r="BM892" s="330"/>
      <c r="BN892" s="330"/>
      <c r="BO892" s="330"/>
      <c r="BP892" s="331"/>
      <c r="BQ892" s="332"/>
      <c r="BR892" s="333"/>
    </row>
    <row r="893" spans="2:70" ht="15.75" customHeight="1">
      <c r="B893" s="216" t="s">
        <v>582</v>
      </c>
      <c r="C893" s="212">
        <v>607302</v>
      </c>
      <c r="D893" s="223">
        <v>17787909000134</v>
      </c>
      <c r="E893" s="217" t="s">
        <v>28</v>
      </c>
      <c r="F893" s="217" t="s">
        <v>950</v>
      </c>
      <c r="G893" s="217"/>
      <c r="H893" s="218"/>
      <c r="I893" s="217" t="s">
        <v>66</v>
      </c>
      <c r="J893" s="217" t="s">
        <v>66</v>
      </c>
      <c r="K893" s="218" t="s">
        <v>951</v>
      </c>
      <c r="L893" s="212" t="s">
        <v>87</v>
      </c>
      <c r="M893" s="250"/>
      <c r="N893" s="239">
        <v>41486</v>
      </c>
      <c r="O893" s="210" t="s">
        <v>578</v>
      </c>
      <c r="P893" s="210" t="s">
        <v>1083</v>
      </c>
      <c r="Q893" s="210" t="s">
        <v>102</v>
      </c>
      <c r="R893" s="210" t="s">
        <v>1084</v>
      </c>
      <c r="S893" s="210" t="s">
        <v>1078</v>
      </c>
      <c r="T893" s="210" t="s">
        <v>1079</v>
      </c>
      <c r="U893" s="210" t="s">
        <v>950</v>
      </c>
      <c r="V893" s="210" t="s">
        <v>1080</v>
      </c>
      <c r="W893" s="211" t="s">
        <v>1007</v>
      </c>
      <c r="X893" s="211">
        <v>1000</v>
      </c>
      <c r="Y893" s="211">
        <v>100</v>
      </c>
      <c r="Z893" s="212">
        <v>1000</v>
      </c>
      <c r="AA893" s="240">
        <v>17</v>
      </c>
      <c r="AB893" s="213">
        <v>0.02</v>
      </c>
      <c r="AC893" s="213">
        <v>0.2</v>
      </c>
      <c r="AD893" s="213" t="s">
        <v>1014</v>
      </c>
      <c r="AE893" s="213">
        <v>5.3333333333333332E-3</v>
      </c>
      <c r="AF893" s="241">
        <v>95120814.790000007</v>
      </c>
      <c r="AG893" s="241">
        <v>95120814.790000007</v>
      </c>
      <c r="AH893" s="213">
        <v>-6.6600000000000006E-2</v>
      </c>
      <c r="AI893" s="352">
        <v>-1.0251999999999999</v>
      </c>
      <c r="AJ893" s="213">
        <v>-0.27960000000000002</v>
      </c>
      <c r="AK893" s="352">
        <v>-2.9721000000000002</v>
      </c>
      <c r="AL893" s="213">
        <v>-0.13900000000000001</v>
      </c>
      <c r="AM893" s="352">
        <v>-1.1506000000000001</v>
      </c>
      <c r="AN893" s="213">
        <v>-0.1094</v>
      </c>
      <c r="AO893" s="352">
        <v>-0.64910000000000001</v>
      </c>
      <c r="AP893" s="213">
        <v>0.2382</v>
      </c>
      <c r="AQ893" s="219">
        <v>-1.634823208717697</v>
      </c>
      <c r="AR893" s="213" t="s">
        <v>1824</v>
      </c>
      <c r="AV893" s="343"/>
      <c r="AW893" s="328"/>
      <c r="AX893" s="329"/>
      <c r="AY893" s="328"/>
      <c r="AZ893" s="328"/>
      <c r="BA893" s="330"/>
      <c r="BB893" s="328"/>
      <c r="BC893" s="328"/>
      <c r="BD893" s="328"/>
      <c r="BE893" s="330"/>
      <c r="BF893" s="330"/>
      <c r="BG893" s="344"/>
      <c r="BH893" s="330"/>
      <c r="BI893" s="330"/>
      <c r="BJ893" s="330"/>
      <c r="BK893" s="330"/>
      <c r="BL893" s="330"/>
      <c r="BM893" s="330"/>
      <c r="BN893" s="330"/>
      <c r="BO893" s="330"/>
      <c r="BP893" s="331"/>
      <c r="BQ893" s="332"/>
      <c r="BR893" s="333"/>
    </row>
    <row r="894" spans="2:70" ht="15.75" customHeight="1">
      <c r="B894" s="216" t="s">
        <v>1569</v>
      </c>
      <c r="C894" s="212">
        <v>535783</v>
      </c>
      <c r="D894" s="223">
        <v>38120941000131</v>
      </c>
      <c r="E894" s="217" t="s">
        <v>28</v>
      </c>
      <c r="F894" s="217" t="s">
        <v>32</v>
      </c>
      <c r="G894" s="217" t="s">
        <v>1049</v>
      </c>
      <c r="H894" s="218"/>
      <c r="I894" s="217" t="s">
        <v>66</v>
      </c>
      <c r="J894" s="217" t="s">
        <v>66</v>
      </c>
      <c r="K894" s="218" t="s">
        <v>954</v>
      </c>
      <c r="L894" s="212"/>
      <c r="M894" s="250"/>
      <c r="N894" s="239">
        <v>44074</v>
      </c>
      <c r="O894" s="210" t="s">
        <v>249</v>
      </c>
      <c r="P894" s="210" t="s">
        <v>1075</v>
      </c>
      <c r="Q894" s="210" t="s">
        <v>1076</v>
      </c>
      <c r="R894" s="210" t="s">
        <v>1084</v>
      </c>
      <c r="S894" s="210" t="s">
        <v>1078</v>
      </c>
      <c r="T894" s="210" t="s">
        <v>34</v>
      </c>
      <c r="U894" s="210" t="s">
        <v>66</v>
      </c>
      <c r="V894" s="210" t="s">
        <v>25</v>
      </c>
      <c r="W894" s="211" t="s">
        <v>1019</v>
      </c>
      <c r="X894" s="211">
        <v>500</v>
      </c>
      <c r="Y894" s="211">
        <v>500</v>
      </c>
      <c r="Z894" s="212">
        <v>500</v>
      </c>
      <c r="AA894" s="240">
        <v>5</v>
      </c>
      <c r="AB894" s="213">
        <v>1E-3</v>
      </c>
      <c r="AC894" s="213">
        <v>0</v>
      </c>
      <c r="AD894" s="213" t="s">
        <v>109</v>
      </c>
      <c r="AE894" s="213">
        <v>3.5E-4</v>
      </c>
      <c r="AF894" s="241">
        <v>4966640.51</v>
      </c>
      <c r="AG894" s="241">
        <v>4966640.51</v>
      </c>
      <c r="AH894" s="213">
        <v>-9.5100000000000004E-2</v>
      </c>
      <c r="AI894" s="352">
        <v>-1.4655</v>
      </c>
      <c r="AJ894" s="213">
        <v>-0.1767</v>
      </c>
      <c r="AK894" s="352">
        <v>-1.8782000000000001</v>
      </c>
      <c r="AL894" s="213" t="s">
        <v>66</v>
      </c>
      <c r="AM894" s="352" t="s">
        <v>66</v>
      </c>
      <c r="AN894" s="213" t="s">
        <v>66</v>
      </c>
      <c r="AO894" s="352" t="s">
        <v>66</v>
      </c>
      <c r="AP894" s="213">
        <v>0.27750000000000002</v>
      </c>
      <c r="AQ894" s="219">
        <v>-0.88628118594880156</v>
      </c>
      <c r="AR894" s="213" t="s">
        <v>1827</v>
      </c>
      <c r="AV894" s="343"/>
      <c r="AW894" s="328"/>
      <c r="AX894" s="329"/>
      <c r="AY894" s="328"/>
      <c r="AZ894" s="328"/>
      <c r="BA894" s="330"/>
      <c r="BB894" s="328"/>
      <c r="BC894" s="328"/>
      <c r="BD894" s="328"/>
      <c r="BE894" s="330"/>
      <c r="BF894" s="330"/>
      <c r="BG894" s="344"/>
      <c r="BH894" s="330"/>
      <c r="BI894" s="330"/>
      <c r="BJ894" s="330"/>
      <c r="BK894" s="330"/>
      <c r="BL894" s="330"/>
      <c r="BM894" s="330"/>
      <c r="BN894" s="330"/>
      <c r="BO894" s="330"/>
      <c r="BP894" s="331"/>
      <c r="BQ894" s="332"/>
      <c r="BR894" s="333"/>
    </row>
    <row r="895" spans="2:70" ht="15.75" customHeight="1">
      <c r="B895" s="216" t="s">
        <v>1570</v>
      </c>
      <c r="C895" s="212">
        <v>544820</v>
      </c>
      <c r="D895" s="223">
        <v>17302010000184</v>
      </c>
      <c r="E895" s="217" t="s">
        <v>19</v>
      </c>
      <c r="F895" s="217" t="s">
        <v>1009</v>
      </c>
      <c r="G895" s="217"/>
      <c r="H895" s="218"/>
      <c r="I895" s="217" t="s">
        <v>66</v>
      </c>
      <c r="J895" s="217"/>
      <c r="K895" s="218" t="s">
        <v>954</v>
      </c>
      <c r="L895" s="212" t="s">
        <v>87</v>
      </c>
      <c r="M895" s="250"/>
      <c r="N895" s="239">
        <v>41348</v>
      </c>
      <c r="O895" s="210" t="s">
        <v>282</v>
      </c>
      <c r="P895" s="210" t="s">
        <v>1110</v>
      </c>
      <c r="Q895" s="210" t="s">
        <v>1110</v>
      </c>
      <c r="R895" s="210" t="s">
        <v>1077</v>
      </c>
      <c r="S895" s="210" t="s">
        <v>1078</v>
      </c>
      <c r="T895" s="210" t="s">
        <v>1275</v>
      </c>
      <c r="U895" s="210" t="s">
        <v>65</v>
      </c>
      <c r="V895" s="210" t="s">
        <v>25</v>
      </c>
      <c r="W895" s="211" t="s">
        <v>1028</v>
      </c>
      <c r="X895" s="211">
        <v>5000</v>
      </c>
      <c r="Y895" s="211">
        <v>1000</v>
      </c>
      <c r="Z895" s="212">
        <v>5000</v>
      </c>
      <c r="AA895" s="240">
        <v>5</v>
      </c>
      <c r="AB895" s="213">
        <v>8.6999999999999994E-3</v>
      </c>
      <c r="AC895" s="213">
        <v>0</v>
      </c>
      <c r="AD895" s="213" t="s">
        <v>109</v>
      </c>
      <c r="AE895" s="213">
        <v>4.1759999999999992E-3</v>
      </c>
      <c r="AF895" s="241">
        <v>16650253.98</v>
      </c>
      <c r="AG895" s="241">
        <v>16650253.98</v>
      </c>
      <c r="AH895" s="213">
        <v>-4.87E-2</v>
      </c>
      <c r="AI895" s="352">
        <v>-0.74990000000000001</v>
      </c>
      <c r="AJ895" s="213">
        <v>-1.8499999999999999E-2</v>
      </c>
      <c r="AK895" s="352">
        <v>-0.19639999999999999</v>
      </c>
      <c r="AL895" s="213">
        <v>8.3000000000000004E-2</v>
      </c>
      <c r="AM895" s="352">
        <v>0.68679999999999997</v>
      </c>
      <c r="AN895" s="213">
        <v>8.9200000000000002E-2</v>
      </c>
      <c r="AO895" s="352">
        <v>0.52949999999999997</v>
      </c>
      <c r="AP895" s="213">
        <v>4.82E-2</v>
      </c>
      <c r="AQ895" s="219">
        <v>-2.2284469202559194</v>
      </c>
      <c r="AR895" s="213" t="s">
        <v>1824</v>
      </c>
      <c r="AV895" s="343"/>
      <c r="AW895" s="328"/>
      <c r="AX895" s="329"/>
      <c r="AY895" s="328"/>
      <c r="AZ895" s="328"/>
      <c r="BA895" s="330"/>
      <c r="BB895" s="328"/>
      <c r="BC895" s="328"/>
      <c r="BD895" s="328"/>
      <c r="BE895" s="330"/>
      <c r="BF895" s="330"/>
      <c r="BG895" s="344"/>
      <c r="BH895" s="330"/>
      <c r="BI895" s="330"/>
      <c r="BJ895" s="330"/>
      <c r="BK895" s="330"/>
      <c r="BL895" s="330"/>
      <c r="BM895" s="330"/>
      <c r="BN895" s="330"/>
      <c r="BO895" s="330"/>
      <c r="BP895" s="331"/>
      <c r="BQ895" s="332"/>
      <c r="BR895" s="333"/>
    </row>
    <row r="896" spans="2:70" ht="15.75" customHeight="1">
      <c r="B896" s="216" t="s">
        <v>913</v>
      </c>
      <c r="C896" s="212">
        <v>1277856</v>
      </c>
      <c r="D896" s="223">
        <v>10756685000154</v>
      </c>
      <c r="E896" s="217" t="s">
        <v>28</v>
      </c>
      <c r="F896" s="217" t="s">
        <v>950</v>
      </c>
      <c r="G896" s="217"/>
      <c r="H896" s="218"/>
      <c r="I896" s="217" t="s">
        <v>66</v>
      </c>
      <c r="J896" s="217" t="s">
        <v>66</v>
      </c>
      <c r="K896" s="218" t="s">
        <v>951</v>
      </c>
      <c r="L896" s="212" t="s">
        <v>87</v>
      </c>
      <c r="M896" s="250"/>
      <c r="N896" s="239">
        <v>41474</v>
      </c>
      <c r="O896" s="210" t="s">
        <v>914</v>
      </c>
      <c r="P896" s="210" t="s">
        <v>1117</v>
      </c>
      <c r="Q896" s="210" t="s">
        <v>1117</v>
      </c>
      <c r="R896" s="210" t="s">
        <v>1084</v>
      </c>
      <c r="S896" s="210" t="s">
        <v>1078</v>
      </c>
      <c r="T896" s="210" t="s">
        <v>1079</v>
      </c>
      <c r="U896" s="210" t="s">
        <v>950</v>
      </c>
      <c r="V896" s="210" t="s">
        <v>1080</v>
      </c>
      <c r="W896" s="211" t="s">
        <v>1013</v>
      </c>
      <c r="X896" s="211">
        <v>5000</v>
      </c>
      <c r="Y896" s="211">
        <v>1000</v>
      </c>
      <c r="Z896" s="212">
        <v>1000</v>
      </c>
      <c r="AA896" s="240">
        <v>3</v>
      </c>
      <c r="AB896" s="213">
        <v>0.03</v>
      </c>
      <c r="AC896" s="213">
        <v>0.2</v>
      </c>
      <c r="AD896" s="213" t="s">
        <v>1014</v>
      </c>
      <c r="AE896" s="213">
        <v>9.9999999999999985E-3</v>
      </c>
      <c r="AF896" s="241">
        <v>73391852.430000007</v>
      </c>
      <c r="AG896" s="241">
        <v>73391852.430000007</v>
      </c>
      <c r="AH896" s="213">
        <v>-6.4799999999999996E-2</v>
      </c>
      <c r="AI896" s="352">
        <v>-0.99880000000000002</v>
      </c>
      <c r="AJ896" s="213">
        <v>-0.27289999999999998</v>
      </c>
      <c r="AK896" s="352">
        <v>-2.9007999999999998</v>
      </c>
      <c r="AL896" s="213">
        <v>-4.2900000000000001E-2</v>
      </c>
      <c r="AM896" s="352">
        <v>-0.35520000000000002</v>
      </c>
      <c r="AN896" s="213">
        <v>-0.02</v>
      </c>
      <c r="AO896" s="352">
        <v>-0.11849999999999999</v>
      </c>
      <c r="AP896" s="213">
        <v>0.25180000000000002</v>
      </c>
      <c r="AQ896" s="219">
        <v>-1.4961309469513957</v>
      </c>
      <c r="AR896" s="213" t="s">
        <v>1824</v>
      </c>
      <c r="AV896" s="343"/>
      <c r="AW896" s="328"/>
      <c r="AX896" s="329"/>
      <c r="AY896" s="328"/>
      <c r="AZ896" s="328"/>
      <c r="BA896" s="330"/>
      <c r="BB896" s="328"/>
      <c r="BC896" s="328"/>
      <c r="BD896" s="328"/>
      <c r="BE896" s="330"/>
      <c r="BF896" s="330"/>
      <c r="BG896" s="344"/>
      <c r="BH896" s="330"/>
      <c r="BI896" s="330"/>
      <c r="BJ896" s="330"/>
      <c r="BK896" s="330"/>
      <c r="BL896" s="330"/>
      <c r="BM896" s="330"/>
      <c r="BN896" s="330"/>
      <c r="BO896" s="330"/>
      <c r="BP896" s="331"/>
      <c r="BQ896" s="332"/>
      <c r="BR896" s="333"/>
    </row>
    <row r="897" spans="2:70" ht="15.75" customHeight="1">
      <c r="B897" s="216" t="s">
        <v>1571</v>
      </c>
      <c r="C897" s="212">
        <v>1919310</v>
      </c>
      <c r="D897" s="223">
        <v>16987508000165</v>
      </c>
      <c r="E897" s="217" t="s">
        <v>28</v>
      </c>
      <c r="F897" s="217" t="s">
        <v>950</v>
      </c>
      <c r="G897" s="217"/>
      <c r="H897" s="218"/>
      <c r="I897" s="217" t="s">
        <v>66</v>
      </c>
      <c r="J897" s="217" t="s">
        <v>66</v>
      </c>
      <c r="K897" s="218" t="s">
        <v>951</v>
      </c>
      <c r="L897" s="212" t="s">
        <v>87</v>
      </c>
      <c r="M897" s="250"/>
      <c r="N897" s="239">
        <v>41519</v>
      </c>
      <c r="O897" s="210" t="s">
        <v>583</v>
      </c>
      <c r="P897" s="210" t="s">
        <v>1090</v>
      </c>
      <c r="Q897" s="210" t="s">
        <v>1091</v>
      </c>
      <c r="R897" s="210" t="s">
        <v>1077</v>
      </c>
      <c r="S897" s="210" t="s">
        <v>1078</v>
      </c>
      <c r="T897" s="210" t="s">
        <v>1079</v>
      </c>
      <c r="U897" s="210" t="s">
        <v>950</v>
      </c>
      <c r="V897" s="210" t="s">
        <v>1080</v>
      </c>
      <c r="W897" s="211" t="s">
        <v>1013</v>
      </c>
      <c r="X897" s="211">
        <v>1000</v>
      </c>
      <c r="Y897" s="211">
        <v>100</v>
      </c>
      <c r="Z897" s="212">
        <v>1000</v>
      </c>
      <c r="AA897" s="240">
        <v>32</v>
      </c>
      <c r="AB897" s="213">
        <v>0.02</v>
      </c>
      <c r="AC897" s="213">
        <v>0.2</v>
      </c>
      <c r="AD897" s="213" t="s">
        <v>203</v>
      </c>
      <c r="AE897" s="213">
        <v>5.3333333333333332E-3</v>
      </c>
      <c r="AF897" s="241">
        <v>118276619.40000001</v>
      </c>
      <c r="AG897" s="241">
        <v>118276619.40000001</v>
      </c>
      <c r="AH897" s="213">
        <v>-0.21099999999999999</v>
      </c>
      <c r="AI897" s="352">
        <v>-3.2505000000000002</v>
      </c>
      <c r="AJ897" s="213">
        <v>-0.38340000000000002</v>
      </c>
      <c r="AK897" s="352">
        <v>-4.0751999999999997</v>
      </c>
      <c r="AL897" s="213">
        <v>-0.33960000000000001</v>
      </c>
      <c r="AM897" s="352">
        <v>-2.8113000000000001</v>
      </c>
      <c r="AN897" s="213">
        <v>-0.3322</v>
      </c>
      <c r="AO897" s="352">
        <v>-1.9714</v>
      </c>
      <c r="AP897" s="213">
        <v>0.23089999999999999</v>
      </c>
      <c r="AQ897" s="219">
        <v>-2.3667993773313101</v>
      </c>
      <c r="AR897" s="213" t="s">
        <v>1827</v>
      </c>
      <c r="AV897" s="343"/>
      <c r="AW897" s="328"/>
      <c r="AX897" s="329"/>
      <c r="AY897" s="328"/>
      <c r="AZ897" s="328"/>
      <c r="BA897" s="330"/>
      <c r="BB897" s="328"/>
      <c r="BC897" s="328"/>
      <c r="BD897" s="328"/>
      <c r="BE897" s="330"/>
      <c r="BF897" s="330"/>
      <c r="BG897" s="344"/>
      <c r="BH897" s="330"/>
      <c r="BI897" s="330"/>
      <c r="BJ897" s="330"/>
      <c r="BK897" s="330"/>
      <c r="BL897" s="330"/>
      <c r="BM897" s="330"/>
      <c r="BN897" s="330"/>
      <c r="BO897" s="330"/>
      <c r="BP897" s="331"/>
      <c r="BQ897" s="332"/>
      <c r="BR897" s="333"/>
    </row>
    <row r="898" spans="2:70" ht="15.75" customHeight="1">
      <c r="B898" s="216" t="s">
        <v>1572</v>
      </c>
      <c r="C898" s="212">
        <v>1671138</v>
      </c>
      <c r="D898" s="223">
        <v>42870843000199</v>
      </c>
      <c r="E898" s="217" t="s">
        <v>28</v>
      </c>
      <c r="F898" s="217" t="s">
        <v>950</v>
      </c>
      <c r="G898" s="217"/>
      <c r="H898" s="218"/>
      <c r="I898" s="217" t="s">
        <v>66</v>
      </c>
      <c r="J898" s="217" t="s">
        <v>66</v>
      </c>
      <c r="K898" s="218" t="s">
        <v>951</v>
      </c>
      <c r="L898" s="212" t="s">
        <v>87</v>
      </c>
      <c r="M898" s="250"/>
      <c r="N898" s="239">
        <v>44497</v>
      </c>
      <c r="O898" s="210" t="s">
        <v>583</v>
      </c>
      <c r="P898" s="210" t="s">
        <v>1090</v>
      </c>
      <c r="Q898" s="210" t="s">
        <v>1091</v>
      </c>
      <c r="R898" s="210" t="s">
        <v>1084</v>
      </c>
      <c r="S898" s="210" t="s">
        <v>1078</v>
      </c>
      <c r="T898" s="210" t="s">
        <v>1079</v>
      </c>
      <c r="U898" s="210" t="s">
        <v>950</v>
      </c>
      <c r="V898" s="210" t="s">
        <v>1080</v>
      </c>
      <c r="W898" s="211" t="s">
        <v>1007</v>
      </c>
      <c r="X898" s="211">
        <v>1000</v>
      </c>
      <c r="Y898" s="211">
        <v>100</v>
      </c>
      <c r="Z898" s="212">
        <v>1000</v>
      </c>
      <c r="AA898" s="240">
        <v>32</v>
      </c>
      <c r="AB898" s="213">
        <v>0.02</v>
      </c>
      <c r="AC898" s="213">
        <v>0.2</v>
      </c>
      <c r="AD898" s="213" t="s">
        <v>1100</v>
      </c>
      <c r="AE898" s="213">
        <v>6.0000000000000001E-3</v>
      </c>
      <c r="AF898" s="241">
        <v>18106188.57</v>
      </c>
      <c r="AG898" s="241">
        <v>18106188.57</v>
      </c>
      <c r="AH898" s="213">
        <v>-0.11269999999999999</v>
      </c>
      <c r="AI898" s="352">
        <v>-1.7354000000000001</v>
      </c>
      <c r="AJ898" s="213" t="s">
        <v>66</v>
      </c>
      <c r="AK898" s="352" t="s">
        <v>66</v>
      </c>
      <c r="AL898" s="213" t="s">
        <v>66</v>
      </c>
      <c r="AM898" s="352" t="s">
        <v>66</v>
      </c>
      <c r="AN898" s="213" t="s">
        <v>66</v>
      </c>
      <c r="AO898" s="352" t="s">
        <v>66</v>
      </c>
      <c r="AP898" s="213" t="s">
        <v>66</v>
      </c>
      <c r="AQ898" s="219" t="s">
        <v>66</v>
      </c>
      <c r="AR898" s="213" t="s">
        <v>1827</v>
      </c>
      <c r="AV898" s="343"/>
      <c r="AW898" s="328"/>
      <c r="AX898" s="329"/>
      <c r="AY898" s="328"/>
      <c r="AZ898" s="328"/>
      <c r="BA898" s="330"/>
      <c r="BB898" s="328"/>
      <c r="BC898" s="328"/>
      <c r="BD898" s="328"/>
      <c r="BE898" s="330"/>
      <c r="BF898" s="330"/>
      <c r="BG898" s="344"/>
      <c r="BH898" s="330"/>
      <c r="BI898" s="330"/>
      <c r="BJ898" s="330"/>
      <c r="BK898" s="330"/>
      <c r="BL898" s="330"/>
      <c r="BM898" s="330"/>
      <c r="BN898" s="330"/>
      <c r="BO898" s="330"/>
      <c r="BP898" s="331"/>
      <c r="BQ898" s="332"/>
      <c r="BR898" s="333"/>
    </row>
    <row r="899" spans="2:70" ht="15.75" customHeight="1">
      <c r="B899" s="216" t="s">
        <v>584</v>
      </c>
      <c r="C899" s="212">
        <v>2809744</v>
      </c>
      <c r="D899" s="223">
        <v>35726581000128</v>
      </c>
      <c r="E899" s="217" t="s">
        <v>28</v>
      </c>
      <c r="F899" s="217" t="s">
        <v>950</v>
      </c>
      <c r="G899" s="217"/>
      <c r="H899" s="218"/>
      <c r="I899" s="217" t="s">
        <v>66</v>
      </c>
      <c r="J899" s="217" t="s">
        <v>66</v>
      </c>
      <c r="K899" s="218" t="s">
        <v>951</v>
      </c>
      <c r="L899" s="212" t="s">
        <v>87</v>
      </c>
      <c r="M899" s="250"/>
      <c r="N899" s="239">
        <v>43829</v>
      </c>
      <c r="O899" s="210" t="s">
        <v>102</v>
      </c>
      <c r="P899" s="210" t="s">
        <v>1083</v>
      </c>
      <c r="Q899" s="210" t="s">
        <v>1076</v>
      </c>
      <c r="R899" s="210" t="s">
        <v>1084</v>
      </c>
      <c r="S899" s="210" t="s">
        <v>1078</v>
      </c>
      <c r="T899" s="210" t="s">
        <v>1079</v>
      </c>
      <c r="U899" s="210" t="s">
        <v>950</v>
      </c>
      <c r="V899" s="210" t="s">
        <v>1080</v>
      </c>
      <c r="W899" s="211" t="s">
        <v>1007</v>
      </c>
      <c r="X899" s="211">
        <v>100</v>
      </c>
      <c r="Y899" s="211">
        <v>100</v>
      </c>
      <c r="Z899" s="212">
        <v>100</v>
      </c>
      <c r="AA899" s="240">
        <v>32</v>
      </c>
      <c r="AB899" s="213">
        <v>0.02</v>
      </c>
      <c r="AC899" s="213">
        <v>0.2</v>
      </c>
      <c r="AD899" s="213" t="s">
        <v>1157</v>
      </c>
      <c r="AE899" s="213">
        <v>3.3333333333333331E-3</v>
      </c>
      <c r="AF899" s="241">
        <v>7738077.6299999999</v>
      </c>
      <c r="AG899" s="241">
        <v>7738077.6299999999</v>
      </c>
      <c r="AH899" s="213">
        <v>-0.11360000000000001</v>
      </c>
      <c r="AI899" s="352">
        <v>-1.7494000000000001</v>
      </c>
      <c r="AJ899" s="213">
        <v>-0.27879999999999999</v>
      </c>
      <c r="AK899" s="352">
        <v>-2.9636</v>
      </c>
      <c r="AL899" s="213">
        <v>-7.0400000000000004E-2</v>
      </c>
      <c r="AM899" s="352">
        <v>-0.58240000000000003</v>
      </c>
      <c r="AN899" s="213" t="s">
        <v>66</v>
      </c>
      <c r="AO899" s="352" t="s">
        <v>66</v>
      </c>
      <c r="AP899" s="213">
        <v>0.25290000000000001</v>
      </c>
      <c r="AQ899" s="219">
        <v>-1.5210093985119235</v>
      </c>
      <c r="AR899" s="213" t="s">
        <v>1827</v>
      </c>
      <c r="AV899" s="343"/>
      <c r="AW899" s="328"/>
      <c r="AX899" s="329"/>
      <c r="AY899" s="328"/>
      <c r="AZ899" s="328"/>
      <c r="BA899" s="330"/>
      <c r="BB899" s="328"/>
      <c r="BC899" s="328"/>
      <c r="BD899" s="328"/>
      <c r="BE899" s="330"/>
      <c r="BF899" s="330"/>
      <c r="BG899" s="344"/>
      <c r="BH899" s="330"/>
      <c r="BI899" s="330"/>
      <c r="BJ899" s="330"/>
      <c r="BK899" s="330"/>
      <c r="BL899" s="330"/>
      <c r="BM899" s="330"/>
      <c r="BN899" s="330"/>
      <c r="BO899" s="330"/>
      <c r="BP899" s="331"/>
      <c r="BQ899" s="332"/>
      <c r="BR899" s="333"/>
    </row>
    <row r="900" spans="2:70" ht="15.75" customHeight="1">
      <c r="B900" s="216" t="s">
        <v>585</v>
      </c>
      <c r="C900" s="212">
        <v>559208</v>
      </c>
      <c r="D900" s="223">
        <v>35343836000173</v>
      </c>
      <c r="E900" s="217" t="s">
        <v>25</v>
      </c>
      <c r="F900" s="217" t="s">
        <v>959</v>
      </c>
      <c r="G900" s="217" t="s">
        <v>960</v>
      </c>
      <c r="H900" s="218" t="s">
        <v>66</v>
      </c>
      <c r="I900" s="217" t="s">
        <v>1259</v>
      </c>
      <c r="J900" s="217" t="s">
        <v>66</v>
      </c>
      <c r="K900" s="218" t="s">
        <v>951</v>
      </c>
      <c r="L900" s="212" t="s">
        <v>87</v>
      </c>
      <c r="M900" s="250"/>
      <c r="N900" s="239">
        <v>43829</v>
      </c>
      <c r="O900" s="210" t="s">
        <v>102</v>
      </c>
      <c r="P900" s="210" t="s">
        <v>1083</v>
      </c>
      <c r="Q900" s="210" t="s">
        <v>1076</v>
      </c>
      <c r="R900" s="210" t="s">
        <v>1084</v>
      </c>
      <c r="S900" s="210" t="s">
        <v>1078</v>
      </c>
      <c r="T900" s="210" t="s">
        <v>1082</v>
      </c>
      <c r="U900" s="210" t="s">
        <v>958</v>
      </c>
      <c r="V900" s="210" t="s">
        <v>25</v>
      </c>
      <c r="W900" s="211" t="s">
        <v>1023</v>
      </c>
      <c r="X900" s="211">
        <v>100</v>
      </c>
      <c r="Y900" s="211">
        <v>100</v>
      </c>
      <c r="Z900" s="212">
        <v>100</v>
      </c>
      <c r="AA900" s="240">
        <v>17</v>
      </c>
      <c r="AB900" s="213">
        <v>1.2999999999999999E-2</v>
      </c>
      <c r="AC900" s="213">
        <v>0.2</v>
      </c>
      <c r="AD900" s="213" t="s">
        <v>109</v>
      </c>
      <c r="AE900" s="213">
        <v>2.1666666666666666E-3</v>
      </c>
      <c r="AF900" s="241">
        <v>17358651.789999999</v>
      </c>
      <c r="AG900" s="241">
        <v>17358651.789999999</v>
      </c>
      <c r="AH900" s="213">
        <v>2.8299999999999999E-2</v>
      </c>
      <c r="AI900" s="352">
        <v>0.43569999999999998</v>
      </c>
      <c r="AJ900" s="213">
        <v>1.1299999999999999E-2</v>
      </c>
      <c r="AK900" s="352">
        <v>0.1202</v>
      </c>
      <c r="AL900" s="213">
        <v>8.9899999999999994E-2</v>
      </c>
      <c r="AM900" s="352">
        <v>0.74450000000000005</v>
      </c>
      <c r="AN900" s="213" t="s">
        <v>66</v>
      </c>
      <c r="AO900" s="352" t="s">
        <v>66</v>
      </c>
      <c r="AP900" s="213">
        <v>5.0799999999999998E-2</v>
      </c>
      <c r="AQ900" s="219">
        <v>-1.5247145524041505</v>
      </c>
      <c r="AR900" s="213" t="s">
        <v>1827</v>
      </c>
      <c r="AV900" s="343"/>
      <c r="AW900" s="328"/>
      <c r="AX900" s="329"/>
      <c r="AY900" s="328"/>
      <c r="AZ900" s="328"/>
      <c r="BA900" s="330"/>
      <c r="BB900" s="328"/>
      <c r="BC900" s="328"/>
      <c r="BD900" s="328"/>
      <c r="BE900" s="330"/>
      <c r="BF900" s="330"/>
      <c r="BG900" s="344"/>
      <c r="BH900" s="330"/>
      <c r="BI900" s="330"/>
      <c r="BJ900" s="330"/>
      <c r="BK900" s="330"/>
      <c r="BL900" s="330"/>
      <c r="BM900" s="330"/>
      <c r="BN900" s="330"/>
      <c r="BO900" s="330"/>
      <c r="BP900" s="331"/>
      <c r="BQ900" s="332"/>
      <c r="BR900" s="333"/>
    </row>
    <row r="901" spans="2:70" ht="15.75" customHeight="1">
      <c r="B901" s="216" t="s">
        <v>1573</v>
      </c>
      <c r="C901" s="212">
        <v>575003</v>
      </c>
      <c r="D901" s="223">
        <v>11451917000129</v>
      </c>
      <c r="E901" s="217" t="s">
        <v>28</v>
      </c>
      <c r="F901" s="217" t="s">
        <v>950</v>
      </c>
      <c r="G901" s="217"/>
      <c r="H901" s="218"/>
      <c r="I901" s="217" t="s">
        <v>66</v>
      </c>
      <c r="J901" s="217" t="s">
        <v>66</v>
      </c>
      <c r="K901" s="218" t="s">
        <v>951</v>
      </c>
      <c r="L901" s="212" t="s">
        <v>87</v>
      </c>
      <c r="M901" s="250"/>
      <c r="N901" s="239">
        <v>40599</v>
      </c>
      <c r="O901" s="210" t="s">
        <v>586</v>
      </c>
      <c r="P901" s="210" t="s">
        <v>1083</v>
      </c>
      <c r="Q901" s="210" t="s">
        <v>1089</v>
      </c>
      <c r="R901" s="210" t="s">
        <v>1084</v>
      </c>
      <c r="S901" s="210" t="s">
        <v>1078</v>
      </c>
      <c r="T901" s="210" t="s">
        <v>1079</v>
      </c>
      <c r="U901" s="210" t="s">
        <v>950</v>
      </c>
      <c r="V901" s="210" t="s">
        <v>1080</v>
      </c>
      <c r="W901" s="211" t="s">
        <v>1013</v>
      </c>
      <c r="X901" s="211">
        <v>1000</v>
      </c>
      <c r="Y901" s="211">
        <v>1000</v>
      </c>
      <c r="Z901" s="212">
        <v>1000</v>
      </c>
      <c r="AA901" s="240">
        <v>5</v>
      </c>
      <c r="AB901" s="213">
        <v>0.02</v>
      </c>
      <c r="AC901" s="213">
        <v>0.2</v>
      </c>
      <c r="AD901" s="213" t="s">
        <v>1014</v>
      </c>
      <c r="AE901" s="213">
        <v>5.5560000000000002E-3</v>
      </c>
      <c r="AF901" s="241">
        <v>151209047.88999999</v>
      </c>
      <c r="AG901" s="241">
        <v>151209047.88999999</v>
      </c>
      <c r="AH901" s="213">
        <v>-1.78E-2</v>
      </c>
      <c r="AI901" s="352">
        <v>-0.27379999999999999</v>
      </c>
      <c r="AJ901" s="213">
        <v>-0.2296</v>
      </c>
      <c r="AK901" s="352">
        <v>-2.4401999999999999</v>
      </c>
      <c r="AL901" s="213">
        <v>5.3199999999999997E-2</v>
      </c>
      <c r="AM901" s="352">
        <v>0.44069999999999998</v>
      </c>
      <c r="AN901" s="213">
        <v>0.20219999999999999</v>
      </c>
      <c r="AO901" s="352">
        <v>1.2</v>
      </c>
      <c r="AP901" s="213">
        <v>0.30270000000000002</v>
      </c>
      <c r="AQ901" s="219">
        <v>-1.0076630677968543</v>
      </c>
      <c r="AR901" s="213" t="s">
        <v>1827</v>
      </c>
      <c r="AV901" s="343"/>
      <c r="AW901" s="328"/>
      <c r="AX901" s="329"/>
      <c r="AY901" s="328"/>
      <c r="AZ901" s="328"/>
      <c r="BA901" s="330"/>
      <c r="BB901" s="328"/>
      <c r="BC901" s="328"/>
      <c r="BD901" s="328"/>
      <c r="BE901" s="330"/>
      <c r="BF901" s="330"/>
      <c r="BG901" s="344"/>
      <c r="BH901" s="330"/>
      <c r="BI901" s="330"/>
      <c r="BJ901" s="330"/>
      <c r="BK901" s="330"/>
      <c r="BL901" s="330"/>
      <c r="BM901" s="330"/>
      <c r="BN901" s="330"/>
      <c r="BO901" s="330"/>
      <c r="BP901" s="331"/>
      <c r="BQ901" s="332"/>
      <c r="BR901" s="333"/>
    </row>
    <row r="902" spans="2:70" ht="15.75" customHeight="1">
      <c r="B902" s="216" t="s">
        <v>1574</v>
      </c>
      <c r="C902" s="212">
        <v>537096</v>
      </c>
      <c r="D902" s="223">
        <v>22918359000185</v>
      </c>
      <c r="E902" s="217" t="s">
        <v>25</v>
      </c>
      <c r="F902" s="217" t="s">
        <v>958</v>
      </c>
      <c r="G902" s="217" t="s">
        <v>962</v>
      </c>
      <c r="H902" s="218" t="s">
        <v>66</v>
      </c>
      <c r="I902" s="217" t="s">
        <v>1841</v>
      </c>
      <c r="J902" s="217" t="s">
        <v>66</v>
      </c>
      <c r="K902" s="218"/>
      <c r="L902" s="212" t="s">
        <v>87</v>
      </c>
      <c r="M902" s="250"/>
      <c r="N902" s="239">
        <v>42422</v>
      </c>
      <c r="O902" s="210" t="s">
        <v>586</v>
      </c>
      <c r="P902" s="210" t="s">
        <v>1083</v>
      </c>
      <c r="Q902" s="210" t="s">
        <v>1089</v>
      </c>
      <c r="R902" s="210" t="s">
        <v>1084</v>
      </c>
      <c r="S902" s="210" t="s">
        <v>1078</v>
      </c>
      <c r="T902" s="210" t="s">
        <v>349</v>
      </c>
      <c r="U902" s="210" t="s">
        <v>1078</v>
      </c>
      <c r="V902" s="210" t="s">
        <v>25</v>
      </c>
      <c r="W902" s="211" t="s">
        <v>1012</v>
      </c>
      <c r="X902" s="211">
        <v>1000</v>
      </c>
      <c r="Y902" s="211">
        <v>1000</v>
      </c>
      <c r="Z902" s="212">
        <v>1000</v>
      </c>
      <c r="AA902" s="240">
        <v>15</v>
      </c>
      <c r="AB902" s="213">
        <v>1.7999999999999999E-2</v>
      </c>
      <c r="AC902" s="213">
        <v>0.2</v>
      </c>
      <c r="AD902" s="213" t="s">
        <v>109</v>
      </c>
      <c r="AE902" s="213">
        <v>5.0003999999999995E-3</v>
      </c>
      <c r="AF902" s="241">
        <v>1229577293.3199999</v>
      </c>
      <c r="AG902" s="241">
        <v>1229577293.3199999</v>
      </c>
      <c r="AH902" s="213">
        <v>8.3500000000000005E-2</v>
      </c>
      <c r="AI902" s="352">
        <v>1.2854000000000001</v>
      </c>
      <c r="AJ902" s="213">
        <v>9.4799999999999995E-2</v>
      </c>
      <c r="AK902" s="352">
        <v>1.0072000000000001</v>
      </c>
      <c r="AL902" s="213">
        <v>0.21829999999999999</v>
      </c>
      <c r="AM902" s="352">
        <v>1.8073999999999999</v>
      </c>
      <c r="AN902" s="213">
        <v>0.32550000000000001</v>
      </c>
      <c r="AO902" s="352">
        <v>1.9313</v>
      </c>
      <c r="AP902" s="213">
        <v>4.3400000000000001E-2</v>
      </c>
      <c r="AQ902" s="219">
        <v>3.59581010842955E-2</v>
      </c>
      <c r="AR902" s="213" t="s">
        <v>1827</v>
      </c>
      <c r="AV902" s="343"/>
      <c r="AW902" s="328"/>
      <c r="AX902" s="329"/>
      <c r="AY902" s="328"/>
      <c r="AZ902" s="328"/>
      <c r="BA902" s="330"/>
      <c r="BB902" s="328"/>
      <c r="BC902" s="328"/>
      <c r="BD902" s="328"/>
      <c r="BE902" s="330"/>
      <c r="BF902" s="330"/>
      <c r="BG902" s="344"/>
      <c r="BH902" s="330"/>
      <c r="BI902" s="330"/>
      <c r="BJ902" s="330"/>
      <c r="BK902" s="330"/>
      <c r="BL902" s="330"/>
      <c r="BM902" s="330"/>
      <c r="BN902" s="330"/>
      <c r="BO902" s="330"/>
      <c r="BP902" s="331"/>
      <c r="BQ902" s="332"/>
      <c r="BR902" s="333"/>
    </row>
    <row r="903" spans="2:70" ht="15.75" customHeight="1">
      <c r="B903" s="216" t="s">
        <v>1575</v>
      </c>
      <c r="C903" s="212">
        <v>534578</v>
      </c>
      <c r="D903" s="223">
        <v>27928186000108</v>
      </c>
      <c r="E903" s="217" t="s">
        <v>25</v>
      </c>
      <c r="F903" s="217" t="s">
        <v>958</v>
      </c>
      <c r="G903" s="217" t="s">
        <v>962</v>
      </c>
      <c r="H903" s="218" t="s">
        <v>66</v>
      </c>
      <c r="I903" s="217" t="s">
        <v>1841</v>
      </c>
      <c r="J903" s="217" t="s">
        <v>66</v>
      </c>
      <c r="K903" s="218"/>
      <c r="L903" s="212" t="s">
        <v>87</v>
      </c>
      <c r="M903" s="250"/>
      <c r="N903" s="239">
        <v>42963</v>
      </c>
      <c r="O903" s="210" t="s">
        <v>586</v>
      </c>
      <c r="P903" s="210" t="s">
        <v>1083</v>
      </c>
      <c r="Q903" s="210" t="s">
        <v>1089</v>
      </c>
      <c r="R903" s="210" t="s">
        <v>1084</v>
      </c>
      <c r="S903" s="210" t="s">
        <v>1078</v>
      </c>
      <c r="T903" s="210" t="s">
        <v>1082</v>
      </c>
      <c r="U903" s="210" t="s">
        <v>1086</v>
      </c>
      <c r="V903" s="210" t="s">
        <v>25</v>
      </c>
      <c r="W903" s="211" t="s">
        <v>1019</v>
      </c>
      <c r="X903" s="211">
        <v>1000</v>
      </c>
      <c r="Y903" s="211">
        <v>1000</v>
      </c>
      <c r="Z903" s="212">
        <v>1000</v>
      </c>
      <c r="AA903" s="240">
        <v>15</v>
      </c>
      <c r="AB903" s="213">
        <v>1.7999999999999999E-2</v>
      </c>
      <c r="AC903" s="213">
        <v>0.2</v>
      </c>
      <c r="AD903" s="213" t="s">
        <v>109</v>
      </c>
      <c r="AE903" s="213">
        <v>5.0003999999999995E-3</v>
      </c>
      <c r="AF903" s="241">
        <v>246417418.58000001</v>
      </c>
      <c r="AG903" s="241">
        <v>246417418.58000001</v>
      </c>
      <c r="AH903" s="213">
        <v>0.10440000000000001</v>
      </c>
      <c r="AI903" s="352">
        <v>1.6073</v>
      </c>
      <c r="AJ903" s="213">
        <v>0.1275</v>
      </c>
      <c r="AK903" s="352">
        <v>1.355</v>
      </c>
      <c r="AL903" s="213">
        <v>0.2172</v>
      </c>
      <c r="AM903" s="352">
        <v>1.798</v>
      </c>
      <c r="AN903" s="213">
        <v>0.41099999999999998</v>
      </c>
      <c r="AO903" s="352">
        <v>2.4388999999999998</v>
      </c>
      <c r="AP903" s="213">
        <v>2.52E-2</v>
      </c>
      <c r="AQ903" s="219">
        <v>1.2053683463065548</v>
      </c>
      <c r="AR903" s="213" t="s">
        <v>1827</v>
      </c>
      <c r="AV903" s="343"/>
      <c r="AW903" s="328"/>
      <c r="AX903" s="329"/>
      <c r="AY903" s="328"/>
      <c r="AZ903" s="328"/>
      <c r="BA903" s="330"/>
      <c r="BB903" s="328"/>
      <c r="BC903" s="328"/>
      <c r="BD903" s="328"/>
      <c r="BE903" s="330"/>
      <c r="BF903" s="330"/>
      <c r="BG903" s="344"/>
      <c r="BH903" s="330"/>
      <c r="BI903" s="330"/>
      <c r="BJ903" s="330"/>
      <c r="BK903" s="330"/>
      <c r="BL903" s="330"/>
      <c r="BM903" s="330"/>
      <c r="BN903" s="330"/>
      <c r="BO903" s="330"/>
      <c r="BP903" s="331"/>
      <c r="BQ903" s="332"/>
      <c r="BR903" s="333"/>
    </row>
    <row r="904" spans="2:70" ht="15.75" customHeight="1">
      <c r="B904" s="216" t="s">
        <v>587</v>
      </c>
      <c r="C904" s="212">
        <v>2135381</v>
      </c>
      <c r="D904" s="223">
        <v>29206196000157</v>
      </c>
      <c r="E904" s="217" t="s">
        <v>19</v>
      </c>
      <c r="F904" s="217" t="s">
        <v>963</v>
      </c>
      <c r="G904" s="217" t="s">
        <v>1011</v>
      </c>
      <c r="H904" s="218" t="s">
        <v>1113</v>
      </c>
      <c r="I904" s="217" t="s">
        <v>66</v>
      </c>
      <c r="J904" s="217"/>
      <c r="K904" s="218" t="s">
        <v>951</v>
      </c>
      <c r="L904" s="212" t="s">
        <v>87</v>
      </c>
      <c r="M904" s="250"/>
      <c r="N904" s="239">
        <v>43181</v>
      </c>
      <c r="O904" s="210" t="s">
        <v>588</v>
      </c>
      <c r="P904" s="210" t="s">
        <v>1090</v>
      </c>
      <c r="Q904" s="210" t="s">
        <v>1091</v>
      </c>
      <c r="R904" s="210" t="s">
        <v>1084</v>
      </c>
      <c r="S904" s="210" t="s">
        <v>1078</v>
      </c>
      <c r="T904" s="210" t="s">
        <v>349</v>
      </c>
      <c r="U904" s="210" t="s">
        <v>1114</v>
      </c>
      <c r="V904" s="210" t="s">
        <v>19</v>
      </c>
      <c r="W904" s="211" t="s">
        <v>1010</v>
      </c>
      <c r="X904" s="211">
        <v>500</v>
      </c>
      <c r="Y904" s="211">
        <v>100</v>
      </c>
      <c r="Z904" s="212">
        <v>100</v>
      </c>
      <c r="AA904" s="240">
        <v>1</v>
      </c>
      <c r="AB904" s="213">
        <v>4.0000000000000001E-3</v>
      </c>
      <c r="AC904" s="213">
        <v>0</v>
      </c>
      <c r="AD904" s="213" t="s">
        <v>109</v>
      </c>
      <c r="AE904" s="213">
        <v>1.1200000000000001E-3</v>
      </c>
      <c r="AF904" s="241">
        <v>1034685166.17</v>
      </c>
      <c r="AG904" s="241">
        <v>1034685166.17</v>
      </c>
      <c r="AH904" s="213">
        <v>7.0499999999999993E-2</v>
      </c>
      <c r="AI904" s="352">
        <v>1.0865</v>
      </c>
      <c r="AJ904" s="213">
        <v>0.1062</v>
      </c>
      <c r="AK904" s="352">
        <v>1.1286</v>
      </c>
      <c r="AL904" s="213">
        <v>0.1641</v>
      </c>
      <c r="AM904" s="352">
        <v>1.3580000000000001</v>
      </c>
      <c r="AN904" s="213">
        <v>0.14990000000000001</v>
      </c>
      <c r="AO904" s="352">
        <v>0.88980000000000004</v>
      </c>
      <c r="AP904" s="213">
        <v>1.9E-3</v>
      </c>
      <c r="AQ904" s="219">
        <v>5.7485525623617768</v>
      </c>
      <c r="AR904" s="213" t="s">
        <v>1827</v>
      </c>
      <c r="AV904" s="343"/>
      <c r="AW904" s="328"/>
      <c r="AX904" s="329"/>
      <c r="AY904" s="328"/>
      <c r="AZ904" s="328"/>
      <c r="BA904" s="330"/>
      <c r="BB904" s="328"/>
      <c r="BC904" s="328"/>
      <c r="BD904" s="328"/>
      <c r="BE904" s="330"/>
      <c r="BF904" s="330"/>
      <c r="BG904" s="344"/>
      <c r="BH904" s="330"/>
      <c r="BI904" s="330"/>
      <c r="BJ904" s="330"/>
      <c r="BK904" s="330"/>
      <c r="BL904" s="330"/>
      <c r="BM904" s="330"/>
      <c r="BN904" s="330"/>
      <c r="BO904" s="330"/>
      <c r="BP904" s="331"/>
      <c r="BQ904" s="332"/>
      <c r="BR904" s="333"/>
    </row>
    <row r="905" spans="2:70" ht="15.75" customHeight="1">
      <c r="B905" s="216" t="s">
        <v>589</v>
      </c>
      <c r="C905" s="212">
        <v>537088</v>
      </c>
      <c r="D905" s="223">
        <v>29196922000106</v>
      </c>
      <c r="E905" s="217" t="s">
        <v>19</v>
      </c>
      <c r="F905" s="217" t="s">
        <v>963</v>
      </c>
      <c r="G905" s="217" t="s">
        <v>1011</v>
      </c>
      <c r="H905" s="218" t="s">
        <v>1113</v>
      </c>
      <c r="I905" s="217" t="s">
        <v>66</v>
      </c>
      <c r="J905" s="217"/>
      <c r="K905" s="218" t="s">
        <v>951</v>
      </c>
      <c r="L905" s="212" t="s">
        <v>87</v>
      </c>
      <c r="M905" s="250"/>
      <c r="N905" s="239">
        <v>43307</v>
      </c>
      <c r="O905" s="210" t="s">
        <v>588</v>
      </c>
      <c r="P905" s="210" t="s">
        <v>1090</v>
      </c>
      <c r="Q905" s="210" t="s">
        <v>1091</v>
      </c>
      <c r="R905" s="210" t="s">
        <v>1084</v>
      </c>
      <c r="S905" s="210" t="s">
        <v>1078</v>
      </c>
      <c r="T905" s="210" t="s">
        <v>349</v>
      </c>
      <c r="U905" s="210" t="s">
        <v>1114</v>
      </c>
      <c r="V905" s="210" t="s">
        <v>19</v>
      </c>
      <c r="W905" s="211" t="s">
        <v>1010</v>
      </c>
      <c r="X905" s="211">
        <v>500</v>
      </c>
      <c r="Y905" s="211">
        <v>100</v>
      </c>
      <c r="Z905" s="212">
        <v>100</v>
      </c>
      <c r="AA905" s="240">
        <v>31</v>
      </c>
      <c r="AB905" s="213">
        <v>6.0000000000000001E-3</v>
      </c>
      <c r="AC905" s="213">
        <v>0</v>
      </c>
      <c r="AD905" s="213" t="s">
        <v>109</v>
      </c>
      <c r="AE905" s="213">
        <v>2E-3</v>
      </c>
      <c r="AF905" s="241">
        <v>360859322.73000002</v>
      </c>
      <c r="AG905" s="241">
        <v>360859322.73000002</v>
      </c>
      <c r="AH905" s="213">
        <v>7.1800000000000003E-2</v>
      </c>
      <c r="AI905" s="352">
        <v>1.1054999999999999</v>
      </c>
      <c r="AJ905" s="213">
        <v>0.1089</v>
      </c>
      <c r="AK905" s="352">
        <v>1.1575</v>
      </c>
      <c r="AL905" s="213">
        <v>0.16689999999999999</v>
      </c>
      <c r="AM905" s="352">
        <v>1.3815</v>
      </c>
      <c r="AN905" s="213">
        <v>0.14960000000000001</v>
      </c>
      <c r="AO905" s="352">
        <v>0.88770000000000004</v>
      </c>
      <c r="AP905" s="213">
        <v>4.4000000000000003E-3</v>
      </c>
      <c r="AQ905" s="219">
        <v>3.0374908975979582</v>
      </c>
      <c r="AR905" s="213" t="s">
        <v>1827</v>
      </c>
      <c r="AV905" s="343"/>
      <c r="AW905" s="328"/>
      <c r="AX905" s="329"/>
      <c r="AY905" s="328"/>
      <c r="AZ905" s="328"/>
      <c r="BA905" s="330"/>
      <c r="BB905" s="328"/>
      <c r="BC905" s="328"/>
      <c r="BD905" s="328"/>
      <c r="BE905" s="330"/>
      <c r="BF905" s="330"/>
      <c r="BG905" s="344"/>
      <c r="BH905" s="330"/>
      <c r="BI905" s="330"/>
      <c r="BJ905" s="330"/>
      <c r="BK905" s="330"/>
      <c r="BL905" s="330"/>
      <c r="BM905" s="330"/>
      <c r="BN905" s="330"/>
      <c r="BO905" s="330"/>
      <c r="BP905" s="331"/>
      <c r="BQ905" s="332"/>
      <c r="BR905" s="333"/>
    </row>
    <row r="906" spans="2:70" ht="15.75" customHeight="1">
      <c r="B906" s="216" t="s">
        <v>1576</v>
      </c>
      <c r="C906" s="212">
        <v>534681</v>
      </c>
      <c r="D906" s="223">
        <v>43985450000193</v>
      </c>
      <c r="E906" s="217" t="s">
        <v>19</v>
      </c>
      <c r="F906" s="217" t="s">
        <v>963</v>
      </c>
      <c r="G906" s="217" t="s">
        <v>1034</v>
      </c>
      <c r="H906" s="218" t="s">
        <v>1113</v>
      </c>
      <c r="I906" s="217" t="s">
        <v>66</v>
      </c>
      <c r="J906" s="217" t="s">
        <v>1822</v>
      </c>
      <c r="K906" s="218" t="s">
        <v>951</v>
      </c>
      <c r="L906" s="212" t="s">
        <v>87</v>
      </c>
      <c r="M906" s="250"/>
      <c r="N906" s="239">
        <v>44516</v>
      </c>
      <c r="O906" s="210" t="s">
        <v>588</v>
      </c>
      <c r="P906" s="210" t="s">
        <v>1075</v>
      </c>
      <c r="Q906" s="210" t="s">
        <v>1076</v>
      </c>
      <c r="R906" s="210" t="s">
        <v>1077</v>
      </c>
      <c r="S906" s="210" t="s">
        <v>1078</v>
      </c>
      <c r="T906" s="210" t="s">
        <v>32</v>
      </c>
      <c r="U906" s="210" t="s">
        <v>1150</v>
      </c>
      <c r="V906" s="210" t="s">
        <v>25</v>
      </c>
      <c r="W906" s="211" t="s">
        <v>1016</v>
      </c>
      <c r="X906" s="211">
        <v>25000</v>
      </c>
      <c r="Y906" s="211">
        <v>1000</v>
      </c>
      <c r="Z906" s="212">
        <v>1000</v>
      </c>
      <c r="AA906" s="240">
        <v>362</v>
      </c>
      <c r="AB906" s="213">
        <v>0.01</v>
      </c>
      <c r="AC906" s="213">
        <v>0.2</v>
      </c>
      <c r="AD906" s="213" t="s">
        <v>1100</v>
      </c>
      <c r="AE906" s="213" t="s">
        <v>66</v>
      </c>
      <c r="AF906" s="241">
        <v>76387189.519999996</v>
      </c>
      <c r="AG906" s="241">
        <v>76387189.519999996</v>
      </c>
      <c r="AH906" s="213">
        <v>0.1196</v>
      </c>
      <c r="AI906" s="352">
        <v>1.8425</v>
      </c>
      <c r="AJ906" s="213" t="s">
        <v>66</v>
      </c>
      <c r="AK906" s="352" t="s">
        <v>66</v>
      </c>
      <c r="AL906" s="213" t="s">
        <v>66</v>
      </c>
      <c r="AM906" s="352" t="s">
        <v>66</v>
      </c>
      <c r="AN906" s="213" t="s">
        <v>66</v>
      </c>
      <c r="AO906" s="352" t="s">
        <v>66</v>
      </c>
      <c r="AP906" s="213" t="s">
        <v>66</v>
      </c>
      <c r="AQ906" s="219" t="s">
        <v>66</v>
      </c>
      <c r="AR906" s="213" t="s">
        <v>1827</v>
      </c>
      <c r="AV906" s="343"/>
      <c r="AW906" s="328"/>
      <c r="AX906" s="329"/>
      <c r="AY906" s="328"/>
      <c r="AZ906" s="328"/>
      <c r="BA906" s="330"/>
      <c r="BB906" s="328"/>
      <c r="BC906" s="328"/>
      <c r="BD906" s="328"/>
      <c r="BE906" s="330"/>
      <c r="BF906" s="330"/>
      <c r="BG906" s="344"/>
      <c r="BH906" s="330"/>
      <c r="BI906" s="330"/>
      <c r="BJ906" s="330"/>
      <c r="BK906" s="330"/>
      <c r="BL906" s="330"/>
      <c r="BM906" s="330"/>
      <c r="BN906" s="330"/>
      <c r="BO906" s="330"/>
      <c r="BP906" s="331"/>
      <c r="BQ906" s="332"/>
      <c r="BR906" s="333"/>
    </row>
    <row r="907" spans="2:70" ht="15.75" customHeight="1">
      <c r="B907" s="216" t="s">
        <v>1577</v>
      </c>
      <c r="C907" s="212">
        <v>764469</v>
      </c>
      <c r="D907" s="223">
        <v>37098161000170</v>
      </c>
      <c r="E907" s="217" t="s">
        <v>19</v>
      </c>
      <c r="F907" s="217" t="s">
        <v>1009</v>
      </c>
      <c r="G907" s="217"/>
      <c r="H907" s="218"/>
      <c r="I907" s="217" t="s">
        <v>66</v>
      </c>
      <c r="J907" s="217"/>
      <c r="K907" s="218" t="s">
        <v>1046</v>
      </c>
      <c r="L907" s="212" t="s">
        <v>88</v>
      </c>
      <c r="M907" s="250"/>
      <c r="N907" s="239">
        <v>44215</v>
      </c>
      <c r="O907" s="210" t="s">
        <v>588</v>
      </c>
      <c r="P907" s="210" t="s">
        <v>1075</v>
      </c>
      <c r="Q907" s="210" t="s">
        <v>1076</v>
      </c>
      <c r="R907" s="210" t="s">
        <v>1077</v>
      </c>
      <c r="S907" s="210" t="s">
        <v>1078</v>
      </c>
      <c r="T907" s="210" t="s">
        <v>349</v>
      </c>
      <c r="U907" s="210" t="s">
        <v>65</v>
      </c>
      <c r="V907" s="210" t="s">
        <v>25</v>
      </c>
      <c r="W907" s="211" t="s">
        <v>1028</v>
      </c>
      <c r="X907" s="211">
        <v>1000</v>
      </c>
      <c r="Y907" s="211">
        <v>1000</v>
      </c>
      <c r="Z907" s="212">
        <v>1000</v>
      </c>
      <c r="AA907" s="240">
        <v>31</v>
      </c>
      <c r="AB907" s="213">
        <v>8.9999999999999993E-3</v>
      </c>
      <c r="AC907" s="213">
        <v>0</v>
      </c>
      <c r="AD907" s="213" t="s">
        <v>113</v>
      </c>
      <c r="AE907" s="213">
        <v>2.8001999999999997E-3</v>
      </c>
      <c r="AF907" s="241">
        <v>5771714.7199999997</v>
      </c>
      <c r="AG907" s="241">
        <v>5771714.7199999997</v>
      </c>
      <c r="AH907" s="213">
        <v>-0.19259999999999999</v>
      </c>
      <c r="AI907" s="352">
        <v>-2.9664999999999999</v>
      </c>
      <c r="AJ907" s="213">
        <v>-0.21759999999999999</v>
      </c>
      <c r="AK907" s="352">
        <v>-2.3132000000000001</v>
      </c>
      <c r="AL907" s="213" t="s">
        <v>66</v>
      </c>
      <c r="AM907" s="352" t="s">
        <v>66</v>
      </c>
      <c r="AN907" s="213" t="s">
        <v>66</v>
      </c>
      <c r="AO907" s="352" t="s">
        <v>66</v>
      </c>
      <c r="AP907" s="213">
        <v>0.1686</v>
      </c>
      <c r="AQ907" s="219">
        <v>-1.9042159582980842</v>
      </c>
      <c r="AR907" s="213" t="s">
        <v>1827</v>
      </c>
      <c r="AV907" s="343"/>
      <c r="AW907" s="328"/>
      <c r="AX907" s="329"/>
      <c r="AY907" s="328"/>
      <c r="AZ907" s="328"/>
      <c r="BA907" s="330"/>
      <c r="BB907" s="328"/>
      <c r="BC907" s="328"/>
      <c r="BD907" s="328"/>
      <c r="BE907" s="330"/>
      <c r="BF907" s="330"/>
      <c r="BG907" s="344"/>
      <c r="BH907" s="330"/>
      <c r="BI907" s="330"/>
      <c r="BJ907" s="330"/>
      <c r="BK907" s="330"/>
      <c r="BL907" s="330"/>
      <c r="BM907" s="330"/>
      <c r="BN907" s="330"/>
      <c r="BO907" s="330"/>
      <c r="BP907" s="331"/>
      <c r="BQ907" s="332"/>
      <c r="BR907" s="333"/>
    </row>
    <row r="908" spans="2:70" ht="15.75" customHeight="1">
      <c r="B908" s="216" t="s">
        <v>1578</v>
      </c>
      <c r="C908" s="212">
        <v>1540048</v>
      </c>
      <c r="D908" s="223">
        <v>21732619000160</v>
      </c>
      <c r="E908" s="217" t="s">
        <v>19</v>
      </c>
      <c r="F908" s="217" t="s">
        <v>963</v>
      </c>
      <c r="G908" s="217"/>
      <c r="H908" s="218"/>
      <c r="I908" s="217" t="s">
        <v>66</v>
      </c>
      <c r="J908" s="217"/>
      <c r="K908" s="218" t="s">
        <v>1050</v>
      </c>
      <c r="L908" s="212" t="s">
        <v>87</v>
      </c>
      <c r="M908" s="250"/>
      <c r="N908" s="239">
        <v>42130</v>
      </c>
      <c r="O908" s="210" t="s">
        <v>588</v>
      </c>
      <c r="P908" s="210" t="s">
        <v>1075</v>
      </c>
      <c r="Q908" s="210" t="s">
        <v>1076</v>
      </c>
      <c r="R908" s="210" t="s">
        <v>1077</v>
      </c>
      <c r="S908" s="210" t="s">
        <v>1078</v>
      </c>
      <c r="T908" s="210" t="s">
        <v>349</v>
      </c>
      <c r="U908" s="210" t="s">
        <v>65</v>
      </c>
      <c r="V908" s="210" t="s">
        <v>25</v>
      </c>
      <c r="W908" s="211" t="s">
        <v>1028</v>
      </c>
      <c r="X908" s="211">
        <v>1000</v>
      </c>
      <c r="Y908" s="211">
        <v>1000</v>
      </c>
      <c r="Z908" s="212">
        <v>1000</v>
      </c>
      <c r="AA908" s="240">
        <v>32</v>
      </c>
      <c r="AB908" s="213">
        <v>0.01</v>
      </c>
      <c r="AC908" s="213">
        <v>0.2</v>
      </c>
      <c r="AD908" s="213" t="s">
        <v>113</v>
      </c>
      <c r="AE908" s="213">
        <v>3.1113333333333331E-3</v>
      </c>
      <c r="AF908" s="241">
        <v>45534512.229999997</v>
      </c>
      <c r="AG908" s="241">
        <v>45534512.229999997</v>
      </c>
      <c r="AH908" s="213">
        <v>-1.4500000000000001E-2</v>
      </c>
      <c r="AI908" s="352">
        <v>-0.22409999999999999</v>
      </c>
      <c r="AJ908" s="213">
        <v>-3.7100000000000001E-2</v>
      </c>
      <c r="AK908" s="352">
        <v>-0.39429999999999998</v>
      </c>
      <c r="AL908" s="213">
        <v>0.19439999999999999</v>
      </c>
      <c r="AM908" s="352">
        <v>1.6094999999999999</v>
      </c>
      <c r="AN908" s="213">
        <v>0.13200000000000001</v>
      </c>
      <c r="AO908" s="352">
        <v>0.78310000000000002</v>
      </c>
      <c r="AP908" s="213">
        <v>3.7699999999999997E-2</v>
      </c>
      <c r="AQ908" s="219">
        <v>-3.3722140093446993</v>
      </c>
      <c r="AR908" s="213" t="s">
        <v>1827</v>
      </c>
      <c r="AV908" s="343"/>
      <c r="AW908" s="328"/>
      <c r="AX908" s="329"/>
      <c r="AY908" s="328"/>
      <c r="AZ908" s="328"/>
      <c r="BA908" s="330"/>
      <c r="BB908" s="328"/>
      <c r="BC908" s="328"/>
      <c r="BD908" s="328"/>
      <c r="BE908" s="330"/>
      <c r="BF908" s="330"/>
      <c r="BG908" s="344"/>
      <c r="BH908" s="330"/>
      <c r="BI908" s="330"/>
      <c r="BJ908" s="330"/>
      <c r="BK908" s="330"/>
      <c r="BL908" s="330"/>
      <c r="BM908" s="330"/>
      <c r="BN908" s="330"/>
      <c r="BO908" s="330"/>
      <c r="BP908" s="331"/>
      <c r="BQ908" s="332"/>
      <c r="BR908" s="333"/>
    </row>
    <row r="909" spans="2:70" ht="15.75" customHeight="1">
      <c r="B909" s="216" t="s">
        <v>763</v>
      </c>
      <c r="C909" s="212">
        <v>1035202</v>
      </c>
      <c r="D909" s="223">
        <v>11741429000156</v>
      </c>
      <c r="E909" s="217" t="s">
        <v>28</v>
      </c>
      <c r="F909" s="217" t="s">
        <v>950</v>
      </c>
      <c r="G909" s="217"/>
      <c r="H909" s="218"/>
      <c r="I909" s="217" t="s">
        <v>66</v>
      </c>
      <c r="J909" s="217" t="s">
        <v>66</v>
      </c>
      <c r="K909" s="218" t="s">
        <v>951</v>
      </c>
      <c r="L909" s="212" t="s">
        <v>87</v>
      </c>
      <c r="M909" s="250"/>
      <c r="N909" s="239">
        <v>41556</v>
      </c>
      <c r="O909" s="210" t="s">
        <v>588</v>
      </c>
      <c r="P909" s="210" t="s">
        <v>1075</v>
      </c>
      <c r="Q909" s="210" t="s">
        <v>1076</v>
      </c>
      <c r="R909" s="210" t="s">
        <v>1084</v>
      </c>
      <c r="S909" s="210" t="s">
        <v>1078</v>
      </c>
      <c r="T909" s="210" t="s">
        <v>1079</v>
      </c>
      <c r="U909" s="210" t="s">
        <v>950</v>
      </c>
      <c r="V909" s="210" t="s">
        <v>1080</v>
      </c>
      <c r="W909" s="211" t="s">
        <v>1007</v>
      </c>
      <c r="X909" s="211">
        <v>500</v>
      </c>
      <c r="Y909" s="211">
        <v>500</v>
      </c>
      <c r="Z909" s="212">
        <v>500</v>
      </c>
      <c r="AA909" s="240">
        <v>33</v>
      </c>
      <c r="AB909" s="213">
        <v>0.02</v>
      </c>
      <c r="AC909" s="213">
        <v>0.2</v>
      </c>
      <c r="AD909" s="213" t="s">
        <v>113</v>
      </c>
      <c r="AE909" s="213">
        <v>5.3340000000000002E-3</v>
      </c>
      <c r="AF909" s="241">
        <v>25471556.170000002</v>
      </c>
      <c r="AG909" s="241">
        <v>25471556.170000002</v>
      </c>
      <c r="AH909" s="213">
        <v>-0.1023</v>
      </c>
      <c r="AI909" s="352">
        <v>-1.5759000000000001</v>
      </c>
      <c r="AJ909" s="213">
        <v>-0.33960000000000001</v>
      </c>
      <c r="AK909" s="352">
        <v>-3.6091000000000002</v>
      </c>
      <c r="AL909" s="213">
        <v>-0.13339999999999999</v>
      </c>
      <c r="AM909" s="352">
        <v>-1.1046</v>
      </c>
      <c r="AN909" s="213">
        <v>-0.1042</v>
      </c>
      <c r="AO909" s="352">
        <v>-0.61809999999999998</v>
      </c>
      <c r="AP909" s="213">
        <v>0.2266</v>
      </c>
      <c r="AQ909" s="219">
        <v>-2.1126688125387174</v>
      </c>
      <c r="AR909" s="213" t="s">
        <v>1827</v>
      </c>
      <c r="AV909" s="343"/>
      <c r="AW909" s="328"/>
      <c r="AX909" s="329"/>
      <c r="AY909" s="328"/>
      <c r="AZ909" s="328"/>
      <c r="BA909" s="330"/>
      <c r="BB909" s="328"/>
      <c r="BC909" s="328"/>
      <c r="BD909" s="328"/>
      <c r="BE909" s="330"/>
      <c r="BF909" s="330"/>
      <c r="BG909" s="344"/>
      <c r="BH909" s="330"/>
      <c r="BI909" s="330"/>
      <c r="BJ909" s="330"/>
      <c r="BK909" s="330"/>
      <c r="BL909" s="330"/>
      <c r="BM909" s="330"/>
      <c r="BN909" s="330"/>
      <c r="BO909" s="330"/>
      <c r="BP909" s="331"/>
      <c r="BQ909" s="332"/>
      <c r="BR909" s="333"/>
    </row>
    <row r="910" spans="2:70" ht="15.75" customHeight="1">
      <c r="B910" s="216" t="s">
        <v>590</v>
      </c>
      <c r="C910" s="212">
        <v>771540</v>
      </c>
      <c r="D910" s="223">
        <v>10237439000196</v>
      </c>
      <c r="E910" s="217" t="s">
        <v>25</v>
      </c>
      <c r="F910" s="217" t="s">
        <v>959</v>
      </c>
      <c r="G910" s="217" t="s">
        <v>960</v>
      </c>
      <c r="H910" s="218" t="s">
        <v>66</v>
      </c>
      <c r="I910" s="217" t="s">
        <v>1842</v>
      </c>
      <c r="J910" s="217" t="s">
        <v>66</v>
      </c>
      <c r="K910" s="218" t="s">
        <v>951</v>
      </c>
      <c r="L910" s="212" t="s">
        <v>87</v>
      </c>
      <c r="M910" s="250"/>
      <c r="N910" s="239">
        <v>39696</v>
      </c>
      <c r="O910" s="210" t="s">
        <v>591</v>
      </c>
      <c r="P910" s="210" t="s">
        <v>1090</v>
      </c>
      <c r="Q910" s="210" t="s">
        <v>1091</v>
      </c>
      <c r="R910" s="210" t="s">
        <v>1084</v>
      </c>
      <c r="S910" s="210" t="s">
        <v>1078</v>
      </c>
      <c r="T910" s="210" t="s">
        <v>1082</v>
      </c>
      <c r="U910" s="210" t="s">
        <v>958</v>
      </c>
      <c r="V910" s="210" t="s">
        <v>25</v>
      </c>
      <c r="W910" s="211" t="s">
        <v>1012</v>
      </c>
      <c r="X910" s="211">
        <v>10000</v>
      </c>
      <c r="Y910" s="211">
        <v>1000</v>
      </c>
      <c r="Z910" s="212">
        <v>5000</v>
      </c>
      <c r="AA910" s="240">
        <v>16</v>
      </c>
      <c r="AB910" s="213">
        <v>0.02</v>
      </c>
      <c r="AC910" s="213">
        <v>0.2</v>
      </c>
      <c r="AD910" s="213" t="s">
        <v>109</v>
      </c>
      <c r="AE910" s="213">
        <v>4.0000000000000001E-3</v>
      </c>
      <c r="AF910" s="241">
        <v>25264997.84</v>
      </c>
      <c r="AG910" s="241">
        <v>25264997.84</v>
      </c>
      <c r="AH910" s="213">
        <v>7.7799999999999994E-2</v>
      </c>
      <c r="AI910" s="352">
        <v>1.1990000000000001</v>
      </c>
      <c r="AJ910" s="213">
        <v>0.1789</v>
      </c>
      <c r="AK910" s="352">
        <v>1.9017999999999999</v>
      </c>
      <c r="AL910" s="213">
        <v>0.25679999999999997</v>
      </c>
      <c r="AM910" s="352">
        <v>2.1254</v>
      </c>
      <c r="AN910" s="213">
        <v>0.26669999999999999</v>
      </c>
      <c r="AO910" s="352">
        <v>1.5824</v>
      </c>
      <c r="AP910" s="213">
        <v>0.1118</v>
      </c>
      <c r="AQ910" s="219">
        <v>0.72402157342291051</v>
      </c>
      <c r="AR910" s="213" t="s">
        <v>1827</v>
      </c>
      <c r="AV910" s="343"/>
      <c r="AW910" s="328"/>
      <c r="AX910" s="329"/>
      <c r="AY910" s="328"/>
      <c r="AZ910" s="328"/>
      <c r="BA910" s="330"/>
      <c r="BB910" s="328"/>
      <c r="BC910" s="328"/>
      <c r="BD910" s="328"/>
      <c r="BE910" s="330"/>
      <c r="BF910" s="330"/>
      <c r="BG910" s="344"/>
      <c r="BH910" s="330"/>
      <c r="BI910" s="330"/>
      <c r="BJ910" s="330"/>
      <c r="BK910" s="330"/>
      <c r="BL910" s="330"/>
      <c r="BM910" s="330"/>
      <c r="BN910" s="330"/>
      <c r="BO910" s="330"/>
      <c r="BP910" s="331"/>
      <c r="BQ910" s="332"/>
      <c r="BR910" s="333"/>
    </row>
    <row r="911" spans="2:70" ht="15.75" customHeight="1">
      <c r="B911" s="216" t="s">
        <v>850</v>
      </c>
      <c r="C911" s="212">
        <v>830485</v>
      </c>
      <c r="D911" s="223">
        <v>25108749000188</v>
      </c>
      <c r="E911" s="217" t="s">
        <v>25</v>
      </c>
      <c r="F911" s="217" t="s">
        <v>958</v>
      </c>
      <c r="G911" s="217" t="s">
        <v>962</v>
      </c>
      <c r="H911" s="218" t="s">
        <v>66</v>
      </c>
      <c r="I911" s="217" t="s">
        <v>1842</v>
      </c>
      <c r="J911" s="217" t="s">
        <v>66</v>
      </c>
      <c r="K911" s="218"/>
      <c r="L911" s="212" t="s">
        <v>87</v>
      </c>
      <c r="M911" s="250"/>
      <c r="N911" s="239">
        <v>42577</v>
      </c>
      <c r="O911" s="210" t="s">
        <v>851</v>
      </c>
      <c r="P911" s="210" t="s">
        <v>1075</v>
      </c>
      <c r="Q911" s="210" t="s">
        <v>1117</v>
      </c>
      <c r="R911" s="210" t="s">
        <v>1084</v>
      </c>
      <c r="S911" s="210" t="s">
        <v>1078</v>
      </c>
      <c r="T911" s="210" t="s">
        <v>1082</v>
      </c>
      <c r="U911" s="210" t="s">
        <v>958</v>
      </c>
      <c r="V911" s="210" t="s">
        <v>25</v>
      </c>
      <c r="W911" s="211" t="s">
        <v>1016</v>
      </c>
      <c r="X911" s="211">
        <v>5000</v>
      </c>
      <c r="Y911" s="211">
        <v>5000</v>
      </c>
      <c r="Z911" s="212">
        <v>5000</v>
      </c>
      <c r="AA911" s="240">
        <v>3</v>
      </c>
      <c r="AB911" s="213">
        <v>1.4999999999999999E-2</v>
      </c>
      <c r="AC911" s="213">
        <v>0.2</v>
      </c>
      <c r="AD911" s="213" t="s">
        <v>1100</v>
      </c>
      <c r="AE911" s="213" t="s">
        <v>66</v>
      </c>
      <c r="AF911" s="241">
        <v>13687118.380000001</v>
      </c>
      <c r="AG911" s="241">
        <v>13687118.380000001</v>
      </c>
      <c r="AH911" s="213">
        <v>8.1900000000000001E-2</v>
      </c>
      <c r="AI911" s="352">
        <v>1.2607999999999999</v>
      </c>
      <c r="AJ911" s="213">
        <v>-8.6999999999999994E-3</v>
      </c>
      <c r="AK911" s="352">
        <v>-9.1999999999999998E-2</v>
      </c>
      <c r="AL911" s="213">
        <v>5.7200000000000001E-2</v>
      </c>
      <c r="AM911" s="352">
        <v>0.47320000000000001</v>
      </c>
      <c r="AN911" s="213">
        <v>1.8E-3</v>
      </c>
      <c r="AO911" s="352">
        <v>1.04E-2</v>
      </c>
      <c r="AP911" s="213">
        <v>0.14729999999999999</v>
      </c>
      <c r="AQ911" s="219">
        <v>-0.59640756054264821</v>
      </c>
      <c r="AR911" s="213" t="s">
        <v>1827</v>
      </c>
      <c r="AV911" s="343"/>
      <c r="AW911" s="328"/>
      <c r="AX911" s="329"/>
      <c r="AY911" s="328"/>
      <c r="AZ911" s="328"/>
      <c r="BA911" s="330"/>
      <c r="BB911" s="328"/>
      <c r="BC911" s="328"/>
      <c r="BD911" s="328"/>
      <c r="BE911" s="330"/>
      <c r="BF911" s="330"/>
      <c r="BG911" s="344"/>
      <c r="BH911" s="330"/>
      <c r="BI911" s="330"/>
      <c r="BJ911" s="330"/>
      <c r="BK911" s="330"/>
      <c r="BL911" s="330"/>
      <c r="BM911" s="330"/>
      <c r="BN911" s="330"/>
      <c r="BO911" s="330"/>
      <c r="BP911" s="331"/>
      <c r="BQ911" s="332"/>
      <c r="BR911" s="333"/>
    </row>
    <row r="912" spans="2:70" ht="15.75" customHeight="1">
      <c r="B912" s="216" t="s">
        <v>1579</v>
      </c>
      <c r="C912" s="212">
        <v>1050330</v>
      </c>
      <c r="D912" s="223">
        <v>23565840000105</v>
      </c>
      <c r="E912" s="217" t="s">
        <v>19</v>
      </c>
      <c r="F912" s="217" t="s">
        <v>963</v>
      </c>
      <c r="G912" s="217" t="s">
        <v>1042</v>
      </c>
      <c r="H912" s="218" t="s">
        <v>1113</v>
      </c>
      <c r="I912" s="217" t="s">
        <v>66</v>
      </c>
      <c r="J912" s="217"/>
      <c r="K912" s="218" t="s">
        <v>951</v>
      </c>
      <c r="L912" s="212" t="s">
        <v>87</v>
      </c>
      <c r="M912" s="250"/>
      <c r="N912" s="239">
        <v>42458</v>
      </c>
      <c r="O912" s="210" t="s">
        <v>592</v>
      </c>
      <c r="P912" s="210" t="s">
        <v>1090</v>
      </c>
      <c r="Q912" s="210" t="s">
        <v>1091</v>
      </c>
      <c r="R912" s="210" t="s">
        <v>1084</v>
      </c>
      <c r="S912" s="210" t="s">
        <v>1085</v>
      </c>
      <c r="T912" s="210" t="s">
        <v>349</v>
      </c>
      <c r="U912" s="210" t="s">
        <v>964</v>
      </c>
      <c r="V912" s="210" t="s">
        <v>19</v>
      </c>
      <c r="W912" s="211" t="s">
        <v>1024</v>
      </c>
      <c r="X912" s="211">
        <v>1000</v>
      </c>
      <c r="Y912" s="211">
        <v>1000</v>
      </c>
      <c r="Z912" s="212">
        <v>1000</v>
      </c>
      <c r="AA912" s="240">
        <v>31</v>
      </c>
      <c r="AB912" s="213">
        <v>8.0000000000000002E-3</v>
      </c>
      <c r="AC912" s="213">
        <v>0</v>
      </c>
      <c r="AD912" s="213" t="s">
        <v>109</v>
      </c>
      <c r="AE912" s="213">
        <v>1.5999999999999999E-3</v>
      </c>
      <c r="AF912" s="241">
        <v>53776390.780000001</v>
      </c>
      <c r="AG912" s="241">
        <v>53776390.780000001</v>
      </c>
      <c r="AH912" s="213">
        <v>7.7600000000000002E-2</v>
      </c>
      <c r="AI912" s="352">
        <v>1.1953</v>
      </c>
      <c r="AJ912" s="213">
        <v>0.1157</v>
      </c>
      <c r="AK912" s="352">
        <v>1.2301</v>
      </c>
      <c r="AL912" s="213">
        <v>0.1762</v>
      </c>
      <c r="AM912" s="352">
        <v>1.4583999999999999</v>
      </c>
      <c r="AN912" s="213">
        <v>0.14280000000000001</v>
      </c>
      <c r="AO912" s="352">
        <v>0.84730000000000005</v>
      </c>
      <c r="AP912" s="213">
        <v>1.18E-2</v>
      </c>
      <c r="AQ912" s="219">
        <v>1.6656185897499558</v>
      </c>
      <c r="AR912" s="213" t="s">
        <v>1827</v>
      </c>
      <c r="AV912" s="343"/>
      <c r="AW912" s="328"/>
      <c r="AX912" s="329"/>
      <c r="AY912" s="328"/>
      <c r="AZ912" s="328"/>
      <c r="BA912" s="330"/>
      <c r="BB912" s="328"/>
      <c r="BC912" s="328"/>
      <c r="BD912" s="328"/>
      <c r="BE912" s="330"/>
      <c r="BF912" s="330"/>
      <c r="BG912" s="344"/>
      <c r="BH912" s="330"/>
      <c r="BI912" s="330"/>
      <c r="BJ912" s="330"/>
      <c r="BK912" s="330"/>
      <c r="BL912" s="330"/>
      <c r="BM912" s="330"/>
      <c r="BN912" s="330"/>
      <c r="BO912" s="330"/>
      <c r="BP912" s="331"/>
      <c r="BQ912" s="332"/>
      <c r="BR912" s="333"/>
    </row>
    <row r="913" spans="2:70" ht="15.75" customHeight="1">
      <c r="B913" s="216" t="s">
        <v>1580</v>
      </c>
      <c r="C913" s="212">
        <v>1187503</v>
      </c>
      <c r="D913" s="223">
        <v>27717045000138</v>
      </c>
      <c r="E913" s="217" t="s">
        <v>19</v>
      </c>
      <c r="F913" s="217" t="s">
        <v>963</v>
      </c>
      <c r="G913" s="217" t="s">
        <v>1042</v>
      </c>
      <c r="H913" s="218" t="s">
        <v>1113</v>
      </c>
      <c r="I913" s="217" t="s">
        <v>66</v>
      </c>
      <c r="J913" s="217"/>
      <c r="K913" s="218" t="s">
        <v>951</v>
      </c>
      <c r="L913" s="212" t="s">
        <v>87</v>
      </c>
      <c r="M913" s="250"/>
      <c r="N913" s="239">
        <v>42962</v>
      </c>
      <c r="O913" s="210" t="s">
        <v>592</v>
      </c>
      <c r="P913" s="210" t="s">
        <v>1090</v>
      </c>
      <c r="Q913" s="210" t="s">
        <v>1091</v>
      </c>
      <c r="R913" s="210" t="s">
        <v>1084</v>
      </c>
      <c r="S913" s="210" t="s">
        <v>1085</v>
      </c>
      <c r="T913" s="210" t="s">
        <v>349</v>
      </c>
      <c r="U913" s="210" t="s">
        <v>964</v>
      </c>
      <c r="V913" s="210" t="s">
        <v>19</v>
      </c>
      <c r="W913" s="211" t="s">
        <v>1024</v>
      </c>
      <c r="X913" s="211">
        <v>100</v>
      </c>
      <c r="Y913" s="211">
        <v>100</v>
      </c>
      <c r="Z913" s="212">
        <v>100</v>
      </c>
      <c r="AA913" s="240">
        <v>5</v>
      </c>
      <c r="AB913" s="213">
        <v>2E-3</v>
      </c>
      <c r="AC913" s="213">
        <v>0</v>
      </c>
      <c r="AD913" s="213" t="s">
        <v>109</v>
      </c>
      <c r="AE913" s="213">
        <v>3.9999999999999996E-4</v>
      </c>
      <c r="AF913" s="241">
        <v>53137304.43</v>
      </c>
      <c r="AG913" s="241">
        <v>53137304.43</v>
      </c>
      <c r="AH913" s="213">
        <v>7.5899999999999995E-2</v>
      </c>
      <c r="AI913" s="352">
        <v>1.169</v>
      </c>
      <c r="AJ913" s="213">
        <v>0.1135</v>
      </c>
      <c r="AK913" s="352">
        <v>1.2065999999999999</v>
      </c>
      <c r="AL913" s="213">
        <v>0.17860000000000001</v>
      </c>
      <c r="AM913" s="352">
        <v>1.4782</v>
      </c>
      <c r="AN913" s="213">
        <v>0.13439999999999999</v>
      </c>
      <c r="AO913" s="352">
        <v>0.79779999999999995</v>
      </c>
      <c r="AP913" s="213">
        <v>1.03E-2</v>
      </c>
      <c r="AQ913" s="219">
        <v>1.7125577930040099</v>
      </c>
      <c r="AR913" s="213" t="s">
        <v>1827</v>
      </c>
      <c r="AV913" s="343"/>
      <c r="AW913" s="328"/>
      <c r="AX913" s="329"/>
      <c r="AY913" s="328"/>
      <c r="AZ913" s="328"/>
      <c r="BA913" s="330"/>
      <c r="BB913" s="328"/>
      <c r="BC913" s="328"/>
      <c r="BD913" s="328"/>
      <c r="BE913" s="330"/>
      <c r="BF913" s="330"/>
      <c r="BG913" s="344"/>
      <c r="BH913" s="330"/>
      <c r="BI913" s="330"/>
      <c r="BJ913" s="330"/>
      <c r="BK913" s="330"/>
      <c r="BL913" s="330"/>
      <c r="BM913" s="330"/>
      <c r="BN913" s="330"/>
      <c r="BO913" s="330"/>
      <c r="BP913" s="331"/>
      <c r="BQ913" s="332"/>
      <c r="BR913" s="333"/>
    </row>
    <row r="914" spans="2:70" ht="15.75" customHeight="1">
      <c r="B914" s="216" t="s">
        <v>1581</v>
      </c>
      <c r="C914" s="212">
        <v>534904</v>
      </c>
      <c r="D914" s="223">
        <v>29178368000126</v>
      </c>
      <c r="E914" s="217" t="s">
        <v>19</v>
      </c>
      <c r="F914" s="217" t="s">
        <v>1009</v>
      </c>
      <c r="G914" s="217"/>
      <c r="H914" s="218"/>
      <c r="I914" s="217" t="s">
        <v>66</v>
      </c>
      <c r="J914" s="217"/>
      <c r="K914" s="218" t="s">
        <v>954</v>
      </c>
      <c r="L914" s="212" t="s">
        <v>87</v>
      </c>
      <c r="M914" s="250"/>
      <c r="N914" s="239">
        <v>43250</v>
      </c>
      <c r="O914" s="210" t="s">
        <v>249</v>
      </c>
      <c r="P914" s="210" t="s">
        <v>1075</v>
      </c>
      <c r="Q914" s="210" t="s">
        <v>1076</v>
      </c>
      <c r="R914" s="210" t="s">
        <v>1077</v>
      </c>
      <c r="S914" s="210" t="s">
        <v>1078</v>
      </c>
      <c r="T914" s="210" t="s">
        <v>1275</v>
      </c>
      <c r="U914" s="210" t="s">
        <v>65</v>
      </c>
      <c r="V914" s="210" t="s">
        <v>25</v>
      </c>
      <c r="W914" s="211" t="s">
        <v>1028</v>
      </c>
      <c r="X914" s="211">
        <v>5000</v>
      </c>
      <c r="Y914" s="211">
        <v>5000</v>
      </c>
      <c r="Z914" s="212">
        <v>5000</v>
      </c>
      <c r="AA914" s="240">
        <v>5</v>
      </c>
      <c r="AB914" s="213">
        <v>8.9999999999999993E-3</v>
      </c>
      <c r="AC914" s="213">
        <v>0</v>
      </c>
      <c r="AD914" s="213" t="s">
        <v>113</v>
      </c>
      <c r="AE914" s="213">
        <v>5.3327999999999995E-3</v>
      </c>
      <c r="AF914" s="241">
        <v>25346448.949999999</v>
      </c>
      <c r="AG914" s="241">
        <v>25346448.949999999</v>
      </c>
      <c r="AH914" s="213">
        <v>-6.0100000000000001E-2</v>
      </c>
      <c r="AI914" s="352">
        <v>-0.92559999999999998</v>
      </c>
      <c r="AJ914" s="213">
        <v>-5.0200000000000002E-2</v>
      </c>
      <c r="AK914" s="352">
        <v>-0.53400000000000003</v>
      </c>
      <c r="AL914" s="213">
        <v>-2.0799999999999999E-2</v>
      </c>
      <c r="AM914" s="352">
        <v>-0.17199999999999999</v>
      </c>
      <c r="AN914" s="213">
        <v>8.9599999999999999E-2</v>
      </c>
      <c r="AO914" s="352">
        <v>0.53200000000000003</v>
      </c>
      <c r="AP914" s="213">
        <v>7.0999999999999994E-2</v>
      </c>
      <c r="AQ914" s="219">
        <v>-1.9558811801215117</v>
      </c>
      <c r="AR914" s="213" t="s">
        <v>1827</v>
      </c>
      <c r="AV914" s="343"/>
      <c r="AW914" s="328"/>
      <c r="AX914" s="329"/>
      <c r="AY914" s="328"/>
      <c r="AZ914" s="328"/>
      <c r="BA914" s="330"/>
      <c r="BB914" s="328"/>
      <c r="BC914" s="328"/>
      <c r="BD914" s="328"/>
      <c r="BE914" s="330"/>
      <c r="BF914" s="330"/>
      <c r="BG914" s="344"/>
      <c r="BH914" s="330"/>
      <c r="BI914" s="330"/>
      <c r="BJ914" s="330"/>
      <c r="BK914" s="330"/>
      <c r="BL914" s="330"/>
      <c r="BM914" s="330"/>
      <c r="BN914" s="330"/>
      <c r="BO914" s="330"/>
      <c r="BP914" s="331"/>
      <c r="BQ914" s="332"/>
      <c r="BR914" s="333"/>
    </row>
    <row r="915" spans="2:70" ht="15.75" customHeight="1">
      <c r="B915" s="216" t="s">
        <v>1582</v>
      </c>
      <c r="C915" s="212">
        <v>2232949</v>
      </c>
      <c r="D915" s="223">
        <v>45560944000151</v>
      </c>
      <c r="E915" s="217" t="s">
        <v>28</v>
      </c>
      <c r="F915" s="217" t="s">
        <v>950</v>
      </c>
      <c r="G915" s="217"/>
      <c r="H915" s="218"/>
      <c r="I915" s="217" t="s">
        <v>66</v>
      </c>
      <c r="J915" s="217" t="s">
        <v>66</v>
      </c>
      <c r="K915" s="218" t="s">
        <v>954</v>
      </c>
      <c r="L915" s="212" t="s">
        <v>87</v>
      </c>
      <c r="M915" s="250"/>
      <c r="N915" s="239">
        <v>44673</v>
      </c>
      <c r="O915" s="210" t="s">
        <v>594</v>
      </c>
      <c r="P915" s="210" t="s">
        <v>1075</v>
      </c>
      <c r="Q915" s="210" t="s">
        <v>1076</v>
      </c>
      <c r="R915" s="210" t="s">
        <v>1077</v>
      </c>
      <c r="S915" s="210" t="s">
        <v>1078</v>
      </c>
      <c r="T915" s="210" t="s">
        <v>32</v>
      </c>
      <c r="U915" s="210" t="s">
        <v>33</v>
      </c>
      <c r="V915" s="210" t="s">
        <v>1080</v>
      </c>
      <c r="W915" s="211" t="s">
        <v>1052</v>
      </c>
      <c r="X915" s="211">
        <v>0</v>
      </c>
      <c r="Y915" s="211">
        <v>0</v>
      </c>
      <c r="Z915" s="212">
        <v>0</v>
      </c>
      <c r="AA915" s="240">
        <v>32</v>
      </c>
      <c r="AB915" s="213">
        <v>1.6299999999999999E-2</v>
      </c>
      <c r="AC915" s="213">
        <v>0.2</v>
      </c>
      <c r="AD915" s="213" t="s">
        <v>113</v>
      </c>
      <c r="AE915" s="213" t="s">
        <v>66</v>
      </c>
      <c r="AF915" s="241">
        <v>7802687.3300000001</v>
      </c>
      <c r="AG915" s="241">
        <v>7802687.3300000001</v>
      </c>
      <c r="AH915" s="213" t="s">
        <v>66</v>
      </c>
      <c r="AI915" s="352" t="s">
        <v>66</v>
      </c>
      <c r="AJ915" s="213" t="s">
        <v>66</v>
      </c>
      <c r="AK915" s="352" t="s">
        <v>66</v>
      </c>
      <c r="AL915" s="213" t="s">
        <v>66</v>
      </c>
      <c r="AM915" s="352" t="s">
        <v>66</v>
      </c>
      <c r="AN915" s="213" t="s">
        <v>66</v>
      </c>
      <c r="AO915" s="352" t="s">
        <v>66</v>
      </c>
      <c r="AP915" s="213" t="s">
        <v>66</v>
      </c>
      <c r="AQ915" s="219" t="s">
        <v>66</v>
      </c>
      <c r="AR915" s="213" t="s">
        <v>1824</v>
      </c>
      <c r="AV915" s="343"/>
      <c r="AW915" s="328"/>
      <c r="AX915" s="329"/>
      <c r="AY915" s="328"/>
      <c r="AZ915" s="328"/>
      <c r="BA915" s="330"/>
      <c r="BB915" s="328"/>
      <c r="BC915" s="328"/>
      <c r="BD915" s="328"/>
      <c r="BE915" s="330"/>
      <c r="BF915" s="330"/>
      <c r="BG915" s="344"/>
      <c r="BH915" s="330"/>
      <c r="BI915" s="330"/>
      <c r="BJ915" s="330"/>
      <c r="BK915" s="330"/>
      <c r="BL915" s="330"/>
      <c r="BM915" s="330"/>
      <c r="BN915" s="330"/>
      <c r="BO915" s="330"/>
      <c r="BP915" s="331"/>
      <c r="BQ915" s="332"/>
      <c r="BR915" s="333"/>
    </row>
    <row r="916" spans="2:70" ht="15.75" customHeight="1">
      <c r="B916" s="216" t="s">
        <v>593</v>
      </c>
      <c r="C916" s="212">
        <v>774658</v>
      </c>
      <c r="D916" s="223">
        <v>40102306000173</v>
      </c>
      <c r="E916" s="217" t="s">
        <v>28</v>
      </c>
      <c r="F916" s="217" t="s">
        <v>32</v>
      </c>
      <c r="G916" s="217" t="s">
        <v>33</v>
      </c>
      <c r="H916" s="218"/>
      <c r="I916" s="217" t="s">
        <v>66</v>
      </c>
      <c r="J916" s="217" t="s">
        <v>66</v>
      </c>
      <c r="K916" s="218" t="s">
        <v>1040</v>
      </c>
      <c r="L916" s="212" t="s">
        <v>88</v>
      </c>
      <c r="M916" s="250"/>
      <c r="N916" s="239">
        <v>44195</v>
      </c>
      <c r="O916" s="210" t="s">
        <v>594</v>
      </c>
      <c r="P916" s="210" t="s">
        <v>1075</v>
      </c>
      <c r="Q916" s="210" t="s">
        <v>1076</v>
      </c>
      <c r="R916" s="210" t="s">
        <v>1084</v>
      </c>
      <c r="S916" s="210" t="s">
        <v>1078</v>
      </c>
      <c r="T916" s="210" t="s">
        <v>32</v>
      </c>
      <c r="U916" s="210" t="s">
        <v>33</v>
      </c>
      <c r="V916" s="210" t="s">
        <v>1080</v>
      </c>
      <c r="W916" s="211" t="s">
        <v>1007</v>
      </c>
      <c r="X916" s="211">
        <v>1000</v>
      </c>
      <c r="Y916" s="211">
        <v>1000</v>
      </c>
      <c r="Z916" s="212">
        <v>1000</v>
      </c>
      <c r="AA916" s="240">
        <v>15</v>
      </c>
      <c r="AB916" s="213">
        <v>1.4999999999999999E-2</v>
      </c>
      <c r="AC916" s="213">
        <v>0.2</v>
      </c>
      <c r="AD916" s="213" t="s">
        <v>113</v>
      </c>
      <c r="AE916" s="213">
        <v>3.0000000000000001E-3</v>
      </c>
      <c r="AF916" s="241">
        <v>90394113.230000004</v>
      </c>
      <c r="AG916" s="241">
        <v>90394113.230000004</v>
      </c>
      <c r="AH916" s="213">
        <v>-0.186</v>
      </c>
      <c r="AI916" s="352">
        <v>-2.8651</v>
      </c>
      <c r="AJ916" s="213">
        <v>1.2E-2</v>
      </c>
      <c r="AK916" s="352">
        <v>0.128</v>
      </c>
      <c r="AL916" s="213" t="s">
        <v>66</v>
      </c>
      <c r="AM916" s="352" t="s">
        <v>66</v>
      </c>
      <c r="AN916" s="213" t="s">
        <v>66</v>
      </c>
      <c r="AO916" s="352" t="s">
        <v>66</v>
      </c>
      <c r="AP916" s="213">
        <v>0.19159999999999999</v>
      </c>
      <c r="AQ916" s="219">
        <v>-0.31157482157274008</v>
      </c>
      <c r="AR916" s="213" t="s">
        <v>1824</v>
      </c>
      <c r="AV916" s="343"/>
      <c r="AW916" s="328"/>
      <c r="AX916" s="329"/>
      <c r="AY916" s="328"/>
      <c r="AZ916" s="328"/>
      <c r="BA916" s="330"/>
      <c r="BB916" s="328"/>
      <c r="BC916" s="328"/>
      <c r="BD916" s="328"/>
      <c r="BE916" s="330"/>
      <c r="BF916" s="330"/>
      <c r="BG916" s="344"/>
      <c r="BH916" s="330"/>
      <c r="BI916" s="330"/>
      <c r="BJ916" s="330"/>
      <c r="BK916" s="330"/>
      <c r="BL916" s="330"/>
      <c r="BM916" s="330"/>
      <c r="BN916" s="330"/>
      <c r="BO916" s="330"/>
      <c r="BP916" s="331"/>
      <c r="BQ916" s="332"/>
      <c r="BR916" s="333"/>
    </row>
    <row r="917" spans="2:70" ht="15.75" customHeight="1">
      <c r="B917" s="216" t="s">
        <v>909</v>
      </c>
      <c r="C917" s="212">
        <v>3433933</v>
      </c>
      <c r="D917" s="223">
        <v>41088682000113</v>
      </c>
      <c r="E917" s="217" t="s">
        <v>28</v>
      </c>
      <c r="F917" s="217" t="s">
        <v>32</v>
      </c>
      <c r="G917" s="217" t="s">
        <v>33</v>
      </c>
      <c r="H917" s="218"/>
      <c r="I917" s="217" t="s">
        <v>66</v>
      </c>
      <c r="J917" s="217" t="s">
        <v>66</v>
      </c>
      <c r="K917" s="218" t="s">
        <v>1040</v>
      </c>
      <c r="L917" s="212" t="s">
        <v>87</v>
      </c>
      <c r="M917" s="250"/>
      <c r="N917" s="239">
        <v>44348</v>
      </c>
      <c r="O917" s="210" t="s">
        <v>594</v>
      </c>
      <c r="P917" s="210" t="s">
        <v>1075</v>
      </c>
      <c r="Q917" s="210" t="s">
        <v>1076</v>
      </c>
      <c r="R917" s="210" t="s">
        <v>1084</v>
      </c>
      <c r="S917" s="210" t="s">
        <v>1078</v>
      </c>
      <c r="T917" s="210" t="s">
        <v>32</v>
      </c>
      <c r="U917" s="210" t="s">
        <v>33</v>
      </c>
      <c r="V917" s="210" t="s">
        <v>1080</v>
      </c>
      <c r="W917" s="211" t="s">
        <v>1007</v>
      </c>
      <c r="X917" s="211">
        <v>1000</v>
      </c>
      <c r="Y917" s="211">
        <v>1000</v>
      </c>
      <c r="Z917" s="212">
        <v>1000</v>
      </c>
      <c r="AA917" s="240">
        <v>15</v>
      </c>
      <c r="AB917" s="213">
        <v>1.4999999999999999E-2</v>
      </c>
      <c r="AC917" s="213">
        <v>0.2</v>
      </c>
      <c r="AD917" s="213" t="s">
        <v>113</v>
      </c>
      <c r="AE917" s="213">
        <v>3.0000000000000001E-3</v>
      </c>
      <c r="AF917" s="241">
        <v>9439876.3800000008</v>
      </c>
      <c r="AG917" s="241">
        <v>9439876.3800000008</v>
      </c>
      <c r="AH917" s="213">
        <v>-8.3900000000000002E-2</v>
      </c>
      <c r="AI917" s="352">
        <v>-1.2919</v>
      </c>
      <c r="AJ917" s="213">
        <v>5.0200000000000002E-2</v>
      </c>
      <c r="AK917" s="352">
        <v>0.53339999999999999</v>
      </c>
      <c r="AL917" s="213" t="s">
        <v>66</v>
      </c>
      <c r="AM917" s="352" t="s">
        <v>66</v>
      </c>
      <c r="AN917" s="213" t="s">
        <v>66</v>
      </c>
      <c r="AO917" s="352" t="s">
        <v>66</v>
      </c>
      <c r="AP917" s="213">
        <v>0.1681</v>
      </c>
      <c r="AQ917" s="219">
        <v>-0.15965293098545605</v>
      </c>
      <c r="AR917" s="213" t="s">
        <v>1824</v>
      </c>
      <c r="AV917" s="343"/>
      <c r="AW917" s="328"/>
      <c r="AX917" s="329"/>
      <c r="AY917" s="328"/>
      <c r="AZ917" s="328"/>
      <c r="BA917" s="330"/>
      <c r="BB917" s="328"/>
      <c r="BC917" s="328"/>
      <c r="BD917" s="328"/>
      <c r="BE917" s="330"/>
      <c r="BF917" s="330"/>
      <c r="BG917" s="344"/>
      <c r="BH917" s="330"/>
      <c r="BI917" s="330"/>
      <c r="BJ917" s="330"/>
      <c r="BK917" s="330"/>
      <c r="BL917" s="330"/>
      <c r="BM917" s="330"/>
      <c r="BN917" s="330"/>
      <c r="BO917" s="330"/>
      <c r="BP917" s="331"/>
      <c r="BQ917" s="332"/>
      <c r="BR917" s="333"/>
    </row>
    <row r="918" spans="2:70" ht="15.75" customHeight="1">
      <c r="B918" s="216" t="s">
        <v>595</v>
      </c>
      <c r="C918" s="212">
        <v>855213</v>
      </c>
      <c r="D918" s="223">
        <v>20468028000165</v>
      </c>
      <c r="E918" s="217" t="s">
        <v>28</v>
      </c>
      <c r="F918" s="217" t="s">
        <v>950</v>
      </c>
      <c r="G918" s="217"/>
      <c r="H918" s="218"/>
      <c r="I918" s="217" t="s">
        <v>66</v>
      </c>
      <c r="J918" s="217" t="s">
        <v>66</v>
      </c>
      <c r="K918" s="218" t="s">
        <v>951</v>
      </c>
      <c r="L918" s="212" t="s">
        <v>87</v>
      </c>
      <c r="M918" s="250"/>
      <c r="N918" s="239">
        <v>41974</v>
      </c>
      <c r="O918" s="210" t="s">
        <v>596</v>
      </c>
      <c r="P918" s="210" t="s">
        <v>1075</v>
      </c>
      <c r="Q918" s="210" t="s">
        <v>1076</v>
      </c>
      <c r="R918" s="210" t="s">
        <v>1084</v>
      </c>
      <c r="S918" s="210" t="s">
        <v>1078</v>
      </c>
      <c r="T918" s="210" t="s">
        <v>1079</v>
      </c>
      <c r="U918" s="210" t="s">
        <v>950</v>
      </c>
      <c r="V918" s="210" t="s">
        <v>1080</v>
      </c>
      <c r="W918" s="211" t="s">
        <v>1007</v>
      </c>
      <c r="X918" s="211">
        <v>1000</v>
      </c>
      <c r="Y918" s="211">
        <v>1000</v>
      </c>
      <c r="Z918" s="212">
        <v>1000</v>
      </c>
      <c r="AA918" s="240">
        <v>32</v>
      </c>
      <c r="AB918" s="213">
        <v>1.66E-2</v>
      </c>
      <c r="AC918" s="213">
        <v>0.2</v>
      </c>
      <c r="AD918" s="213" t="s">
        <v>1100</v>
      </c>
      <c r="AE918" s="213">
        <v>3.8733333333333328E-3</v>
      </c>
      <c r="AF918" s="241">
        <v>68019902.319999993</v>
      </c>
      <c r="AG918" s="241">
        <v>68019902.319999993</v>
      </c>
      <c r="AH918" s="213">
        <v>-1.14E-2</v>
      </c>
      <c r="AI918" s="352">
        <v>-0.17510000000000001</v>
      </c>
      <c r="AJ918" s="213">
        <v>-0.2429</v>
      </c>
      <c r="AK918" s="352">
        <v>-2.5811999999999999</v>
      </c>
      <c r="AL918" s="213">
        <v>-6.4600000000000005E-2</v>
      </c>
      <c r="AM918" s="352">
        <v>-0.53439999999999999</v>
      </c>
      <c r="AN918" s="213">
        <v>-7.0000000000000001E-3</v>
      </c>
      <c r="AO918" s="352">
        <v>-4.1799999999999997E-2</v>
      </c>
      <c r="AP918" s="213">
        <v>0.23130000000000001</v>
      </c>
      <c r="AQ918" s="219">
        <v>-1.4755394187423307</v>
      </c>
      <c r="AR918" s="213" t="s">
        <v>1827</v>
      </c>
      <c r="AV918" s="343"/>
      <c r="AW918" s="328"/>
      <c r="AX918" s="329"/>
      <c r="AY918" s="328"/>
      <c r="AZ918" s="328"/>
      <c r="BA918" s="330"/>
      <c r="BB918" s="328"/>
      <c r="BC918" s="328"/>
      <c r="BD918" s="328"/>
      <c r="BE918" s="330"/>
      <c r="BF918" s="330"/>
      <c r="BG918" s="344"/>
      <c r="BH918" s="330"/>
      <c r="BI918" s="330"/>
      <c r="BJ918" s="330"/>
      <c r="BK918" s="330"/>
      <c r="BL918" s="330"/>
      <c r="BM918" s="330"/>
      <c r="BN918" s="330"/>
      <c r="BO918" s="330"/>
      <c r="BP918" s="331"/>
      <c r="BQ918" s="332"/>
      <c r="BR918" s="333"/>
    </row>
    <row r="919" spans="2:70" ht="15.75" customHeight="1">
      <c r="B919" s="216" t="s">
        <v>597</v>
      </c>
      <c r="C919" s="212">
        <v>855212</v>
      </c>
      <c r="D919" s="223">
        <v>26362460000153</v>
      </c>
      <c r="E919" s="217" t="s">
        <v>28</v>
      </c>
      <c r="F919" s="217" t="s">
        <v>957</v>
      </c>
      <c r="G919" s="217"/>
      <c r="H919" s="218"/>
      <c r="I919" s="217" t="s">
        <v>1842</v>
      </c>
      <c r="J919" s="217" t="s">
        <v>66</v>
      </c>
      <c r="K919" s="218" t="s">
        <v>951</v>
      </c>
      <c r="L919" s="212" t="s">
        <v>87</v>
      </c>
      <c r="M919" s="250"/>
      <c r="N919" s="239">
        <v>42733</v>
      </c>
      <c r="O919" s="210" t="s">
        <v>596</v>
      </c>
      <c r="P919" s="210" t="s">
        <v>1075</v>
      </c>
      <c r="Q919" s="210" t="s">
        <v>1076</v>
      </c>
      <c r="R919" s="210" t="s">
        <v>1077</v>
      </c>
      <c r="S919" s="210" t="s">
        <v>1078</v>
      </c>
      <c r="T919" s="210" t="s">
        <v>1079</v>
      </c>
      <c r="U919" s="210" t="s">
        <v>957</v>
      </c>
      <c r="V919" s="210" t="s">
        <v>1080</v>
      </c>
      <c r="W919" s="211" t="s">
        <v>1007</v>
      </c>
      <c r="X919" s="211">
        <v>10000</v>
      </c>
      <c r="Y919" s="211">
        <v>1000</v>
      </c>
      <c r="Z919" s="212">
        <v>10000</v>
      </c>
      <c r="AA919" s="240">
        <v>32</v>
      </c>
      <c r="AB919" s="213">
        <v>0.02</v>
      </c>
      <c r="AC919" s="213">
        <v>0.2</v>
      </c>
      <c r="AD919" s="213" t="s">
        <v>113</v>
      </c>
      <c r="AE919" s="213">
        <v>4.6666666666666662E-3</v>
      </c>
      <c r="AF919" s="241">
        <v>111473117.98</v>
      </c>
      <c r="AG919" s="241">
        <v>111473117.98</v>
      </c>
      <c r="AH919" s="213">
        <v>3.4099999999999998E-2</v>
      </c>
      <c r="AI919" s="352">
        <v>0.52559999999999996</v>
      </c>
      <c r="AJ919" s="213">
        <v>-0.19400000000000001</v>
      </c>
      <c r="AK919" s="352">
        <v>-2.0621</v>
      </c>
      <c r="AL919" s="213">
        <v>-7.1999999999999998E-3</v>
      </c>
      <c r="AM919" s="352">
        <v>-5.9900000000000002E-2</v>
      </c>
      <c r="AN919" s="213">
        <v>0.1779</v>
      </c>
      <c r="AO919" s="352">
        <v>1.0559000000000001</v>
      </c>
      <c r="AP919" s="213">
        <v>0.222</v>
      </c>
      <c r="AQ919" s="219">
        <v>-1.2652230794392523</v>
      </c>
      <c r="AR919" s="213" t="s">
        <v>1827</v>
      </c>
      <c r="AV919" s="343"/>
      <c r="AW919" s="328"/>
      <c r="AX919" s="329"/>
      <c r="AY919" s="328"/>
      <c r="AZ919" s="328"/>
      <c r="BA919" s="330"/>
      <c r="BB919" s="328"/>
      <c r="BC919" s="328"/>
      <c r="BD919" s="328"/>
      <c r="BE919" s="330"/>
      <c r="BF919" s="330"/>
      <c r="BG919" s="344"/>
      <c r="BH919" s="330"/>
      <c r="BI919" s="330"/>
      <c r="BJ919" s="330"/>
      <c r="BK919" s="330"/>
      <c r="BL919" s="330"/>
      <c r="BM919" s="330"/>
      <c r="BN919" s="330"/>
      <c r="BO919" s="330"/>
      <c r="BP919" s="331"/>
      <c r="BQ919" s="332"/>
      <c r="BR919" s="333"/>
    </row>
    <row r="920" spans="2:70" ht="15.75" customHeight="1">
      <c r="B920" s="216" t="s">
        <v>1583</v>
      </c>
      <c r="C920" s="212">
        <v>949412</v>
      </c>
      <c r="D920" s="223">
        <v>10500884000105</v>
      </c>
      <c r="E920" s="217" t="s">
        <v>28</v>
      </c>
      <c r="F920" s="217" t="s">
        <v>950</v>
      </c>
      <c r="G920" s="217"/>
      <c r="H920" s="218"/>
      <c r="I920" s="217" t="s">
        <v>66</v>
      </c>
      <c r="J920" s="217" t="s">
        <v>66</v>
      </c>
      <c r="K920" s="218" t="s">
        <v>951</v>
      </c>
      <c r="L920" s="212" t="s">
        <v>87</v>
      </c>
      <c r="M920" s="250"/>
      <c r="N920" s="239">
        <v>40949</v>
      </c>
      <c r="O920" s="210" t="s">
        <v>598</v>
      </c>
      <c r="P920" s="210" t="s">
        <v>1090</v>
      </c>
      <c r="Q920" s="210" t="s">
        <v>1091</v>
      </c>
      <c r="R920" s="210" t="s">
        <v>1084</v>
      </c>
      <c r="S920" s="210" t="s">
        <v>1078</v>
      </c>
      <c r="T920" s="210" t="s">
        <v>1079</v>
      </c>
      <c r="U920" s="210" t="s">
        <v>950</v>
      </c>
      <c r="V920" s="210" t="s">
        <v>1080</v>
      </c>
      <c r="W920" s="211" t="s">
        <v>1007</v>
      </c>
      <c r="X920" s="211">
        <v>5000</v>
      </c>
      <c r="Y920" s="211">
        <v>1000</v>
      </c>
      <c r="Z920" s="212">
        <v>5000</v>
      </c>
      <c r="AA920" s="240">
        <v>29</v>
      </c>
      <c r="AB920" s="213">
        <v>0.02</v>
      </c>
      <c r="AC920" s="213">
        <v>0.15</v>
      </c>
      <c r="AD920" s="213" t="s">
        <v>1014</v>
      </c>
      <c r="AE920" s="213">
        <v>5.3333333333333332E-3</v>
      </c>
      <c r="AF920" s="241">
        <v>1405670974.6400001</v>
      </c>
      <c r="AG920" s="241">
        <v>1405670974.6400001</v>
      </c>
      <c r="AH920" s="213">
        <v>8.9999999999999998E-4</v>
      </c>
      <c r="AI920" s="352">
        <v>1.34E-2</v>
      </c>
      <c r="AJ920" s="213">
        <v>-9.8500000000000004E-2</v>
      </c>
      <c r="AK920" s="352">
        <v>-1.0467</v>
      </c>
      <c r="AL920" s="213">
        <v>1.7299999999999999E-2</v>
      </c>
      <c r="AM920" s="352">
        <v>0.14319999999999999</v>
      </c>
      <c r="AN920" s="213">
        <v>0.22320000000000001</v>
      </c>
      <c r="AO920" s="352">
        <v>1.3244</v>
      </c>
      <c r="AP920" s="213">
        <v>0.19700000000000001</v>
      </c>
      <c r="AQ920" s="219">
        <v>-0.88410536404319451</v>
      </c>
      <c r="AR920" s="213" t="s">
        <v>1827</v>
      </c>
      <c r="AV920" s="343"/>
      <c r="AW920" s="328"/>
      <c r="AX920" s="329"/>
      <c r="AY920" s="328"/>
      <c r="AZ920" s="328"/>
      <c r="BA920" s="330"/>
      <c r="BB920" s="328"/>
      <c r="BC920" s="328"/>
      <c r="BD920" s="328"/>
      <c r="BE920" s="330"/>
      <c r="BF920" s="330"/>
      <c r="BG920" s="344"/>
      <c r="BH920" s="330"/>
      <c r="BI920" s="330"/>
      <c r="BJ920" s="330"/>
      <c r="BK920" s="330"/>
      <c r="BL920" s="330"/>
      <c r="BM920" s="330"/>
      <c r="BN920" s="330"/>
      <c r="BO920" s="330"/>
      <c r="BP920" s="331"/>
      <c r="BQ920" s="332"/>
      <c r="BR920" s="333"/>
    </row>
    <row r="921" spans="2:70" ht="15.75" customHeight="1">
      <c r="B921" s="216" t="s">
        <v>1584</v>
      </c>
      <c r="C921" s="212">
        <v>582089</v>
      </c>
      <c r="D921" s="223">
        <v>28911549000157</v>
      </c>
      <c r="E921" s="217" t="s">
        <v>25</v>
      </c>
      <c r="F921" s="217" t="s">
        <v>958</v>
      </c>
      <c r="G921" s="217" t="s">
        <v>962</v>
      </c>
      <c r="H921" s="218" t="s">
        <v>66</v>
      </c>
      <c r="I921" s="217" t="s">
        <v>1259</v>
      </c>
      <c r="J921" s="217" t="s">
        <v>66</v>
      </c>
      <c r="K921" s="218"/>
      <c r="L921" s="212" t="s">
        <v>87</v>
      </c>
      <c r="M921" s="250"/>
      <c r="N921" s="239">
        <v>43102</v>
      </c>
      <c r="O921" s="210" t="s">
        <v>598</v>
      </c>
      <c r="P921" s="210" t="s">
        <v>1090</v>
      </c>
      <c r="Q921" s="210" t="s">
        <v>1091</v>
      </c>
      <c r="R921" s="210" t="s">
        <v>1084</v>
      </c>
      <c r="S921" s="210" t="s">
        <v>1078</v>
      </c>
      <c r="T921" s="210" t="s">
        <v>1082</v>
      </c>
      <c r="U921" s="210" t="s">
        <v>1086</v>
      </c>
      <c r="V921" s="210" t="s">
        <v>25</v>
      </c>
      <c r="W921" s="211" t="s">
        <v>1016</v>
      </c>
      <c r="X921" s="211">
        <v>5000</v>
      </c>
      <c r="Y921" s="211">
        <v>1000</v>
      </c>
      <c r="Z921" s="212">
        <v>5000</v>
      </c>
      <c r="AA921" s="240">
        <v>30</v>
      </c>
      <c r="AB921" s="213">
        <v>1.7000000000000001E-2</v>
      </c>
      <c r="AC921" s="213">
        <v>0.15</v>
      </c>
      <c r="AD921" s="213" t="s">
        <v>109</v>
      </c>
      <c r="AE921" s="213">
        <v>4.5333333333333337E-3</v>
      </c>
      <c r="AF921" s="241">
        <v>218756394.61000001</v>
      </c>
      <c r="AG921" s="241">
        <v>218756394.61000001</v>
      </c>
      <c r="AH921" s="213">
        <v>4.8099999999999997E-2</v>
      </c>
      <c r="AI921" s="352">
        <v>0.74129999999999996</v>
      </c>
      <c r="AJ921" s="213">
        <v>0.1023</v>
      </c>
      <c r="AK921" s="352">
        <v>1.0874999999999999</v>
      </c>
      <c r="AL921" s="213">
        <v>9.7900000000000001E-2</v>
      </c>
      <c r="AM921" s="352">
        <v>0.81069999999999998</v>
      </c>
      <c r="AN921" s="213">
        <v>0.35799999999999998</v>
      </c>
      <c r="AO921" s="352">
        <v>2.1242000000000001</v>
      </c>
      <c r="AP921" s="213">
        <v>6.5299999999999997E-2</v>
      </c>
      <c r="AQ921" s="219">
        <v>0.14722192149184823</v>
      </c>
      <c r="AR921" s="213" t="s">
        <v>1827</v>
      </c>
      <c r="AV921" s="343"/>
      <c r="AW921" s="328"/>
      <c r="AX921" s="329"/>
      <c r="AY921" s="328"/>
      <c r="AZ921" s="328"/>
      <c r="BA921" s="330"/>
      <c r="BB921" s="328"/>
      <c r="BC921" s="328"/>
      <c r="BD921" s="328"/>
      <c r="BE921" s="330"/>
      <c r="BF921" s="330"/>
      <c r="BG921" s="344"/>
      <c r="BH921" s="330"/>
      <c r="BI921" s="330"/>
      <c r="BJ921" s="330"/>
      <c r="BK921" s="330"/>
      <c r="BL921" s="330"/>
      <c r="BM921" s="330"/>
      <c r="BN921" s="330"/>
      <c r="BO921" s="330"/>
      <c r="BP921" s="331"/>
      <c r="BQ921" s="332"/>
      <c r="BR921" s="333"/>
    </row>
    <row r="922" spans="2:70" ht="15.75" customHeight="1">
      <c r="B922" s="216" t="s">
        <v>1585</v>
      </c>
      <c r="C922" s="212">
        <v>1027866</v>
      </c>
      <c r="D922" s="223">
        <v>13504068000150</v>
      </c>
      <c r="E922" s="217" t="s">
        <v>28</v>
      </c>
      <c r="F922" s="217" t="s">
        <v>950</v>
      </c>
      <c r="G922" s="217"/>
      <c r="H922" s="218"/>
      <c r="I922" s="217" t="s">
        <v>66</v>
      </c>
      <c r="J922" s="217" t="s">
        <v>66</v>
      </c>
      <c r="K922" s="218" t="s">
        <v>951</v>
      </c>
      <c r="L922" s="212" t="s">
        <v>87</v>
      </c>
      <c r="M922" s="250"/>
      <c r="N922" s="239">
        <v>42857</v>
      </c>
      <c r="O922" s="210" t="s">
        <v>409</v>
      </c>
      <c r="P922" s="210" t="s">
        <v>1090</v>
      </c>
      <c r="Q922" s="210" t="s">
        <v>1091</v>
      </c>
      <c r="R922" s="210" t="s">
        <v>1077</v>
      </c>
      <c r="S922" s="210" t="s">
        <v>1078</v>
      </c>
      <c r="T922" s="210" t="s">
        <v>1079</v>
      </c>
      <c r="U922" s="210" t="s">
        <v>950</v>
      </c>
      <c r="V922" s="210" t="s">
        <v>1080</v>
      </c>
      <c r="W922" s="211" t="s">
        <v>1007</v>
      </c>
      <c r="X922" s="211">
        <v>500</v>
      </c>
      <c r="Y922" s="211">
        <v>100</v>
      </c>
      <c r="Z922" s="212">
        <v>500</v>
      </c>
      <c r="AA922" s="240">
        <v>3</v>
      </c>
      <c r="AB922" s="213">
        <v>1.7999999999999999E-2</v>
      </c>
      <c r="AC922" s="213">
        <v>0.15</v>
      </c>
      <c r="AD922" s="213" t="s">
        <v>109</v>
      </c>
      <c r="AE922" s="213">
        <v>4.7999999999999996E-3</v>
      </c>
      <c r="AF922" s="241">
        <v>64601384.100000001</v>
      </c>
      <c r="AG922" s="241">
        <v>64601384.100000001</v>
      </c>
      <c r="AH922" s="213">
        <v>-0.1512</v>
      </c>
      <c r="AI922" s="352">
        <v>-2.3294999999999999</v>
      </c>
      <c r="AJ922" s="213">
        <v>-0.33760000000000001</v>
      </c>
      <c r="AK922" s="352">
        <v>-3.5884</v>
      </c>
      <c r="AL922" s="213">
        <v>-0.18640000000000001</v>
      </c>
      <c r="AM922" s="352">
        <v>-1.5429999999999999</v>
      </c>
      <c r="AN922" s="213">
        <v>-5.8099999999999999E-2</v>
      </c>
      <c r="AO922" s="352">
        <v>-0.34449999999999997</v>
      </c>
      <c r="AP922" s="213">
        <v>0.25190000000000001</v>
      </c>
      <c r="AQ922" s="219">
        <v>-1.8654755258239148</v>
      </c>
      <c r="AR922" s="213" t="s">
        <v>1827</v>
      </c>
      <c r="AV922" s="343"/>
      <c r="AW922" s="328"/>
      <c r="AX922" s="329"/>
      <c r="AY922" s="328"/>
      <c r="AZ922" s="328"/>
      <c r="BA922" s="330"/>
      <c r="BB922" s="328"/>
      <c r="BC922" s="328"/>
      <c r="BD922" s="328"/>
      <c r="BE922" s="330"/>
      <c r="BF922" s="330"/>
      <c r="BG922" s="344"/>
      <c r="BH922" s="330"/>
      <c r="BI922" s="330"/>
      <c r="BJ922" s="330"/>
      <c r="BK922" s="330"/>
      <c r="BL922" s="330"/>
      <c r="BM922" s="330"/>
      <c r="BN922" s="330"/>
      <c r="BO922" s="330"/>
      <c r="BP922" s="331"/>
      <c r="BQ922" s="332"/>
      <c r="BR922" s="333"/>
    </row>
    <row r="923" spans="2:70" ht="15.75" customHeight="1">
      <c r="B923" s="216" t="s">
        <v>599</v>
      </c>
      <c r="C923" s="212">
        <v>560423</v>
      </c>
      <c r="D923" s="223">
        <v>17155131000140</v>
      </c>
      <c r="E923" s="217" t="s">
        <v>25</v>
      </c>
      <c r="F923" s="217" t="s">
        <v>958</v>
      </c>
      <c r="G923" s="217" t="s">
        <v>962</v>
      </c>
      <c r="H923" s="218" t="s">
        <v>66</v>
      </c>
      <c r="I923" s="217" t="s">
        <v>1842</v>
      </c>
      <c r="J923" s="217" t="s">
        <v>66</v>
      </c>
      <c r="K923" s="218"/>
      <c r="L923" s="212" t="s">
        <v>87</v>
      </c>
      <c r="M923" s="250"/>
      <c r="N923" s="239">
        <v>41269</v>
      </c>
      <c r="O923" s="210" t="s">
        <v>600</v>
      </c>
      <c r="P923" s="210" t="s">
        <v>1088</v>
      </c>
      <c r="Q923" s="210" t="s">
        <v>1089</v>
      </c>
      <c r="R923" s="210" t="s">
        <v>1084</v>
      </c>
      <c r="S923" s="210" t="s">
        <v>1078</v>
      </c>
      <c r="T923" s="210" t="s">
        <v>1082</v>
      </c>
      <c r="U923" s="210" t="s">
        <v>958</v>
      </c>
      <c r="V923" s="210" t="s">
        <v>25</v>
      </c>
      <c r="W923" s="211" t="s">
        <v>1027</v>
      </c>
      <c r="X923" s="211">
        <v>1000</v>
      </c>
      <c r="Y923" s="211">
        <v>1000</v>
      </c>
      <c r="Z923" s="212">
        <v>1000</v>
      </c>
      <c r="AA923" s="240">
        <v>4</v>
      </c>
      <c r="AB923" s="213">
        <v>0.02</v>
      </c>
      <c r="AC923" s="213">
        <v>0.2</v>
      </c>
      <c r="AD923" s="213" t="s">
        <v>109</v>
      </c>
      <c r="AE923" s="213">
        <v>6.0000000000000001E-3</v>
      </c>
      <c r="AF923" s="241">
        <v>60393998.979999997</v>
      </c>
      <c r="AG923" s="241">
        <v>60393998.979999997</v>
      </c>
      <c r="AH923" s="213">
        <v>-4.0500000000000001E-2</v>
      </c>
      <c r="AI923" s="352">
        <v>-0.62439999999999996</v>
      </c>
      <c r="AJ923" s="213">
        <v>-7.3999999999999996E-2</v>
      </c>
      <c r="AK923" s="352">
        <v>-0.78680000000000005</v>
      </c>
      <c r="AL923" s="213">
        <v>-2.0199999999999999E-2</v>
      </c>
      <c r="AM923" s="352">
        <v>-0.16750000000000001</v>
      </c>
      <c r="AN923" s="213">
        <v>0.1004</v>
      </c>
      <c r="AO923" s="352">
        <v>0.59560000000000002</v>
      </c>
      <c r="AP923" s="213">
        <v>8.5300000000000001E-2</v>
      </c>
      <c r="AQ923" s="219">
        <v>-1.913169139507215</v>
      </c>
      <c r="AR923" s="213" t="s">
        <v>1827</v>
      </c>
      <c r="AV923" s="343"/>
      <c r="AW923" s="328"/>
      <c r="AX923" s="329"/>
      <c r="AY923" s="328"/>
      <c r="AZ923" s="328"/>
      <c r="BA923" s="330"/>
      <c r="BB923" s="328"/>
      <c r="BC923" s="328"/>
      <c r="BD923" s="328"/>
      <c r="BE923" s="330"/>
      <c r="BF923" s="330"/>
      <c r="BG923" s="344"/>
      <c r="BH923" s="330"/>
      <c r="BI923" s="330"/>
      <c r="BJ923" s="330"/>
      <c r="BK923" s="330"/>
      <c r="BL923" s="330"/>
      <c r="BM923" s="330"/>
      <c r="BN923" s="330"/>
      <c r="BO923" s="330"/>
      <c r="BP923" s="331"/>
      <c r="BQ923" s="332"/>
      <c r="BR923" s="333"/>
    </row>
    <row r="924" spans="2:70" ht="15.75" customHeight="1">
      <c r="B924" s="216" t="s">
        <v>1586</v>
      </c>
      <c r="C924" s="212">
        <v>560429</v>
      </c>
      <c r="D924" s="223">
        <v>27250923000158</v>
      </c>
      <c r="E924" s="217" t="s">
        <v>28</v>
      </c>
      <c r="F924" s="217" t="s">
        <v>950</v>
      </c>
      <c r="G924" s="217"/>
      <c r="H924" s="218"/>
      <c r="I924" s="217" t="s">
        <v>66</v>
      </c>
      <c r="J924" s="217" t="s">
        <v>66</v>
      </c>
      <c r="K924" s="218" t="s">
        <v>951</v>
      </c>
      <c r="L924" s="212" t="s">
        <v>87</v>
      </c>
      <c r="M924" s="250"/>
      <c r="N924" s="239">
        <v>42878</v>
      </c>
      <c r="O924" s="210" t="s">
        <v>600</v>
      </c>
      <c r="P924" s="210" t="s">
        <v>1088</v>
      </c>
      <c r="Q924" s="210" t="s">
        <v>1089</v>
      </c>
      <c r="R924" s="210" t="s">
        <v>1084</v>
      </c>
      <c r="S924" s="210" t="s">
        <v>1078</v>
      </c>
      <c r="T924" s="210" t="s">
        <v>1079</v>
      </c>
      <c r="U924" s="210" t="s">
        <v>950</v>
      </c>
      <c r="V924" s="210" t="s">
        <v>1080</v>
      </c>
      <c r="W924" s="211" t="s">
        <v>1007</v>
      </c>
      <c r="X924" s="211">
        <v>1000</v>
      </c>
      <c r="Y924" s="211">
        <v>1000</v>
      </c>
      <c r="Z924" s="212">
        <v>1000</v>
      </c>
      <c r="AA924" s="240">
        <v>2</v>
      </c>
      <c r="AB924" s="213">
        <v>0.02</v>
      </c>
      <c r="AC924" s="213">
        <v>0.2</v>
      </c>
      <c r="AD924" s="213" t="s">
        <v>1014</v>
      </c>
      <c r="AE924" s="213">
        <v>6.0000000000000001E-3</v>
      </c>
      <c r="AF924" s="241">
        <v>48061036.719999999</v>
      </c>
      <c r="AG924" s="241">
        <v>48061036.719999999</v>
      </c>
      <c r="AH924" s="213">
        <v>-0.16789999999999999</v>
      </c>
      <c r="AI924" s="352">
        <v>-2.5855999999999999</v>
      </c>
      <c r="AJ924" s="213">
        <v>-0.35880000000000001</v>
      </c>
      <c r="AK924" s="352">
        <v>-3.8132000000000001</v>
      </c>
      <c r="AL924" s="213">
        <v>-0.21890000000000001</v>
      </c>
      <c r="AM924" s="352">
        <v>-1.8119000000000001</v>
      </c>
      <c r="AN924" s="213">
        <v>1.24E-2</v>
      </c>
      <c r="AO924" s="352">
        <v>7.3400000000000007E-2</v>
      </c>
      <c r="AP924" s="213">
        <v>0.25480000000000003</v>
      </c>
      <c r="AQ924" s="219">
        <v>-1.9676534688409362</v>
      </c>
      <c r="AR924" s="213" t="s">
        <v>1827</v>
      </c>
      <c r="AV924" s="343"/>
      <c r="AW924" s="328"/>
      <c r="AX924" s="329"/>
      <c r="AY924" s="328"/>
      <c r="AZ924" s="328"/>
      <c r="BA924" s="330"/>
      <c r="BB924" s="328"/>
      <c r="BC924" s="328"/>
      <c r="BD924" s="328"/>
      <c r="BE924" s="330"/>
      <c r="BF924" s="330"/>
      <c r="BG924" s="344"/>
      <c r="BH924" s="330"/>
      <c r="BI924" s="330"/>
      <c r="BJ924" s="330"/>
      <c r="BK924" s="330"/>
      <c r="BL924" s="330"/>
      <c r="BM924" s="330"/>
      <c r="BN924" s="330"/>
      <c r="BO924" s="330"/>
      <c r="BP924" s="331"/>
      <c r="BQ924" s="332"/>
      <c r="BR924" s="333"/>
    </row>
    <row r="925" spans="2:70" ht="15.75" customHeight="1">
      <c r="B925" s="216" t="s">
        <v>601</v>
      </c>
      <c r="C925" s="212">
        <v>2995701</v>
      </c>
      <c r="D925" s="223">
        <v>7967080000106</v>
      </c>
      <c r="E925" s="217" t="s">
        <v>25</v>
      </c>
      <c r="F925" s="217" t="s">
        <v>959</v>
      </c>
      <c r="G925" s="217" t="s">
        <v>961</v>
      </c>
      <c r="H925" s="218" t="s">
        <v>66</v>
      </c>
      <c r="I925" s="217" t="s">
        <v>1841</v>
      </c>
      <c r="J925" s="217" t="s">
        <v>66</v>
      </c>
      <c r="K925" s="218"/>
      <c r="L925" s="212"/>
      <c r="M925" s="250"/>
      <c r="N925" s="239">
        <v>38861</v>
      </c>
      <c r="O925" s="210" t="s">
        <v>600</v>
      </c>
      <c r="P925" s="210" t="s">
        <v>1088</v>
      </c>
      <c r="Q925" s="210" t="s">
        <v>1089</v>
      </c>
      <c r="R925" s="210" t="s">
        <v>1084</v>
      </c>
      <c r="S925" s="210" t="s">
        <v>1078</v>
      </c>
      <c r="T925" s="210" t="s">
        <v>1082</v>
      </c>
      <c r="U925" s="210" t="s">
        <v>1086</v>
      </c>
      <c r="V925" s="210" t="s">
        <v>25</v>
      </c>
      <c r="W925" s="211" t="s">
        <v>1027</v>
      </c>
      <c r="X925" s="211">
        <v>1000</v>
      </c>
      <c r="Y925" s="211">
        <v>1000</v>
      </c>
      <c r="Z925" s="212">
        <v>1000</v>
      </c>
      <c r="AA925" s="240">
        <v>1</v>
      </c>
      <c r="AB925" s="213">
        <v>1.7999999999999999E-2</v>
      </c>
      <c r="AC925" s="213">
        <v>0.2</v>
      </c>
      <c r="AD925" s="213" t="s">
        <v>109</v>
      </c>
      <c r="AE925" s="213">
        <v>5.3999999999999994E-3</v>
      </c>
      <c r="AF925" s="241">
        <v>18345783.050000001</v>
      </c>
      <c r="AG925" s="241">
        <v>18345783.050000001</v>
      </c>
      <c r="AH925" s="213">
        <v>6.7999999999999996E-3</v>
      </c>
      <c r="AI925" s="352">
        <v>0.104</v>
      </c>
      <c r="AJ925" s="213">
        <v>-6.9999999999999999E-4</v>
      </c>
      <c r="AK925" s="352">
        <v>-7.6E-3</v>
      </c>
      <c r="AL925" s="213">
        <v>3.2500000000000001E-2</v>
      </c>
      <c r="AM925" s="352">
        <v>0.26910000000000001</v>
      </c>
      <c r="AN925" s="213">
        <v>0.11</v>
      </c>
      <c r="AO925" s="352">
        <v>0.65259999999999996</v>
      </c>
      <c r="AP925" s="213">
        <v>4.2799999999999998E-2</v>
      </c>
      <c r="AQ925" s="219">
        <v>-2.0945349975570227</v>
      </c>
      <c r="AR925" s="213" t="s">
        <v>1827</v>
      </c>
      <c r="AV925" s="343"/>
      <c r="AW925" s="328"/>
      <c r="AX925" s="329"/>
      <c r="AY925" s="328"/>
      <c r="AZ925" s="328"/>
      <c r="BA925" s="330"/>
      <c r="BB925" s="328"/>
      <c r="BC925" s="328"/>
      <c r="BD925" s="328"/>
      <c r="BE925" s="330"/>
      <c r="BF925" s="330"/>
      <c r="BG925" s="344"/>
      <c r="BH925" s="330"/>
      <c r="BI925" s="330"/>
      <c r="BJ925" s="330"/>
      <c r="BK925" s="330"/>
      <c r="BL925" s="330"/>
      <c r="BM925" s="330"/>
      <c r="BN925" s="330"/>
      <c r="BO925" s="330"/>
      <c r="BP925" s="331"/>
      <c r="BQ925" s="332"/>
      <c r="BR925" s="333"/>
    </row>
    <row r="926" spans="2:70" ht="15.75" customHeight="1">
      <c r="B926" s="216" t="s">
        <v>1587</v>
      </c>
      <c r="C926" s="212">
        <v>1037166</v>
      </c>
      <c r="D926" s="223">
        <v>9543255000175</v>
      </c>
      <c r="E926" s="217" t="s">
        <v>19</v>
      </c>
      <c r="F926" s="217" t="s">
        <v>963</v>
      </c>
      <c r="G926" s="217" t="s">
        <v>1011</v>
      </c>
      <c r="H926" s="218" t="s">
        <v>1113</v>
      </c>
      <c r="I926" s="217" t="s">
        <v>66</v>
      </c>
      <c r="J926" s="217"/>
      <c r="K926" s="218" t="s">
        <v>951</v>
      </c>
      <c r="L926" s="212" t="s">
        <v>87</v>
      </c>
      <c r="M926" s="250"/>
      <c r="N926" s="239">
        <v>39674</v>
      </c>
      <c r="O926" s="210" t="s">
        <v>602</v>
      </c>
      <c r="P926" s="210" t="s">
        <v>1088</v>
      </c>
      <c r="Q926" s="210" t="s">
        <v>1089</v>
      </c>
      <c r="R926" s="210" t="s">
        <v>1084</v>
      </c>
      <c r="S926" s="210" t="s">
        <v>1078</v>
      </c>
      <c r="T926" s="210" t="s">
        <v>349</v>
      </c>
      <c r="U926" s="210" t="s">
        <v>1114</v>
      </c>
      <c r="V926" s="210" t="s">
        <v>19</v>
      </c>
      <c r="W926" s="211" t="s">
        <v>1017</v>
      </c>
      <c r="X926" s="211">
        <v>1000</v>
      </c>
      <c r="Y926" s="211">
        <v>100</v>
      </c>
      <c r="Z926" s="212">
        <v>1000</v>
      </c>
      <c r="AA926" s="240">
        <v>1</v>
      </c>
      <c r="AB926" s="213">
        <v>3.8999999999999998E-3</v>
      </c>
      <c r="AC926" s="213">
        <v>0</v>
      </c>
      <c r="AD926" s="213" t="s">
        <v>109</v>
      </c>
      <c r="AE926" s="213">
        <v>1.0399999999999999E-3</v>
      </c>
      <c r="AF926" s="241">
        <v>261765939.99000001</v>
      </c>
      <c r="AG926" s="241">
        <v>261765939.99000001</v>
      </c>
      <c r="AH926" s="213">
        <v>7.1400000000000005E-2</v>
      </c>
      <c r="AI926" s="352">
        <v>1.0994999999999999</v>
      </c>
      <c r="AJ926" s="213">
        <v>0.10539999999999999</v>
      </c>
      <c r="AK926" s="352">
        <v>1.1205000000000001</v>
      </c>
      <c r="AL926" s="213">
        <v>0.14860000000000001</v>
      </c>
      <c r="AM926" s="352">
        <v>1.23</v>
      </c>
      <c r="AN926" s="213">
        <v>0.15429999999999999</v>
      </c>
      <c r="AO926" s="352">
        <v>0.91559999999999997</v>
      </c>
      <c r="AP926" s="213">
        <v>2.3E-3</v>
      </c>
      <c r="AQ926" s="219">
        <v>4.4016291958434808</v>
      </c>
      <c r="AR926" s="213" t="s">
        <v>1824</v>
      </c>
      <c r="AV926" s="343"/>
      <c r="AW926" s="328"/>
      <c r="AX926" s="329"/>
      <c r="AY926" s="328"/>
      <c r="AZ926" s="328"/>
      <c r="BA926" s="330"/>
      <c r="BB926" s="328"/>
      <c r="BC926" s="328"/>
      <c r="BD926" s="328"/>
      <c r="BE926" s="330"/>
      <c r="BF926" s="330"/>
      <c r="BG926" s="344"/>
      <c r="BH926" s="330"/>
      <c r="BI926" s="330"/>
      <c r="BJ926" s="330"/>
      <c r="BK926" s="330"/>
      <c r="BL926" s="330"/>
      <c r="BM926" s="330"/>
      <c r="BN926" s="330"/>
      <c r="BO926" s="330"/>
      <c r="BP926" s="331"/>
      <c r="BQ926" s="332"/>
      <c r="BR926" s="333"/>
    </row>
    <row r="927" spans="2:70" ht="15.75" customHeight="1">
      <c r="B927" s="216" t="s">
        <v>915</v>
      </c>
      <c r="C927" s="212">
        <v>588027</v>
      </c>
      <c r="D927" s="223">
        <v>6940782000125</v>
      </c>
      <c r="E927" s="217" t="s">
        <v>28</v>
      </c>
      <c r="F927" s="217" t="s">
        <v>957</v>
      </c>
      <c r="G927" s="217"/>
      <c r="H927" s="218"/>
      <c r="I927" s="217" t="s">
        <v>1842</v>
      </c>
      <c r="J927" s="217" t="s">
        <v>66</v>
      </c>
      <c r="K927" s="218" t="s">
        <v>951</v>
      </c>
      <c r="L927" s="212" t="s">
        <v>87</v>
      </c>
      <c r="M927" s="250"/>
      <c r="N927" s="239">
        <v>38238</v>
      </c>
      <c r="O927" s="210" t="s">
        <v>602</v>
      </c>
      <c r="P927" s="210" t="s">
        <v>1088</v>
      </c>
      <c r="Q927" s="210" t="s">
        <v>1089</v>
      </c>
      <c r="R927" s="210" t="s">
        <v>1084</v>
      </c>
      <c r="S927" s="210" t="s">
        <v>1078</v>
      </c>
      <c r="T927" s="210" t="s">
        <v>1079</v>
      </c>
      <c r="U927" s="210" t="s">
        <v>950</v>
      </c>
      <c r="V927" s="210" t="s">
        <v>1080</v>
      </c>
      <c r="W927" s="211" t="s">
        <v>1007</v>
      </c>
      <c r="X927" s="211">
        <v>1000</v>
      </c>
      <c r="Y927" s="211">
        <v>1000</v>
      </c>
      <c r="Z927" s="212">
        <v>5000</v>
      </c>
      <c r="AA927" s="240">
        <v>14</v>
      </c>
      <c r="AB927" s="213">
        <v>0.02</v>
      </c>
      <c r="AC927" s="213">
        <v>0.2</v>
      </c>
      <c r="AD927" s="213" t="s">
        <v>1014</v>
      </c>
      <c r="AE927" s="213">
        <v>8.0000000000000002E-3</v>
      </c>
      <c r="AF927" s="241">
        <v>10074857.880000001</v>
      </c>
      <c r="AG927" s="241">
        <v>10074857.880000001</v>
      </c>
      <c r="AH927" s="213">
        <v>-8.3199999999999996E-2</v>
      </c>
      <c r="AI927" s="352">
        <v>-1.2817000000000001</v>
      </c>
      <c r="AJ927" s="213">
        <v>-0.24590000000000001</v>
      </c>
      <c r="AK927" s="352">
        <v>-2.6135000000000002</v>
      </c>
      <c r="AL927" s="213">
        <v>-0.1065</v>
      </c>
      <c r="AM927" s="352">
        <v>-0.88170000000000004</v>
      </c>
      <c r="AN927" s="213">
        <v>1.83E-2</v>
      </c>
      <c r="AO927" s="352">
        <v>0.1087</v>
      </c>
      <c r="AP927" s="213">
        <v>0.2036</v>
      </c>
      <c r="AQ927" s="219">
        <v>-1.725445327749523</v>
      </c>
      <c r="AR927" s="213" t="s">
        <v>1824</v>
      </c>
      <c r="AV927" s="343"/>
      <c r="AW927" s="328"/>
      <c r="AX927" s="329"/>
      <c r="AY927" s="328"/>
      <c r="AZ927" s="328"/>
      <c r="BA927" s="330"/>
      <c r="BB927" s="328"/>
      <c r="BC927" s="328"/>
      <c r="BD927" s="328"/>
      <c r="BE927" s="330"/>
      <c r="BF927" s="330"/>
      <c r="BG927" s="344"/>
      <c r="BH927" s="330"/>
      <c r="BI927" s="330"/>
      <c r="BJ927" s="330"/>
      <c r="BK927" s="330"/>
      <c r="BL927" s="330"/>
      <c r="BM927" s="330"/>
      <c r="BN927" s="330"/>
      <c r="BO927" s="330"/>
      <c r="BP927" s="331"/>
      <c r="BQ927" s="332"/>
      <c r="BR927" s="333"/>
    </row>
    <row r="928" spans="2:70" ht="15.75" customHeight="1">
      <c r="B928" s="216" t="s">
        <v>1588</v>
      </c>
      <c r="C928" s="212">
        <v>588028</v>
      </c>
      <c r="D928" s="223">
        <v>22407091000117</v>
      </c>
      <c r="E928" s="217" t="s">
        <v>25</v>
      </c>
      <c r="F928" s="217" t="s">
        <v>959</v>
      </c>
      <c r="G928" s="217" t="s">
        <v>953</v>
      </c>
      <c r="H928" s="218" t="s">
        <v>66</v>
      </c>
      <c r="I928" s="217" t="s">
        <v>1842</v>
      </c>
      <c r="J928" s="217" t="s">
        <v>66</v>
      </c>
      <c r="K928" s="218"/>
      <c r="L928" s="212" t="s">
        <v>87</v>
      </c>
      <c r="M928" s="250"/>
      <c r="N928" s="239">
        <v>42233</v>
      </c>
      <c r="O928" s="210" t="s">
        <v>602</v>
      </c>
      <c r="P928" s="210" t="s">
        <v>1088</v>
      </c>
      <c r="Q928" s="210" t="s">
        <v>1089</v>
      </c>
      <c r="R928" s="210" t="s">
        <v>1084</v>
      </c>
      <c r="S928" s="210" t="s">
        <v>1078</v>
      </c>
      <c r="T928" s="210" t="s">
        <v>1082</v>
      </c>
      <c r="U928" s="210" t="s">
        <v>1086</v>
      </c>
      <c r="V928" s="210" t="s">
        <v>25</v>
      </c>
      <c r="W928" s="211" t="s">
        <v>1016</v>
      </c>
      <c r="X928" s="211">
        <v>100</v>
      </c>
      <c r="Y928" s="211">
        <v>100</v>
      </c>
      <c r="Z928" s="212">
        <v>100</v>
      </c>
      <c r="AA928" s="240">
        <v>16</v>
      </c>
      <c r="AB928" s="213">
        <v>1.4999999999999999E-2</v>
      </c>
      <c r="AC928" s="213">
        <v>0.2</v>
      </c>
      <c r="AD928" s="213" t="s">
        <v>109</v>
      </c>
      <c r="AE928" s="213">
        <v>4.0000000000000001E-3</v>
      </c>
      <c r="AF928" s="241">
        <v>12505772.25</v>
      </c>
      <c r="AG928" s="241">
        <v>12505772.25</v>
      </c>
      <c r="AH928" s="213">
        <v>2.53E-2</v>
      </c>
      <c r="AI928" s="352">
        <v>0.39019999999999999</v>
      </c>
      <c r="AJ928" s="213">
        <v>9.2100000000000001E-2</v>
      </c>
      <c r="AK928" s="352">
        <v>0.97909999999999997</v>
      </c>
      <c r="AL928" s="213">
        <v>8.8900000000000007E-2</v>
      </c>
      <c r="AM928" s="352">
        <v>0.73560000000000003</v>
      </c>
      <c r="AN928" s="213">
        <v>0.12740000000000001</v>
      </c>
      <c r="AO928" s="352">
        <v>0.75609999999999999</v>
      </c>
      <c r="AP928" s="213">
        <v>7.3300000000000004E-2</v>
      </c>
      <c r="AQ928" s="219">
        <v>1.1808646617202923E-2</v>
      </c>
      <c r="AR928" s="213" t="s">
        <v>1827</v>
      </c>
      <c r="AV928" s="343"/>
      <c r="AW928" s="328"/>
      <c r="AX928" s="329"/>
      <c r="AY928" s="328"/>
      <c r="AZ928" s="328"/>
      <c r="BA928" s="330"/>
      <c r="BB928" s="328"/>
      <c r="BC928" s="328"/>
      <c r="BD928" s="328"/>
      <c r="BE928" s="330"/>
      <c r="BF928" s="330"/>
      <c r="BG928" s="344"/>
      <c r="BH928" s="330"/>
      <c r="BI928" s="330"/>
      <c r="BJ928" s="330"/>
      <c r="BK928" s="330"/>
      <c r="BL928" s="330"/>
      <c r="BM928" s="330"/>
      <c r="BN928" s="330"/>
      <c r="BO928" s="330"/>
      <c r="BP928" s="331"/>
      <c r="BQ928" s="332"/>
      <c r="BR928" s="333"/>
    </row>
    <row r="929" spans="2:70" ht="15.75" customHeight="1">
      <c r="B929" s="216" t="s">
        <v>603</v>
      </c>
      <c r="C929" s="212">
        <v>1015134</v>
      </c>
      <c r="D929" s="223">
        <v>22504083000199</v>
      </c>
      <c r="E929" s="217" t="s">
        <v>25</v>
      </c>
      <c r="F929" s="217" t="s">
        <v>958</v>
      </c>
      <c r="G929" s="217" t="s">
        <v>962</v>
      </c>
      <c r="H929" s="218" t="s">
        <v>66</v>
      </c>
      <c r="I929" s="217" t="s">
        <v>1841</v>
      </c>
      <c r="J929" s="217" t="s">
        <v>66</v>
      </c>
      <c r="K929" s="218"/>
      <c r="L929" s="212" t="s">
        <v>87</v>
      </c>
      <c r="M929" s="250"/>
      <c r="N929" s="239">
        <v>42247</v>
      </c>
      <c r="O929" s="210" t="s">
        <v>600</v>
      </c>
      <c r="P929" s="210" t="s">
        <v>1088</v>
      </c>
      <c r="Q929" s="210" t="s">
        <v>1089</v>
      </c>
      <c r="R929" s="210" t="s">
        <v>1084</v>
      </c>
      <c r="S929" s="210" t="s">
        <v>1078</v>
      </c>
      <c r="T929" s="210" t="s">
        <v>1082</v>
      </c>
      <c r="U929" s="210" t="s">
        <v>958</v>
      </c>
      <c r="V929" s="210" t="s">
        <v>25</v>
      </c>
      <c r="W929" s="211" t="s">
        <v>1016</v>
      </c>
      <c r="X929" s="211">
        <v>20000</v>
      </c>
      <c r="Y929" s="211">
        <v>10000</v>
      </c>
      <c r="Z929" s="212">
        <v>20000</v>
      </c>
      <c r="AA929" s="240">
        <v>30</v>
      </c>
      <c r="AB929" s="213">
        <v>0.02</v>
      </c>
      <c r="AC929" s="213">
        <v>0.2</v>
      </c>
      <c r="AD929" s="213" t="s">
        <v>109</v>
      </c>
      <c r="AE929" s="213">
        <v>6.0000000000000001E-3</v>
      </c>
      <c r="AF929" s="241">
        <v>7263651.21</v>
      </c>
      <c r="AG929" s="241">
        <v>7263651.21</v>
      </c>
      <c r="AH929" s="213">
        <v>7.3899999999999993E-2</v>
      </c>
      <c r="AI929" s="352">
        <v>1.1387</v>
      </c>
      <c r="AJ929" s="213">
        <v>6.6400000000000001E-2</v>
      </c>
      <c r="AK929" s="352">
        <v>0.70609999999999995</v>
      </c>
      <c r="AL929" s="213">
        <v>0.1043</v>
      </c>
      <c r="AM929" s="352">
        <v>0.86299999999999999</v>
      </c>
      <c r="AN929" s="213">
        <v>0.1043</v>
      </c>
      <c r="AO929" s="352">
        <v>0.61919999999999997</v>
      </c>
      <c r="AP929" s="213">
        <v>2.41E-2</v>
      </c>
      <c r="AQ929" s="219">
        <v>-1.0519214176169835</v>
      </c>
      <c r="AR929" s="213" t="s">
        <v>1827</v>
      </c>
      <c r="AV929" s="343"/>
      <c r="AW929" s="328"/>
      <c r="AX929" s="329"/>
      <c r="AY929" s="328"/>
      <c r="AZ929" s="328"/>
      <c r="BA929" s="330"/>
      <c r="BB929" s="328"/>
      <c r="BC929" s="328"/>
      <c r="BD929" s="328"/>
      <c r="BE929" s="330"/>
      <c r="BF929" s="330"/>
      <c r="BG929" s="344"/>
      <c r="BH929" s="330"/>
      <c r="BI929" s="330"/>
      <c r="BJ929" s="330"/>
      <c r="BK929" s="330"/>
      <c r="BL929" s="330"/>
      <c r="BM929" s="330"/>
      <c r="BN929" s="330"/>
      <c r="BO929" s="330"/>
      <c r="BP929" s="331"/>
      <c r="BQ929" s="332"/>
      <c r="BR929" s="333"/>
    </row>
    <row r="930" spans="2:70" ht="15.75" customHeight="1">
      <c r="B930" s="216" t="s">
        <v>604</v>
      </c>
      <c r="C930" s="212">
        <v>2465990</v>
      </c>
      <c r="D930" s="223">
        <v>7420595000183</v>
      </c>
      <c r="E930" s="217" t="s">
        <v>28</v>
      </c>
      <c r="F930" s="217" t="s">
        <v>950</v>
      </c>
      <c r="G930" s="217"/>
      <c r="H930" s="218"/>
      <c r="I930" s="217" t="s">
        <v>66</v>
      </c>
      <c r="J930" s="217" t="s">
        <v>66</v>
      </c>
      <c r="K930" s="218" t="s">
        <v>951</v>
      </c>
      <c r="L930" s="212" t="s">
        <v>87</v>
      </c>
      <c r="M930" s="250"/>
      <c r="N930" s="239">
        <v>39261</v>
      </c>
      <c r="O930" s="210" t="s">
        <v>605</v>
      </c>
      <c r="P930" s="210" t="s">
        <v>1088</v>
      </c>
      <c r="Q930" s="210" t="s">
        <v>1089</v>
      </c>
      <c r="R930" s="210" t="s">
        <v>1084</v>
      </c>
      <c r="S930" s="210" t="s">
        <v>1078</v>
      </c>
      <c r="T930" s="210" t="s">
        <v>1079</v>
      </c>
      <c r="U930" s="210" t="s">
        <v>950</v>
      </c>
      <c r="V930" s="210" t="s">
        <v>1080</v>
      </c>
      <c r="W930" s="211" t="s">
        <v>1030</v>
      </c>
      <c r="X930" s="211">
        <v>1000</v>
      </c>
      <c r="Y930" s="211">
        <v>1000</v>
      </c>
      <c r="Z930" s="212">
        <v>1000</v>
      </c>
      <c r="AA930" s="240">
        <v>33</v>
      </c>
      <c r="AB930" s="213">
        <v>0.02</v>
      </c>
      <c r="AC930" s="213">
        <v>0.2</v>
      </c>
      <c r="AD930" s="213" t="s">
        <v>1014</v>
      </c>
      <c r="AE930" s="213">
        <v>6.0000000000000001E-3</v>
      </c>
      <c r="AF930" s="241">
        <v>16087589.93</v>
      </c>
      <c r="AG930" s="241">
        <v>16087589.93</v>
      </c>
      <c r="AH930" s="213">
        <v>-6.6199999999999995E-2</v>
      </c>
      <c r="AI930" s="352">
        <v>-1.0192000000000001</v>
      </c>
      <c r="AJ930" s="213">
        <v>-0.31669999999999998</v>
      </c>
      <c r="AK930" s="352">
        <v>-3.3656999999999999</v>
      </c>
      <c r="AL930" s="213">
        <v>-0.28870000000000001</v>
      </c>
      <c r="AM930" s="352">
        <v>-2.3895</v>
      </c>
      <c r="AN930" s="213">
        <v>-0.1699</v>
      </c>
      <c r="AO930" s="352">
        <v>-1.0084</v>
      </c>
      <c r="AP930" s="213">
        <v>0.3009</v>
      </c>
      <c r="AQ930" s="219">
        <v>-1.4129164362641884</v>
      </c>
      <c r="AR930" s="213" t="s">
        <v>1824</v>
      </c>
      <c r="AV930" s="343"/>
      <c r="AW930" s="328"/>
      <c r="AX930" s="329"/>
      <c r="AY930" s="328"/>
      <c r="AZ930" s="328"/>
      <c r="BA930" s="330"/>
      <c r="BB930" s="328"/>
      <c r="BC930" s="328"/>
      <c r="BD930" s="328"/>
      <c r="BE930" s="330"/>
      <c r="BF930" s="330"/>
      <c r="BG930" s="344"/>
      <c r="BH930" s="330"/>
      <c r="BI930" s="330"/>
      <c r="BJ930" s="330"/>
      <c r="BK930" s="330"/>
      <c r="BL930" s="330"/>
      <c r="BM930" s="330"/>
      <c r="BN930" s="330"/>
      <c r="BO930" s="330"/>
      <c r="BP930" s="331"/>
      <c r="BQ930" s="332"/>
      <c r="BR930" s="333"/>
    </row>
    <row r="931" spans="2:70" ht="15.75" customHeight="1">
      <c r="B931" s="216" t="s">
        <v>606</v>
      </c>
      <c r="C931" s="212">
        <v>545079</v>
      </c>
      <c r="D931" s="223">
        <v>10265295000181</v>
      </c>
      <c r="E931" s="217" t="s">
        <v>28</v>
      </c>
      <c r="F931" s="217" t="s">
        <v>950</v>
      </c>
      <c r="G931" s="217"/>
      <c r="H931" s="218"/>
      <c r="I931" s="217" t="s">
        <v>66</v>
      </c>
      <c r="J931" s="217" t="s">
        <v>66</v>
      </c>
      <c r="K931" s="218" t="s">
        <v>951</v>
      </c>
      <c r="L931" s="212" t="s">
        <v>87</v>
      </c>
      <c r="M931" s="250"/>
      <c r="N931" s="239">
        <v>39780</v>
      </c>
      <c r="O931" s="210" t="s">
        <v>605</v>
      </c>
      <c r="P931" s="210" t="s">
        <v>1088</v>
      </c>
      <c r="Q931" s="210" t="s">
        <v>1089</v>
      </c>
      <c r="R931" s="210" t="s">
        <v>1077</v>
      </c>
      <c r="S931" s="210" t="s">
        <v>1078</v>
      </c>
      <c r="T931" s="210" t="s">
        <v>1079</v>
      </c>
      <c r="U931" s="210" t="s">
        <v>950</v>
      </c>
      <c r="V931" s="210" t="s">
        <v>1080</v>
      </c>
      <c r="W931" s="211" t="s">
        <v>1007</v>
      </c>
      <c r="X931" s="211">
        <v>5000</v>
      </c>
      <c r="Y931" s="211">
        <v>5000</v>
      </c>
      <c r="Z931" s="212">
        <v>5000</v>
      </c>
      <c r="AA931" s="240">
        <v>10</v>
      </c>
      <c r="AB931" s="213">
        <v>0.02</v>
      </c>
      <c r="AC931" s="213">
        <v>0.2</v>
      </c>
      <c r="AD931" s="213" t="s">
        <v>1157</v>
      </c>
      <c r="AE931" s="213">
        <v>6.0000000000000001E-3</v>
      </c>
      <c r="AF931" s="241">
        <v>4528869.16</v>
      </c>
      <c r="AG931" s="241">
        <v>4528869.16</v>
      </c>
      <c r="AH931" s="213">
        <v>-8.0199999999999994E-2</v>
      </c>
      <c r="AI931" s="352">
        <v>-1.2355</v>
      </c>
      <c r="AJ931" s="213">
        <v>-0.32690000000000002</v>
      </c>
      <c r="AK931" s="352">
        <v>-3.4746000000000001</v>
      </c>
      <c r="AL931" s="213">
        <v>-0.32219999999999999</v>
      </c>
      <c r="AM931" s="352">
        <v>-2.6671999999999998</v>
      </c>
      <c r="AN931" s="213">
        <v>-0.1643</v>
      </c>
      <c r="AO931" s="352">
        <v>-0.97509999999999997</v>
      </c>
      <c r="AP931" s="213">
        <v>0.29480000000000001</v>
      </c>
      <c r="AQ931" s="219">
        <v>-1.4996641391678434</v>
      </c>
      <c r="AR931" s="213" t="s">
        <v>1827</v>
      </c>
      <c r="AV931" s="343"/>
      <c r="AW931" s="328"/>
      <c r="AX931" s="329"/>
      <c r="AY931" s="328"/>
      <c r="AZ931" s="328"/>
      <c r="BA931" s="330"/>
      <c r="BB931" s="328"/>
      <c r="BC931" s="328"/>
      <c r="BD931" s="328"/>
      <c r="BE931" s="330"/>
      <c r="BF931" s="330"/>
      <c r="BG931" s="344"/>
      <c r="BH931" s="330"/>
      <c r="BI931" s="330"/>
      <c r="BJ931" s="330"/>
      <c r="BK931" s="330"/>
      <c r="BL931" s="330"/>
      <c r="BM931" s="330"/>
      <c r="BN931" s="330"/>
      <c r="BO931" s="330"/>
      <c r="BP931" s="331"/>
      <c r="BQ931" s="332"/>
      <c r="BR931" s="333"/>
    </row>
    <row r="932" spans="2:70" ht="15.75" customHeight="1">
      <c r="B932" s="216" t="s">
        <v>607</v>
      </c>
      <c r="C932" s="212">
        <v>545083</v>
      </c>
      <c r="D932" s="223">
        <v>36015100000139</v>
      </c>
      <c r="E932" s="217" t="s">
        <v>19</v>
      </c>
      <c r="F932" s="217" t="s">
        <v>963</v>
      </c>
      <c r="G932" s="217" t="s">
        <v>1011</v>
      </c>
      <c r="H932" s="218" t="s">
        <v>1113</v>
      </c>
      <c r="I932" s="217" t="s">
        <v>66</v>
      </c>
      <c r="J932" s="217" t="s">
        <v>1794</v>
      </c>
      <c r="K932" s="218" t="s">
        <v>951</v>
      </c>
      <c r="L932" s="212" t="s">
        <v>87</v>
      </c>
      <c r="M932" s="250"/>
      <c r="N932" s="239">
        <v>43875</v>
      </c>
      <c r="O932" s="210" t="s">
        <v>1589</v>
      </c>
      <c r="P932" s="210" t="s">
        <v>1075</v>
      </c>
      <c r="Q932" s="210" t="s">
        <v>1076</v>
      </c>
      <c r="R932" s="210" t="s">
        <v>1084</v>
      </c>
      <c r="S932" s="210" t="s">
        <v>1078</v>
      </c>
      <c r="T932" s="210" t="s">
        <v>349</v>
      </c>
      <c r="U932" s="210" t="s">
        <v>1114</v>
      </c>
      <c r="V932" s="210" t="s">
        <v>25</v>
      </c>
      <c r="W932" s="211" t="s">
        <v>1012</v>
      </c>
      <c r="X932" s="211">
        <v>500</v>
      </c>
      <c r="Y932" s="211">
        <v>100</v>
      </c>
      <c r="Z932" s="212">
        <v>100</v>
      </c>
      <c r="AA932" s="240">
        <v>61</v>
      </c>
      <c r="AB932" s="213">
        <v>8.0000000000000002E-3</v>
      </c>
      <c r="AC932" s="213">
        <v>0.2</v>
      </c>
      <c r="AD932" s="213" t="s">
        <v>113</v>
      </c>
      <c r="AE932" s="213">
        <v>2.1333333333333334E-3</v>
      </c>
      <c r="AF932" s="241">
        <v>27730663.620000001</v>
      </c>
      <c r="AG932" s="241">
        <v>27730663.620000001</v>
      </c>
      <c r="AH932" s="213">
        <v>9.8400000000000001E-2</v>
      </c>
      <c r="AI932" s="352">
        <v>1.5153000000000001</v>
      </c>
      <c r="AJ932" s="213">
        <v>0.12670000000000001</v>
      </c>
      <c r="AK932" s="352">
        <v>1.347</v>
      </c>
      <c r="AL932" s="213">
        <v>0.21560000000000001</v>
      </c>
      <c r="AM932" s="352">
        <v>1.7845</v>
      </c>
      <c r="AN932" s="213" t="s">
        <v>66</v>
      </c>
      <c r="AO932" s="352" t="s">
        <v>66</v>
      </c>
      <c r="AP932" s="213">
        <v>2.7900000000000001E-2</v>
      </c>
      <c r="AQ932" s="219">
        <v>1.0673951470123753</v>
      </c>
      <c r="AR932" s="213" t="s">
        <v>1827</v>
      </c>
      <c r="AV932" s="343"/>
      <c r="AW932" s="328"/>
      <c r="AX932" s="329"/>
      <c r="AY932" s="328"/>
      <c r="AZ932" s="328"/>
      <c r="BA932" s="330"/>
      <c r="BB932" s="328"/>
      <c r="BC932" s="328"/>
      <c r="BD932" s="328"/>
      <c r="BE932" s="330"/>
      <c r="BF932" s="330"/>
      <c r="BG932" s="344"/>
      <c r="BH932" s="330"/>
      <c r="BI932" s="330"/>
      <c r="BJ932" s="330"/>
      <c r="BK932" s="330"/>
      <c r="BL932" s="330"/>
      <c r="BM932" s="330"/>
      <c r="BN932" s="330"/>
      <c r="BO932" s="330"/>
      <c r="BP932" s="331"/>
      <c r="BQ932" s="332"/>
      <c r="BR932" s="333"/>
    </row>
    <row r="933" spans="2:70" ht="15.75" customHeight="1">
      <c r="B933" s="216" t="s">
        <v>1590</v>
      </c>
      <c r="C933" s="212">
        <v>1187497</v>
      </c>
      <c r="D933" s="223">
        <v>36498670000127</v>
      </c>
      <c r="E933" s="217" t="s">
        <v>19</v>
      </c>
      <c r="F933" s="217" t="s">
        <v>963</v>
      </c>
      <c r="G933" s="217" t="s">
        <v>1011</v>
      </c>
      <c r="H933" s="218" t="s">
        <v>1113</v>
      </c>
      <c r="I933" s="217" t="s">
        <v>66</v>
      </c>
      <c r="J933" s="217"/>
      <c r="K933" s="218" t="s">
        <v>951</v>
      </c>
      <c r="L933" s="212" t="s">
        <v>87</v>
      </c>
      <c r="M933" s="250"/>
      <c r="N933" s="239">
        <v>43907</v>
      </c>
      <c r="O933" s="210" t="s">
        <v>1589</v>
      </c>
      <c r="P933" s="210" t="s">
        <v>1075</v>
      </c>
      <c r="Q933" s="210" t="s">
        <v>1076</v>
      </c>
      <c r="R933" s="210" t="s">
        <v>1084</v>
      </c>
      <c r="S933" s="210" t="s">
        <v>1085</v>
      </c>
      <c r="T933" s="210" t="s">
        <v>349</v>
      </c>
      <c r="U933" s="210" t="s">
        <v>1114</v>
      </c>
      <c r="V933" s="210" t="s">
        <v>19</v>
      </c>
      <c r="W933" s="211" t="s">
        <v>1017</v>
      </c>
      <c r="X933" s="211">
        <v>500</v>
      </c>
      <c r="Y933" s="211">
        <v>100</v>
      </c>
      <c r="Z933" s="212">
        <v>100</v>
      </c>
      <c r="AA933" s="240">
        <v>1</v>
      </c>
      <c r="AB933" s="213">
        <v>2.5000000000000001E-3</v>
      </c>
      <c r="AC933" s="213">
        <v>0</v>
      </c>
      <c r="AD933" s="213" t="s">
        <v>109</v>
      </c>
      <c r="AE933" s="213">
        <v>6.9999999999999999E-4</v>
      </c>
      <c r="AF933" s="241">
        <v>5823777686.2399998</v>
      </c>
      <c r="AG933" s="241">
        <v>5823777686.2399998</v>
      </c>
      <c r="AH933" s="213">
        <v>7.3999999999999996E-2</v>
      </c>
      <c r="AI933" s="352">
        <v>1.1395</v>
      </c>
      <c r="AJ933" s="213">
        <v>0.10970000000000001</v>
      </c>
      <c r="AK933" s="352">
        <v>1.1657</v>
      </c>
      <c r="AL933" s="213">
        <v>0.1653</v>
      </c>
      <c r="AM933" s="352">
        <v>1.3680000000000001</v>
      </c>
      <c r="AN933" s="213" t="s">
        <v>66</v>
      </c>
      <c r="AO933" s="352" t="s">
        <v>66</v>
      </c>
      <c r="AP933" s="213">
        <v>2.2000000000000001E-3</v>
      </c>
      <c r="AQ933" s="219">
        <v>6.4676756367869528</v>
      </c>
      <c r="AR933" s="213" t="s">
        <v>1827</v>
      </c>
      <c r="AV933" s="343"/>
      <c r="AW933" s="328"/>
      <c r="AX933" s="329"/>
      <c r="AY933" s="328"/>
      <c r="AZ933" s="328"/>
      <c r="BA933" s="330"/>
      <c r="BB933" s="328"/>
      <c r="BC933" s="328"/>
      <c r="BD933" s="328"/>
      <c r="BE933" s="330"/>
      <c r="BF933" s="330"/>
      <c r="BG933" s="344"/>
      <c r="BH933" s="330"/>
      <c r="BI933" s="330"/>
      <c r="BJ933" s="330"/>
      <c r="BK933" s="330"/>
      <c r="BL933" s="330"/>
      <c r="BM933" s="330"/>
      <c r="BN933" s="330"/>
      <c r="BO933" s="330"/>
      <c r="BP933" s="331"/>
      <c r="BQ933" s="332"/>
      <c r="BR933" s="333"/>
    </row>
    <row r="934" spans="2:70" ht="15.75" customHeight="1">
      <c r="B934" s="216" t="s">
        <v>1591</v>
      </c>
      <c r="C934" s="212">
        <v>3915320</v>
      </c>
      <c r="D934" s="223">
        <v>40265199000102</v>
      </c>
      <c r="E934" s="217" t="s">
        <v>19</v>
      </c>
      <c r="F934" s="217" t="s">
        <v>963</v>
      </c>
      <c r="G934" s="217" t="s">
        <v>1034</v>
      </c>
      <c r="H934" s="218" t="s">
        <v>1113</v>
      </c>
      <c r="I934" s="217" t="s">
        <v>66</v>
      </c>
      <c r="J934" s="217" t="s">
        <v>1822</v>
      </c>
      <c r="K934" s="218" t="s">
        <v>951</v>
      </c>
      <c r="L934" s="212" t="s">
        <v>87</v>
      </c>
      <c r="M934" s="250"/>
      <c r="N934" s="239">
        <v>44238</v>
      </c>
      <c r="O934" s="210" t="s">
        <v>1589</v>
      </c>
      <c r="P934" s="210" t="s">
        <v>1075</v>
      </c>
      <c r="Q934" s="210" t="s">
        <v>1076</v>
      </c>
      <c r="R934" s="210" t="s">
        <v>1077</v>
      </c>
      <c r="S934" s="210" t="s">
        <v>1085</v>
      </c>
      <c r="T934" s="210" t="s">
        <v>32</v>
      </c>
      <c r="U934" s="210" t="s">
        <v>1150</v>
      </c>
      <c r="V934" s="210" t="s">
        <v>25</v>
      </c>
      <c r="W934" s="211" t="s">
        <v>1035</v>
      </c>
      <c r="X934" s="211">
        <v>5000</v>
      </c>
      <c r="Y934" s="211">
        <v>1000</v>
      </c>
      <c r="Z934" s="212">
        <v>1000</v>
      </c>
      <c r="AA934" s="240">
        <v>181</v>
      </c>
      <c r="AB934" s="213">
        <v>1.18E-2</v>
      </c>
      <c r="AC934" s="213">
        <v>0.1</v>
      </c>
      <c r="AD934" s="213" t="s">
        <v>113</v>
      </c>
      <c r="AE934" s="213">
        <v>5.5066666666666658E-3</v>
      </c>
      <c r="AF934" s="241">
        <v>80480484.349999994</v>
      </c>
      <c r="AG934" s="241">
        <v>80480484.349999994</v>
      </c>
      <c r="AH934" s="213">
        <v>9.5299999999999996E-2</v>
      </c>
      <c r="AI934" s="352">
        <v>1.4682999999999999</v>
      </c>
      <c r="AJ934" s="213">
        <v>0.12870000000000001</v>
      </c>
      <c r="AK934" s="352">
        <v>1.3676999999999999</v>
      </c>
      <c r="AL934" s="213" t="s">
        <v>66</v>
      </c>
      <c r="AM934" s="352" t="s">
        <v>66</v>
      </c>
      <c r="AN934" s="213" t="s">
        <v>66</v>
      </c>
      <c r="AO934" s="352" t="s">
        <v>66</v>
      </c>
      <c r="AP934" s="213">
        <v>3.0099999999999998E-2</v>
      </c>
      <c r="AQ934" s="219">
        <v>1.0507496416188478</v>
      </c>
      <c r="AR934" s="213" t="s">
        <v>1827</v>
      </c>
      <c r="AV934" s="343"/>
      <c r="AW934" s="328"/>
      <c r="AX934" s="329"/>
      <c r="AY934" s="328"/>
      <c r="AZ934" s="328"/>
      <c r="BA934" s="330"/>
      <c r="BB934" s="328"/>
      <c r="BC934" s="328"/>
      <c r="BD934" s="328"/>
      <c r="BE934" s="330"/>
      <c r="BF934" s="330"/>
      <c r="BG934" s="344"/>
      <c r="BH934" s="330"/>
      <c r="BI934" s="330"/>
      <c r="BJ934" s="330"/>
      <c r="BK934" s="330"/>
      <c r="BL934" s="330"/>
      <c r="BM934" s="330"/>
      <c r="BN934" s="330"/>
      <c r="BO934" s="330"/>
      <c r="BP934" s="331"/>
      <c r="BQ934" s="332"/>
      <c r="BR934" s="333"/>
    </row>
    <row r="935" spans="2:70" ht="15.75" customHeight="1">
      <c r="B935" s="216" t="s">
        <v>1592</v>
      </c>
      <c r="C935" s="212">
        <v>1760910</v>
      </c>
      <c r="D935" s="223">
        <v>36248893000136</v>
      </c>
      <c r="E935" s="217" t="s">
        <v>19</v>
      </c>
      <c r="F935" s="217" t="s">
        <v>963</v>
      </c>
      <c r="G935" s="217" t="s">
        <v>1011</v>
      </c>
      <c r="H935" s="218" t="s">
        <v>1113</v>
      </c>
      <c r="I935" s="217" t="s">
        <v>66</v>
      </c>
      <c r="J935" s="217" t="s">
        <v>1794</v>
      </c>
      <c r="K935" s="218" t="s">
        <v>951</v>
      </c>
      <c r="L935" s="212" t="s">
        <v>87</v>
      </c>
      <c r="M935" s="250"/>
      <c r="N935" s="239">
        <v>43899</v>
      </c>
      <c r="O935" s="210" t="s">
        <v>1589</v>
      </c>
      <c r="P935" s="210" t="s">
        <v>1075</v>
      </c>
      <c r="Q935" s="210" t="s">
        <v>1076</v>
      </c>
      <c r="R935" s="210" t="s">
        <v>231</v>
      </c>
      <c r="S935" s="210" t="s">
        <v>1078</v>
      </c>
      <c r="T935" s="210" t="s">
        <v>32</v>
      </c>
      <c r="U935" s="210" t="s">
        <v>1150</v>
      </c>
      <c r="V935" s="210" t="s">
        <v>25</v>
      </c>
      <c r="W935" s="211" t="s">
        <v>1028</v>
      </c>
      <c r="X935" s="211">
        <v>500</v>
      </c>
      <c r="Y935" s="211">
        <v>100</v>
      </c>
      <c r="Z935" s="212">
        <v>200</v>
      </c>
      <c r="AA935" s="240">
        <v>1</v>
      </c>
      <c r="AB935" s="213">
        <v>9.2999999999999992E-3</v>
      </c>
      <c r="AC935" s="213">
        <v>0.2</v>
      </c>
      <c r="AD935" s="213" t="s">
        <v>113</v>
      </c>
      <c r="AE935" s="213">
        <v>2.4799999999999996E-3</v>
      </c>
      <c r="AF935" s="241">
        <v>2156205.62</v>
      </c>
      <c r="AG935" s="241">
        <v>2156205.62</v>
      </c>
      <c r="AH935" s="213">
        <v>0.13619999999999999</v>
      </c>
      <c r="AI935" s="352">
        <v>2.0985999999999998</v>
      </c>
      <c r="AJ935" s="213">
        <v>0.17069999999999999</v>
      </c>
      <c r="AK935" s="352">
        <v>1.8146</v>
      </c>
      <c r="AL935" s="213">
        <v>0.24110000000000001</v>
      </c>
      <c r="AM935" s="352">
        <v>1.9956</v>
      </c>
      <c r="AN935" s="213" t="s">
        <v>66</v>
      </c>
      <c r="AO935" s="352" t="s">
        <v>66</v>
      </c>
      <c r="AP935" s="213">
        <v>0.1103</v>
      </c>
      <c r="AQ935" s="219">
        <v>0.6670357856419451</v>
      </c>
      <c r="AR935" s="213" t="s">
        <v>1827</v>
      </c>
      <c r="AV935" s="343"/>
      <c r="AW935" s="328"/>
      <c r="AX935" s="329"/>
      <c r="AY935" s="328"/>
      <c r="AZ935" s="328"/>
      <c r="BA935" s="330"/>
      <c r="BB935" s="328"/>
      <c r="BC935" s="328"/>
      <c r="BD935" s="328"/>
      <c r="BE935" s="330"/>
      <c r="BF935" s="330"/>
      <c r="BG935" s="344"/>
      <c r="BH935" s="330"/>
      <c r="BI935" s="330"/>
      <c r="BJ935" s="330"/>
      <c r="BK935" s="330"/>
      <c r="BL935" s="330"/>
      <c r="BM935" s="330"/>
      <c r="BN935" s="330"/>
      <c r="BO935" s="330"/>
      <c r="BP935" s="331"/>
      <c r="BQ935" s="332"/>
      <c r="BR935" s="333"/>
    </row>
    <row r="936" spans="2:70" ht="15.75" customHeight="1">
      <c r="B936" s="216" t="s">
        <v>1793</v>
      </c>
      <c r="C936" s="212">
        <v>4248392</v>
      </c>
      <c r="D936" s="223">
        <v>42405028000159</v>
      </c>
      <c r="E936" s="217" t="s">
        <v>19</v>
      </c>
      <c r="F936" s="217" t="s">
        <v>963</v>
      </c>
      <c r="G936" s="217" t="s">
        <v>1011</v>
      </c>
      <c r="H936" s="218" t="s">
        <v>1113</v>
      </c>
      <c r="I936" s="217" t="s">
        <v>66</v>
      </c>
      <c r="J936" s="217" t="s">
        <v>1794</v>
      </c>
      <c r="K936" s="218" t="s">
        <v>951</v>
      </c>
      <c r="L936" s="212" t="s">
        <v>87</v>
      </c>
      <c r="M936" s="250"/>
      <c r="N936" s="239">
        <v>44560</v>
      </c>
      <c r="O936" s="210" t="s">
        <v>1795</v>
      </c>
      <c r="P936" s="210" t="s">
        <v>1796</v>
      </c>
      <c r="Q936" s="210" t="s">
        <v>1797</v>
      </c>
      <c r="R936" s="210" t="s">
        <v>1738</v>
      </c>
      <c r="S936" s="210" t="s">
        <v>1078</v>
      </c>
      <c r="T936" s="210" t="s">
        <v>349</v>
      </c>
      <c r="U936" s="210" t="s">
        <v>1114</v>
      </c>
      <c r="V936" s="210" t="s">
        <v>25</v>
      </c>
      <c r="W936" s="211" t="s">
        <v>1768</v>
      </c>
      <c r="X936" s="211">
        <v>5000</v>
      </c>
      <c r="Y936" s="211">
        <v>1000</v>
      </c>
      <c r="Z936" s="212">
        <v>5000</v>
      </c>
      <c r="AA936" s="240">
        <v>60</v>
      </c>
      <c r="AB936" s="213">
        <v>1.04E-2</v>
      </c>
      <c r="AC936" s="213">
        <v>0.2</v>
      </c>
      <c r="AD936" s="213" t="s">
        <v>109</v>
      </c>
      <c r="AE936" s="213" t="s">
        <v>66</v>
      </c>
      <c r="AF936" s="241">
        <v>29230579.850000001</v>
      </c>
      <c r="AG936" s="241">
        <v>29230579.850000001</v>
      </c>
      <c r="AH936" s="213">
        <v>7.8799999999999995E-2</v>
      </c>
      <c r="AI936" s="352">
        <v>1.2135</v>
      </c>
      <c r="AJ936" s="213" t="s">
        <v>66</v>
      </c>
      <c r="AK936" s="352" t="s">
        <v>66</v>
      </c>
      <c r="AL936" s="213" t="s">
        <v>66</v>
      </c>
      <c r="AM936" s="352" t="s">
        <v>66</v>
      </c>
      <c r="AN936" s="213" t="s">
        <v>66</v>
      </c>
      <c r="AO936" s="352" t="s">
        <v>66</v>
      </c>
      <c r="AP936" s="213" t="s">
        <v>66</v>
      </c>
      <c r="AQ936" s="219" t="s">
        <v>66</v>
      </c>
      <c r="AR936" s="213" t="s">
        <v>1827</v>
      </c>
      <c r="AV936" s="343"/>
      <c r="AW936" s="328"/>
      <c r="AX936" s="329"/>
      <c r="AY936" s="328"/>
      <c r="AZ936" s="328"/>
      <c r="BA936" s="330"/>
      <c r="BB936" s="328"/>
      <c r="BC936" s="328"/>
      <c r="BD936" s="328"/>
      <c r="BE936" s="330"/>
      <c r="BF936" s="330"/>
      <c r="BG936" s="344"/>
      <c r="BH936" s="330"/>
      <c r="BI936" s="330"/>
      <c r="BJ936" s="330"/>
      <c r="BK936" s="330"/>
      <c r="BL936" s="330"/>
      <c r="BM936" s="330"/>
      <c r="BN936" s="330"/>
      <c r="BO936" s="330"/>
      <c r="BP936" s="331"/>
      <c r="BQ936" s="332"/>
      <c r="BR936" s="333"/>
    </row>
    <row r="937" spans="2:70" ht="15.75" customHeight="1">
      <c r="B937" s="216" t="s">
        <v>609</v>
      </c>
      <c r="C937" s="212">
        <v>2345943</v>
      </c>
      <c r="D937" s="223">
        <v>37287622000152</v>
      </c>
      <c r="E937" s="217" t="s">
        <v>25</v>
      </c>
      <c r="F937" s="217" t="s">
        <v>959</v>
      </c>
      <c r="G937" s="217" t="s">
        <v>960</v>
      </c>
      <c r="H937" s="218" t="s">
        <v>66</v>
      </c>
      <c r="I937" s="217" t="s">
        <v>1259</v>
      </c>
      <c r="J937" s="217" t="s">
        <v>66</v>
      </c>
      <c r="K937" s="218" t="s">
        <v>951</v>
      </c>
      <c r="L937" s="212" t="s">
        <v>87</v>
      </c>
      <c r="M937" s="250"/>
      <c r="N937" s="239">
        <v>44067</v>
      </c>
      <c r="O937" s="210" t="s">
        <v>608</v>
      </c>
      <c r="P937" s="210" t="s">
        <v>1075</v>
      </c>
      <c r="Q937" s="210" t="s">
        <v>1076</v>
      </c>
      <c r="R937" s="210" t="s">
        <v>1084</v>
      </c>
      <c r="S937" s="210" t="s">
        <v>1078</v>
      </c>
      <c r="T937" s="210" t="s">
        <v>1082</v>
      </c>
      <c r="U937" s="210" t="s">
        <v>1086</v>
      </c>
      <c r="V937" s="210" t="s">
        <v>25</v>
      </c>
      <c r="W937" s="211" t="s">
        <v>1016</v>
      </c>
      <c r="X937" s="211">
        <v>500</v>
      </c>
      <c r="Y937" s="211">
        <v>100</v>
      </c>
      <c r="Z937" s="212">
        <v>100</v>
      </c>
      <c r="AA937" s="240">
        <v>17</v>
      </c>
      <c r="AB937" s="213">
        <v>1.7000000000000001E-2</v>
      </c>
      <c r="AC937" s="213">
        <v>0.2</v>
      </c>
      <c r="AD937" s="213" t="s">
        <v>113</v>
      </c>
      <c r="AE937" s="213">
        <v>4.5333333333333337E-3</v>
      </c>
      <c r="AF937" s="241">
        <v>9689156.2699999996</v>
      </c>
      <c r="AG937" s="241">
        <v>9689156.2699999996</v>
      </c>
      <c r="AH937" s="213">
        <v>5.9299999999999999E-2</v>
      </c>
      <c r="AI937" s="352">
        <v>0.91290000000000004</v>
      </c>
      <c r="AJ937" s="213">
        <v>2.9899999999999999E-2</v>
      </c>
      <c r="AK937" s="352">
        <v>0.31780000000000003</v>
      </c>
      <c r="AL937" s="213" t="s">
        <v>66</v>
      </c>
      <c r="AM937" s="352" t="s">
        <v>66</v>
      </c>
      <c r="AN937" s="213" t="s">
        <v>66</v>
      </c>
      <c r="AO937" s="352" t="s">
        <v>66</v>
      </c>
      <c r="AP937" s="213">
        <v>5.3499999999999999E-2</v>
      </c>
      <c r="AQ937" s="219">
        <v>-1.1037478027335526</v>
      </c>
      <c r="AR937" s="213" t="s">
        <v>1827</v>
      </c>
      <c r="AV937" s="343"/>
      <c r="AW937" s="328"/>
      <c r="AX937" s="329"/>
      <c r="AY937" s="328"/>
      <c r="AZ937" s="328"/>
      <c r="BA937" s="330"/>
      <c r="BB937" s="328"/>
      <c r="BC937" s="328"/>
      <c r="BD937" s="328"/>
      <c r="BE937" s="330"/>
      <c r="BF937" s="330"/>
      <c r="BG937" s="344"/>
      <c r="BH937" s="330"/>
      <c r="BI937" s="330"/>
      <c r="BJ937" s="330"/>
      <c r="BK937" s="330"/>
      <c r="BL937" s="330"/>
      <c r="BM937" s="330"/>
      <c r="BN937" s="330"/>
      <c r="BO937" s="330"/>
      <c r="BP937" s="331"/>
      <c r="BQ937" s="332"/>
      <c r="BR937" s="333"/>
    </row>
    <row r="938" spans="2:70" ht="15.75" customHeight="1">
      <c r="B938" s="216" t="s">
        <v>1593</v>
      </c>
      <c r="C938" s="212">
        <v>538150</v>
      </c>
      <c r="D938" s="223">
        <v>27783868000161</v>
      </c>
      <c r="E938" s="217" t="s">
        <v>28</v>
      </c>
      <c r="F938" s="217" t="s">
        <v>950</v>
      </c>
      <c r="G938" s="217"/>
      <c r="H938" s="218"/>
      <c r="I938" s="217" t="s">
        <v>66</v>
      </c>
      <c r="J938" s="217" t="s">
        <v>66</v>
      </c>
      <c r="K938" s="218" t="s">
        <v>951</v>
      </c>
      <c r="L938" s="212" t="s">
        <v>87</v>
      </c>
      <c r="M938" s="250"/>
      <c r="N938" s="239">
        <v>43007</v>
      </c>
      <c r="O938" s="210" t="s">
        <v>608</v>
      </c>
      <c r="P938" s="210" t="s">
        <v>1075</v>
      </c>
      <c r="Q938" s="210" t="s">
        <v>1076</v>
      </c>
      <c r="R938" s="210" t="s">
        <v>1084</v>
      </c>
      <c r="S938" s="210" t="s">
        <v>1078</v>
      </c>
      <c r="T938" s="210" t="s">
        <v>1079</v>
      </c>
      <c r="U938" s="210" t="s">
        <v>950</v>
      </c>
      <c r="V938" s="210" t="s">
        <v>1080</v>
      </c>
      <c r="W938" s="211" t="s">
        <v>1018</v>
      </c>
      <c r="X938" s="211">
        <v>500</v>
      </c>
      <c r="Y938" s="211">
        <v>500</v>
      </c>
      <c r="Z938" s="212">
        <v>500</v>
      </c>
      <c r="AA938" s="240">
        <v>32</v>
      </c>
      <c r="AB938" s="213">
        <v>1.7000000000000001E-2</v>
      </c>
      <c r="AC938" s="213">
        <v>0.2</v>
      </c>
      <c r="AD938" s="213" t="s">
        <v>1170</v>
      </c>
      <c r="AE938" s="213">
        <v>4.5333333333333337E-3</v>
      </c>
      <c r="AF938" s="241">
        <v>77426986.849999994</v>
      </c>
      <c r="AG938" s="241">
        <v>77426986.849999994</v>
      </c>
      <c r="AH938" s="213">
        <v>2.87E-2</v>
      </c>
      <c r="AI938" s="352">
        <v>0.44230000000000003</v>
      </c>
      <c r="AJ938" s="213">
        <v>-0.19320000000000001</v>
      </c>
      <c r="AK938" s="352">
        <v>-2.0531999999999999</v>
      </c>
      <c r="AL938" s="213">
        <v>6.2600000000000003E-2</v>
      </c>
      <c r="AM938" s="352">
        <v>0.5181</v>
      </c>
      <c r="AN938" s="213">
        <v>3.6499999999999998E-2</v>
      </c>
      <c r="AO938" s="352">
        <v>0.21659999999999999</v>
      </c>
      <c r="AP938" s="213">
        <v>0.22040000000000001</v>
      </c>
      <c r="AQ938" s="219">
        <v>-1.2713992475601754</v>
      </c>
      <c r="AR938" s="213" t="s">
        <v>1824</v>
      </c>
      <c r="AV938" s="343"/>
      <c r="AW938" s="328"/>
      <c r="AX938" s="329"/>
      <c r="AY938" s="328"/>
      <c r="AZ938" s="328"/>
      <c r="BA938" s="330"/>
      <c r="BB938" s="328"/>
      <c r="BC938" s="328"/>
      <c r="BD938" s="328"/>
      <c r="BE938" s="330"/>
      <c r="BF938" s="330"/>
      <c r="BG938" s="344"/>
      <c r="BH938" s="330"/>
      <c r="BI938" s="330"/>
      <c r="BJ938" s="330"/>
      <c r="BK938" s="330"/>
      <c r="BL938" s="330"/>
      <c r="BM938" s="330"/>
      <c r="BN938" s="330"/>
      <c r="BO938" s="330"/>
      <c r="BP938" s="331"/>
      <c r="BQ938" s="332"/>
      <c r="BR938" s="333"/>
    </row>
    <row r="939" spans="2:70" ht="15.75" customHeight="1">
      <c r="B939" s="216" t="s">
        <v>1594</v>
      </c>
      <c r="C939" s="212">
        <v>599318</v>
      </c>
      <c r="D939" s="223">
        <v>38971869000156</v>
      </c>
      <c r="E939" s="217" t="s">
        <v>25</v>
      </c>
      <c r="F939" s="217" t="s">
        <v>958</v>
      </c>
      <c r="G939" s="217" t="s">
        <v>962</v>
      </c>
      <c r="H939" s="218" t="s">
        <v>66</v>
      </c>
      <c r="I939" s="217" t="s">
        <v>1842</v>
      </c>
      <c r="J939" s="217" t="s">
        <v>66</v>
      </c>
      <c r="K939" s="218" t="s">
        <v>954</v>
      </c>
      <c r="L939" s="212" t="s">
        <v>87</v>
      </c>
      <c r="M939" s="250"/>
      <c r="N939" s="239">
        <v>44132</v>
      </c>
      <c r="O939" s="210" t="s">
        <v>608</v>
      </c>
      <c r="P939" s="210" t="s">
        <v>1075</v>
      </c>
      <c r="Q939" s="210" t="s">
        <v>1076</v>
      </c>
      <c r="R939" s="210" t="s">
        <v>1077</v>
      </c>
      <c r="S939" s="210" t="s">
        <v>1078</v>
      </c>
      <c r="T939" s="210" t="s">
        <v>1079</v>
      </c>
      <c r="U939" s="210" t="s">
        <v>65</v>
      </c>
      <c r="V939" s="210" t="s">
        <v>25</v>
      </c>
      <c r="W939" s="211" t="s">
        <v>1016</v>
      </c>
      <c r="X939" s="211">
        <v>500</v>
      </c>
      <c r="Y939" s="211">
        <v>100</v>
      </c>
      <c r="Z939" s="212">
        <v>100</v>
      </c>
      <c r="AA939" s="240">
        <v>33</v>
      </c>
      <c r="AB939" s="213">
        <v>1.7000000000000001E-2</v>
      </c>
      <c r="AC939" s="213">
        <v>0.2</v>
      </c>
      <c r="AD939" s="213" t="s">
        <v>113</v>
      </c>
      <c r="AE939" s="213">
        <v>4.4999999999999997E-3</v>
      </c>
      <c r="AF939" s="241">
        <v>16554932.779999999</v>
      </c>
      <c r="AG939" s="241">
        <v>16554932.779999999</v>
      </c>
      <c r="AH939" s="213">
        <v>9.4200000000000006E-2</v>
      </c>
      <c r="AI939" s="352">
        <v>1.4516</v>
      </c>
      <c r="AJ939" s="213">
        <v>0.20399999999999999</v>
      </c>
      <c r="AK939" s="352">
        <v>2.1678000000000002</v>
      </c>
      <c r="AL939" s="213" t="s">
        <v>66</v>
      </c>
      <c r="AM939" s="352" t="s">
        <v>66</v>
      </c>
      <c r="AN939" s="213" t="s">
        <v>66</v>
      </c>
      <c r="AO939" s="352" t="s">
        <v>66</v>
      </c>
      <c r="AP939" s="213">
        <v>0.1062</v>
      </c>
      <c r="AQ939" s="219">
        <v>0.95471861008649972</v>
      </c>
      <c r="AR939" s="213" t="s">
        <v>1827</v>
      </c>
      <c r="AV939" s="343"/>
      <c r="AW939" s="328"/>
      <c r="AX939" s="329"/>
      <c r="AY939" s="328"/>
      <c r="AZ939" s="328"/>
      <c r="BA939" s="330"/>
      <c r="BB939" s="328"/>
      <c r="BC939" s="328"/>
      <c r="BD939" s="328"/>
      <c r="BE939" s="330"/>
      <c r="BF939" s="330"/>
      <c r="BG939" s="344"/>
      <c r="BH939" s="330"/>
      <c r="BI939" s="330"/>
      <c r="BJ939" s="330"/>
      <c r="BK939" s="330"/>
      <c r="BL939" s="330"/>
      <c r="BM939" s="330"/>
      <c r="BN939" s="330"/>
      <c r="BO939" s="330"/>
      <c r="BP939" s="331"/>
      <c r="BQ939" s="332"/>
      <c r="BR939" s="333"/>
    </row>
    <row r="940" spans="2:70" ht="15.75" customHeight="1">
      <c r="B940" s="216" t="s">
        <v>610</v>
      </c>
      <c r="C940" s="212">
        <v>620219</v>
      </c>
      <c r="D940" s="223">
        <v>32295829000155</v>
      </c>
      <c r="E940" s="217" t="s">
        <v>28</v>
      </c>
      <c r="F940" s="217" t="s">
        <v>957</v>
      </c>
      <c r="G940" s="217"/>
      <c r="H940" s="218"/>
      <c r="I940" s="217" t="s">
        <v>1259</v>
      </c>
      <c r="J940" s="217" t="s">
        <v>66</v>
      </c>
      <c r="K940" s="218" t="s">
        <v>951</v>
      </c>
      <c r="L940" s="212" t="s">
        <v>87</v>
      </c>
      <c r="M940" s="250"/>
      <c r="N940" s="239">
        <v>43521</v>
      </c>
      <c r="O940" s="210" t="s">
        <v>114</v>
      </c>
      <c r="P940" s="210" t="s">
        <v>1075</v>
      </c>
      <c r="Q940" s="210" t="s">
        <v>1076</v>
      </c>
      <c r="R940" s="210" t="s">
        <v>1077</v>
      </c>
      <c r="S940" s="210" t="s">
        <v>1078</v>
      </c>
      <c r="T940" s="210" t="s">
        <v>1079</v>
      </c>
      <c r="U940" s="210" t="s">
        <v>957</v>
      </c>
      <c r="V940" s="210" t="s">
        <v>1080</v>
      </c>
      <c r="W940" s="211" t="s">
        <v>1007</v>
      </c>
      <c r="X940" s="211">
        <v>500</v>
      </c>
      <c r="Y940" s="211">
        <v>100</v>
      </c>
      <c r="Z940" s="212">
        <v>100</v>
      </c>
      <c r="AA940" s="240">
        <v>32</v>
      </c>
      <c r="AB940" s="213">
        <v>1.7000000000000001E-2</v>
      </c>
      <c r="AC940" s="213">
        <v>0.2</v>
      </c>
      <c r="AD940" s="213" t="s">
        <v>113</v>
      </c>
      <c r="AE940" s="213">
        <v>3.3999999999999998E-3</v>
      </c>
      <c r="AF940" s="241">
        <v>4431113.7699999996</v>
      </c>
      <c r="AG940" s="241">
        <v>4431113.7699999996</v>
      </c>
      <c r="AH940" s="213">
        <v>8.5999999999999993E-2</v>
      </c>
      <c r="AI940" s="352">
        <v>1.3244</v>
      </c>
      <c r="AJ940" s="213">
        <v>-8.7300000000000003E-2</v>
      </c>
      <c r="AK940" s="352">
        <v>-0.9274</v>
      </c>
      <c r="AL940" s="213">
        <v>0.16259999999999999</v>
      </c>
      <c r="AM940" s="352">
        <v>1.3454999999999999</v>
      </c>
      <c r="AN940" s="213">
        <v>0.2455</v>
      </c>
      <c r="AO940" s="352">
        <v>1.4571000000000001</v>
      </c>
      <c r="AP940" s="213">
        <v>0.17649999999999999</v>
      </c>
      <c r="AQ940" s="219">
        <v>-0.93863660551867012</v>
      </c>
      <c r="AR940" s="213" t="s">
        <v>1827</v>
      </c>
      <c r="AV940" s="343"/>
      <c r="AW940" s="328"/>
      <c r="AX940" s="329"/>
      <c r="AY940" s="328"/>
      <c r="AZ940" s="328"/>
      <c r="BA940" s="330"/>
      <c r="BB940" s="328"/>
      <c r="BC940" s="328"/>
      <c r="BD940" s="328"/>
      <c r="BE940" s="330"/>
      <c r="BF940" s="330"/>
      <c r="BG940" s="344"/>
      <c r="BH940" s="330"/>
      <c r="BI940" s="330"/>
      <c r="BJ940" s="330"/>
      <c r="BK940" s="330"/>
      <c r="BL940" s="330"/>
      <c r="BM940" s="330"/>
      <c r="BN940" s="330"/>
      <c r="BO940" s="330"/>
      <c r="BP940" s="331"/>
      <c r="BQ940" s="332"/>
      <c r="BR940" s="333"/>
    </row>
    <row r="941" spans="2:70" ht="15.75" customHeight="1">
      <c r="B941" s="216" t="s">
        <v>1595</v>
      </c>
      <c r="C941" s="212">
        <v>856789</v>
      </c>
      <c r="D941" s="223">
        <v>32041623000107</v>
      </c>
      <c r="E941" s="217" t="s">
        <v>28</v>
      </c>
      <c r="F941" s="217" t="s">
        <v>957</v>
      </c>
      <c r="G941" s="217"/>
      <c r="H941" s="218"/>
      <c r="I941" s="217" t="s">
        <v>1259</v>
      </c>
      <c r="J941" s="217" t="s">
        <v>66</v>
      </c>
      <c r="K941" s="218" t="s">
        <v>951</v>
      </c>
      <c r="L941" s="212" t="s">
        <v>87</v>
      </c>
      <c r="M941" s="250"/>
      <c r="N941" s="239">
        <v>43462</v>
      </c>
      <c r="O941" s="210" t="s">
        <v>608</v>
      </c>
      <c r="P941" s="210" t="s">
        <v>1075</v>
      </c>
      <c r="Q941" s="210" t="s">
        <v>1076</v>
      </c>
      <c r="R941" s="210" t="s">
        <v>1077</v>
      </c>
      <c r="S941" s="210" t="s">
        <v>1078</v>
      </c>
      <c r="T941" s="210" t="s">
        <v>1079</v>
      </c>
      <c r="U941" s="210" t="s">
        <v>957</v>
      </c>
      <c r="V941" s="210" t="s">
        <v>1080</v>
      </c>
      <c r="W941" s="211" t="s">
        <v>1007</v>
      </c>
      <c r="X941" s="211">
        <v>500</v>
      </c>
      <c r="Y941" s="211">
        <v>100</v>
      </c>
      <c r="Z941" s="212">
        <v>100</v>
      </c>
      <c r="AA941" s="240">
        <v>32</v>
      </c>
      <c r="AB941" s="213">
        <v>1.7000000000000001E-2</v>
      </c>
      <c r="AC941" s="213">
        <v>0.2</v>
      </c>
      <c r="AD941" s="213" t="s">
        <v>113</v>
      </c>
      <c r="AE941" s="213">
        <v>4.5333333333333337E-3</v>
      </c>
      <c r="AF941" s="241">
        <v>51895531.990000002</v>
      </c>
      <c r="AG941" s="241">
        <v>51895531.990000002</v>
      </c>
      <c r="AH941" s="213">
        <v>8.3900000000000002E-2</v>
      </c>
      <c r="AI941" s="352">
        <v>1.2916000000000001</v>
      </c>
      <c r="AJ941" s="213">
        <v>-9.06E-2</v>
      </c>
      <c r="AK941" s="352">
        <v>-0.96240000000000003</v>
      </c>
      <c r="AL941" s="213">
        <v>0.16159999999999999</v>
      </c>
      <c r="AM941" s="352">
        <v>1.3380000000000001</v>
      </c>
      <c r="AN941" s="213">
        <v>0.2334</v>
      </c>
      <c r="AO941" s="352">
        <v>1.3849</v>
      </c>
      <c r="AP941" s="213">
        <v>0.17860000000000001</v>
      </c>
      <c r="AQ941" s="219">
        <v>-0.94573760850933397</v>
      </c>
      <c r="AR941" s="213" t="s">
        <v>1827</v>
      </c>
      <c r="AV941" s="343"/>
      <c r="AW941" s="328"/>
      <c r="AX941" s="329"/>
      <c r="AY941" s="328"/>
      <c r="AZ941" s="328"/>
      <c r="BA941" s="330"/>
      <c r="BB941" s="328"/>
      <c r="BC941" s="328"/>
      <c r="BD941" s="328"/>
      <c r="BE941" s="330"/>
      <c r="BF941" s="330"/>
      <c r="BG941" s="344"/>
      <c r="BH941" s="330"/>
      <c r="BI941" s="330"/>
      <c r="BJ941" s="330"/>
      <c r="BK941" s="330"/>
      <c r="BL941" s="330"/>
      <c r="BM941" s="330"/>
      <c r="BN941" s="330"/>
      <c r="BO941" s="330"/>
      <c r="BP941" s="331"/>
      <c r="BQ941" s="332"/>
      <c r="BR941" s="333"/>
    </row>
    <row r="942" spans="2:70" ht="15.75" customHeight="1">
      <c r="B942" s="216" t="s">
        <v>611</v>
      </c>
      <c r="C942" s="212">
        <v>926082</v>
      </c>
      <c r="D942" s="223">
        <v>22354037000150</v>
      </c>
      <c r="E942" s="217" t="s">
        <v>25</v>
      </c>
      <c r="F942" s="217" t="s">
        <v>958</v>
      </c>
      <c r="G942" s="217" t="s">
        <v>962</v>
      </c>
      <c r="H942" s="218" t="s">
        <v>66</v>
      </c>
      <c r="I942" s="217" t="s">
        <v>1842</v>
      </c>
      <c r="J942" s="217" t="s">
        <v>66</v>
      </c>
      <c r="K942" s="218"/>
      <c r="L942" s="212" t="s">
        <v>87</v>
      </c>
      <c r="M942" s="250"/>
      <c r="N942" s="239">
        <v>42277</v>
      </c>
      <c r="O942" s="210" t="s">
        <v>608</v>
      </c>
      <c r="P942" s="210" t="s">
        <v>1075</v>
      </c>
      <c r="Q942" s="210" t="s">
        <v>1076</v>
      </c>
      <c r="R942" s="210" t="s">
        <v>1077</v>
      </c>
      <c r="S942" s="210" t="s">
        <v>1085</v>
      </c>
      <c r="T942" s="210" t="s">
        <v>1082</v>
      </c>
      <c r="U942" s="210" t="s">
        <v>1086</v>
      </c>
      <c r="V942" s="210" t="s">
        <v>25</v>
      </c>
      <c r="W942" s="211" t="s">
        <v>1016</v>
      </c>
      <c r="X942" s="211">
        <v>500</v>
      </c>
      <c r="Y942" s="211">
        <v>100</v>
      </c>
      <c r="Z942" s="212">
        <v>100</v>
      </c>
      <c r="AA942" s="240">
        <v>32</v>
      </c>
      <c r="AB942" s="213">
        <v>1.7000000000000001E-2</v>
      </c>
      <c r="AC942" s="213">
        <v>0.2</v>
      </c>
      <c r="AD942" s="213" t="s">
        <v>113</v>
      </c>
      <c r="AE942" s="213">
        <v>2.8338999999999999E-3</v>
      </c>
      <c r="AF942" s="241" t="s">
        <v>66</v>
      </c>
      <c r="AG942" s="241" t="s">
        <v>66</v>
      </c>
      <c r="AH942" s="213" t="s">
        <v>66</v>
      </c>
      <c r="AI942" s="352" t="s">
        <v>66</v>
      </c>
      <c r="AJ942" s="213" t="s">
        <v>66</v>
      </c>
      <c r="AK942" s="352" t="s">
        <v>66</v>
      </c>
      <c r="AL942" s="213" t="s">
        <v>66</v>
      </c>
      <c r="AM942" s="352" t="s">
        <v>66</v>
      </c>
      <c r="AN942" s="213" t="s">
        <v>66</v>
      </c>
      <c r="AO942" s="352" t="s">
        <v>66</v>
      </c>
      <c r="AP942" s="213" t="s">
        <v>66</v>
      </c>
      <c r="AQ942" s="219" t="s">
        <v>66</v>
      </c>
      <c r="AR942" s="213" t="s">
        <v>1827</v>
      </c>
      <c r="AV942" s="343"/>
      <c r="AW942" s="328"/>
      <c r="AX942" s="329"/>
      <c r="AY942" s="328"/>
      <c r="AZ942" s="328"/>
      <c r="BA942" s="330"/>
      <c r="BB942" s="328"/>
      <c r="BC942" s="328"/>
      <c r="BD942" s="328"/>
      <c r="BE942" s="330"/>
      <c r="BF942" s="330"/>
      <c r="BG942" s="344"/>
      <c r="BH942" s="330"/>
      <c r="BI942" s="330"/>
      <c r="BJ942" s="330"/>
      <c r="BK942" s="330"/>
      <c r="BL942" s="330"/>
      <c r="BM942" s="330"/>
      <c r="BN942" s="330"/>
      <c r="BO942" s="330"/>
      <c r="BP942" s="331"/>
      <c r="BQ942" s="332"/>
      <c r="BR942" s="333"/>
    </row>
    <row r="943" spans="2:70" ht="15.75" customHeight="1">
      <c r="B943" s="216" t="s">
        <v>1596</v>
      </c>
      <c r="C943" s="212">
        <v>1024424</v>
      </c>
      <c r="D943" s="223">
        <v>41081041000137</v>
      </c>
      <c r="E943" s="217" t="s">
        <v>28</v>
      </c>
      <c r="F943" s="217" t="s">
        <v>957</v>
      </c>
      <c r="G943" s="217"/>
      <c r="H943" s="218"/>
      <c r="I943" s="217" t="s">
        <v>1841</v>
      </c>
      <c r="J943" s="217" t="s">
        <v>66</v>
      </c>
      <c r="K943" s="218" t="s">
        <v>951</v>
      </c>
      <c r="L943" s="212" t="s">
        <v>87</v>
      </c>
      <c r="M943" s="250"/>
      <c r="N943" s="239">
        <v>44323</v>
      </c>
      <c r="O943" s="210" t="s">
        <v>608</v>
      </c>
      <c r="P943" s="210" t="s">
        <v>1075</v>
      </c>
      <c r="Q943" s="210" t="s">
        <v>1076</v>
      </c>
      <c r="R943" s="210" t="s">
        <v>1077</v>
      </c>
      <c r="S943" s="210" t="s">
        <v>1085</v>
      </c>
      <c r="T943" s="210" t="s">
        <v>1082</v>
      </c>
      <c r="U943" s="210" t="s">
        <v>1086</v>
      </c>
      <c r="V943" s="210" t="s">
        <v>25</v>
      </c>
      <c r="W943" s="211" t="s">
        <v>1016</v>
      </c>
      <c r="X943" s="211">
        <v>500</v>
      </c>
      <c r="Y943" s="211">
        <v>100</v>
      </c>
      <c r="Z943" s="212">
        <v>100</v>
      </c>
      <c r="AA943" s="240">
        <v>32</v>
      </c>
      <c r="AB943" s="213">
        <v>1.7000000000000001E-2</v>
      </c>
      <c r="AC943" s="213">
        <v>0.2</v>
      </c>
      <c r="AD943" s="213" t="s">
        <v>113</v>
      </c>
      <c r="AE943" s="213">
        <v>2.8338999999999999E-3</v>
      </c>
      <c r="AF943" s="241">
        <v>20354354.07</v>
      </c>
      <c r="AG943" s="241">
        <v>20354354.07</v>
      </c>
      <c r="AH943" s="213">
        <v>6.59E-2</v>
      </c>
      <c r="AI943" s="352">
        <v>1.0146999999999999</v>
      </c>
      <c r="AJ943" s="213">
        <v>1.37E-2</v>
      </c>
      <c r="AK943" s="352">
        <v>0.14549999999999999</v>
      </c>
      <c r="AL943" s="213" t="s">
        <v>66</v>
      </c>
      <c r="AM943" s="352" t="s">
        <v>66</v>
      </c>
      <c r="AN943" s="213" t="s">
        <v>66</v>
      </c>
      <c r="AO943" s="352" t="s">
        <v>66</v>
      </c>
      <c r="AP943" s="213">
        <v>8.4000000000000005E-2</v>
      </c>
      <c r="AQ943" s="219">
        <v>-0.86661319845865359</v>
      </c>
      <c r="AR943" s="213" t="s">
        <v>1827</v>
      </c>
      <c r="AU943" s="343"/>
      <c r="AV943" s="343"/>
      <c r="AW943" s="328"/>
      <c r="AX943" s="329"/>
      <c r="AY943" s="328"/>
      <c r="AZ943" s="328"/>
      <c r="BA943" s="330"/>
      <c r="BB943" s="328"/>
      <c r="BC943" s="328"/>
      <c r="BD943" s="328"/>
      <c r="BE943" s="330"/>
      <c r="BF943" s="330"/>
      <c r="BG943" s="344"/>
      <c r="BH943" s="383"/>
      <c r="BI943" s="330"/>
      <c r="BJ943" s="330"/>
      <c r="BK943" s="330"/>
      <c r="BL943" s="330"/>
      <c r="BM943" s="330"/>
      <c r="BN943" s="330"/>
      <c r="BO943" s="330"/>
      <c r="BP943" s="331"/>
      <c r="BQ943" s="332"/>
      <c r="BR943" s="333"/>
    </row>
    <row r="944" spans="2:70" ht="15.75" customHeight="1">
      <c r="B944" s="216" t="s">
        <v>1597</v>
      </c>
      <c r="C944" s="212">
        <v>1088454</v>
      </c>
      <c r="D944" s="223">
        <v>19211696000123</v>
      </c>
      <c r="E944" s="217" t="s">
        <v>28</v>
      </c>
      <c r="F944" s="217" t="s">
        <v>957</v>
      </c>
      <c r="G944" s="217"/>
      <c r="H944" s="218"/>
      <c r="I944" s="217" t="s">
        <v>1841</v>
      </c>
      <c r="J944" s="217" t="s">
        <v>66</v>
      </c>
      <c r="K944" s="218" t="s">
        <v>951</v>
      </c>
      <c r="L944" s="212" t="s">
        <v>87</v>
      </c>
      <c r="M944" s="250"/>
      <c r="N944" s="239">
        <v>41690</v>
      </c>
      <c r="O944" s="210" t="s">
        <v>608</v>
      </c>
      <c r="P944" s="210" t="s">
        <v>1075</v>
      </c>
      <c r="Q944" s="210" t="s">
        <v>1076</v>
      </c>
      <c r="R944" s="210" t="s">
        <v>1077</v>
      </c>
      <c r="S944" s="210" t="s">
        <v>1078</v>
      </c>
      <c r="T944" s="210" t="s">
        <v>1082</v>
      </c>
      <c r="U944" s="210" t="s">
        <v>1086</v>
      </c>
      <c r="V944" s="210" t="s">
        <v>25</v>
      </c>
      <c r="W944" s="211" t="s">
        <v>1016</v>
      </c>
      <c r="X944" s="211">
        <v>500</v>
      </c>
      <c r="Y944" s="211">
        <v>100</v>
      </c>
      <c r="Z944" s="212">
        <v>100</v>
      </c>
      <c r="AA944" s="240">
        <v>32</v>
      </c>
      <c r="AB944" s="213">
        <v>1.7000000000000001E-2</v>
      </c>
      <c r="AC944" s="213">
        <v>0.2</v>
      </c>
      <c r="AD944" s="213" t="s">
        <v>113</v>
      </c>
      <c r="AE944" s="213">
        <v>1.1333333333333334E-3</v>
      </c>
      <c r="AF944" s="241">
        <v>519376666.57999998</v>
      </c>
      <c r="AG944" s="241">
        <v>519376666.57999998</v>
      </c>
      <c r="AH944" s="213">
        <v>6.5100000000000005E-2</v>
      </c>
      <c r="AI944" s="352">
        <v>1.0024999999999999</v>
      </c>
      <c r="AJ944" s="213">
        <v>1.09E-2</v>
      </c>
      <c r="AK944" s="352">
        <v>0.1158</v>
      </c>
      <c r="AL944" s="213">
        <v>0.1734</v>
      </c>
      <c r="AM944" s="352">
        <v>1.4357</v>
      </c>
      <c r="AN944" s="213">
        <v>0.2157</v>
      </c>
      <c r="AO944" s="352">
        <v>1.2797000000000001</v>
      </c>
      <c r="AP944" s="213">
        <v>8.48E-2</v>
      </c>
      <c r="AQ944" s="219">
        <v>-0.89006366873413612</v>
      </c>
      <c r="AR944" s="213" t="s">
        <v>1827</v>
      </c>
      <c r="AV944" s="343"/>
      <c r="AW944" s="328"/>
      <c r="AX944" s="329"/>
      <c r="AY944" s="328"/>
      <c r="AZ944" s="328"/>
      <c r="BA944" s="330"/>
      <c r="BB944" s="328"/>
      <c r="BC944" s="328"/>
      <c r="BD944" s="328"/>
      <c r="BE944" s="330"/>
      <c r="BF944" s="330"/>
      <c r="BG944" s="344"/>
      <c r="BH944" s="330"/>
      <c r="BI944" s="330"/>
      <c r="BJ944" s="330"/>
      <c r="BK944" s="330"/>
      <c r="BL944" s="330"/>
      <c r="BM944" s="330"/>
      <c r="BN944" s="330"/>
      <c r="BO944" s="330"/>
      <c r="BP944" s="331"/>
      <c r="BQ944" s="332"/>
      <c r="BR944" s="333"/>
    </row>
    <row r="945" spans="2:70" ht="15.75" customHeight="1">
      <c r="B945" s="216" t="s">
        <v>863</v>
      </c>
      <c r="C945" s="212">
        <v>1024426</v>
      </c>
      <c r="D945" s="223">
        <v>43584490000123</v>
      </c>
      <c r="E945" s="217" t="s">
        <v>28</v>
      </c>
      <c r="F945" s="217" t="s">
        <v>957</v>
      </c>
      <c r="G945" s="217"/>
      <c r="H945" s="218"/>
      <c r="I945" s="217" t="s">
        <v>1842</v>
      </c>
      <c r="J945" s="217" t="s">
        <v>66</v>
      </c>
      <c r="K945" s="218" t="s">
        <v>951</v>
      </c>
      <c r="L945" s="212" t="s">
        <v>87</v>
      </c>
      <c r="M945" s="250"/>
      <c r="N945" s="239">
        <v>44495</v>
      </c>
      <c r="O945" s="210" t="s">
        <v>608</v>
      </c>
      <c r="P945" s="210" t="s">
        <v>1075</v>
      </c>
      <c r="Q945" s="210" t="s">
        <v>1076</v>
      </c>
      <c r="R945" s="210" t="s">
        <v>1077</v>
      </c>
      <c r="S945" s="210" t="s">
        <v>1078</v>
      </c>
      <c r="T945" s="210" t="s">
        <v>1082</v>
      </c>
      <c r="U945" s="210" t="s">
        <v>1086</v>
      </c>
      <c r="V945" s="210" t="s">
        <v>25</v>
      </c>
      <c r="W945" s="211" t="s">
        <v>1016</v>
      </c>
      <c r="X945" s="211">
        <v>500</v>
      </c>
      <c r="Y945" s="211">
        <v>100</v>
      </c>
      <c r="Z945" s="212">
        <v>100</v>
      </c>
      <c r="AA945" s="240">
        <v>32</v>
      </c>
      <c r="AB945" s="213">
        <v>1.7000000000000001E-2</v>
      </c>
      <c r="AC945" s="213">
        <v>0.2</v>
      </c>
      <c r="AD945" s="213" t="s">
        <v>1100</v>
      </c>
      <c r="AE945" s="213">
        <v>2.8338999999999999E-3</v>
      </c>
      <c r="AF945" s="241">
        <v>19272838.739999998</v>
      </c>
      <c r="AG945" s="241">
        <v>19272838.739999998</v>
      </c>
      <c r="AH945" s="213">
        <v>0.06</v>
      </c>
      <c r="AI945" s="352">
        <v>0.92459999999999998</v>
      </c>
      <c r="AJ945" s="213" t="s">
        <v>66</v>
      </c>
      <c r="AK945" s="352" t="s">
        <v>66</v>
      </c>
      <c r="AL945" s="213" t="s">
        <v>66</v>
      </c>
      <c r="AM945" s="352" t="s">
        <v>66</v>
      </c>
      <c r="AN945" s="213" t="s">
        <v>66</v>
      </c>
      <c r="AO945" s="352" t="s">
        <v>66</v>
      </c>
      <c r="AP945" s="213" t="s">
        <v>66</v>
      </c>
      <c r="AQ945" s="219" t="s">
        <v>66</v>
      </c>
      <c r="AR945" s="213" t="s">
        <v>1827</v>
      </c>
      <c r="AV945" s="343"/>
      <c r="AW945" s="328"/>
      <c r="AX945" s="329"/>
      <c r="AY945" s="328"/>
      <c r="AZ945" s="328"/>
      <c r="BA945" s="330"/>
      <c r="BB945" s="328"/>
      <c r="BC945" s="328"/>
      <c r="BD945" s="328"/>
      <c r="BE945" s="330"/>
      <c r="BF945" s="330"/>
      <c r="BG945" s="344"/>
      <c r="BH945" s="330"/>
      <c r="BI945" s="330"/>
      <c r="BJ945" s="330"/>
      <c r="BK945" s="330"/>
      <c r="BL945" s="330"/>
      <c r="BM945" s="330"/>
      <c r="BN945" s="330"/>
      <c r="BO945" s="330"/>
      <c r="BP945" s="331"/>
      <c r="BQ945" s="332"/>
      <c r="BR945" s="333"/>
    </row>
    <row r="946" spans="2:70" ht="15.75" customHeight="1">
      <c r="B946" s="216" t="s">
        <v>612</v>
      </c>
      <c r="C946" s="212">
        <v>534793</v>
      </c>
      <c r="D946" s="223">
        <v>41514301000110</v>
      </c>
      <c r="E946" s="217" t="s">
        <v>28</v>
      </c>
      <c r="F946" s="217" t="s">
        <v>957</v>
      </c>
      <c r="G946" s="217"/>
      <c r="H946" s="218"/>
      <c r="I946" s="217" t="s">
        <v>1259</v>
      </c>
      <c r="J946" s="217" t="s">
        <v>66</v>
      </c>
      <c r="K946" s="218" t="s">
        <v>954</v>
      </c>
      <c r="L946" s="212" t="s">
        <v>87</v>
      </c>
      <c r="M946" s="250"/>
      <c r="N946" s="239">
        <v>44327</v>
      </c>
      <c r="O946" s="210" t="s">
        <v>613</v>
      </c>
      <c r="P946" s="210" t="s">
        <v>1075</v>
      </c>
      <c r="Q946" s="210" t="s">
        <v>1076</v>
      </c>
      <c r="R946" s="210" t="s">
        <v>1084</v>
      </c>
      <c r="S946" s="210" t="s">
        <v>1078</v>
      </c>
      <c r="T946" s="210" t="s">
        <v>1079</v>
      </c>
      <c r="U946" s="210" t="s">
        <v>957</v>
      </c>
      <c r="V946" s="210" t="s">
        <v>25</v>
      </c>
      <c r="W946" s="211" t="s">
        <v>1016</v>
      </c>
      <c r="X946" s="211">
        <v>5000</v>
      </c>
      <c r="Y946" s="211">
        <v>1000</v>
      </c>
      <c r="Z946" s="212">
        <v>5000</v>
      </c>
      <c r="AA946" s="240">
        <v>32</v>
      </c>
      <c r="AB946" s="213">
        <v>1.8700000000000001E-2</v>
      </c>
      <c r="AC946" s="213">
        <v>0.2</v>
      </c>
      <c r="AD946" s="213" t="s">
        <v>113</v>
      </c>
      <c r="AE946" s="213">
        <v>4.3633333333333328E-3</v>
      </c>
      <c r="AF946" s="241">
        <v>389081529.55000001</v>
      </c>
      <c r="AG946" s="241">
        <v>389081529.55000001</v>
      </c>
      <c r="AH946" s="213">
        <v>-5.6899999999999999E-2</v>
      </c>
      <c r="AI946" s="352">
        <v>-0.876</v>
      </c>
      <c r="AJ946" s="213">
        <v>-0.18559999999999999</v>
      </c>
      <c r="AK946" s="352">
        <v>-1.9724999999999999</v>
      </c>
      <c r="AL946" s="213" t="s">
        <v>66</v>
      </c>
      <c r="AM946" s="352" t="s">
        <v>66</v>
      </c>
      <c r="AN946" s="213" t="s">
        <v>66</v>
      </c>
      <c r="AO946" s="352" t="s">
        <v>66</v>
      </c>
      <c r="AP946" s="213">
        <v>0.17560000000000001</v>
      </c>
      <c r="AQ946" s="219">
        <v>-1.5933882239773045</v>
      </c>
      <c r="AR946" s="213" t="s">
        <v>1827</v>
      </c>
      <c r="AV946" s="343"/>
      <c r="AW946" s="328"/>
      <c r="AX946" s="329"/>
      <c r="AY946" s="328"/>
      <c r="AZ946" s="328"/>
      <c r="BA946" s="330"/>
      <c r="BB946" s="328"/>
      <c r="BC946" s="328"/>
      <c r="BD946" s="328"/>
      <c r="BE946" s="330"/>
      <c r="BF946" s="330"/>
      <c r="BG946" s="344"/>
      <c r="BH946" s="330"/>
      <c r="BI946" s="330"/>
      <c r="BJ946" s="330"/>
      <c r="BK946" s="330"/>
      <c r="BL946" s="330"/>
      <c r="BM946" s="330"/>
      <c r="BN946" s="330"/>
      <c r="BO946" s="330"/>
      <c r="BP946" s="331"/>
      <c r="BQ946" s="332"/>
      <c r="BR946" s="333"/>
    </row>
    <row r="947" spans="2:70" ht="15.75" customHeight="1">
      <c r="B947" s="216" t="s">
        <v>893</v>
      </c>
      <c r="C947" s="212">
        <v>2150943</v>
      </c>
      <c r="D947" s="223">
        <v>43214564000130</v>
      </c>
      <c r="E947" s="217" t="s">
        <v>28</v>
      </c>
      <c r="F947" s="217" t="s">
        <v>957</v>
      </c>
      <c r="G947" s="217"/>
      <c r="H947" s="218"/>
      <c r="I947" s="217" t="s">
        <v>1842</v>
      </c>
      <c r="J947" s="217" t="s">
        <v>66</v>
      </c>
      <c r="K947" s="218" t="s">
        <v>951</v>
      </c>
      <c r="L947" s="212" t="s">
        <v>87</v>
      </c>
      <c r="M947" s="250"/>
      <c r="N947" s="239">
        <v>44455</v>
      </c>
      <c r="O947" s="210" t="s">
        <v>114</v>
      </c>
      <c r="P947" s="210" t="s">
        <v>1075</v>
      </c>
      <c r="Q947" s="210" t="s">
        <v>1076</v>
      </c>
      <c r="R947" s="210" t="s">
        <v>1084</v>
      </c>
      <c r="S947" s="210" t="s">
        <v>1078</v>
      </c>
      <c r="T947" s="210" t="s">
        <v>1079</v>
      </c>
      <c r="U947" s="210" t="s">
        <v>957</v>
      </c>
      <c r="V947" s="210" t="s">
        <v>25</v>
      </c>
      <c r="W947" s="211" t="s">
        <v>1016</v>
      </c>
      <c r="X947" s="211">
        <v>5000</v>
      </c>
      <c r="Y947" s="211">
        <v>1000</v>
      </c>
      <c r="Z947" s="212">
        <v>5000</v>
      </c>
      <c r="AA947" s="240">
        <v>32</v>
      </c>
      <c r="AB947" s="213">
        <v>1.8700000000000001E-2</v>
      </c>
      <c r="AC947" s="213">
        <v>0.2</v>
      </c>
      <c r="AD947" s="213" t="s">
        <v>1100</v>
      </c>
      <c r="AE947" s="213">
        <v>4.3627100000000005E-3</v>
      </c>
      <c r="AF947" s="241">
        <v>249329372.75</v>
      </c>
      <c r="AG947" s="241">
        <v>249329372.75</v>
      </c>
      <c r="AH947" s="213">
        <v>-5.6599999999999998E-2</v>
      </c>
      <c r="AI947" s="352">
        <v>-0.87229999999999996</v>
      </c>
      <c r="AJ947" s="213" t="s">
        <v>66</v>
      </c>
      <c r="AK947" s="352" t="s">
        <v>66</v>
      </c>
      <c r="AL947" s="213" t="s">
        <v>66</v>
      </c>
      <c r="AM947" s="352" t="s">
        <v>66</v>
      </c>
      <c r="AN947" s="213" t="s">
        <v>66</v>
      </c>
      <c r="AO947" s="352" t="s">
        <v>66</v>
      </c>
      <c r="AP947" s="213" t="s">
        <v>66</v>
      </c>
      <c r="AQ947" s="219" t="s">
        <v>66</v>
      </c>
      <c r="AR947" s="213" t="s">
        <v>1827</v>
      </c>
      <c r="AV947" s="343"/>
      <c r="AW947" s="328"/>
      <c r="AX947" s="329"/>
      <c r="AY947" s="328"/>
      <c r="AZ947" s="328"/>
      <c r="BA947" s="330"/>
      <c r="BB947" s="328"/>
      <c r="BC947" s="328"/>
      <c r="BD947" s="328"/>
      <c r="BE947" s="330"/>
      <c r="BF947" s="330"/>
      <c r="BG947" s="344"/>
      <c r="BH947" s="330"/>
      <c r="BI947" s="330"/>
      <c r="BJ947" s="330"/>
      <c r="BK947" s="330"/>
      <c r="BL947" s="330"/>
      <c r="BM947" s="330"/>
      <c r="BN947" s="330"/>
      <c r="BO947" s="330"/>
      <c r="BP947" s="331"/>
      <c r="BQ947" s="332"/>
      <c r="BR947" s="333"/>
    </row>
    <row r="948" spans="2:70" ht="15.75" customHeight="1">
      <c r="B948" s="216" t="s">
        <v>614</v>
      </c>
      <c r="C948" s="212">
        <v>1230720</v>
      </c>
      <c r="D948" s="223">
        <v>41574597000165</v>
      </c>
      <c r="E948" s="217" t="s">
        <v>28</v>
      </c>
      <c r="F948" s="217" t="s">
        <v>957</v>
      </c>
      <c r="G948" s="217"/>
      <c r="H948" s="218"/>
      <c r="I948" s="217" t="s">
        <v>1842</v>
      </c>
      <c r="J948" s="217" t="s">
        <v>66</v>
      </c>
      <c r="K948" s="218" t="s">
        <v>951</v>
      </c>
      <c r="L948" s="212" t="s">
        <v>87</v>
      </c>
      <c r="M948" s="250"/>
      <c r="N948" s="239">
        <v>44327</v>
      </c>
      <c r="O948" s="210" t="s">
        <v>613</v>
      </c>
      <c r="P948" s="210" t="s">
        <v>1075</v>
      </c>
      <c r="Q948" s="210" t="s">
        <v>1076</v>
      </c>
      <c r="R948" s="210" t="s">
        <v>1084</v>
      </c>
      <c r="S948" s="210" t="s">
        <v>1078</v>
      </c>
      <c r="T948" s="210" t="s">
        <v>1079</v>
      </c>
      <c r="U948" s="210" t="s">
        <v>950</v>
      </c>
      <c r="V948" s="210" t="s">
        <v>1080</v>
      </c>
      <c r="W948" s="211" t="s">
        <v>1007</v>
      </c>
      <c r="X948" s="211">
        <v>5000</v>
      </c>
      <c r="Y948" s="211">
        <v>1000</v>
      </c>
      <c r="Z948" s="212">
        <v>5000</v>
      </c>
      <c r="AA948" s="240">
        <v>32</v>
      </c>
      <c r="AB948" s="213">
        <v>1.8700000000000001E-2</v>
      </c>
      <c r="AC948" s="213">
        <v>0.2</v>
      </c>
      <c r="AD948" s="213" t="s">
        <v>113</v>
      </c>
      <c r="AE948" s="213">
        <v>4.3633333333333328E-3</v>
      </c>
      <c r="AF948" s="241">
        <v>382193450.95999998</v>
      </c>
      <c r="AG948" s="241">
        <v>382193450.95999998</v>
      </c>
      <c r="AH948" s="213">
        <v>-6.5199999999999994E-2</v>
      </c>
      <c r="AI948" s="352">
        <v>-1.0037</v>
      </c>
      <c r="AJ948" s="213">
        <v>-0.25030000000000002</v>
      </c>
      <c r="AK948" s="352">
        <v>-2.6604999999999999</v>
      </c>
      <c r="AL948" s="213" t="s">
        <v>66</v>
      </c>
      <c r="AM948" s="352" t="s">
        <v>66</v>
      </c>
      <c r="AN948" s="213" t="s">
        <v>66</v>
      </c>
      <c r="AO948" s="352" t="s">
        <v>66</v>
      </c>
      <c r="AP948" s="213">
        <v>0.22969999999999999</v>
      </c>
      <c r="AQ948" s="219">
        <v>-1.5306820152303129</v>
      </c>
      <c r="AR948" s="213" t="s">
        <v>1827</v>
      </c>
      <c r="AV948" s="343"/>
      <c r="AW948" s="328"/>
      <c r="AX948" s="329"/>
      <c r="AY948" s="328"/>
      <c r="AZ948" s="328"/>
      <c r="BA948" s="330"/>
      <c r="BB948" s="328"/>
      <c r="BC948" s="328"/>
      <c r="BD948" s="328"/>
      <c r="BE948" s="330"/>
      <c r="BF948" s="330"/>
      <c r="BG948" s="344"/>
      <c r="BH948" s="330"/>
      <c r="BI948" s="330"/>
      <c r="BJ948" s="330"/>
      <c r="BK948" s="330"/>
      <c r="BL948" s="330"/>
      <c r="BM948" s="330"/>
      <c r="BN948" s="330"/>
      <c r="BO948" s="330"/>
      <c r="BP948" s="331"/>
      <c r="BQ948" s="332"/>
      <c r="BR948" s="333"/>
    </row>
    <row r="949" spans="2:70" ht="15.75" customHeight="1">
      <c r="B949" s="216" t="s">
        <v>916</v>
      </c>
      <c r="C949" s="212">
        <v>592442</v>
      </c>
      <c r="D949" s="223">
        <v>43214636000149</v>
      </c>
      <c r="E949" s="217" t="s">
        <v>28</v>
      </c>
      <c r="F949" s="217" t="s">
        <v>950</v>
      </c>
      <c r="G949" s="217"/>
      <c r="H949" s="218"/>
      <c r="I949" s="217" t="s">
        <v>66</v>
      </c>
      <c r="J949" s="217" t="s">
        <v>66</v>
      </c>
      <c r="K949" s="218" t="s">
        <v>951</v>
      </c>
      <c r="L949" s="212" t="s">
        <v>87</v>
      </c>
      <c r="M949" s="250"/>
      <c r="N949" s="239">
        <v>44455</v>
      </c>
      <c r="O949" s="210" t="s">
        <v>114</v>
      </c>
      <c r="P949" s="210" t="s">
        <v>1075</v>
      </c>
      <c r="Q949" s="210" t="s">
        <v>1076</v>
      </c>
      <c r="R949" s="210" t="s">
        <v>1084</v>
      </c>
      <c r="S949" s="210" t="s">
        <v>1078</v>
      </c>
      <c r="T949" s="210" t="s">
        <v>1079</v>
      </c>
      <c r="U949" s="210" t="s">
        <v>950</v>
      </c>
      <c r="V949" s="210" t="s">
        <v>1080</v>
      </c>
      <c r="W949" s="211" t="s">
        <v>1007</v>
      </c>
      <c r="X949" s="211">
        <v>5000</v>
      </c>
      <c r="Y949" s="211">
        <v>1000</v>
      </c>
      <c r="Z949" s="212">
        <v>5000</v>
      </c>
      <c r="AA949" s="240">
        <v>32</v>
      </c>
      <c r="AB949" s="213">
        <v>1.8700000000000001E-2</v>
      </c>
      <c r="AC949" s="213">
        <v>0.2</v>
      </c>
      <c r="AD949" s="213" t="s">
        <v>1100</v>
      </c>
      <c r="AE949" s="213">
        <v>4.3633333333333328E-3</v>
      </c>
      <c r="AF949" s="241">
        <v>89410726.079999998</v>
      </c>
      <c r="AG949" s="241">
        <v>89410726.079999998</v>
      </c>
      <c r="AH949" s="213">
        <v>-6.4799999999999996E-2</v>
      </c>
      <c r="AI949" s="352">
        <v>-0.99780000000000002</v>
      </c>
      <c r="AJ949" s="213" t="s">
        <v>66</v>
      </c>
      <c r="AK949" s="352" t="s">
        <v>66</v>
      </c>
      <c r="AL949" s="213" t="s">
        <v>66</v>
      </c>
      <c r="AM949" s="352" t="s">
        <v>66</v>
      </c>
      <c r="AN949" s="213" t="s">
        <v>66</v>
      </c>
      <c r="AO949" s="352" t="s">
        <v>66</v>
      </c>
      <c r="AP949" s="213" t="s">
        <v>66</v>
      </c>
      <c r="AQ949" s="219" t="s">
        <v>66</v>
      </c>
      <c r="AR949" s="213" t="s">
        <v>1827</v>
      </c>
      <c r="AV949" s="343"/>
      <c r="AW949" s="328"/>
      <c r="AX949" s="329"/>
      <c r="AY949" s="328"/>
      <c r="AZ949" s="328"/>
      <c r="BA949" s="330"/>
      <c r="BB949" s="328"/>
      <c r="BC949" s="328"/>
      <c r="BD949" s="328"/>
      <c r="BE949" s="330"/>
      <c r="BF949" s="330"/>
      <c r="BG949" s="344"/>
      <c r="BH949" s="330"/>
      <c r="BI949" s="330"/>
      <c r="BJ949" s="330"/>
      <c r="BK949" s="330"/>
      <c r="BL949" s="330"/>
      <c r="BM949" s="330"/>
      <c r="BN949" s="330"/>
      <c r="BO949" s="330"/>
      <c r="BP949" s="331"/>
      <c r="BQ949" s="332"/>
      <c r="BR949" s="333"/>
    </row>
    <row r="950" spans="2:70" ht="15.75" customHeight="1">
      <c r="B950" s="216" t="s">
        <v>1598</v>
      </c>
      <c r="C950" s="212">
        <v>978651</v>
      </c>
      <c r="D950" s="223">
        <v>38075003000167</v>
      </c>
      <c r="E950" s="217" t="s">
        <v>25</v>
      </c>
      <c r="F950" s="217" t="s">
        <v>959</v>
      </c>
      <c r="G950" s="217" t="s">
        <v>962</v>
      </c>
      <c r="H950" s="218" t="s">
        <v>66</v>
      </c>
      <c r="I950" s="217" t="s">
        <v>1842</v>
      </c>
      <c r="J950" s="217" t="s">
        <v>66</v>
      </c>
      <c r="K950" s="218" t="s">
        <v>954</v>
      </c>
      <c r="L950" s="212" t="s">
        <v>87</v>
      </c>
      <c r="M950" s="250"/>
      <c r="N950" s="239">
        <v>44550</v>
      </c>
      <c r="O950" s="210" t="s">
        <v>307</v>
      </c>
      <c r="P950" s="210" t="s">
        <v>1117</v>
      </c>
      <c r="Q950" s="210" t="s">
        <v>1117</v>
      </c>
      <c r="R950" s="210" t="s">
        <v>1077</v>
      </c>
      <c r="S950" s="210" t="s">
        <v>1078</v>
      </c>
      <c r="T950" s="210" t="s">
        <v>1082</v>
      </c>
      <c r="U950" s="210" t="s">
        <v>65</v>
      </c>
      <c r="V950" s="210" t="s">
        <v>25</v>
      </c>
      <c r="W950" s="211" t="s">
        <v>1028</v>
      </c>
      <c r="X950" s="211">
        <v>1000</v>
      </c>
      <c r="Y950" s="211">
        <v>1000</v>
      </c>
      <c r="Z950" s="212">
        <v>1000</v>
      </c>
      <c r="AA950" s="240">
        <v>8</v>
      </c>
      <c r="AB950" s="213">
        <v>8.6999999999999994E-3</v>
      </c>
      <c r="AC950" s="213">
        <v>0</v>
      </c>
      <c r="AD950" s="213" t="s">
        <v>1157</v>
      </c>
      <c r="AE950" s="213">
        <v>4.6666799999999994E-3</v>
      </c>
      <c r="AF950" s="241">
        <v>9114705.3599999994</v>
      </c>
      <c r="AG950" s="241">
        <v>9114705.3599999994</v>
      </c>
      <c r="AH950" s="213">
        <v>-5.6599999999999998E-2</v>
      </c>
      <c r="AI950" s="352">
        <v>-0.87190000000000001</v>
      </c>
      <c r="AJ950" s="213" t="s">
        <v>66</v>
      </c>
      <c r="AK950" s="352" t="s">
        <v>66</v>
      </c>
      <c r="AL950" s="213" t="s">
        <v>66</v>
      </c>
      <c r="AM950" s="352" t="s">
        <v>66</v>
      </c>
      <c r="AN950" s="213" t="s">
        <v>66</v>
      </c>
      <c r="AO950" s="352" t="s">
        <v>66</v>
      </c>
      <c r="AP950" s="213" t="s">
        <v>66</v>
      </c>
      <c r="AQ950" s="219" t="s">
        <v>66</v>
      </c>
      <c r="AR950" s="213" t="s">
        <v>1827</v>
      </c>
      <c r="AU950" s="343"/>
      <c r="AV950" s="343"/>
      <c r="AW950" s="328"/>
      <c r="AX950" s="329"/>
      <c r="AY950" s="328"/>
      <c r="AZ950" s="328"/>
      <c r="BA950" s="330"/>
      <c r="BB950" s="328"/>
      <c r="BC950" s="328"/>
      <c r="BD950" s="328"/>
      <c r="BE950" s="330"/>
      <c r="BF950" s="330"/>
      <c r="BG950" s="344"/>
      <c r="BH950" s="383"/>
      <c r="BI950" s="330"/>
      <c r="BJ950" s="330"/>
      <c r="BK950" s="330"/>
      <c r="BL950" s="330"/>
      <c r="BM950" s="330"/>
      <c r="BN950" s="330"/>
      <c r="BO950" s="330"/>
      <c r="BP950" s="331"/>
      <c r="BQ950" s="332"/>
      <c r="BR950" s="333"/>
    </row>
    <row r="951" spans="2:70" ht="15.75" customHeight="1">
      <c r="B951" s="216" t="s">
        <v>1599</v>
      </c>
      <c r="C951" s="212">
        <v>978652</v>
      </c>
      <c r="D951" s="223">
        <v>31533638000111</v>
      </c>
      <c r="E951" s="217" t="s">
        <v>28</v>
      </c>
      <c r="F951" s="217" t="s">
        <v>957</v>
      </c>
      <c r="G951" s="217"/>
      <c r="H951" s="218"/>
      <c r="I951" s="217" t="s">
        <v>1842</v>
      </c>
      <c r="J951" s="217" t="s">
        <v>66</v>
      </c>
      <c r="K951" s="218" t="s">
        <v>951</v>
      </c>
      <c r="L951" s="212" t="s">
        <v>87</v>
      </c>
      <c r="M951" s="250"/>
      <c r="N951" s="239">
        <v>43460</v>
      </c>
      <c r="O951" s="210" t="s">
        <v>615</v>
      </c>
      <c r="P951" s="210" t="s">
        <v>1090</v>
      </c>
      <c r="Q951" s="210" t="s">
        <v>1091</v>
      </c>
      <c r="R951" s="210" t="s">
        <v>1084</v>
      </c>
      <c r="S951" s="210" t="s">
        <v>1078</v>
      </c>
      <c r="T951" s="210" t="s">
        <v>1079</v>
      </c>
      <c r="U951" s="210" t="s">
        <v>957</v>
      </c>
      <c r="V951" s="210" t="s">
        <v>25</v>
      </c>
      <c r="W951" s="211" t="s">
        <v>1016</v>
      </c>
      <c r="X951" s="211">
        <v>5000</v>
      </c>
      <c r="Y951" s="211">
        <v>1000</v>
      </c>
      <c r="Z951" s="212">
        <v>5000</v>
      </c>
      <c r="AA951" s="240">
        <v>29</v>
      </c>
      <c r="AB951" s="213">
        <v>1.7999999999999999E-2</v>
      </c>
      <c r="AC951" s="213">
        <v>0.2</v>
      </c>
      <c r="AD951" s="213" t="s">
        <v>109</v>
      </c>
      <c r="AE951" s="213">
        <v>4.7999999999999996E-3</v>
      </c>
      <c r="AF951" s="241" t="s">
        <v>66</v>
      </c>
      <c r="AG951" s="241" t="s">
        <v>66</v>
      </c>
      <c r="AH951" s="213" t="s">
        <v>66</v>
      </c>
      <c r="AI951" s="352" t="s">
        <v>66</v>
      </c>
      <c r="AJ951" s="213" t="s">
        <v>66</v>
      </c>
      <c r="AK951" s="352" t="s">
        <v>66</v>
      </c>
      <c r="AL951" s="213" t="s">
        <v>66</v>
      </c>
      <c r="AM951" s="352" t="s">
        <v>66</v>
      </c>
      <c r="AN951" s="213" t="s">
        <v>66</v>
      </c>
      <c r="AO951" s="352" t="s">
        <v>66</v>
      </c>
      <c r="AP951" s="213" t="s">
        <v>66</v>
      </c>
      <c r="AQ951" s="219" t="s">
        <v>66</v>
      </c>
      <c r="AR951" s="213" t="s">
        <v>1827</v>
      </c>
      <c r="AU951" s="343"/>
      <c r="AV951" s="343"/>
      <c r="AW951" s="328"/>
      <c r="AX951" s="329"/>
      <c r="AY951" s="328"/>
      <c r="AZ951" s="328"/>
      <c r="BA951" s="330"/>
      <c r="BB951" s="328"/>
      <c r="BC951" s="328"/>
      <c r="BD951" s="328"/>
      <c r="BE951" s="330"/>
      <c r="BF951" s="330"/>
      <c r="BG951" s="344"/>
      <c r="BH951" s="383"/>
      <c r="BI951" s="330"/>
      <c r="BJ951" s="330"/>
      <c r="BK951" s="330"/>
      <c r="BL951" s="330"/>
      <c r="BM951" s="330"/>
      <c r="BN951" s="330"/>
      <c r="BO951" s="330"/>
      <c r="BP951" s="331"/>
      <c r="BQ951" s="332"/>
      <c r="BR951" s="333"/>
    </row>
    <row r="952" spans="2:70" ht="15.75" customHeight="1">
      <c r="B952" s="216" t="s">
        <v>894</v>
      </c>
      <c r="C952" s="212">
        <v>947538</v>
      </c>
      <c r="D952" s="223">
        <v>31666885000196</v>
      </c>
      <c r="E952" s="217" t="s">
        <v>28</v>
      </c>
      <c r="F952" s="217" t="s">
        <v>957</v>
      </c>
      <c r="G952" s="217"/>
      <c r="H952" s="218"/>
      <c r="I952" s="217" t="s">
        <v>1842</v>
      </c>
      <c r="J952" s="217" t="s">
        <v>66</v>
      </c>
      <c r="K952" s="218" t="s">
        <v>951</v>
      </c>
      <c r="L952" s="212" t="s">
        <v>87</v>
      </c>
      <c r="M952" s="250"/>
      <c r="N952" s="239">
        <v>43780</v>
      </c>
      <c r="O952" s="210" t="s">
        <v>615</v>
      </c>
      <c r="P952" s="210" t="s">
        <v>1075</v>
      </c>
      <c r="Q952" s="210" t="s">
        <v>102</v>
      </c>
      <c r="R952" s="210" t="s">
        <v>1084</v>
      </c>
      <c r="S952" s="210" t="s">
        <v>1078</v>
      </c>
      <c r="T952" s="210" t="s">
        <v>1079</v>
      </c>
      <c r="U952" s="210" t="s">
        <v>957</v>
      </c>
      <c r="V952" s="210" t="s">
        <v>25</v>
      </c>
      <c r="W952" s="211" t="s">
        <v>1016</v>
      </c>
      <c r="X952" s="211">
        <v>5000</v>
      </c>
      <c r="Y952" s="211">
        <v>1000</v>
      </c>
      <c r="Z952" s="212">
        <v>1000</v>
      </c>
      <c r="AA952" s="240">
        <v>59</v>
      </c>
      <c r="AB952" s="213">
        <v>1.7999999999999999E-2</v>
      </c>
      <c r="AC952" s="213">
        <v>0.2</v>
      </c>
      <c r="AD952" s="213" t="s">
        <v>109</v>
      </c>
      <c r="AE952" s="213">
        <v>4.8005999999999995E-3</v>
      </c>
      <c r="AF952" s="241">
        <v>79781445.25</v>
      </c>
      <c r="AG952" s="241">
        <v>79781445.25</v>
      </c>
      <c r="AH952" s="213">
        <v>-7.0099999999999996E-2</v>
      </c>
      <c r="AI952" s="352">
        <v>-1.0804</v>
      </c>
      <c r="AJ952" s="213">
        <v>-0.32900000000000001</v>
      </c>
      <c r="AK952" s="352">
        <v>-3.4971999999999999</v>
      </c>
      <c r="AL952" s="213">
        <v>-0.24579999999999999</v>
      </c>
      <c r="AM952" s="352">
        <v>-2.0344000000000002</v>
      </c>
      <c r="AN952" s="213" t="s">
        <v>66</v>
      </c>
      <c r="AO952" s="352" t="s">
        <v>66</v>
      </c>
      <c r="AP952" s="213">
        <v>0.2596</v>
      </c>
      <c r="AQ952" s="219">
        <v>-1.7525754069315969</v>
      </c>
      <c r="AR952" s="213" t="s">
        <v>1827</v>
      </c>
      <c r="AU952" s="343"/>
      <c r="AV952" s="343"/>
      <c r="AW952" s="328"/>
      <c r="AX952" s="329"/>
      <c r="AY952" s="328"/>
      <c r="AZ952" s="328"/>
      <c r="BA952" s="330"/>
      <c r="BB952" s="328"/>
      <c r="BC952" s="328"/>
      <c r="BD952" s="328"/>
      <c r="BE952" s="330"/>
      <c r="BF952" s="330"/>
      <c r="BG952" s="344"/>
      <c r="BH952" s="383"/>
      <c r="BI952" s="330"/>
      <c r="BJ952" s="330"/>
      <c r="BK952" s="330"/>
      <c r="BL952" s="330"/>
      <c r="BM952" s="330"/>
      <c r="BN952" s="330"/>
      <c r="BO952" s="330"/>
      <c r="BP952" s="331"/>
      <c r="BQ952" s="332"/>
      <c r="BR952" s="333"/>
    </row>
    <row r="953" spans="2:70" ht="15.75" customHeight="1">
      <c r="B953" s="216" t="s">
        <v>1600</v>
      </c>
      <c r="C953" s="212">
        <v>947540</v>
      </c>
      <c r="D953" s="223">
        <v>23960625000109</v>
      </c>
      <c r="E953" s="217" t="s">
        <v>28</v>
      </c>
      <c r="F953" s="217" t="s">
        <v>957</v>
      </c>
      <c r="G953" s="217"/>
      <c r="H953" s="218"/>
      <c r="I953" s="217" t="s">
        <v>1842</v>
      </c>
      <c r="J953" s="217" t="s">
        <v>66</v>
      </c>
      <c r="K953" s="218" t="s">
        <v>951</v>
      </c>
      <c r="L953" s="212" t="s">
        <v>87</v>
      </c>
      <c r="M953" s="250"/>
      <c r="N953" s="239">
        <v>42489</v>
      </c>
      <c r="O953" s="210" t="s">
        <v>615</v>
      </c>
      <c r="P953" s="210" t="s">
        <v>1090</v>
      </c>
      <c r="Q953" s="210" t="s">
        <v>1091</v>
      </c>
      <c r="R953" s="210" t="s">
        <v>1084</v>
      </c>
      <c r="S953" s="210" t="s">
        <v>1085</v>
      </c>
      <c r="T953" s="210" t="s">
        <v>1079</v>
      </c>
      <c r="U953" s="210" t="s">
        <v>957</v>
      </c>
      <c r="V953" s="210" t="s">
        <v>25</v>
      </c>
      <c r="W953" s="211" t="s">
        <v>1016</v>
      </c>
      <c r="X953" s="211">
        <v>5000</v>
      </c>
      <c r="Y953" s="211">
        <v>1000</v>
      </c>
      <c r="Z953" s="212">
        <v>5000</v>
      </c>
      <c r="AA953" s="240">
        <v>29</v>
      </c>
      <c r="AB953" s="213">
        <v>1.7999999999999999E-2</v>
      </c>
      <c r="AC953" s="213">
        <v>0.2</v>
      </c>
      <c r="AD953" s="213" t="s">
        <v>1100</v>
      </c>
      <c r="AE953" s="213">
        <v>4.7999999999999996E-3</v>
      </c>
      <c r="AF953" s="241">
        <v>408622222.22000003</v>
      </c>
      <c r="AG953" s="241">
        <v>408622222.22000003</v>
      </c>
      <c r="AH953" s="213">
        <v>-6.9699999999999998E-2</v>
      </c>
      <c r="AI953" s="352">
        <v>-1.0741000000000001</v>
      </c>
      <c r="AJ953" s="213">
        <v>-0.32900000000000001</v>
      </c>
      <c r="AK953" s="352">
        <v>-3.4971999999999999</v>
      </c>
      <c r="AL953" s="213">
        <v>-0.24349999999999999</v>
      </c>
      <c r="AM953" s="352">
        <v>-2.016</v>
      </c>
      <c r="AN953" s="213">
        <v>-0.26500000000000001</v>
      </c>
      <c r="AO953" s="352">
        <v>-1.5727</v>
      </c>
      <c r="AP953" s="213">
        <v>0.25979999999999998</v>
      </c>
      <c r="AQ953" s="219">
        <v>-1.7504154792578577</v>
      </c>
      <c r="AR953" s="213" t="s">
        <v>1827</v>
      </c>
      <c r="AV953" s="343"/>
      <c r="AW953" s="328"/>
      <c r="AX953" s="329"/>
      <c r="AY953" s="328"/>
      <c r="AZ953" s="328"/>
      <c r="BA953" s="330"/>
      <c r="BB953" s="328"/>
      <c r="BC953" s="328"/>
      <c r="BD953" s="328"/>
      <c r="BE953" s="330"/>
      <c r="BF953" s="330"/>
      <c r="BG953" s="344"/>
      <c r="BH953" s="330"/>
      <c r="BI953" s="330"/>
      <c r="BJ953" s="330"/>
      <c r="BK953" s="330"/>
      <c r="BL953" s="330"/>
      <c r="BM953" s="330"/>
      <c r="BN953" s="330"/>
      <c r="BO953" s="330"/>
      <c r="BP953" s="331"/>
      <c r="BQ953" s="332"/>
      <c r="BR953" s="333"/>
    </row>
    <row r="954" spans="2:70" ht="15.75" customHeight="1">
      <c r="B954" s="216" t="s">
        <v>1601</v>
      </c>
      <c r="C954" s="212">
        <v>1357671</v>
      </c>
      <c r="D954" s="223">
        <v>17253801000161</v>
      </c>
      <c r="E954" s="217" t="s">
        <v>28</v>
      </c>
      <c r="F954" s="217" t="s">
        <v>950</v>
      </c>
      <c r="G954" s="217"/>
      <c r="H954" s="218"/>
      <c r="I954" s="217" t="s">
        <v>66</v>
      </c>
      <c r="J954" s="217" t="s">
        <v>66</v>
      </c>
      <c r="K954" s="218" t="s">
        <v>951</v>
      </c>
      <c r="L954" s="212" t="s">
        <v>87</v>
      </c>
      <c r="M954" s="250"/>
      <c r="N954" s="239">
        <v>41389</v>
      </c>
      <c r="O954" s="210" t="s">
        <v>481</v>
      </c>
      <c r="P954" s="210" t="s">
        <v>481</v>
      </c>
      <c r="Q954" s="210" t="s">
        <v>1602</v>
      </c>
      <c r="R954" s="210" t="s">
        <v>1603</v>
      </c>
      <c r="S954" s="210" t="s">
        <v>1085</v>
      </c>
      <c r="T954" s="210" t="s">
        <v>1079</v>
      </c>
      <c r="U954" s="210" t="s">
        <v>957</v>
      </c>
      <c r="V954" s="210" t="s">
        <v>1080</v>
      </c>
      <c r="W954" s="211" t="s">
        <v>1007</v>
      </c>
      <c r="X954" s="211">
        <v>1000</v>
      </c>
      <c r="Y954" s="211">
        <v>500</v>
      </c>
      <c r="Z954" s="212">
        <v>100</v>
      </c>
      <c r="AA954" s="240">
        <v>33</v>
      </c>
      <c r="AB954" s="213">
        <v>0.02</v>
      </c>
      <c r="AC954" s="213">
        <v>0.2</v>
      </c>
      <c r="AD954" s="213" t="s">
        <v>203</v>
      </c>
      <c r="AE954" s="213">
        <v>4.0000000000000001E-3</v>
      </c>
      <c r="AF954" s="241">
        <v>465227048.89999998</v>
      </c>
      <c r="AG954" s="241">
        <v>465227048.89999998</v>
      </c>
      <c r="AH954" s="213">
        <v>-7.3700000000000002E-2</v>
      </c>
      <c r="AI954" s="352">
        <v>-1.1358999999999999</v>
      </c>
      <c r="AJ954" s="213">
        <v>-0.28849999999999998</v>
      </c>
      <c r="AK954" s="352">
        <v>-3.0663999999999998</v>
      </c>
      <c r="AL954" s="213">
        <v>-0.1573</v>
      </c>
      <c r="AM954" s="352">
        <v>-1.3017000000000001</v>
      </c>
      <c r="AN954" s="213">
        <v>-4.3999999999999997E-2</v>
      </c>
      <c r="AO954" s="352">
        <v>-0.26079999999999998</v>
      </c>
      <c r="AP954" s="213">
        <v>0.2135</v>
      </c>
      <c r="AQ954" s="219">
        <v>-1.9078297995396276</v>
      </c>
      <c r="AR954" s="213" t="s">
        <v>1827</v>
      </c>
      <c r="AV954" s="343"/>
      <c r="AW954" s="328"/>
      <c r="AX954" s="329"/>
      <c r="AY954" s="328"/>
      <c r="AZ954" s="328"/>
      <c r="BA954" s="330"/>
      <c r="BB954" s="328"/>
      <c r="BC954" s="328"/>
      <c r="BD954" s="328"/>
      <c r="BE954" s="330"/>
      <c r="BF954" s="330"/>
      <c r="BG954" s="344"/>
      <c r="BH954" s="330"/>
      <c r="BI954" s="330"/>
      <c r="BJ954" s="330"/>
      <c r="BK954" s="330"/>
      <c r="BL954" s="330"/>
      <c r="BM954" s="330"/>
      <c r="BN954" s="330"/>
      <c r="BO954" s="330"/>
      <c r="BP954" s="331"/>
      <c r="BQ954" s="332"/>
      <c r="BR954" s="333"/>
    </row>
    <row r="955" spans="2:70" ht="15.75" customHeight="1">
      <c r="B955" s="216" t="s">
        <v>895</v>
      </c>
      <c r="C955" s="212">
        <v>947542</v>
      </c>
      <c r="D955" s="223">
        <v>35535649000191</v>
      </c>
      <c r="E955" s="217" t="s">
        <v>28</v>
      </c>
      <c r="F955" s="217" t="s">
        <v>957</v>
      </c>
      <c r="G955" s="217"/>
      <c r="H955" s="218"/>
      <c r="I955" s="217" t="s">
        <v>1842</v>
      </c>
      <c r="J955" s="217" t="s">
        <v>66</v>
      </c>
      <c r="K955" s="218" t="s">
        <v>951</v>
      </c>
      <c r="L955" s="212" t="s">
        <v>87</v>
      </c>
      <c r="M955" s="250"/>
      <c r="N955" s="239">
        <v>44166</v>
      </c>
      <c r="O955" s="210" t="s">
        <v>481</v>
      </c>
      <c r="P955" s="210" t="s">
        <v>481</v>
      </c>
      <c r="Q955" s="210" t="s">
        <v>1602</v>
      </c>
      <c r="R955" s="210" t="s">
        <v>1077</v>
      </c>
      <c r="S955" s="210" t="s">
        <v>1078</v>
      </c>
      <c r="T955" s="210" t="s">
        <v>1079</v>
      </c>
      <c r="U955" s="210" t="s">
        <v>957</v>
      </c>
      <c r="V955" s="210" t="s">
        <v>1080</v>
      </c>
      <c r="W955" s="211" t="s">
        <v>1007</v>
      </c>
      <c r="X955" s="211">
        <v>1000</v>
      </c>
      <c r="Y955" s="211">
        <v>100</v>
      </c>
      <c r="Z955" s="212">
        <v>100</v>
      </c>
      <c r="AA955" s="240">
        <v>33</v>
      </c>
      <c r="AB955" s="213">
        <v>0.02</v>
      </c>
      <c r="AC955" s="213">
        <v>0.2</v>
      </c>
      <c r="AD955" s="213" t="s">
        <v>1014</v>
      </c>
      <c r="AE955" s="213">
        <v>4.0000000000000001E-3</v>
      </c>
      <c r="AF955" s="241">
        <v>209354688.03999999</v>
      </c>
      <c r="AG955" s="241">
        <v>209354688.03999999</v>
      </c>
      <c r="AH955" s="213">
        <v>-7.3599999999999999E-2</v>
      </c>
      <c r="AI955" s="352">
        <v>-1.1342000000000001</v>
      </c>
      <c r="AJ955" s="213">
        <v>-0.29260000000000003</v>
      </c>
      <c r="AK955" s="352">
        <v>-3.1103000000000001</v>
      </c>
      <c r="AL955" s="213" t="s">
        <v>66</v>
      </c>
      <c r="AM955" s="352" t="s">
        <v>66</v>
      </c>
      <c r="AN955" s="213" t="s">
        <v>66</v>
      </c>
      <c r="AO955" s="352" t="s">
        <v>66</v>
      </c>
      <c r="AP955" s="213">
        <v>0.214</v>
      </c>
      <c r="AQ955" s="219">
        <v>-1.9301940746979935</v>
      </c>
      <c r="AR955" s="213" t="s">
        <v>1827</v>
      </c>
      <c r="AV955" s="343"/>
      <c r="AW955" s="328"/>
      <c r="AX955" s="329"/>
      <c r="AY955" s="328"/>
      <c r="AZ955" s="328"/>
      <c r="BA955" s="330"/>
      <c r="BB955" s="328"/>
      <c r="BC955" s="328"/>
      <c r="BD955" s="328"/>
      <c r="BE955" s="330"/>
      <c r="BF955" s="330"/>
      <c r="BG955" s="344"/>
      <c r="BH955" s="330"/>
      <c r="BI955" s="330"/>
      <c r="BJ955" s="330"/>
      <c r="BK955" s="330"/>
      <c r="BL955" s="330"/>
      <c r="BM955" s="330"/>
      <c r="BN955" s="330"/>
      <c r="BO955" s="330"/>
      <c r="BP955" s="331"/>
      <c r="BQ955" s="332"/>
      <c r="BR955" s="333"/>
    </row>
    <row r="956" spans="2:70" ht="15.75" customHeight="1">
      <c r="B956" s="216" t="s">
        <v>1604</v>
      </c>
      <c r="C956" s="212">
        <v>4248392</v>
      </c>
      <c r="D956" s="223">
        <v>3593195000119</v>
      </c>
      <c r="E956" s="217" t="s">
        <v>19</v>
      </c>
      <c r="F956" s="217" t="s">
        <v>963</v>
      </c>
      <c r="G956" s="217" t="s">
        <v>1021</v>
      </c>
      <c r="H956" s="218" t="s">
        <v>1113</v>
      </c>
      <c r="I956" s="217" t="s">
        <v>66</v>
      </c>
      <c r="J956" s="217" t="s">
        <v>1794</v>
      </c>
      <c r="K956" s="218" t="s">
        <v>951</v>
      </c>
      <c r="L956" s="212" t="s">
        <v>87</v>
      </c>
      <c r="M956" s="250"/>
      <c r="N956" s="239">
        <v>36556</v>
      </c>
      <c r="O956" s="210" t="s">
        <v>481</v>
      </c>
      <c r="P956" s="210" t="s">
        <v>481</v>
      </c>
      <c r="Q956" s="210" t="s">
        <v>1602</v>
      </c>
      <c r="R956" s="210" t="s">
        <v>1084</v>
      </c>
      <c r="S956" s="210" t="s">
        <v>1078</v>
      </c>
      <c r="T956" s="210" t="s">
        <v>349</v>
      </c>
      <c r="U956" s="210" t="s">
        <v>1114</v>
      </c>
      <c r="V956" s="210" t="s">
        <v>19</v>
      </c>
      <c r="W956" s="211" t="s">
        <v>1010</v>
      </c>
      <c r="X956" s="211">
        <v>1000</v>
      </c>
      <c r="Y956" s="211">
        <v>1000</v>
      </c>
      <c r="Z956" s="212">
        <v>100</v>
      </c>
      <c r="AA956" s="240">
        <v>0</v>
      </c>
      <c r="AB956" s="213">
        <v>4.4999999999999997E-3</v>
      </c>
      <c r="AC956" s="213">
        <v>0</v>
      </c>
      <c r="AD956" s="213" t="s">
        <v>109</v>
      </c>
      <c r="AE956" s="213">
        <v>8.9999999999999987E-4</v>
      </c>
      <c r="AF956" s="241">
        <v>5633832877.3800001</v>
      </c>
      <c r="AG956" s="241">
        <v>5633832877.3800001</v>
      </c>
      <c r="AH956" s="213">
        <v>6.7100000000000007E-2</v>
      </c>
      <c r="AI956" s="352">
        <v>1.0335000000000001</v>
      </c>
      <c r="AJ956" s="213">
        <v>9.9299999999999999E-2</v>
      </c>
      <c r="AK956" s="352">
        <v>1.0559000000000001</v>
      </c>
      <c r="AL956" s="213">
        <v>0.1454</v>
      </c>
      <c r="AM956" s="352">
        <v>1.2033</v>
      </c>
      <c r="AN956" s="213">
        <v>0.1711</v>
      </c>
      <c r="AO956" s="352">
        <v>1.0155000000000001</v>
      </c>
      <c r="AP956" s="213">
        <v>1.8E-3</v>
      </c>
      <c r="AQ956" s="219">
        <v>2.5993190315595625</v>
      </c>
      <c r="AR956" s="213" t="s">
        <v>1827</v>
      </c>
      <c r="AV956" s="343"/>
      <c r="AW956" s="328"/>
      <c r="AX956" s="329"/>
      <c r="AY956" s="328"/>
      <c r="AZ956" s="328"/>
      <c r="BA956" s="330"/>
      <c r="BB956" s="328"/>
      <c r="BC956" s="328"/>
      <c r="BD956" s="328"/>
      <c r="BE956" s="330"/>
      <c r="BF956" s="330"/>
      <c r="BG956" s="344"/>
      <c r="BH956" s="330"/>
      <c r="BI956" s="330"/>
      <c r="BJ956" s="330"/>
      <c r="BK956" s="330"/>
      <c r="BL956" s="330"/>
      <c r="BM956" s="330"/>
      <c r="BN956" s="330"/>
      <c r="BO956" s="330"/>
      <c r="BP956" s="331"/>
      <c r="BQ956" s="332"/>
      <c r="BR956" s="333"/>
    </row>
    <row r="957" spans="2:70" ht="15.75" customHeight="1">
      <c r="B957" s="216" t="s">
        <v>1605</v>
      </c>
      <c r="C957" s="212">
        <v>1088256</v>
      </c>
      <c r="D957" s="223">
        <v>19436818000180</v>
      </c>
      <c r="E957" s="217" t="s">
        <v>28</v>
      </c>
      <c r="F957" s="217" t="s">
        <v>950</v>
      </c>
      <c r="G957" s="217" t="s">
        <v>1254</v>
      </c>
      <c r="H957" s="218"/>
      <c r="I957" s="217" t="s">
        <v>66</v>
      </c>
      <c r="J957" s="217" t="s">
        <v>66</v>
      </c>
      <c r="K957" s="218" t="s">
        <v>954</v>
      </c>
      <c r="L957" s="212"/>
      <c r="M957" s="250"/>
      <c r="N957" s="239">
        <v>41670</v>
      </c>
      <c r="O957" s="210" t="s">
        <v>481</v>
      </c>
      <c r="P957" s="210" t="s">
        <v>481</v>
      </c>
      <c r="Q957" s="210" t="s">
        <v>1602</v>
      </c>
      <c r="R957" s="210" t="s">
        <v>1084</v>
      </c>
      <c r="S957" s="210" t="s">
        <v>1078</v>
      </c>
      <c r="T957" s="210" t="s">
        <v>1079</v>
      </c>
      <c r="U957" s="210" t="s">
        <v>65</v>
      </c>
      <c r="V957" s="210" t="s">
        <v>1080</v>
      </c>
      <c r="W957" s="211" t="s">
        <v>1007</v>
      </c>
      <c r="X957" s="211">
        <v>50000</v>
      </c>
      <c r="Y957" s="211">
        <v>5000</v>
      </c>
      <c r="Z957" s="212">
        <v>20000</v>
      </c>
      <c r="AA957" s="240">
        <v>4</v>
      </c>
      <c r="AB957" s="213">
        <v>0.01</v>
      </c>
      <c r="AC957" s="213">
        <v>0</v>
      </c>
      <c r="AD957" s="213" t="s">
        <v>1157</v>
      </c>
      <c r="AE957" s="213">
        <v>2E-3</v>
      </c>
      <c r="AF957" s="241">
        <v>1413581769.9200001</v>
      </c>
      <c r="AG957" s="241">
        <v>1413581769.9200001</v>
      </c>
      <c r="AH957" s="213">
        <v>-0.24759999999999999</v>
      </c>
      <c r="AI957" s="352">
        <v>-3.8142999999999998</v>
      </c>
      <c r="AJ957" s="213">
        <v>-0.12970000000000001</v>
      </c>
      <c r="AK957" s="352">
        <v>-1.3782000000000001</v>
      </c>
      <c r="AL957" s="213">
        <v>0.1961</v>
      </c>
      <c r="AM957" s="352">
        <v>1.6234999999999999</v>
      </c>
      <c r="AN957" s="213">
        <v>0.59140000000000004</v>
      </c>
      <c r="AO957" s="352">
        <v>3.5093000000000001</v>
      </c>
      <c r="AP957" s="213">
        <v>0.2228</v>
      </c>
      <c r="AQ957" s="219">
        <v>-0.91612296498297041</v>
      </c>
      <c r="AR957" s="213" t="s">
        <v>1824</v>
      </c>
      <c r="AV957" s="343"/>
      <c r="AW957" s="328"/>
      <c r="AX957" s="329"/>
      <c r="AY957" s="328"/>
      <c r="AZ957" s="328"/>
      <c r="BA957" s="330"/>
      <c r="BB957" s="328"/>
      <c r="BC957" s="328"/>
      <c r="BD957" s="328"/>
      <c r="BE957" s="330"/>
      <c r="BF957" s="330"/>
      <c r="BG957" s="344"/>
      <c r="BH957" s="330"/>
      <c r="BI957" s="330"/>
      <c r="BJ957" s="330"/>
      <c r="BK957" s="330"/>
      <c r="BL957" s="330"/>
      <c r="BM957" s="330"/>
      <c r="BN957" s="330"/>
      <c r="BO957" s="330"/>
      <c r="BP957" s="331"/>
      <c r="BQ957" s="332"/>
      <c r="BR957" s="333"/>
    </row>
    <row r="958" spans="2:70" ht="15.75" customHeight="1">
      <c r="B958" s="216" t="s">
        <v>1606</v>
      </c>
      <c r="C958" s="212">
        <v>560921</v>
      </c>
      <c r="D958" s="223">
        <v>19436835000117</v>
      </c>
      <c r="E958" s="217" t="s">
        <v>28</v>
      </c>
      <c r="F958" s="217" t="s">
        <v>950</v>
      </c>
      <c r="G958" s="217" t="s">
        <v>1254</v>
      </c>
      <c r="H958" s="218"/>
      <c r="I958" s="217" t="s">
        <v>66</v>
      </c>
      <c r="J958" s="217" t="s">
        <v>66</v>
      </c>
      <c r="K958" s="218" t="s">
        <v>954</v>
      </c>
      <c r="L958" s="212"/>
      <c r="M958" s="250"/>
      <c r="N958" s="239">
        <v>41670</v>
      </c>
      <c r="O958" s="210" t="s">
        <v>481</v>
      </c>
      <c r="P958" s="210" t="s">
        <v>481</v>
      </c>
      <c r="Q958" s="210" t="s">
        <v>1602</v>
      </c>
      <c r="R958" s="210" t="s">
        <v>1084</v>
      </c>
      <c r="S958" s="210" t="s">
        <v>1078</v>
      </c>
      <c r="T958" s="210" t="s">
        <v>1079</v>
      </c>
      <c r="U958" s="210" t="s">
        <v>65</v>
      </c>
      <c r="V958" s="210" t="s">
        <v>1080</v>
      </c>
      <c r="W958" s="211" t="s">
        <v>1007</v>
      </c>
      <c r="X958" s="211">
        <v>1000</v>
      </c>
      <c r="Y958" s="211">
        <v>100</v>
      </c>
      <c r="Z958" s="212">
        <v>100</v>
      </c>
      <c r="AA958" s="240">
        <v>4</v>
      </c>
      <c r="AB958" s="213">
        <v>1.4999999999999999E-2</v>
      </c>
      <c r="AC958" s="213">
        <v>0</v>
      </c>
      <c r="AD958" s="213" t="s">
        <v>1157</v>
      </c>
      <c r="AE958" s="213">
        <v>2.9999999999999996E-3</v>
      </c>
      <c r="AF958" s="241">
        <v>821248750.98000002</v>
      </c>
      <c r="AG958" s="241">
        <v>821248750.98000002</v>
      </c>
      <c r="AH958" s="213">
        <v>-0.25180000000000002</v>
      </c>
      <c r="AI958" s="352">
        <v>-3.8784999999999998</v>
      </c>
      <c r="AJ958" s="213">
        <v>-0.13830000000000001</v>
      </c>
      <c r="AK958" s="352">
        <v>-1.4698</v>
      </c>
      <c r="AL958" s="213">
        <v>0.1721</v>
      </c>
      <c r="AM958" s="352">
        <v>1.4242999999999999</v>
      </c>
      <c r="AN958" s="213">
        <v>0.54300000000000004</v>
      </c>
      <c r="AO958" s="352">
        <v>3.2223999999999999</v>
      </c>
      <c r="AP958" s="213">
        <v>0.2223</v>
      </c>
      <c r="AQ958" s="219">
        <v>-0.96312409558912426</v>
      </c>
      <c r="AR958" s="213" t="s">
        <v>1827</v>
      </c>
      <c r="AV958" s="343"/>
      <c r="AW958" s="328"/>
      <c r="AX958" s="329"/>
      <c r="AY958" s="328"/>
      <c r="AZ958" s="328"/>
      <c r="BA958" s="330"/>
      <c r="BB958" s="328"/>
      <c r="BC958" s="328"/>
      <c r="BD958" s="328"/>
      <c r="BE958" s="330"/>
      <c r="BF958" s="330"/>
      <c r="BG958" s="344"/>
      <c r="BH958" s="330"/>
      <c r="BI958" s="330"/>
      <c r="BJ958" s="330"/>
      <c r="BK958" s="330"/>
      <c r="BL958" s="330"/>
      <c r="BM958" s="330"/>
      <c r="BN958" s="330"/>
      <c r="BO958" s="330"/>
      <c r="BP958" s="331"/>
      <c r="BQ958" s="332"/>
      <c r="BR958" s="333"/>
    </row>
    <row r="959" spans="2:70" ht="15.75" customHeight="1">
      <c r="B959" s="216" t="s">
        <v>616</v>
      </c>
      <c r="C959" s="212">
        <v>3070651</v>
      </c>
      <c r="D959" s="223">
        <v>28289215000193</v>
      </c>
      <c r="E959" s="217" t="s">
        <v>25</v>
      </c>
      <c r="F959" s="217" t="s">
        <v>958</v>
      </c>
      <c r="G959" s="217" t="s">
        <v>962</v>
      </c>
      <c r="H959" s="218" t="s">
        <v>66</v>
      </c>
      <c r="I959" s="217" t="s">
        <v>1841</v>
      </c>
      <c r="J959" s="217" t="s">
        <v>66</v>
      </c>
      <c r="K959" s="218"/>
      <c r="L959" s="212" t="s">
        <v>87</v>
      </c>
      <c r="M959" s="250"/>
      <c r="N959" s="239">
        <v>43313</v>
      </c>
      <c r="O959" s="210" t="s">
        <v>481</v>
      </c>
      <c r="P959" s="210" t="s">
        <v>481</v>
      </c>
      <c r="Q959" s="210" t="s">
        <v>1602</v>
      </c>
      <c r="R959" s="210" t="s">
        <v>1084</v>
      </c>
      <c r="S959" s="210" t="s">
        <v>1078</v>
      </c>
      <c r="T959" s="210" t="s">
        <v>1082</v>
      </c>
      <c r="U959" s="210" t="s">
        <v>958</v>
      </c>
      <c r="V959" s="210" t="s">
        <v>25</v>
      </c>
      <c r="W959" s="211" t="s">
        <v>1016</v>
      </c>
      <c r="X959" s="211">
        <v>5000</v>
      </c>
      <c r="Y959" s="211">
        <v>500</v>
      </c>
      <c r="Z959" s="212">
        <v>100</v>
      </c>
      <c r="AA959" s="240">
        <v>32</v>
      </c>
      <c r="AB959" s="213">
        <v>0.02</v>
      </c>
      <c r="AC959" s="213">
        <v>0.2</v>
      </c>
      <c r="AD959" s="213" t="s">
        <v>109</v>
      </c>
      <c r="AE959" s="213">
        <v>4.0000000000000001E-3</v>
      </c>
      <c r="AF959" s="241">
        <v>299456316.75</v>
      </c>
      <c r="AG959" s="241">
        <v>299456316.75</v>
      </c>
      <c r="AH959" s="213">
        <v>0.1018</v>
      </c>
      <c r="AI959" s="352">
        <v>1.5687</v>
      </c>
      <c r="AJ959" s="213">
        <v>6.2300000000000001E-2</v>
      </c>
      <c r="AK959" s="352">
        <v>0.66210000000000002</v>
      </c>
      <c r="AL959" s="213">
        <v>9.3799999999999994E-2</v>
      </c>
      <c r="AM959" s="352">
        <v>0.77649999999999997</v>
      </c>
      <c r="AN959" s="213">
        <v>0.17380000000000001</v>
      </c>
      <c r="AO959" s="352">
        <v>1.0313000000000001</v>
      </c>
      <c r="AP959" s="213">
        <v>3.9199999999999999E-2</v>
      </c>
      <c r="AQ959" s="219">
        <v>-0.73304412597917346</v>
      </c>
      <c r="AR959" s="213" t="s">
        <v>1827</v>
      </c>
      <c r="AU959" s="343"/>
      <c r="AV959" s="343"/>
      <c r="AW959" s="328"/>
      <c r="AX959" s="329"/>
      <c r="AY959" s="328"/>
      <c r="AZ959" s="328"/>
      <c r="BA959" s="330"/>
      <c r="BB959" s="328"/>
      <c r="BC959" s="328"/>
      <c r="BD959" s="328"/>
      <c r="BE959" s="330"/>
      <c r="BF959" s="330"/>
      <c r="BG959" s="344"/>
      <c r="BH959" s="383"/>
      <c r="BI959" s="330"/>
      <c r="BJ959" s="330"/>
      <c r="BK959" s="330"/>
      <c r="BL959" s="330"/>
      <c r="BM959" s="330"/>
      <c r="BN959" s="330"/>
      <c r="BO959" s="330"/>
      <c r="BP959" s="331"/>
      <c r="BQ959" s="332"/>
      <c r="BR959" s="333"/>
    </row>
    <row r="960" spans="2:70" ht="15.75" customHeight="1">
      <c r="B960" s="216" t="s">
        <v>1607</v>
      </c>
      <c r="C960" s="212">
        <v>1168571</v>
      </c>
      <c r="D960" s="223">
        <v>20391600000135</v>
      </c>
      <c r="E960" s="217" t="s">
        <v>25</v>
      </c>
      <c r="F960" s="217" t="s">
        <v>958</v>
      </c>
      <c r="G960" s="217" t="s">
        <v>962</v>
      </c>
      <c r="H960" s="218" t="s">
        <v>66</v>
      </c>
      <c r="I960" s="217" t="s">
        <v>1259</v>
      </c>
      <c r="J960" s="217" t="s">
        <v>66</v>
      </c>
      <c r="K960" s="218"/>
      <c r="L960" s="212" t="s">
        <v>87</v>
      </c>
      <c r="M960" s="250"/>
      <c r="N960" s="239">
        <v>41974</v>
      </c>
      <c r="O960" s="210" t="s">
        <v>481</v>
      </c>
      <c r="P960" s="210" t="s">
        <v>481</v>
      </c>
      <c r="Q960" s="210" t="s">
        <v>1602</v>
      </c>
      <c r="R960" s="210" t="s">
        <v>1084</v>
      </c>
      <c r="S960" s="210" t="s">
        <v>1078</v>
      </c>
      <c r="T960" s="210" t="s">
        <v>1082</v>
      </c>
      <c r="U960" s="210" t="s">
        <v>958</v>
      </c>
      <c r="V960" s="210" t="s">
        <v>25</v>
      </c>
      <c r="W960" s="211" t="s">
        <v>1016</v>
      </c>
      <c r="X960" s="211">
        <v>5000</v>
      </c>
      <c r="Y960" s="211">
        <v>500</v>
      </c>
      <c r="Z960" s="212">
        <v>100</v>
      </c>
      <c r="AA960" s="240">
        <v>32</v>
      </c>
      <c r="AB960" s="213">
        <v>0</v>
      </c>
      <c r="AC960" s="213">
        <v>0</v>
      </c>
      <c r="AD960" s="213" t="s">
        <v>109</v>
      </c>
      <c r="AE960" s="213" t="s">
        <v>66</v>
      </c>
      <c r="AF960" s="241">
        <v>10866439.779999999</v>
      </c>
      <c r="AG960" s="241">
        <v>10866439.779999999</v>
      </c>
      <c r="AH960" s="213">
        <v>0.12330000000000001</v>
      </c>
      <c r="AI960" s="352">
        <v>1.8986000000000001</v>
      </c>
      <c r="AJ960" s="213">
        <v>8.0600000000000005E-2</v>
      </c>
      <c r="AK960" s="352">
        <v>0.8569</v>
      </c>
      <c r="AL960" s="213">
        <v>0.1153</v>
      </c>
      <c r="AM960" s="352">
        <v>0.95469999999999999</v>
      </c>
      <c r="AN960" s="213">
        <v>0.2203</v>
      </c>
      <c r="AO960" s="352">
        <v>1.3075000000000001</v>
      </c>
      <c r="AP960" s="213">
        <v>5.6500000000000002E-2</v>
      </c>
      <c r="AQ960" s="219">
        <v>-0.19113109202877138</v>
      </c>
      <c r="AR960" s="213" t="s">
        <v>1827</v>
      </c>
      <c r="AU960" s="343"/>
      <c r="AV960" s="343"/>
      <c r="AW960" s="328"/>
      <c r="AX960" s="329"/>
      <c r="AY960" s="328"/>
      <c r="AZ960" s="328"/>
      <c r="BA960" s="330"/>
      <c r="BB960" s="328"/>
      <c r="BC960" s="328"/>
      <c r="BD960" s="328"/>
      <c r="BE960" s="330"/>
      <c r="BF960" s="330"/>
      <c r="BG960" s="344"/>
      <c r="BH960" s="383"/>
      <c r="BI960" s="330"/>
      <c r="BJ960" s="330"/>
      <c r="BK960" s="330"/>
      <c r="BL960" s="330"/>
      <c r="BM960" s="330"/>
      <c r="BN960" s="330"/>
      <c r="BO960" s="330"/>
      <c r="BP960" s="331"/>
      <c r="BQ960" s="332"/>
      <c r="BR960" s="333"/>
    </row>
    <row r="961" spans="2:70" ht="15.75" customHeight="1">
      <c r="B961" s="216" t="s">
        <v>617</v>
      </c>
      <c r="C961" s="212">
        <v>972053</v>
      </c>
      <c r="D961" s="223">
        <v>10347249000121</v>
      </c>
      <c r="E961" s="217" t="s">
        <v>25</v>
      </c>
      <c r="F961" s="217" t="s">
        <v>958</v>
      </c>
      <c r="G961" s="217" t="s">
        <v>962</v>
      </c>
      <c r="H961" s="218" t="s">
        <v>66</v>
      </c>
      <c r="I961" s="217" t="s">
        <v>1259</v>
      </c>
      <c r="J961" s="217" t="s">
        <v>66</v>
      </c>
      <c r="K961" s="218"/>
      <c r="L961" s="212" t="s">
        <v>87</v>
      </c>
      <c r="M961" s="250"/>
      <c r="N961" s="239">
        <v>39812</v>
      </c>
      <c r="O961" s="210" t="s">
        <v>481</v>
      </c>
      <c r="P961" s="210" t="s">
        <v>481</v>
      </c>
      <c r="Q961" s="210" t="s">
        <v>1602</v>
      </c>
      <c r="R961" s="210" t="s">
        <v>1084</v>
      </c>
      <c r="S961" s="210" t="s">
        <v>1078</v>
      </c>
      <c r="T961" s="210" t="s">
        <v>1082</v>
      </c>
      <c r="U961" s="210" t="s">
        <v>958</v>
      </c>
      <c r="V961" s="210" t="s">
        <v>25</v>
      </c>
      <c r="W961" s="211" t="s">
        <v>1016</v>
      </c>
      <c r="X961" s="211">
        <v>5000</v>
      </c>
      <c r="Y961" s="211">
        <v>500</v>
      </c>
      <c r="Z961" s="212">
        <v>100</v>
      </c>
      <c r="AA961" s="240">
        <v>32</v>
      </c>
      <c r="AB961" s="213">
        <v>0.02</v>
      </c>
      <c r="AC961" s="213">
        <v>0.2</v>
      </c>
      <c r="AD961" s="213" t="s">
        <v>109</v>
      </c>
      <c r="AE961" s="213">
        <v>4.0000000000000001E-3</v>
      </c>
      <c r="AF961" s="241">
        <v>1143533730.8399999</v>
      </c>
      <c r="AG961" s="241">
        <v>1143533730.8399999</v>
      </c>
      <c r="AH961" s="213">
        <v>0.12470000000000001</v>
      </c>
      <c r="AI961" s="352">
        <v>1.9206000000000001</v>
      </c>
      <c r="AJ961" s="213">
        <v>8.2600000000000007E-2</v>
      </c>
      <c r="AK961" s="352">
        <v>0.87749999999999995</v>
      </c>
      <c r="AL961" s="213">
        <v>0.1178</v>
      </c>
      <c r="AM961" s="352">
        <v>0.97550000000000003</v>
      </c>
      <c r="AN961" s="213">
        <v>0.2286</v>
      </c>
      <c r="AO961" s="352">
        <v>1.3564000000000001</v>
      </c>
      <c r="AP961" s="213">
        <v>5.6500000000000002E-2</v>
      </c>
      <c r="AQ961" s="219">
        <v>-0.15918924033117321</v>
      </c>
      <c r="AR961" s="213" t="s">
        <v>1827</v>
      </c>
      <c r="AU961" s="343"/>
      <c r="AV961" s="343"/>
      <c r="AW961" s="328"/>
      <c r="AX961" s="329"/>
      <c r="AY961" s="328"/>
      <c r="AZ961" s="328"/>
      <c r="BA961" s="330"/>
      <c r="BB961" s="328"/>
      <c r="BC961" s="328"/>
      <c r="BD961" s="328"/>
      <c r="BE961" s="330"/>
      <c r="BF961" s="330"/>
      <c r="BG961" s="344"/>
      <c r="BH961" s="383"/>
      <c r="BI961" s="330"/>
      <c r="BJ961" s="330"/>
      <c r="BK961" s="330"/>
      <c r="BL961" s="330"/>
      <c r="BM961" s="330"/>
      <c r="BN961" s="330"/>
      <c r="BO961" s="330"/>
      <c r="BP961" s="331"/>
      <c r="BQ961" s="332"/>
      <c r="BR961" s="333"/>
    </row>
    <row r="962" spans="2:70" ht="15.75" customHeight="1">
      <c r="B962" s="216" t="s">
        <v>836</v>
      </c>
      <c r="C962" s="212">
        <v>1046688</v>
      </c>
      <c r="D962" s="223">
        <v>37093442000130</v>
      </c>
      <c r="E962" s="217" t="s">
        <v>25</v>
      </c>
      <c r="F962" s="217" t="s">
        <v>958</v>
      </c>
      <c r="G962" s="217" t="s">
        <v>962</v>
      </c>
      <c r="H962" s="218" t="s">
        <v>66</v>
      </c>
      <c r="I962" s="217" t="s">
        <v>1841</v>
      </c>
      <c r="J962" s="217" t="s">
        <v>66</v>
      </c>
      <c r="K962" s="218"/>
      <c r="L962" s="212" t="s">
        <v>87</v>
      </c>
      <c r="M962" s="250"/>
      <c r="N962" s="239">
        <v>44138</v>
      </c>
      <c r="O962" s="210" t="s">
        <v>481</v>
      </c>
      <c r="P962" s="210" t="s">
        <v>481</v>
      </c>
      <c r="Q962" s="210" t="s">
        <v>1602</v>
      </c>
      <c r="R962" s="210" t="s">
        <v>1084</v>
      </c>
      <c r="S962" s="210" t="s">
        <v>1078</v>
      </c>
      <c r="T962" s="210" t="s">
        <v>1276</v>
      </c>
      <c r="U962" s="210" t="s">
        <v>1086</v>
      </c>
      <c r="V962" s="210" t="s">
        <v>25</v>
      </c>
      <c r="W962" s="211" t="s">
        <v>1016</v>
      </c>
      <c r="X962" s="211">
        <v>5000</v>
      </c>
      <c r="Y962" s="211">
        <v>0</v>
      </c>
      <c r="Z962" s="212">
        <v>0</v>
      </c>
      <c r="AA962" s="240">
        <v>31</v>
      </c>
      <c r="AB962" s="213">
        <v>0.02</v>
      </c>
      <c r="AC962" s="213">
        <v>0.2</v>
      </c>
      <c r="AD962" s="213" t="s">
        <v>109</v>
      </c>
      <c r="AE962" s="213">
        <v>4.0000000000000001E-3</v>
      </c>
      <c r="AF962" s="241">
        <v>241599416.21000001</v>
      </c>
      <c r="AG962" s="241">
        <v>241599416.21000001</v>
      </c>
      <c r="AH962" s="213">
        <v>6.6100000000000006E-2</v>
      </c>
      <c r="AI962" s="352">
        <v>1.0175000000000001</v>
      </c>
      <c r="AJ962" s="213">
        <v>1.18E-2</v>
      </c>
      <c r="AK962" s="352">
        <v>0.125</v>
      </c>
      <c r="AL962" s="213" t="s">
        <v>66</v>
      </c>
      <c r="AM962" s="352" t="s">
        <v>66</v>
      </c>
      <c r="AN962" s="213" t="s">
        <v>66</v>
      </c>
      <c r="AO962" s="352" t="s">
        <v>66</v>
      </c>
      <c r="AP962" s="213">
        <v>3.0599999999999999E-2</v>
      </c>
      <c r="AQ962" s="219">
        <v>-2.5376894826645509</v>
      </c>
      <c r="AR962" s="213" t="s">
        <v>1827</v>
      </c>
      <c r="AV962" s="343"/>
      <c r="AW962" s="328"/>
      <c r="AX962" s="329"/>
      <c r="AY962" s="328"/>
      <c r="AZ962" s="328"/>
      <c r="BA962" s="330"/>
      <c r="BB962" s="328"/>
      <c r="BC962" s="328"/>
      <c r="BD962" s="328"/>
      <c r="BE962" s="330"/>
      <c r="BF962" s="330"/>
      <c r="BG962" s="344"/>
      <c r="BH962" s="330"/>
      <c r="BI962" s="330"/>
      <c r="BJ962" s="330"/>
      <c r="BK962" s="330"/>
      <c r="BL962" s="330"/>
      <c r="BM962" s="330"/>
      <c r="BN962" s="330"/>
      <c r="BO962" s="330"/>
      <c r="BP962" s="331"/>
      <c r="BQ962" s="332"/>
      <c r="BR962" s="333"/>
    </row>
    <row r="963" spans="2:70" ht="15.75" customHeight="1">
      <c r="B963" s="216" t="s">
        <v>1608</v>
      </c>
      <c r="C963" s="212">
        <v>1811228</v>
      </c>
      <c r="D963" s="223">
        <v>25079578000106</v>
      </c>
      <c r="E963" s="217" t="s">
        <v>25</v>
      </c>
      <c r="F963" s="217" t="s">
        <v>959</v>
      </c>
      <c r="G963" s="217" t="s">
        <v>960</v>
      </c>
      <c r="H963" s="218" t="s">
        <v>66</v>
      </c>
      <c r="I963" s="217" t="s">
        <v>1841</v>
      </c>
      <c r="J963" s="217" t="s">
        <v>66</v>
      </c>
      <c r="K963" s="218" t="s">
        <v>951</v>
      </c>
      <c r="L963" s="212" t="s">
        <v>87</v>
      </c>
      <c r="M963" s="250"/>
      <c r="N963" s="239">
        <v>42733</v>
      </c>
      <c r="O963" s="210" t="s">
        <v>481</v>
      </c>
      <c r="P963" s="210" t="s">
        <v>481</v>
      </c>
      <c r="Q963" s="210" t="s">
        <v>1602</v>
      </c>
      <c r="R963" s="210" t="s">
        <v>1084</v>
      </c>
      <c r="S963" s="210" t="s">
        <v>1078</v>
      </c>
      <c r="T963" s="210" t="s">
        <v>1082</v>
      </c>
      <c r="U963" s="210" t="s">
        <v>1086</v>
      </c>
      <c r="V963" s="210" t="s">
        <v>25</v>
      </c>
      <c r="W963" s="211" t="s">
        <v>1023</v>
      </c>
      <c r="X963" s="211">
        <v>1000</v>
      </c>
      <c r="Y963" s="211">
        <v>100</v>
      </c>
      <c r="Z963" s="212">
        <v>100</v>
      </c>
      <c r="AA963" s="240">
        <v>31</v>
      </c>
      <c r="AB963" s="213">
        <v>0.02</v>
      </c>
      <c r="AC963" s="213">
        <v>0.2</v>
      </c>
      <c r="AD963" s="213" t="s">
        <v>109</v>
      </c>
      <c r="AE963" s="213" t="s">
        <v>66</v>
      </c>
      <c r="AF963" s="241">
        <v>300364099.10000002</v>
      </c>
      <c r="AG963" s="241">
        <v>300364099.10000002</v>
      </c>
      <c r="AH963" s="213">
        <v>6.6100000000000006E-2</v>
      </c>
      <c r="AI963" s="352">
        <v>1.0186999999999999</v>
      </c>
      <c r="AJ963" s="213">
        <v>2.5999999999999999E-2</v>
      </c>
      <c r="AK963" s="352">
        <v>0.27589999999999998</v>
      </c>
      <c r="AL963" s="213">
        <v>8.1699999999999995E-2</v>
      </c>
      <c r="AM963" s="352">
        <v>0.67620000000000002</v>
      </c>
      <c r="AN963" s="213">
        <v>0.17369999999999999</v>
      </c>
      <c r="AO963" s="352">
        <v>1.0305</v>
      </c>
      <c r="AP963" s="213">
        <v>2.6100000000000002E-2</v>
      </c>
      <c r="AQ963" s="219">
        <v>-2.4535299430092428</v>
      </c>
      <c r="AR963" s="213" t="s">
        <v>1827</v>
      </c>
      <c r="AV963" s="343"/>
      <c r="AW963" s="328"/>
      <c r="AX963" s="329"/>
      <c r="AY963" s="328"/>
      <c r="AZ963" s="328"/>
      <c r="BA963" s="330"/>
      <c r="BB963" s="328"/>
      <c r="BC963" s="328"/>
      <c r="BD963" s="328"/>
      <c r="BE963" s="330"/>
      <c r="BF963" s="330"/>
      <c r="BG963" s="344"/>
      <c r="BH963" s="330"/>
      <c r="BI963" s="330"/>
      <c r="BJ963" s="330"/>
      <c r="BK963" s="330"/>
      <c r="BL963" s="330"/>
      <c r="BM963" s="330"/>
      <c r="BN963" s="330"/>
      <c r="BO963" s="330"/>
      <c r="BP963" s="331"/>
      <c r="BQ963" s="332"/>
      <c r="BR963" s="333"/>
    </row>
    <row r="964" spans="2:70" ht="15.75" customHeight="1">
      <c r="B964" s="216" t="s">
        <v>618</v>
      </c>
      <c r="C964" s="212">
        <v>967251</v>
      </c>
      <c r="D964" s="223">
        <v>26305892000122</v>
      </c>
      <c r="E964" s="217" t="s">
        <v>25</v>
      </c>
      <c r="F964" s="217" t="s">
        <v>958</v>
      </c>
      <c r="G964" s="217" t="s">
        <v>962</v>
      </c>
      <c r="H964" s="218" t="s">
        <v>66</v>
      </c>
      <c r="I964" s="217" t="s">
        <v>1841</v>
      </c>
      <c r="J964" s="217" t="s">
        <v>66</v>
      </c>
      <c r="K964" s="218"/>
      <c r="L964" s="212" t="s">
        <v>87</v>
      </c>
      <c r="M964" s="250"/>
      <c r="N964" s="239">
        <v>43678</v>
      </c>
      <c r="O964" s="210" t="s">
        <v>481</v>
      </c>
      <c r="P964" s="210" t="s">
        <v>481</v>
      </c>
      <c r="Q964" s="210" t="s">
        <v>1602</v>
      </c>
      <c r="R964" s="210" t="s">
        <v>1084</v>
      </c>
      <c r="S964" s="210" t="s">
        <v>1078</v>
      </c>
      <c r="T964" s="210" t="s">
        <v>1082</v>
      </c>
      <c r="U964" s="210" t="s">
        <v>958</v>
      </c>
      <c r="V964" s="210" t="s">
        <v>25</v>
      </c>
      <c r="W964" s="211" t="s">
        <v>1016</v>
      </c>
      <c r="X964" s="211">
        <v>5000</v>
      </c>
      <c r="Y964" s="211">
        <v>500</v>
      </c>
      <c r="Z964" s="212">
        <v>100</v>
      </c>
      <c r="AA964" s="240">
        <v>32</v>
      </c>
      <c r="AB964" s="213">
        <v>0.02</v>
      </c>
      <c r="AC964" s="213">
        <v>0.2</v>
      </c>
      <c r="AD964" s="213" t="s">
        <v>109</v>
      </c>
      <c r="AE964" s="213">
        <v>4.0000000000000001E-3</v>
      </c>
      <c r="AF964" s="241">
        <v>412989124.85000002</v>
      </c>
      <c r="AG964" s="241">
        <v>412989124.85000002</v>
      </c>
      <c r="AH964" s="213">
        <v>3.73E-2</v>
      </c>
      <c r="AI964" s="352">
        <v>0.57530000000000003</v>
      </c>
      <c r="AJ964" s="213">
        <v>1.11E-2</v>
      </c>
      <c r="AK964" s="352">
        <v>0.11749999999999999</v>
      </c>
      <c r="AL964" s="213">
        <v>2.9399999999999999E-2</v>
      </c>
      <c r="AM964" s="352">
        <v>0.24349999999999999</v>
      </c>
      <c r="AN964" s="213" t="s">
        <v>66</v>
      </c>
      <c r="AO964" s="352" t="s">
        <v>66</v>
      </c>
      <c r="AP964" s="213">
        <v>4.9099999999999998E-2</v>
      </c>
      <c r="AQ964" s="219">
        <v>-1.5847515443595988</v>
      </c>
      <c r="AR964" s="213" t="s">
        <v>1827</v>
      </c>
      <c r="AV964" s="343"/>
      <c r="AW964" s="328"/>
      <c r="AX964" s="329"/>
      <c r="AY964" s="328"/>
      <c r="AZ964" s="328"/>
      <c r="BA964" s="330"/>
      <c r="BB964" s="328"/>
      <c r="BC964" s="328"/>
      <c r="BD964" s="328"/>
      <c r="BE964" s="330"/>
      <c r="BF964" s="330"/>
      <c r="BG964" s="344"/>
      <c r="BH964" s="330"/>
      <c r="BI964" s="330"/>
      <c r="BJ964" s="330"/>
      <c r="BK964" s="330"/>
      <c r="BL964" s="330"/>
      <c r="BM964" s="330"/>
      <c r="BN964" s="330"/>
      <c r="BO964" s="330"/>
      <c r="BP964" s="331"/>
      <c r="BQ964" s="332"/>
      <c r="BR964" s="333"/>
    </row>
    <row r="965" spans="2:70" ht="15.75" customHeight="1">
      <c r="B965" s="216" t="s">
        <v>619</v>
      </c>
      <c r="C965" s="212">
        <v>2875165</v>
      </c>
      <c r="D965" s="223">
        <v>38251735000160</v>
      </c>
      <c r="E965" s="217" t="s">
        <v>19</v>
      </c>
      <c r="F965" s="217" t="s">
        <v>963</v>
      </c>
      <c r="G965" s="217"/>
      <c r="H965" s="218" t="s">
        <v>1113</v>
      </c>
      <c r="I965" s="217" t="s">
        <v>66</v>
      </c>
      <c r="J965" s="217"/>
      <c r="K965" s="218"/>
      <c r="L965" s="212" t="s">
        <v>87</v>
      </c>
      <c r="M965" s="250"/>
      <c r="N965" s="239">
        <v>44224</v>
      </c>
      <c r="O965" s="210" t="s">
        <v>1609</v>
      </c>
      <c r="P965" s="210" t="s">
        <v>1075</v>
      </c>
      <c r="Q965" s="210" t="s">
        <v>1076</v>
      </c>
      <c r="R965" s="210" t="s">
        <v>1084</v>
      </c>
      <c r="S965" s="210" t="s">
        <v>1078</v>
      </c>
      <c r="T965" s="210" t="s">
        <v>349</v>
      </c>
      <c r="U965" s="210" t="s">
        <v>1114</v>
      </c>
      <c r="V965" s="210" t="s">
        <v>25</v>
      </c>
      <c r="W965" s="211" t="s">
        <v>1016</v>
      </c>
      <c r="X965" s="211">
        <v>100</v>
      </c>
      <c r="Y965" s="211">
        <v>100</v>
      </c>
      <c r="Z965" s="212">
        <v>100</v>
      </c>
      <c r="AA965" s="240">
        <v>5</v>
      </c>
      <c r="AB965" s="213">
        <v>0.02</v>
      </c>
      <c r="AC965" s="213">
        <v>0.2</v>
      </c>
      <c r="AD965" s="213" t="s">
        <v>113</v>
      </c>
      <c r="AE965" s="213">
        <v>3.666666666666667E-3</v>
      </c>
      <c r="AF965" s="241">
        <v>8283767.3099999996</v>
      </c>
      <c r="AG965" s="241">
        <v>8283767.3099999996</v>
      </c>
      <c r="AH965" s="213">
        <v>6.4199999999999993E-2</v>
      </c>
      <c r="AI965" s="352">
        <v>0.98960000000000004</v>
      </c>
      <c r="AJ965" s="213">
        <v>0.1128</v>
      </c>
      <c r="AK965" s="352">
        <v>1.1986000000000001</v>
      </c>
      <c r="AL965" s="213" t="s">
        <v>66</v>
      </c>
      <c r="AM965" s="352" t="s">
        <v>66</v>
      </c>
      <c r="AN965" s="213" t="s">
        <v>66</v>
      </c>
      <c r="AO965" s="352" t="s">
        <v>66</v>
      </c>
      <c r="AP965" s="213">
        <v>4.5699999999999998E-2</v>
      </c>
      <c r="AQ965" s="219">
        <v>0.39356302072145311</v>
      </c>
      <c r="AR965" s="213" t="s">
        <v>1827</v>
      </c>
      <c r="AV965" s="343"/>
      <c r="AW965" s="328"/>
      <c r="AX965" s="329"/>
      <c r="AY965" s="328"/>
      <c r="AZ965" s="328"/>
      <c r="BA965" s="330"/>
      <c r="BB965" s="328"/>
      <c r="BC965" s="328"/>
      <c r="BD965" s="328"/>
      <c r="BE965" s="330"/>
      <c r="BF965" s="330"/>
      <c r="BG965" s="344"/>
      <c r="BH965" s="330"/>
      <c r="BI965" s="330"/>
      <c r="BJ965" s="330"/>
      <c r="BK965" s="330"/>
      <c r="BL965" s="330"/>
      <c r="BM965" s="330"/>
      <c r="BN965" s="330"/>
      <c r="BO965" s="330"/>
      <c r="BP965" s="331"/>
      <c r="BQ965" s="332"/>
      <c r="BR965" s="333"/>
    </row>
    <row r="966" spans="2:70" ht="15.75" customHeight="1">
      <c r="B966" s="216" t="s">
        <v>620</v>
      </c>
      <c r="C966" s="212">
        <v>1857996</v>
      </c>
      <c r="D966" s="223">
        <v>4621018000161</v>
      </c>
      <c r="E966" s="217" t="s">
        <v>28</v>
      </c>
      <c r="F966" s="217" t="s">
        <v>957</v>
      </c>
      <c r="G966" s="217"/>
      <c r="H966" s="218"/>
      <c r="I966" s="217" t="s">
        <v>1259</v>
      </c>
      <c r="J966" s="217" t="s">
        <v>66</v>
      </c>
      <c r="K966" s="218" t="s">
        <v>951</v>
      </c>
      <c r="L966" s="212" t="s">
        <v>87</v>
      </c>
      <c r="M966" s="250"/>
      <c r="N966" s="239">
        <v>37138</v>
      </c>
      <c r="O966" s="210" t="s">
        <v>621</v>
      </c>
      <c r="P966" s="210" t="s">
        <v>1117</v>
      </c>
      <c r="Q966" s="210" t="s">
        <v>1117</v>
      </c>
      <c r="R966" s="210" t="s">
        <v>1084</v>
      </c>
      <c r="S966" s="210" t="s">
        <v>1078</v>
      </c>
      <c r="T966" s="210" t="s">
        <v>1079</v>
      </c>
      <c r="U966" s="210" t="s">
        <v>957</v>
      </c>
      <c r="V966" s="210" t="s">
        <v>25</v>
      </c>
      <c r="W966" s="211" t="s">
        <v>1019</v>
      </c>
      <c r="X966" s="211">
        <v>500</v>
      </c>
      <c r="Y966" s="211">
        <v>500</v>
      </c>
      <c r="Z966" s="212">
        <v>500</v>
      </c>
      <c r="AA966" s="240">
        <v>9</v>
      </c>
      <c r="AB966" s="213">
        <v>1.4500000000000001E-2</v>
      </c>
      <c r="AC966" s="213">
        <v>0.2</v>
      </c>
      <c r="AD966" s="213" t="s">
        <v>109</v>
      </c>
      <c r="AE966" s="213">
        <v>3.3833333333333332E-3</v>
      </c>
      <c r="AF966" s="241">
        <v>67218682.560000002</v>
      </c>
      <c r="AG966" s="241">
        <v>67218682.560000002</v>
      </c>
      <c r="AH966" s="213">
        <v>1.8800000000000001E-2</v>
      </c>
      <c r="AI966" s="352">
        <v>0.2898</v>
      </c>
      <c r="AJ966" s="213">
        <v>-7.5800000000000006E-2</v>
      </c>
      <c r="AK966" s="352">
        <v>-0.80520000000000003</v>
      </c>
      <c r="AL966" s="213">
        <v>9.1499999999999998E-2</v>
      </c>
      <c r="AM966" s="352">
        <v>0.75770000000000004</v>
      </c>
      <c r="AN966" s="213">
        <v>0.23089999999999999</v>
      </c>
      <c r="AO966" s="352">
        <v>1.3702000000000001</v>
      </c>
      <c r="AP966" s="213">
        <v>0.1023</v>
      </c>
      <c r="AQ966" s="219">
        <v>-1.598834982768963</v>
      </c>
      <c r="AR966" s="213" t="s">
        <v>1827</v>
      </c>
      <c r="AV966" s="343"/>
      <c r="AW966" s="328"/>
      <c r="AX966" s="329"/>
      <c r="AY966" s="328"/>
      <c r="AZ966" s="328"/>
      <c r="BA966" s="330"/>
      <c r="BB966" s="328"/>
      <c r="BC966" s="328"/>
      <c r="BD966" s="328"/>
      <c r="BE966" s="330"/>
      <c r="BF966" s="330"/>
      <c r="BG966" s="344"/>
      <c r="BH966" s="330"/>
      <c r="BI966" s="330"/>
      <c r="BJ966" s="330"/>
      <c r="BK966" s="330"/>
      <c r="BL966" s="330"/>
      <c r="BM966" s="330"/>
      <c r="BN966" s="330"/>
      <c r="BO966" s="330"/>
      <c r="BP966" s="331"/>
      <c r="BQ966" s="332"/>
      <c r="BR966" s="333"/>
    </row>
    <row r="967" spans="2:70" ht="15.75" customHeight="1">
      <c r="B967" s="216" t="s">
        <v>1610</v>
      </c>
      <c r="C967" s="212">
        <v>2617853</v>
      </c>
      <c r="D967" s="223">
        <v>34658702000189</v>
      </c>
      <c r="E967" s="217" t="s">
        <v>28</v>
      </c>
      <c r="F967" s="217" t="s">
        <v>950</v>
      </c>
      <c r="G967" s="217"/>
      <c r="H967" s="218"/>
      <c r="I967" s="217" t="s">
        <v>66</v>
      </c>
      <c r="J967" s="217" t="s">
        <v>66</v>
      </c>
      <c r="K967" s="218" t="s">
        <v>951</v>
      </c>
      <c r="L967" s="212" t="s">
        <v>87</v>
      </c>
      <c r="M967" s="250"/>
      <c r="N967" s="239">
        <v>43850</v>
      </c>
      <c r="O967" s="210" t="s">
        <v>621</v>
      </c>
      <c r="P967" s="210" t="s">
        <v>1117</v>
      </c>
      <c r="Q967" s="210" t="s">
        <v>1117</v>
      </c>
      <c r="R967" s="210" t="s">
        <v>1084</v>
      </c>
      <c r="S967" s="210" t="s">
        <v>1078</v>
      </c>
      <c r="T967" s="210" t="s">
        <v>1079</v>
      </c>
      <c r="U967" s="210" t="s">
        <v>950</v>
      </c>
      <c r="V967" s="210" t="s">
        <v>1080</v>
      </c>
      <c r="W967" s="211" t="s">
        <v>1007</v>
      </c>
      <c r="X967" s="211">
        <v>500</v>
      </c>
      <c r="Y967" s="211">
        <v>500</v>
      </c>
      <c r="Z967" s="212">
        <v>500</v>
      </c>
      <c r="AA967" s="240">
        <v>32</v>
      </c>
      <c r="AB967" s="213">
        <v>1.95E-2</v>
      </c>
      <c r="AC967" s="213">
        <v>0.2</v>
      </c>
      <c r="AD967" s="213" t="s">
        <v>1014</v>
      </c>
      <c r="AE967" s="213">
        <v>4.5499999999999994E-3</v>
      </c>
      <c r="AF967" s="241">
        <v>24068265.41</v>
      </c>
      <c r="AG967" s="241">
        <v>24068265.41</v>
      </c>
      <c r="AH967" s="213">
        <v>-1.9900000000000001E-2</v>
      </c>
      <c r="AI967" s="352">
        <v>-0.30609999999999998</v>
      </c>
      <c r="AJ967" s="213">
        <v>-0.25569999999999998</v>
      </c>
      <c r="AK967" s="352">
        <v>-2.7181999999999999</v>
      </c>
      <c r="AL967" s="213">
        <v>4.7100000000000003E-2</v>
      </c>
      <c r="AM967" s="352">
        <v>0.38979999999999998</v>
      </c>
      <c r="AN967" s="213" t="s">
        <v>66</v>
      </c>
      <c r="AO967" s="352" t="s">
        <v>66</v>
      </c>
      <c r="AP967" s="213">
        <v>0.22919999999999999</v>
      </c>
      <c r="AQ967" s="219">
        <v>-1.5653398869289927</v>
      </c>
      <c r="AR967" s="213" t="s">
        <v>1827</v>
      </c>
      <c r="AU967" s="343"/>
      <c r="AV967" s="343"/>
      <c r="AW967" s="328"/>
      <c r="AX967" s="329"/>
      <c r="AY967" s="328"/>
      <c r="AZ967" s="328"/>
      <c r="BA967" s="330"/>
      <c r="BB967" s="328"/>
      <c r="BC967" s="328"/>
      <c r="BD967" s="328"/>
      <c r="BE967" s="330"/>
      <c r="BF967" s="330"/>
      <c r="BG967" s="344"/>
      <c r="BH967" s="383"/>
      <c r="BI967" s="330"/>
      <c r="BJ967" s="330"/>
      <c r="BK967" s="330"/>
      <c r="BL967" s="330"/>
      <c r="BM967" s="330"/>
      <c r="BN967" s="330"/>
      <c r="BO967" s="330"/>
      <c r="BP967" s="331"/>
      <c r="BQ967" s="332"/>
      <c r="BR967" s="333"/>
    </row>
    <row r="968" spans="2:70" ht="15.75" customHeight="1">
      <c r="B968" s="216" t="s">
        <v>1611</v>
      </c>
      <c r="C968" s="212">
        <v>1857994</v>
      </c>
      <c r="D968" s="223">
        <v>42119554000152</v>
      </c>
      <c r="E968" s="217" t="s">
        <v>28</v>
      </c>
      <c r="F968" s="217" t="s">
        <v>957</v>
      </c>
      <c r="G968" s="217"/>
      <c r="H968" s="218"/>
      <c r="I968" s="217" t="s">
        <v>1842</v>
      </c>
      <c r="J968" s="217" t="s">
        <v>66</v>
      </c>
      <c r="K968" s="218" t="s">
        <v>954</v>
      </c>
      <c r="L968" s="212" t="s">
        <v>87</v>
      </c>
      <c r="M968" s="250"/>
      <c r="N968" s="239">
        <v>44498</v>
      </c>
      <c r="O968" s="210" t="s">
        <v>623</v>
      </c>
      <c r="P968" s="210" t="s">
        <v>1088</v>
      </c>
      <c r="Q968" s="210" t="s">
        <v>1089</v>
      </c>
      <c r="R968" s="210" t="s">
        <v>1084</v>
      </c>
      <c r="S968" s="210" t="s">
        <v>1078</v>
      </c>
      <c r="T968" s="210" t="s">
        <v>1079</v>
      </c>
      <c r="U968" s="210" t="s">
        <v>65</v>
      </c>
      <c r="V968" s="210" t="s">
        <v>1080</v>
      </c>
      <c r="W968" s="211" t="s">
        <v>1007</v>
      </c>
      <c r="X968" s="211">
        <v>500</v>
      </c>
      <c r="Y968" s="211">
        <v>500</v>
      </c>
      <c r="Z968" s="212">
        <v>500</v>
      </c>
      <c r="AA968" s="240">
        <v>3</v>
      </c>
      <c r="AB968" s="213">
        <v>1.4999999999999999E-2</v>
      </c>
      <c r="AC968" s="213">
        <v>0.1</v>
      </c>
      <c r="AD968" s="213" t="s">
        <v>1014</v>
      </c>
      <c r="AE968" s="213">
        <v>4.0000000000000001E-3</v>
      </c>
      <c r="AF968" s="241">
        <v>8964523.5600000005</v>
      </c>
      <c r="AG968" s="241">
        <v>8964523.5600000005</v>
      </c>
      <c r="AH968" s="213">
        <v>-5.0200000000000002E-2</v>
      </c>
      <c r="AI968" s="352">
        <v>-0.77380000000000004</v>
      </c>
      <c r="AJ968" s="213" t="s">
        <v>66</v>
      </c>
      <c r="AK968" s="352" t="s">
        <v>66</v>
      </c>
      <c r="AL968" s="213" t="s">
        <v>66</v>
      </c>
      <c r="AM968" s="352" t="s">
        <v>66</v>
      </c>
      <c r="AN968" s="213" t="s">
        <v>66</v>
      </c>
      <c r="AO968" s="352" t="s">
        <v>66</v>
      </c>
      <c r="AP968" s="213" t="s">
        <v>66</v>
      </c>
      <c r="AQ968" s="219" t="s">
        <v>66</v>
      </c>
      <c r="AR968" s="213" t="s">
        <v>1824</v>
      </c>
      <c r="AV968" s="343"/>
      <c r="AW968" s="328"/>
      <c r="AX968" s="329"/>
      <c r="AY968" s="328"/>
      <c r="AZ968" s="328"/>
      <c r="BA968" s="330"/>
      <c r="BB968" s="328"/>
      <c r="BC968" s="328"/>
      <c r="BD968" s="328"/>
      <c r="BE968" s="330"/>
      <c r="BF968" s="330"/>
      <c r="BG968" s="344"/>
      <c r="BH968" s="330"/>
      <c r="BI968" s="330"/>
      <c r="BJ968" s="330"/>
      <c r="BK968" s="330"/>
      <c r="BL968" s="330"/>
      <c r="BM968" s="330"/>
      <c r="BN968" s="330"/>
      <c r="BO968" s="330"/>
      <c r="BP968" s="331"/>
      <c r="BQ968" s="332"/>
      <c r="BR968" s="333"/>
    </row>
    <row r="969" spans="2:70" ht="15.75" customHeight="1">
      <c r="B969" s="216" t="s">
        <v>622</v>
      </c>
      <c r="C969" s="212">
        <v>2617854</v>
      </c>
      <c r="D969" s="223">
        <v>31923988000194</v>
      </c>
      <c r="E969" s="217" t="s">
        <v>28</v>
      </c>
      <c r="F969" s="217" t="s">
        <v>957</v>
      </c>
      <c r="G969" s="217"/>
      <c r="H969" s="218"/>
      <c r="I969" s="217" t="s">
        <v>1842</v>
      </c>
      <c r="J969" s="217" t="s">
        <v>66</v>
      </c>
      <c r="K969" s="218" t="s">
        <v>951</v>
      </c>
      <c r="L969" s="212" t="s">
        <v>87</v>
      </c>
      <c r="M969" s="250"/>
      <c r="N969" s="239">
        <v>43606</v>
      </c>
      <c r="O969" s="210" t="s">
        <v>623</v>
      </c>
      <c r="P969" s="210" t="s">
        <v>1090</v>
      </c>
      <c r="Q969" s="210" t="s">
        <v>1091</v>
      </c>
      <c r="R969" s="210" t="s">
        <v>1084</v>
      </c>
      <c r="S969" s="210" t="s">
        <v>1078</v>
      </c>
      <c r="T969" s="210" t="s">
        <v>1079</v>
      </c>
      <c r="U969" s="210" t="s">
        <v>950</v>
      </c>
      <c r="V969" s="210" t="s">
        <v>1080</v>
      </c>
      <c r="W969" s="211" t="s">
        <v>1018</v>
      </c>
      <c r="X969" s="211">
        <v>1000</v>
      </c>
      <c r="Y969" s="211">
        <v>500</v>
      </c>
      <c r="Z969" s="212">
        <v>500</v>
      </c>
      <c r="AA969" s="240">
        <v>3</v>
      </c>
      <c r="AB969" s="213">
        <v>0.01</v>
      </c>
      <c r="AC969" s="213">
        <v>0</v>
      </c>
      <c r="AD969" s="213" t="s">
        <v>1014</v>
      </c>
      <c r="AE969" s="213">
        <v>2.9333333333333334E-3</v>
      </c>
      <c r="AF969" s="241">
        <v>9570357.0899999999</v>
      </c>
      <c r="AG969" s="241">
        <v>9570357.0899999999</v>
      </c>
      <c r="AH969" s="213">
        <v>3.8699999999999998E-2</v>
      </c>
      <c r="AI969" s="352">
        <v>0.59540000000000004</v>
      </c>
      <c r="AJ969" s="213">
        <v>-0.15</v>
      </c>
      <c r="AK969" s="352">
        <v>-1.5942000000000001</v>
      </c>
      <c r="AL969" s="213">
        <v>1.3299999999999999E-2</v>
      </c>
      <c r="AM969" s="352">
        <v>0.1103</v>
      </c>
      <c r="AN969" s="213">
        <v>6.8900000000000003E-2</v>
      </c>
      <c r="AO969" s="352">
        <v>0.40860000000000002</v>
      </c>
      <c r="AP969" s="213">
        <v>0.19239999999999999</v>
      </c>
      <c r="AQ969" s="219">
        <v>-1.2158497443787863</v>
      </c>
      <c r="AR969" s="213" t="s">
        <v>1827</v>
      </c>
      <c r="AV969" s="343"/>
      <c r="AW969" s="328"/>
      <c r="AX969" s="329"/>
      <c r="AY969" s="328"/>
      <c r="AZ969" s="328"/>
      <c r="BA969" s="330"/>
      <c r="BB969" s="328"/>
      <c r="BC969" s="328"/>
      <c r="BD969" s="328"/>
      <c r="BE969" s="330"/>
      <c r="BF969" s="330"/>
      <c r="BG969" s="344"/>
      <c r="BH969" s="330"/>
      <c r="BI969" s="330"/>
      <c r="BJ969" s="330"/>
      <c r="BK969" s="330"/>
      <c r="BL969" s="330"/>
      <c r="BM969" s="330"/>
      <c r="BN969" s="330"/>
      <c r="BO969" s="330"/>
      <c r="BP969" s="331"/>
      <c r="BQ969" s="332"/>
      <c r="BR969" s="333"/>
    </row>
    <row r="970" spans="2:70" ht="15.75" customHeight="1">
      <c r="B970" s="216" t="s">
        <v>1612</v>
      </c>
      <c r="C970" s="212">
        <v>3013633</v>
      </c>
      <c r="D970" s="223">
        <v>37308394000150</v>
      </c>
      <c r="E970" s="217" t="s">
        <v>28</v>
      </c>
      <c r="F970" s="217" t="s">
        <v>950</v>
      </c>
      <c r="G970" s="217"/>
      <c r="H970" s="218"/>
      <c r="I970" s="217" t="s">
        <v>66</v>
      </c>
      <c r="J970" s="217" t="s">
        <v>66</v>
      </c>
      <c r="K970" s="218" t="s">
        <v>954</v>
      </c>
      <c r="L970" s="212"/>
      <c r="M970" s="250"/>
      <c r="N970" s="239">
        <v>44053</v>
      </c>
      <c r="O970" s="210" t="s">
        <v>623</v>
      </c>
      <c r="P970" s="210" t="s">
        <v>1088</v>
      </c>
      <c r="Q970" s="210" t="s">
        <v>1089</v>
      </c>
      <c r="R970" s="210" t="s">
        <v>1077</v>
      </c>
      <c r="S970" s="210" t="s">
        <v>1078</v>
      </c>
      <c r="T970" s="210" t="s">
        <v>1079</v>
      </c>
      <c r="U970" s="210" t="s">
        <v>65</v>
      </c>
      <c r="V970" s="210" t="s">
        <v>1080</v>
      </c>
      <c r="W970" s="211" t="s">
        <v>1036</v>
      </c>
      <c r="X970" s="211">
        <v>5000</v>
      </c>
      <c r="Y970" s="211">
        <v>500</v>
      </c>
      <c r="Z970" s="212">
        <v>500</v>
      </c>
      <c r="AA970" s="240">
        <v>4</v>
      </c>
      <c r="AB970" s="213">
        <v>8.5000000000000006E-3</v>
      </c>
      <c r="AC970" s="213">
        <v>0</v>
      </c>
      <c r="AD970" s="213" t="s">
        <v>1157</v>
      </c>
      <c r="AE970" s="213">
        <v>4.0233333333333328E-3</v>
      </c>
      <c r="AF970" s="241">
        <v>286089629.19999999</v>
      </c>
      <c r="AG970" s="241">
        <v>286089629.19999999</v>
      </c>
      <c r="AH970" s="213">
        <v>-0.2175</v>
      </c>
      <c r="AI970" s="352">
        <v>-3.35</v>
      </c>
      <c r="AJ970" s="213">
        <v>-0.1168</v>
      </c>
      <c r="AK970" s="352">
        <v>-1.2411000000000001</v>
      </c>
      <c r="AL970" s="213" t="s">
        <v>66</v>
      </c>
      <c r="AM970" s="352" t="s">
        <v>66</v>
      </c>
      <c r="AN970" s="213" t="s">
        <v>66</v>
      </c>
      <c r="AO970" s="352" t="s">
        <v>66</v>
      </c>
      <c r="AP970" s="213">
        <v>0.20599999999999999</v>
      </c>
      <c r="AQ970" s="219">
        <v>-0.93666164115022299</v>
      </c>
      <c r="AR970" s="213" t="s">
        <v>1824</v>
      </c>
      <c r="AV970" s="343"/>
      <c r="AW970" s="328"/>
      <c r="AX970" s="329"/>
      <c r="AY970" s="328"/>
      <c r="AZ970" s="328"/>
      <c r="BA970" s="330"/>
      <c r="BB970" s="328"/>
      <c r="BC970" s="328"/>
      <c r="BD970" s="328"/>
      <c r="BE970" s="330"/>
      <c r="BF970" s="330"/>
      <c r="BG970" s="344"/>
      <c r="BH970" s="330"/>
      <c r="BI970" s="330"/>
      <c r="BJ970" s="330"/>
      <c r="BK970" s="330"/>
      <c r="BL970" s="330"/>
      <c r="BM970" s="330"/>
      <c r="BN970" s="330"/>
      <c r="BO970" s="330"/>
      <c r="BP970" s="331"/>
      <c r="BQ970" s="332"/>
      <c r="BR970" s="333"/>
    </row>
    <row r="971" spans="2:70" ht="15.75" customHeight="1">
      <c r="B971" s="216" t="s">
        <v>1613</v>
      </c>
      <c r="C971" s="212">
        <v>564899</v>
      </c>
      <c r="D971" s="223">
        <v>35744790000102</v>
      </c>
      <c r="E971" s="217" t="s">
        <v>25</v>
      </c>
      <c r="F971" s="217" t="s">
        <v>959</v>
      </c>
      <c r="G971" s="217" t="s">
        <v>960</v>
      </c>
      <c r="H971" s="218" t="s">
        <v>66</v>
      </c>
      <c r="I971" s="217" t="s">
        <v>1842</v>
      </c>
      <c r="J971" s="217" t="s">
        <v>66</v>
      </c>
      <c r="K971" s="218" t="s">
        <v>951</v>
      </c>
      <c r="L971" s="212"/>
      <c r="M971" s="250"/>
      <c r="N971" s="239">
        <v>43922</v>
      </c>
      <c r="O971" s="210" t="s">
        <v>623</v>
      </c>
      <c r="P971" s="210" t="s">
        <v>1090</v>
      </c>
      <c r="Q971" s="210" t="s">
        <v>1091</v>
      </c>
      <c r="R971" s="210" t="s">
        <v>1077</v>
      </c>
      <c r="S971" s="210" t="s">
        <v>1078</v>
      </c>
      <c r="T971" s="210" t="s">
        <v>1082</v>
      </c>
      <c r="U971" s="210" t="s">
        <v>65</v>
      </c>
      <c r="V971" s="210" t="s">
        <v>25</v>
      </c>
      <c r="W971" s="211" t="s">
        <v>1028</v>
      </c>
      <c r="X971" s="211">
        <v>5000</v>
      </c>
      <c r="Y971" s="211">
        <v>500</v>
      </c>
      <c r="Z971" s="212">
        <v>5000</v>
      </c>
      <c r="AA971" s="240">
        <v>10</v>
      </c>
      <c r="AB971" s="213">
        <v>7.4999999999999997E-3</v>
      </c>
      <c r="AC971" s="213">
        <v>0</v>
      </c>
      <c r="AD971" s="213" t="s">
        <v>113</v>
      </c>
      <c r="AE971" s="213">
        <v>4.3499999999999997E-3</v>
      </c>
      <c r="AF971" s="241">
        <v>48073538.289999999</v>
      </c>
      <c r="AG971" s="241">
        <v>48073538.289999999</v>
      </c>
      <c r="AH971" s="213">
        <v>-3.9300000000000002E-2</v>
      </c>
      <c r="AI971" s="352">
        <v>-0.60580000000000001</v>
      </c>
      <c r="AJ971" s="213">
        <v>-8.6199999999999999E-2</v>
      </c>
      <c r="AK971" s="352">
        <v>-0.91649999999999998</v>
      </c>
      <c r="AL971" s="213">
        <v>1.84E-2</v>
      </c>
      <c r="AM971" s="352">
        <v>0.15229999999999999</v>
      </c>
      <c r="AN971" s="213" t="s">
        <v>66</v>
      </c>
      <c r="AO971" s="352" t="s">
        <v>66</v>
      </c>
      <c r="AP971" s="213">
        <v>0.10589999999999999</v>
      </c>
      <c r="AQ971" s="219">
        <v>-1.6480523005520058</v>
      </c>
      <c r="AR971" s="213" t="s">
        <v>1827</v>
      </c>
      <c r="AV971" s="343"/>
      <c r="AW971" s="328"/>
      <c r="AX971" s="329"/>
      <c r="AY971" s="328"/>
      <c r="AZ971" s="328"/>
      <c r="BA971" s="330"/>
      <c r="BB971" s="328"/>
      <c r="BC971" s="328"/>
      <c r="BD971" s="328"/>
      <c r="BE971" s="330"/>
      <c r="BF971" s="330"/>
      <c r="BG971" s="344"/>
      <c r="BH971" s="330"/>
      <c r="BI971" s="330"/>
      <c r="BJ971" s="330"/>
      <c r="BK971" s="330"/>
      <c r="BL971" s="330"/>
      <c r="BM971" s="330"/>
      <c r="BN971" s="330"/>
      <c r="BO971" s="330"/>
      <c r="BP971" s="331"/>
      <c r="BQ971" s="332"/>
      <c r="BR971" s="333"/>
    </row>
    <row r="972" spans="2:70" ht="15.75" customHeight="1">
      <c r="B972" s="216" t="s">
        <v>624</v>
      </c>
      <c r="C972" s="212">
        <v>2591030</v>
      </c>
      <c r="D972" s="223">
        <v>11301137000100</v>
      </c>
      <c r="E972" s="217" t="s">
        <v>25</v>
      </c>
      <c r="F972" s="217" t="s">
        <v>958</v>
      </c>
      <c r="G972" s="217" t="s">
        <v>962</v>
      </c>
      <c r="H972" s="218" t="s">
        <v>66</v>
      </c>
      <c r="I972" s="217" t="s">
        <v>1842</v>
      </c>
      <c r="J972" s="217" t="s">
        <v>66</v>
      </c>
      <c r="K972" s="218"/>
      <c r="L972" s="212" t="s">
        <v>87</v>
      </c>
      <c r="M972" s="250"/>
      <c r="N972" s="239">
        <v>40154</v>
      </c>
      <c r="O972" s="210" t="s">
        <v>625</v>
      </c>
      <c r="P972" s="210" t="s">
        <v>1614</v>
      </c>
      <c r="Q972" s="210" t="s">
        <v>1110</v>
      </c>
      <c r="R972" s="210" t="s">
        <v>1084</v>
      </c>
      <c r="S972" s="210" t="s">
        <v>1078</v>
      </c>
      <c r="T972" s="210" t="s">
        <v>1082</v>
      </c>
      <c r="U972" s="210" t="s">
        <v>958</v>
      </c>
      <c r="V972" s="210" t="s">
        <v>25</v>
      </c>
      <c r="W972" s="211" t="s">
        <v>1019</v>
      </c>
      <c r="X972" s="211">
        <v>500</v>
      </c>
      <c r="Y972" s="211">
        <v>100</v>
      </c>
      <c r="Z972" s="212">
        <v>100</v>
      </c>
      <c r="AA972" s="240">
        <v>31</v>
      </c>
      <c r="AB972" s="213">
        <v>0.02</v>
      </c>
      <c r="AC972" s="213">
        <v>0.2</v>
      </c>
      <c r="AD972" s="213" t="s">
        <v>109</v>
      </c>
      <c r="AE972" s="213">
        <v>4.6666666666666662E-3</v>
      </c>
      <c r="AF972" s="241">
        <v>150877265.24000001</v>
      </c>
      <c r="AG972" s="241">
        <v>150877265.24000001</v>
      </c>
      <c r="AH972" s="213">
        <v>0.1537</v>
      </c>
      <c r="AI972" s="352">
        <v>2.3675999999999999</v>
      </c>
      <c r="AJ972" s="213">
        <v>0.1565</v>
      </c>
      <c r="AK972" s="352">
        <v>1.6634</v>
      </c>
      <c r="AL972" s="213">
        <v>0.45029999999999998</v>
      </c>
      <c r="AM972" s="352">
        <v>3.7277999999999998</v>
      </c>
      <c r="AN972" s="213">
        <v>0.66169999999999995</v>
      </c>
      <c r="AO972" s="352">
        <v>3.9266999999999999</v>
      </c>
      <c r="AP972" s="213">
        <v>0.17019999999999999</v>
      </c>
      <c r="AQ972" s="219">
        <v>0.41070823897700692</v>
      </c>
      <c r="AR972" s="213" t="s">
        <v>1827</v>
      </c>
      <c r="AV972" s="343"/>
      <c r="AW972" s="328"/>
      <c r="AX972" s="329"/>
      <c r="AY972" s="328"/>
      <c r="AZ972" s="328"/>
      <c r="BA972" s="330"/>
      <c r="BB972" s="328"/>
      <c r="BC972" s="328"/>
      <c r="BD972" s="328"/>
      <c r="BE972" s="330"/>
      <c r="BF972" s="330"/>
      <c r="BG972" s="344"/>
      <c r="BH972" s="330"/>
      <c r="BI972" s="330"/>
      <c r="BJ972" s="330"/>
      <c r="BK972" s="330"/>
      <c r="BL972" s="330"/>
      <c r="BM972" s="330"/>
      <c r="BN972" s="330"/>
      <c r="BO972" s="330"/>
      <c r="BP972" s="331"/>
      <c r="BQ972" s="332"/>
      <c r="BR972" s="333"/>
    </row>
    <row r="973" spans="2:70" ht="15.75" customHeight="1">
      <c r="B973" s="216" t="s">
        <v>1615</v>
      </c>
      <c r="C973" s="212">
        <v>542560</v>
      </c>
      <c r="D973" s="223">
        <v>27880333000109</v>
      </c>
      <c r="E973" s="217" t="s">
        <v>25</v>
      </c>
      <c r="F973" s="217" t="s">
        <v>958</v>
      </c>
      <c r="G973" s="217" t="s">
        <v>962</v>
      </c>
      <c r="H973" s="218" t="s">
        <v>66</v>
      </c>
      <c r="I973" s="217" t="s">
        <v>1841</v>
      </c>
      <c r="J973" s="217" t="s">
        <v>66</v>
      </c>
      <c r="K973" s="218"/>
      <c r="L973" s="212" t="s">
        <v>87</v>
      </c>
      <c r="M973" s="250"/>
      <c r="N973" s="239">
        <v>42954</v>
      </c>
      <c r="O973" s="210" t="s">
        <v>330</v>
      </c>
      <c r="P973" s="210" t="s">
        <v>1075</v>
      </c>
      <c r="Q973" s="210" t="s">
        <v>1076</v>
      </c>
      <c r="R973" s="210" t="s">
        <v>1084</v>
      </c>
      <c r="S973" s="210" t="s">
        <v>1078</v>
      </c>
      <c r="T973" s="210" t="s">
        <v>1082</v>
      </c>
      <c r="U973" s="210" t="s">
        <v>958</v>
      </c>
      <c r="V973" s="210" t="s">
        <v>25</v>
      </c>
      <c r="W973" s="211" t="s">
        <v>1016</v>
      </c>
      <c r="X973" s="211">
        <v>1000</v>
      </c>
      <c r="Y973" s="211">
        <v>100</v>
      </c>
      <c r="Z973" s="212">
        <v>500</v>
      </c>
      <c r="AA973" s="240">
        <v>35</v>
      </c>
      <c r="AB973" s="213">
        <v>0.01</v>
      </c>
      <c r="AC973" s="213">
        <v>0.2</v>
      </c>
      <c r="AD973" s="213" t="s">
        <v>1100</v>
      </c>
      <c r="AE973" s="213">
        <v>3.3333333333333331E-3</v>
      </c>
      <c r="AF973" s="241">
        <v>16125512.470000001</v>
      </c>
      <c r="AG973" s="241">
        <v>16125512.470000001</v>
      </c>
      <c r="AH973" s="213">
        <v>5.8900000000000001E-2</v>
      </c>
      <c r="AI973" s="352">
        <v>0.90710000000000002</v>
      </c>
      <c r="AJ973" s="213">
        <v>3.3500000000000002E-2</v>
      </c>
      <c r="AK973" s="352">
        <v>0.35599999999999998</v>
      </c>
      <c r="AL973" s="213">
        <v>7.51E-2</v>
      </c>
      <c r="AM973" s="352">
        <v>0.62150000000000005</v>
      </c>
      <c r="AN973" s="213">
        <v>0.11609999999999999</v>
      </c>
      <c r="AO973" s="352">
        <v>0.68869999999999998</v>
      </c>
      <c r="AP973" s="213">
        <v>3.7699999999999997E-2</v>
      </c>
      <c r="AQ973" s="219">
        <v>-1.4925688707220632</v>
      </c>
      <c r="AR973" s="213" t="s">
        <v>1827</v>
      </c>
      <c r="AV973" s="343"/>
      <c r="AW973" s="328"/>
      <c r="AX973" s="329"/>
      <c r="AY973" s="328"/>
      <c r="AZ973" s="328"/>
      <c r="BA973" s="330"/>
      <c r="BB973" s="328"/>
      <c r="BC973" s="328"/>
      <c r="BD973" s="328"/>
      <c r="BE973" s="330"/>
      <c r="BF973" s="330"/>
      <c r="BG973" s="344"/>
      <c r="BH973" s="330"/>
      <c r="BI973" s="330"/>
      <c r="BJ973" s="330"/>
      <c r="BK973" s="330"/>
      <c r="BL973" s="330"/>
      <c r="BM973" s="330"/>
      <c r="BN973" s="330"/>
      <c r="BO973" s="330"/>
      <c r="BP973" s="331"/>
      <c r="BQ973" s="332"/>
      <c r="BR973" s="333"/>
    </row>
    <row r="974" spans="2:70" ht="15.75" customHeight="1">
      <c r="B974" s="216" t="s">
        <v>788</v>
      </c>
      <c r="C974" s="212">
        <v>1171028</v>
      </c>
      <c r="D974" s="223">
        <v>25274966000148</v>
      </c>
      <c r="E974" s="217" t="s">
        <v>19</v>
      </c>
      <c r="F974" s="217" t="s">
        <v>963</v>
      </c>
      <c r="G974" s="217" t="s">
        <v>1034</v>
      </c>
      <c r="H974" s="218"/>
      <c r="I974" s="217" t="s">
        <v>66</v>
      </c>
      <c r="J974" s="217" t="s">
        <v>1822</v>
      </c>
      <c r="K974" s="218" t="s">
        <v>951</v>
      </c>
      <c r="L974" s="212" t="s">
        <v>87</v>
      </c>
      <c r="M974" s="250"/>
      <c r="N974" s="239">
        <v>42681</v>
      </c>
      <c r="O974" s="210" t="s">
        <v>789</v>
      </c>
      <c r="P974" s="210" t="s">
        <v>1616</v>
      </c>
      <c r="Q974" s="210" t="s">
        <v>1616</v>
      </c>
      <c r="R974" s="210" t="s">
        <v>1084</v>
      </c>
      <c r="S974" s="210" t="s">
        <v>1078</v>
      </c>
      <c r="T974" s="210" t="s">
        <v>349</v>
      </c>
      <c r="U974" s="210" t="s">
        <v>1114</v>
      </c>
      <c r="V974" s="210" t="s">
        <v>19</v>
      </c>
      <c r="W974" s="211" t="s">
        <v>1895</v>
      </c>
      <c r="X974" s="211">
        <v>25000</v>
      </c>
      <c r="Y974" s="211">
        <v>5000</v>
      </c>
      <c r="Z974" s="212">
        <v>25000</v>
      </c>
      <c r="AA974" s="240">
        <v>15</v>
      </c>
      <c r="AB974" s="213">
        <v>6.0000000000000001E-3</v>
      </c>
      <c r="AC974" s="213">
        <v>0.2</v>
      </c>
      <c r="AD974" s="213" t="s">
        <v>109</v>
      </c>
      <c r="AE974" s="213">
        <v>8.8000000000000003E-4</v>
      </c>
      <c r="AF974" s="241">
        <v>3364033.54</v>
      </c>
      <c r="AG974" s="241">
        <v>3364033.54</v>
      </c>
      <c r="AH974" s="213">
        <v>7.0599999999999996E-2</v>
      </c>
      <c r="AI974" s="352">
        <v>1.0878000000000001</v>
      </c>
      <c r="AJ974" s="213">
        <v>0.16170000000000001</v>
      </c>
      <c r="AK974" s="352">
        <v>1.7186999999999999</v>
      </c>
      <c r="AL974" s="213">
        <v>6.8000000000000005E-2</v>
      </c>
      <c r="AM974" s="352">
        <v>0.56299999999999994</v>
      </c>
      <c r="AN974" s="213">
        <v>2.8799999999999999E-2</v>
      </c>
      <c r="AO974" s="352">
        <v>0.17100000000000001</v>
      </c>
      <c r="AP974" s="213">
        <v>3.04E-2</v>
      </c>
      <c r="AQ974" s="219">
        <v>1.9857223984086776</v>
      </c>
      <c r="AR974" s="213" t="s">
        <v>1827</v>
      </c>
      <c r="AV974" s="343"/>
      <c r="AW974" s="328"/>
      <c r="AX974" s="329"/>
      <c r="AY974" s="328"/>
      <c r="AZ974" s="328"/>
      <c r="BA974" s="330"/>
      <c r="BB974" s="328"/>
      <c r="BC974" s="328"/>
      <c r="BD974" s="328"/>
      <c r="BE974" s="330"/>
      <c r="BF974" s="330"/>
      <c r="BG974" s="344"/>
      <c r="BH974" s="330"/>
      <c r="BI974" s="330"/>
      <c r="BJ974" s="330"/>
      <c r="BK974" s="330"/>
      <c r="BL974" s="330"/>
      <c r="BM974" s="330"/>
      <c r="BN974" s="330"/>
      <c r="BO974" s="330"/>
      <c r="BP974" s="331"/>
      <c r="BQ974" s="332"/>
      <c r="BR974" s="333"/>
    </row>
    <row r="975" spans="2:70" ht="15.75" customHeight="1">
      <c r="B975" s="216" t="s">
        <v>626</v>
      </c>
      <c r="C975" s="212">
        <v>1411503</v>
      </c>
      <c r="D975" s="223">
        <v>2444266000159</v>
      </c>
      <c r="E975" s="217" t="s">
        <v>28</v>
      </c>
      <c r="F975" s="217" t="s">
        <v>950</v>
      </c>
      <c r="G975" s="217"/>
      <c r="H975" s="218"/>
      <c r="I975" s="217" t="s">
        <v>66</v>
      </c>
      <c r="J975" s="217" t="s">
        <v>66</v>
      </c>
      <c r="K975" s="218" t="s">
        <v>951</v>
      </c>
      <c r="L975" s="212" t="s">
        <v>87</v>
      </c>
      <c r="M975" s="250"/>
      <c r="N975" s="239">
        <v>39464</v>
      </c>
      <c r="O975" s="210" t="s">
        <v>541</v>
      </c>
      <c r="P975" s="210" t="s">
        <v>1083</v>
      </c>
      <c r="Q975" s="210" t="s">
        <v>102</v>
      </c>
      <c r="R975" s="210" t="s">
        <v>1084</v>
      </c>
      <c r="S975" s="210" t="s">
        <v>1078</v>
      </c>
      <c r="T975" s="210" t="s">
        <v>1079</v>
      </c>
      <c r="U975" s="210" t="s">
        <v>950</v>
      </c>
      <c r="V975" s="210" t="s">
        <v>1080</v>
      </c>
      <c r="W975" s="211" t="s">
        <v>1007</v>
      </c>
      <c r="X975" s="211">
        <v>5000</v>
      </c>
      <c r="Y975" s="211">
        <v>1000</v>
      </c>
      <c r="Z975" s="212">
        <v>5000</v>
      </c>
      <c r="AA975" s="240">
        <v>17</v>
      </c>
      <c r="AB975" s="213">
        <v>1.7999999999999999E-2</v>
      </c>
      <c r="AC975" s="213">
        <v>0.2</v>
      </c>
      <c r="AD975" s="213" t="s">
        <v>1014</v>
      </c>
      <c r="AE975" s="213">
        <v>3.5999999999999995E-3</v>
      </c>
      <c r="AF975" s="241">
        <v>280326226.16000003</v>
      </c>
      <c r="AG975" s="241">
        <v>280326226.16000003</v>
      </c>
      <c r="AH975" s="213">
        <v>3.8399999999999997E-2</v>
      </c>
      <c r="AI975" s="352">
        <v>0.59109999999999996</v>
      </c>
      <c r="AJ975" s="213">
        <v>-8.0500000000000002E-2</v>
      </c>
      <c r="AK975" s="352">
        <v>-0.85560000000000003</v>
      </c>
      <c r="AL975" s="213">
        <v>0.12559999999999999</v>
      </c>
      <c r="AM975" s="352">
        <v>1.04</v>
      </c>
      <c r="AN975" s="213">
        <v>0.25600000000000001</v>
      </c>
      <c r="AO975" s="352">
        <v>1.5190999999999999</v>
      </c>
      <c r="AP975" s="213">
        <v>0.23599999999999999</v>
      </c>
      <c r="AQ975" s="219">
        <v>-0.61893125980341546</v>
      </c>
      <c r="AR975" s="213" t="s">
        <v>1827</v>
      </c>
      <c r="AV975" s="343"/>
      <c r="AW975" s="328"/>
      <c r="AX975" s="329"/>
      <c r="AY975" s="328"/>
      <c r="AZ975" s="328"/>
      <c r="BA975" s="330"/>
      <c r="BB975" s="328"/>
      <c r="BC975" s="328"/>
      <c r="BD975" s="328"/>
      <c r="BE975" s="330"/>
      <c r="BF975" s="330"/>
      <c r="BG975" s="344"/>
      <c r="BH975" s="330"/>
      <c r="BI975" s="330"/>
      <c r="BJ975" s="330"/>
      <c r="BK975" s="330"/>
      <c r="BL975" s="330"/>
      <c r="BM975" s="330"/>
      <c r="BN975" s="330"/>
      <c r="BO975" s="330"/>
      <c r="BP975" s="331"/>
      <c r="BQ975" s="332"/>
      <c r="BR975" s="333"/>
    </row>
    <row r="976" spans="2:70" ht="15.75" customHeight="1">
      <c r="B976" s="216" t="s">
        <v>1618</v>
      </c>
      <c r="C976" s="212">
        <v>374459</v>
      </c>
      <c r="D976" s="223">
        <v>34507252000123</v>
      </c>
      <c r="E976" s="217" t="s">
        <v>28</v>
      </c>
      <c r="F976" s="217" t="s">
        <v>950</v>
      </c>
      <c r="G976" s="217"/>
      <c r="H976" s="218"/>
      <c r="I976" s="217" t="s">
        <v>66</v>
      </c>
      <c r="J976" s="217" t="s">
        <v>66</v>
      </c>
      <c r="K976" s="218" t="s">
        <v>951</v>
      </c>
      <c r="L976" s="212" t="s">
        <v>87</v>
      </c>
      <c r="M976" s="250"/>
      <c r="N976" s="239">
        <v>43935</v>
      </c>
      <c r="O976" s="210" t="s">
        <v>628</v>
      </c>
      <c r="P976" s="210" t="s">
        <v>1090</v>
      </c>
      <c r="Q976" s="210" t="s">
        <v>1091</v>
      </c>
      <c r="R976" s="210" t="s">
        <v>1077</v>
      </c>
      <c r="S976" s="210" t="s">
        <v>1078</v>
      </c>
      <c r="T976" s="210" t="s">
        <v>1079</v>
      </c>
      <c r="U976" s="210" t="s">
        <v>950</v>
      </c>
      <c r="V976" s="210" t="s">
        <v>1080</v>
      </c>
      <c r="W976" s="211" t="s">
        <v>1007</v>
      </c>
      <c r="X976" s="211">
        <v>1000</v>
      </c>
      <c r="Y976" s="211">
        <v>1000</v>
      </c>
      <c r="Z976" s="212">
        <v>1000</v>
      </c>
      <c r="AA976" s="240">
        <v>60</v>
      </c>
      <c r="AB976" s="213">
        <v>1.8499999999999999E-2</v>
      </c>
      <c r="AC976" s="213">
        <v>0.2</v>
      </c>
      <c r="AD976" s="213" t="s">
        <v>113</v>
      </c>
      <c r="AE976" s="213">
        <v>3.7000000000000002E-3</v>
      </c>
      <c r="AF976" s="241">
        <v>18732902.399999999</v>
      </c>
      <c r="AG976" s="241">
        <v>18732902.399999999</v>
      </c>
      <c r="AH976" s="213">
        <v>4.8399999999999999E-2</v>
      </c>
      <c r="AI976" s="352">
        <v>0.74609999999999999</v>
      </c>
      <c r="AJ976" s="213">
        <v>-0.22270000000000001</v>
      </c>
      <c r="AK976" s="352">
        <v>-2.3672</v>
      </c>
      <c r="AL976" s="213">
        <v>-1.7399999999999999E-2</v>
      </c>
      <c r="AM976" s="352">
        <v>-0.14399999999999999</v>
      </c>
      <c r="AN976" s="213" t="s">
        <v>66</v>
      </c>
      <c r="AO976" s="352" t="s">
        <v>66</v>
      </c>
      <c r="AP976" s="213">
        <v>0.2636</v>
      </c>
      <c r="AQ976" s="219">
        <v>-1.165018707678245</v>
      </c>
      <c r="AR976" s="213" t="s">
        <v>1827</v>
      </c>
      <c r="AV976" s="343"/>
      <c r="AW976" s="328"/>
      <c r="AX976" s="329"/>
      <c r="AY976" s="328"/>
      <c r="AZ976" s="328"/>
      <c r="BA976" s="330"/>
      <c r="BB976" s="328"/>
      <c r="BC976" s="328"/>
      <c r="BD976" s="328"/>
      <c r="BE976" s="330"/>
      <c r="BF976" s="330"/>
      <c r="BG976" s="344"/>
      <c r="BH976" s="330"/>
      <c r="BI976" s="330"/>
      <c r="BJ976" s="330"/>
      <c r="BK976" s="330"/>
      <c r="BL976" s="330"/>
      <c r="BM976" s="330"/>
      <c r="BN976" s="330"/>
      <c r="BO976" s="330"/>
      <c r="BP976" s="331"/>
      <c r="BQ976" s="332"/>
      <c r="BR976" s="333"/>
    </row>
    <row r="977" spans="2:70" ht="15.75" customHeight="1">
      <c r="B977" s="216" t="s">
        <v>82</v>
      </c>
      <c r="C977" s="212">
        <v>3849905</v>
      </c>
      <c r="D977" s="223">
        <v>12565159000132</v>
      </c>
      <c r="E977" s="217" t="s">
        <v>28</v>
      </c>
      <c r="F977" s="217" t="s">
        <v>950</v>
      </c>
      <c r="G977" s="217"/>
      <c r="H977" s="218"/>
      <c r="I977" s="217" t="s">
        <v>66</v>
      </c>
      <c r="J977" s="217" t="s">
        <v>66</v>
      </c>
      <c r="K977" s="218" t="s">
        <v>951</v>
      </c>
      <c r="L977" s="212" t="s">
        <v>87</v>
      </c>
      <c r="M977" s="250"/>
      <c r="N977" s="239">
        <v>40515</v>
      </c>
      <c r="O977" s="210" t="s">
        <v>629</v>
      </c>
      <c r="P977" s="210" t="s">
        <v>1075</v>
      </c>
      <c r="Q977" s="210" t="s">
        <v>1091</v>
      </c>
      <c r="R977" s="210" t="s">
        <v>1077</v>
      </c>
      <c r="S977" s="210" t="s">
        <v>1078</v>
      </c>
      <c r="T977" s="210" t="s">
        <v>1079</v>
      </c>
      <c r="U977" s="210" t="s">
        <v>950</v>
      </c>
      <c r="V977" s="210" t="s">
        <v>1080</v>
      </c>
      <c r="W977" s="211" t="s">
        <v>1007</v>
      </c>
      <c r="X977" s="211">
        <v>20000</v>
      </c>
      <c r="Y977" s="211">
        <v>5000</v>
      </c>
      <c r="Z977" s="212">
        <v>5000</v>
      </c>
      <c r="AA977" s="240">
        <v>32</v>
      </c>
      <c r="AB977" s="213">
        <v>1.95E-2</v>
      </c>
      <c r="AC977" s="213">
        <v>0.2</v>
      </c>
      <c r="AD977" s="213" t="s">
        <v>203</v>
      </c>
      <c r="AE977" s="213">
        <v>3.8999999999999998E-3</v>
      </c>
      <c r="AF977" s="241">
        <v>652629010.89999998</v>
      </c>
      <c r="AG977" s="241">
        <v>652629010.89999998</v>
      </c>
      <c r="AH977" s="213">
        <v>-4.2900000000000001E-2</v>
      </c>
      <c r="AI977" s="352">
        <v>-0.66020000000000001</v>
      </c>
      <c r="AJ977" s="213">
        <v>-0.22189999999999999</v>
      </c>
      <c r="AK977" s="352">
        <v>-2.3582999999999998</v>
      </c>
      <c r="AL977" s="213">
        <v>-0.1104</v>
      </c>
      <c r="AM977" s="352">
        <v>-0.91420000000000001</v>
      </c>
      <c r="AN977" s="213">
        <v>3.78E-2</v>
      </c>
      <c r="AO977" s="352">
        <v>0.2243</v>
      </c>
      <c r="AP977" s="213">
        <v>0.21340000000000001</v>
      </c>
      <c r="AQ977" s="219">
        <v>-1.4901524919272722</v>
      </c>
      <c r="AR977" s="213" t="s">
        <v>1827</v>
      </c>
      <c r="AU977" s="343"/>
      <c r="AV977" s="343"/>
      <c r="AW977" s="328"/>
      <c r="AX977" s="329"/>
      <c r="AY977" s="328"/>
      <c r="AZ977" s="328"/>
      <c r="BA977" s="330"/>
      <c r="BB977" s="328"/>
      <c r="BC977" s="328"/>
      <c r="BD977" s="328"/>
      <c r="BE977" s="330"/>
      <c r="BF977" s="330"/>
      <c r="BG977" s="344"/>
      <c r="BH977" s="383"/>
      <c r="BI977" s="330"/>
      <c r="BJ977" s="330"/>
      <c r="BK977" s="330"/>
      <c r="BL977" s="330"/>
      <c r="BM977" s="330"/>
      <c r="BN977" s="330"/>
      <c r="BO977" s="330"/>
      <c r="BP977" s="331"/>
      <c r="BQ977" s="332"/>
      <c r="BR977" s="333"/>
    </row>
    <row r="978" spans="2:70" ht="15.75" customHeight="1">
      <c r="B978" s="216" t="s">
        <v>630</v>
      </c>
      <c r="C978" s="212">
        <v>1171018</v>
      </c>
      <c r="D978" s="223">
        <v>17898650000107</v>
      </c>
      <c r="E978" s="217" t="s">
        <v>28</v>
      </c>
      <c r="F978" s="217" t="s">
        <v>950</v>
      </c>
      <c r="G978" s="217"/>
      <c r="H978" s="218"/>
      <c r="I978" s="217" t="s">
        <v>66</v>
      </c>
      <c r="J978" s="217" t="s">
        <v>66</v>
      </c>
      <c r="K978" s="218" t="s">
        <v>951</v>
      </c>
      <c r="L978" s="212" t="s">
        <v>87</v>
      </c>
      <c r="M978" s="250"/>
      <c r="N978" s="239">
        <v>41479</v>
      </c>
      <c r="O978" s="210" t="s">
        <v>629</v>
      </c>
      <c r="P978" s="210" t="s">
        <v>1090</v>
      </c>
      <c r="Q978" s="210" t="s">
        <v>1091</v>
      </c>
      <c r="R978" s="210" t="s">
        <v>1084</v>
      </c>
      <c r="S978" s="210" t="s">
        <v>1078</v>
      </c>
      <c r="T978" s="210" t="s">
        <v>1079</v>
      </c>
      <c r="U978" s="210" t="s">
        <v>950</v>
      </c>
      <c r="V978" s="210" t="s">
        <v>1080</v>
      </c>
      <c r="W978" s="211" t="s">
        <v>1007</v>
      </c>
      <c r="X978" s="211">
        <v>20000</v>
      </c>
      <c r="Y978" s="211">
        <v>5000</v>
      </c>
      <c r="Z978" s="212">
        <v>5000</v>
      </c>
      <c r="AA978" s="240">
        <v>32</v>
      </c>
      <c r="AB978" s="213">
        <v>0.03</v>
      </c>
      <c r="AC978" s="213">
        <v>0</v>
      </c>
      <c r="AD978" s="213" t="s">
        <v>1219</v>
      </c>
      <c r="AE978" s="213">
        <v>5.9999999999999993E-3</v>
      </c>
      <c r="AF978" s="241">
        <v>455720757.35000002</v>
      </c>
      <c r="AG978" s="241">
        <v>455720757.35000002</v>
      </c>
      <c r="AH978" s="213">
        <v>1.6000000000000001E-3</v>
      </c>
      <c r="AI978" s="352">
        <v>2.4400000000000002E-2</v>
      </c>
      <c r="AJ978" s="213">
        <v>-0.1968</v>
      </c>
      <c r="AK978" s="352">
        <v>-2.0914999999999999</v>
      </c>
      <c r="AL978" s="213">
        <v>-7.4099999999999999E-2</v>
      </c>
      <c r="AM978" s="352">
        <v>-0.61329999999999996</v>
      </c>
      <c r="AN978" s="213">
        <v>2.1899999999999999E-2</v>
      </c>
      <c r="AO978" s="352">
        <v>0.12970000000000001</v>
      </c>
      <c r="AP978" s="213">
        <v>0.20949999999999999</v>
      </c>
      <c r="AQ978" s="219">
        <v>-1.3698186426199614</v>
      </c>
      <c r="AR978" s="213" t="s">
        <v>1824</v>
      </c>
      <c r="AV978" s="343"/>
      <c r="AW978" s="328"/>
      <c r="AX978" s="329"/>
      <c r="AY978" s="328"/>
      <c r="AZ978" s="328"/>
      <c r="BA978" s="330"/>
      <c r="BB978" s="328"/>
      <c r="BC978" s="328"/>
      <c r="BD978" s="328"/>
      <c r="BE978" s="330"/>
      <c r="BF978" s="330"/>
      <c r="BG978" s="344"/>
      <c r="BH978" s="330"/>
      <c r="BI978" s="330"/>
      <c r="BJ978" s="330"/>
      <c r="BK978" s="330"/>
      <c r="BL978" s="330"/>
      <c r="BM978" s="330"/>
      <c r="BN978" s="330"/>
      <c r="BO978" s="330"/>
      <c r="BP978" s="331"/>
      <c r="BQ978" s="332"/>
      <c r="BR978" s="333"/>
    </row>
    <row r="979" spans="2:70" ht="15.75" customHeight="1">
      <c r="B979" s="216" t="s">
        <v>1619</v>
      </c>
      <c r="C979" s="212">
        <v>1171007</v>
      </c>
      <c r="D979" s="223">
        <v>8912569000135</v>
      </c>
      <c r="E979" s="217" t="s">
        <v>28</v>
      </c>
      <c r="F979" s="217" t="s">
        <v>950</v>
      </c>
      <c r="G979" s="217"/>
      <c r="H979" s="218"/>
      <c r="I979" s="217" t="s">
        <v>66</v>
      </c>
      <c r="J979" s="217" t="s">
        <v>66</v>
      </c>
      <c r="K979" s="218" t="s">
        <v>951</v>
      </c>
      <c r="L979" s="212" t="s">
        <v>87</v>
      </c>
      <c r="M979" s="250"/>
      <c r="N979" s="239">
        <v>39286</v>
      </c>
      <c r="O979" s="210" t="s">
        <v>629</v>
      </c>
      <c r="P979" s="210" t="s">
        <v>1090</v>
      </c>
      <c r="Q979" s="210" t="s">
        <v>1091</v>
      </c>
      <c r="R979" s="210" t="s">
        <v>1084</v>
      </c>
      <c r="S979" s="210" t="s">
        <v>1085</v>
      </c>
      <c r="T979" s="210" t="s">
        <v>1079</v>
      </c>
      <c r="U979" s="210" t="s">
        <v>950</v>
      </c>
      <c r="V979" s="210" t="s">
        <v>1080</v>
      </c>
      <c r="W979" s="211" t="s">
        <v>1018</v>
      </c>
      <c r="X979" s="211">
        <v>20000</v>
      </c>
      <c r="Y979" s="211">
        <v>5000</v>
      </c>
      <c r="Z979" s="212">
        <v>5000</v>
      </c>
      <c r="AA979" s="240">
        <v>3</v>
      </c>
      <c r="AB979" s="213">
        <v>3.4450000000000001E-2</v>
      </c>
      <c r="AC979" s="213">
        <v>0</v>
      </c>
      <c r="AD979" s="213" t="s">
        <v>1014</v>
      </c>
      <c r="AE979" s="213">
        <v>6.8899999999999994E-3</v>
      </c>
      <c r="AF979" s="241">
        <v>72316989.689999998</v>
      </c>
      <c r="AG979" s="241">
        <v>72316989.689999998</v>
      </c>
      <c r="AH979" s="213">
        <v>3.09E-2</v>
      </c>
      <c r="AI979" s="352">
        <v>0.47539999999999999</v>
      </c>
      <c r="AJ979" s="213">
        <v>-0.15279999999999999</v>
      </c>
      <c r="AK979" s="352">
        <v>-1.6236999999999999</v>
      </c>
      <c r="AL979" s="213">
        <v>1.21E-2</v>
      </c>
      <c r="AM979" s="352">
        <v>9.98E-2</v>
      </c>
      <c r="AN979" s="213">
        <v>3.6400000000000002E-2</v>
      </c>
      <c r="AO979" s="352">
        <v>0.21629999999999999</v>
      </c>
      <c r="AP979" s="213">
        <v>0.1976</v>
      </c>
      <c r="AQ979" s="219">
        <v>-1.1948221502512733</v>
      </c>
      <c r="AR979" s="213" t="s">
        <v>1824</v>
      </c>
      <c r="AV979" s="343"/>
      <c r="AW979" s="328"/>
      <c r="AX979" s="329"/>
      <c r="AY979" s="328"/>
      <c r="AZ979" s="328"/>
      <c r="BA979" s="330"/>
      <c r="BB979" s="328"/>
      <c r="BC979" s="328"/>
      <c r="BD979" s="328"/>
      <c r="BE979" s="330"/>
      <c r="BF979" s="330"/>
      <c r="BG979" s="344"/>
      <c r="BH979" s="330"/>
      <c r="BI979" s="330"/>
      <c r="BJ979" s="330"/>
      <c r="BK979" s="330"/>
      <c r="BL979" s="330"/>
      <c r="BM979" s="330"/>
      <c r="BN979" s="330"/>
      <c r="BO979" s="330"/>
      <c r="BP979" s="331"/>
      <c r="BQ979" s="332"/>
      <c r="BR979" s="333"/>
    </row>
    <row r="980" spans="2:70" ht="15.75" customHeight="1">
      <c r="B980" s="216" t="s">
        <v>79</v>
      </c>
      <c r="C980" s="212">
        <v>1171010</v>
      </c>
      <c r="D980" s="223">
        <v>32068007000131</v>
      </c>
      <c r="E980" s="217" t="s">
        <v>28</v>
      </c>
      <c r="F980" s="217" t="s">
        <v>957</v>
      </c>
      <c r="G980" s="217"/>
      <c r="H980" s="218"/>
      <c r="I980" s="217" t="s">
        <v>1259</v>
      </c>
      <c r="J980" s="217" t="s">
        <v>66</v>
      </c>
      <c r="K980" s="218" t="s">
        <v>951</v>
      </c>
      <c r="L980" s="212" t="s">
        <v>87</v>
      </c>
      <c r="M980" s="250"/>
      <c r="N980" s="239">
        <v>43454</v>
      </c>
      <c r="O980" s="210" t="s">
        <v>629</v>
      </c>
      <c r="P980" s="210" t="s">
        <v>1090</v>
      </c>
      <c r="Q980" s="210" t="s">
        <v>1091</v>
      </c>
      <c r="R980" s="210" t="s">
        <v>1077</v>
      </c>
      <c r="S980" s="210" t="s">
        <v>1085</v>
      </c>
      <c r="T980" s="210" t="s">
        <v>1079</v>
      </c>
      <c r="U980" s="210" t="s">
        <v>957</v>
      </c>
      <c r="V980" s="210" t="s">
        <v>1080</v>
      </c>
      <c r="W980" s="211" t="s">
        <v>1007</v>
      </c>
      <c r="X980" s="211">
        <v>50000</v>
      </c>
      <c r="Y980" s="211">
        <v>5000</v>
      </c>
      <c r="Z980" s="212">
        <v>5000</v>
      </c>
      <c r="AA980" s="240">
        <v>92</v>
      </c>
      <c r="AB980" s="213">
        <v>1.95E-2</v>
      </c>
      <c r="AC980" s="213">
        <v>0.2</v>
      </c>
      <c r="AD980" s="213" t="s">
        <v>109</v>
      </c>
      <c r="AE980" s="213">
        <v>3.8999999999999998E-3</v>
      </c>
      <c r="AF980" s="241">
        <v>870595538.11000001</v>
      </c>
      <c r="AG980" s="241">
        <v>870595538.11000001</v>
      </c>
      <c r="AH980" s="213">
        <v>4.7100000000000003E-2</v>
      </c>
      <c r="AI980" s="352">
        <v>0.72499999999999998</v>
      </c>
      <c r="AJ980" s="213">
        <v>-3.8300000000000001E-2</v>
      </c>
      <c r="AK980" s="352">
        <v>-0.40670000000000001</v>
      </c>
      <c r="AL980" s="213">
        <v>0.1129</v>
      </c>
      <c r="AM980" s="352">
        <v>0.93410000000000004</v>
      </c>
      <c r="AN980" s="213">
        <v>0.50290000000000001</v>
      </c>
      <c r="AO980" s="352">
        <v>2.9843000000000002</v>
      </c>
      <c r="AP980" s="213">
        <v>0.1575</v>
      </c>
      <c r="AQ980" s="219">
        <v>-0.74019337087018044</v>
      </c>
      <c r="AR980" s="213" t="s">
        <v>1827</v>
      </c>
      <c r="AV980" s="343"/>
      <c r="AW980" s="328"/>
      <c r="AX980" s="329"/>
      <c r="AY980" s="328"/>
      <c r="AZ980" s="328"/>
      <c r="BA980" s="330"/>
      <c r="BB980" s="328"/>
      <c r="BC980" s="328"/>
      <c r="BD980" s="328"/>
      <c r="BE980" s="330"/>
      <c r="BF980" s="330"/>
      <c r="BG980" s="344"/>
      <c r="BH980" s="330"/>
      <c r="BI980" s="330"/>
      <c r="BJ980" s="330"/>
      <c r="BK980" s="330"/>
      <c r="BL980" s="330"/>
      <c r="BM980" s="330"/>
      <c r="BN980" s="330"/>
      <c r="BO980" s="330"/>
      <c r="BP980" s="331"/>
      <c r="BQ980" s="332"/>
      <c r="BR980" s="333"/>
    </row>
    <row r="981" spans="2:70" ht="15.75" customHeight="1">
      <c r="B981" s="216" t="s">
        <v>631</v>
      </c>
      <c r="C981" s="212">
        <v>2305529</v>
      </c>
      <c r="D981" s="223">
        <v>40265128000100</v>
      </c>
      <c r="E981" s="217" t="s">
        <v>28</v>
      </c>
      <c r="F981" s="217" t="s">
        <v>957</v>
      </c>
      <c r="G981" s="217"/>
      <c r="H981" s="218"/>
      <c r="I981" s="217" t="s">
        <v>1259</v>
      </c>
      <c r="J981" s="217" t="s">
        <v>66</v>
      </c>
      <c r="K981" s="218" t="s">
        <v>951</v>
      </c>
      <c r="L981" s="212" t="s">
        <v>87</v>
      </c>
      <c r="M981" s="250"/>
      <c r="N981" s="239">
        <v>44252</v>
      </c>
      <c r="O981" s="210" t="s">
        <v>114</v>
      </c>
      <c r="P981" s="210" t="s">
        <v>1075</v>
      </c>
      <c r="Q981" s="210" t="s">
        <v>1076</v>
      </c>
      <c r="R981" s="210" t="s">
        <v>1077</v>
      </c>
      <c r="S981" s="210" t="s">
        <v>1085</v>
      </c>
      <c r="T981" s="210" t="s">
        <v>1079</v>
      </c>
      <c r="U981" s="210" t="s">
        <v>957</v>
      </c>
      <c r="V981" s="210" t="s">
        <v>1080</v>
      </c>
      <c r="W981" s="211" t="s">
        <v>1007</v>
      </c>
      <c r="X981" s="211">
        <v>5000</v>
      </c>
      <c r="Y981" s="211">
        <v>5000</v>
      </c>
      <c r="Z981" s="212">
        <v>5000</v>
      </c>
      <c r="AA981" s="240">
        <v>92</v>
      </c>
      <c r="AB981" s="213">
        <v>1.95E-2</v>
      </c>
      <c r="AC981" s="213">
        <v>0.2</v>
      </c>
      <c r="AD981" s="213" t="s">
        <v>113</v>
      </c>
      <c r="AE981" s="213">
        <v>3.2506499999999999E-3</v>
      </c>
      <c r="AF981" s="241">
        <v>97853353.670000002</v>
      </c>
      <c r="AG981" s="241">
        <v>97853353.670000002</v>
      </c>
      <c r="AH981" s="213">
        <v>4.53E-2</v>
      </c>
      <c r="AI981" s="352">
        <v>0.69730000000000003</v>
      </c>
      <c r="AJ981" s="213">
        <v>-3.9100000000000003E-2</v>
      </c>
      <c r="AK981" s="352">
        <v>-0.41570000000000001</v>
      </c>
      <c r="AL981" s="213" t="s">
        <v>66</v>
      </c>
      <c r="AM981" s="352" t="s">
        <v>66</v>
      </c>
      <c r="AN981" s="213" t="s">
        <v>66</v>
      </c>
      <c r="AO981" s="352" t="s">
        <v>66</v>
      </c>
      <c r="AP981" s="213">
        <v>0.15459999999999999</v>
      </c>
      <c r="AQ981" s="219">
        <v>-0.76246518891633686</v>
      </c>
      <c r="AR981" s="213" t="s">
        <v>1827</v>
      </c>
      <c r="AU981" s="343"/>
      <c r="AV981" s="343"/>
      <c r="AW981" s="328"/>
      <c r="AX981" s="329"/>
      <c r="AY981" s="328"/>
      <c r="AZ981" s="328"/>
      <c r="BA981" s="330"/>
      <c r="BB981" s="328"/>
      <c r="BC981" s="328"/>
      <c r="BD981" s="328"/>
      <c r="BE981" s="330"/>
      <c r="BF981" s="330"/>
      <c r="BG981" s="344"/>
      <c r="BH981" s="383"/>
      <c r="BI981" s="330"/>
      <c r="BJ981" s="330"/>
      <c r="BK981" s="330"/>
      <c r="BL981" s="330"/>
      <c r="BM981" s="330"/>
      <c r="BN981" s="330"/>
      <c r="BO981" s="330"/>
      <c r="BP981" s="331"/>
      <c r="BQ981" s="332"/>
      <c r="BR981" s="333"/>
    </row>
    <row r="982" spans="2:70" ht="15.75" customHeight="1">
      <c r="B982" s="216" t="s">
        <v>1622</v>
      </c>
      <c r="C982" s="212">
        <v>957166</v>
      </c>
      <c r="D982" s="223">
        <v>33270025000164</v>
      </c>
      <c r="E982" s="217" t="s">
        <v>28</v>
      </c>
      <c r="F982" s="217" t="s">
        <v>950</v>
      </c>
      <c r="G982" s="217"/>
      <c r="H982" s="218"/>
      <c r="I982" s="217" t="s">
        <v>1842</v>
      </c>
      <c r="J982" s="217" t="s">
        <v>66</v>
      </c>
      <c r="K982" s="218" t="s">
        <v>954</v>
      </c>
      <c r="L982" s="212" t="s">
        <v>87</v>
      </c>
      <c r="M982" s="250"/>
      <c r="N982" s="239">
        <v>43685</v>
      </c>
      <c r="O982" s="210" t="s">
        <v>633</v>
      </c>
      <c r="P982" s="210" t="s">
        <v>1140</v>
      </c>
      <c r="Q982" s="210" t="s">
        <v>1140</v>
      </c>
      <c r="R982" s="210" t="s">
        <v>1084</v>
      </c>
      <c r="S982" s="210" t="s">
        <v>1078</v>
      </c>
      <c r="T982" s="210" t="s">
        <v>1079</v>
      </c>
      <c r="U982" s="210" t="s">
        <v>950</v>
      </c>
      <c r="V982" s="210" t="s">
        <v>1080</v>
      </c>
      <c r="W982" s="211" t="s">
        <v>1007</v>
      </c>
      <c r="X982" s="211">
        <v>10000</v>
      </c>
      <c r="Y982" s="211">
        <v>5000</v>
      </c>
      <c r="Z982" s="212">
        <v>0</v>
      </c>
      <c r="AA982" s="240">
        <v>12</v>
      </c>
      <c r="AB982" s="213">
        <v>0.02</v>
      </c>
      <c r="AC982" s="213">
        <v>0.2</v>
      </c>
      <c r="AD982" s="213" t="s">
        <v>113</v>
      </c>
      <c r="AE982" s="213">
        <v>5.3333333333333332E-3</v>
      </c>
      <c r="AF982" s="241">
        <v>13684433.289999999</v>
      </c>
      <c r="AG982" s="241">
        <v>13684433.289999999</v>
      </c>
      <c r="AH982" s="213">
        <v>-0.17549999999999999</v>
      </c>
      <c r="AI982" s="352">
        <v>-2.7035</v>
      </c>
      <c r="AJ982" s="213">
        <v>-0.33539999999999998</v>
      </c>
      <c r="AK982" s="352">
        <v>-3.5644999999999998</v>
      </c>
      <c r="AL982" s="213">
        <v>7.1599999999999997E-2</v>
      </c>
      <c r="AM982" s="352">
        <v>0.59299999999999997</v>
      </c>
      <c r="AN982" s="213" t="s">
        <v>66</v>
      </c>
      <c r="AO982" s="352" t="s">
        <v>66</v>
      </c>
      <c r="AP982" s="213">
        <v>0.22950000000000001</v>
      </c>
      <c r="AQ982" s="219">
        <v>-2.0550911017199192</v>
      </c>
      <c r="AR982" s="213" t="s">
        <v>1827</v>
      </c>
      <c r="AU982" s="343"/>
      <c r="AV982" s="343"/>
      <c r="AW982" s="328"/>
      <c r="AX982" s="329"/>
      <c r="AY982" s="328"/>
      <c r="AZ982" s="328"/>
      <c r="BA982" s="330"/>
      <c r="BB982" s="328"/>
      <c r="BC982" s="328"/>
      <c r="BD982" s="328"/>
      <c r="BE982" s="330"/>
      <c r="BF982" s="330"/>
      <c r="BG982" s="344"/>
      <c r="BH982" s="383"/>
      <c r="BI982" s="330"/>
      <c r="BJ982" s="330"/>
      <c r="BK982" s="330"/>
      <c r="BL982" s="330"/>
      <c r="BM982" s="330"/>
      <c r="BN982" s="330"/>
      <c r="BO982" s="330"/>
      <c r="BP982" s="331"/>
      <c r="BQ982" s="332"/>
      <c r="BR982" s="333"/>
    </row>
    <row r="983" spans="2:70" ht="15.75" customHeight="1">
      <c r="B983" s="216" t="s">
        <v>1798</v>
      </c>
      <c r="C983" s="212">
        <v>4202431</v>
      </c>
      <c r="D983" s="223">
        <v>40962665000109</v>
      </c>
      <c r="E983" s="217" t="s">
        <v>28</v>
      </c>
      <c r="F983" s="217" t="s">
        <v>950</v>
      </c>
      <c r="G983" s="217"/>
      <c r="H983" s="218"/>
      <c r="I983" s="217" t="s">
        <v>66</v>
      </c>
      <c r="J983" s="217" t="s">
        <v>66</v>
      </c>
      <c r="K983" s="218" t="s">
        <v>951</v>
      </c>
      <c r="L983" s="212" t="s">
        <v>87</v>
      </c>
      <c r="M983" s="250"/>
      <c r="N983" s="239">
        <v>44551</v>
      </c>
      <c r="O983" s="210" t="s">
        <v>1799</v>
      </c>
      <c r="P983" s="210" t="s">
        <v>1800</v>
      </c>
      <c r="Q983" s="210" t="s">
        <v>1800</v>
      </c>
      <c r="R983" s="210" t="s">
        <v>1745</v>
      </c>
      <c r="S983" s="210" t="s">
        <v>1078</v>
      </c>
      <c r="T983" s="210" t="s">
        <v>1079</v>
      </c>
      <c r="U983" s="210" t="s">
        <v>1739</v>
      </c>
      <c r="V983" s="210" t="s">
        <v>1080</v>
      </c>
      <c r="W983" s="211" t="s">
        <v>1740</v>
      </c>
      <c r="X983" s="211">
        <v>1000</v>
      </c>
      <c r="Y983" s="211">
        <v>1000</v>
      </c>
      <c r="Z983" s="212">
        <v>1000</v>
      </c>
      <c r="AA983" s="240">
        <v>31</v>
      </c>
      <c r="AB983" s="213">
        <v>2.5000000000000001E-3</v>
      </c>
      <c r="AC983" s="213" t="s">
        <v>1741</v>
      </c>
      <c r="AD983" s="213" t="s">
        <v>1014</v>
      </c>
      <c r="AE983" s="213" t="s">
        <v>66</v>
      </c>
      <c r="AF983" s="241">
        <v>2573614.66</v>
      </c>
      <c r="AG983" s="241">
        <v>2573614.66</v>
      </c>
      <c r="AH983" s="213">
        <v>-0.1497</v>
      </c>
      <c r="AI983" s="352">
        <v>-2.3064</v>
      </c>
      <c r="AJ983" s="213" t="s">
        <v>66</v>
      </c>
      <c r="AK983" s="352" t="s">
        <v>66</v>
      </c>
      <c r="AL983" s="213" t="s">
        <v>66</v>
      </c>
      <c r="AM983" s="352" t="s">
        <v>66</v>
      </c>
      <c r="AN983" s="213" t="s">
        <v>66</v>
      </c>
      <c r="AO983" s="352" t="s">
        <v>66</v>
      </c>
      <c r="AP983" s="213" t="s">
        <v>66</v>
      </c>
      <c r="AQ983" s="219" t="s">
        <v>66</v>
      </c>
      <c r="AR983" s="213" t="s">
        <v>1827</v>
      </c>
      <c r="AV983" s="343"/>
      <c r="AW983" s="328"/>
      <c r="AX983" s="329"/>
      <c r="AY983" s="328"/>
      <c r="AZ983" s="328"/>
      <c r="BA983" s="330"/>
      <c r="BB983" s="328"/>
      <c r="BC983" s="328"/>
      <c r="BD983" s="328"/>
      <c r="BE983" s="330"/>
      <c r="BF983" s="330"/>
      <c r="BG983" s="344"/>
      <c r="BH983" s="330"/>
      <c r="BI983" s="330"/>
      <c r="BJ983" s="330"/>
      <c r="BK983" s="330"/>
      <c r="BL983" s="330"/>
      <c r="BM983" s="330"/>
      <c r="BN983" s="330"/>
      <c r="BO983" s="330"/>
      <c r="BP983" s="331"/>
      <c r="BQ983" s="332"/>
      <c r="BR983" s="333"/>
    </row>
    <row r="984" spans="2:70" ht="15.75" customHeight="1">
      <c r="B984" s="216" t="s">
        <v>634</v>
      </c>
      <c r="C984" s="212">
        <v>956859</v>
      </c>
      <c r="D984" s="223">
        <v>5969595000101</v>
      </c>
      <c r="E984" s="217" t="s">
        <v>28</v>
      </c>
      <c r="F984" s="217" t="s">
        <v>950</v>
      </c>
      <c r="G984" s="217"/>
      <c r="H984" s="218"/>
      <c r="I984" s="217" t="s">
        <v>66</v>
      </c>
      <c r="J984" s="217" t="s">
        <v>66</v>
      </c>
      <c r="K984" s="218" t="s">
        <v>951</v>
      </c>
      <c r="L984" s="212" t="s">
        <v>87</v>
      </c>
      <c r="M984" s="250"/>
      <c r="N984" s="239">
        <v>41225</v>
      </c>
      <c r="O984" s="210" t="s">
        <v>451</v>
      </c>
      <c r="P984" s="210" t="s">
        <v>1075</v>
      </c>
      <c r="Q984" s="210" t="s">
        <v>1076</v>
      </c>
      <c r="R984" s="210" t="s">
        <v>1084</v>
      </c>
      <c r="S984" s="210" t="s">
        <v>1078</v>
      </c>
      <c r="T984" s="210" t="s">
        <v>1079</v>
      </c>
      <c r="U984" s="210" t="s">
        <v>950</v>
      </c>
      <c r="V984" s="210" t="s">
        <v>1080</v>
      </c>
      <c r="W984" s="211" t="s">
        <v>1013</v>
      </c>
      <c r="X984" s="211">
        <v>1000</v>
      </c>
      <c r="Y984" s="211">
        <v>100</v>
      </c>
      <c r="Z984" s="212">
        <v>1000</v>
      </c>
      <c r="AA984" s="240">
        <v>3</v>
      </c>
      <c r="AB984" s="213">
        <v>0.02</v>
      </c>
      <c r="AC984" s="213">
        <v>0.2</v>
      </c>
      <c r="AD984" s="213" t="s">
        <v>113</v>
      </c>
      <c r="AE984" s="213">
        <v>2.6666666666666666E-3</v>
      </c>
      <c r="AF984" s="241">
        <v>32765603.640000001</v>
      </c>
      <c r="AG984" s="241">
        <v>32765603.640000001</v>
      </c>
      <c r="AH984" s="213">
        <v>-0.1096</v>
      </c>
      <c r="AI984" s="352">
        <v>-1.6889000000000001</v>
      </c>
      <c r="AJ984" s="213">
        <v>-0.20960000000000001</v>
      </c>
      <c r="AK984" s="352">
        <v>-2.2275999999999998</v>
      </c>
      <c r="AL984" s="213">
        <v>-7.3300000000000004E-2</v>
      </c>
      <c r="AM984" s="352">
        <v>-0.60699999999999998</v>
      </c>
      <c r="AN984" s="213">
        <v>8.1100000000000005E-2</v>
      </c>
      <c r="AO984" s="352">
        <v>0.48130000000000001</v>
      </c>
      <c r="AP984" s="213">
        <v>0.18379999999999999</v>
      </c>
      <c r="AQ984" s="219">
        <v>-1.6766313725377393</v>
      </c>
      <c r="AR984" s="213" t="s">
        <v>1827</v>
      </c>
      <c r="AU984" s="343"/>
      <c r="AV984" s="343"/>
      <c r="AW984" s="328"/>
      <c r="AX984" s="329"/>
      <c r="AY984" s="328"/>
      <c r="AZ984" s="328"/>
      <c r="BA984" s="330"/>
      <c r="BB984" s="328"/>
      <c r="BC984" s="328"/>
      <c r="BD984" s="328"/>
      <c r="BE984" s="330"/>
      <c r="BF984" s="330"/>
      <c r="BG984" s="344"/>
      <c r="BH984" s="383"/>
      <c r="BI984" s="330"/>
      <c r="BJ984" s="330"/>
      <c r="BK984" s="330"/>
      <c r="BL984" s="330"/>
      <c r="BM984" s="330"/>
      <c r="BN984" s="330"/>
      <c r="BO984" s="330"/>
      <c r="BP984" s="331"/>
      <c r="BQ984" s="332"/>
      <c r="BR984" s="333"/>
    </row>
    <row r="985" spans="2:70" ht="15.75" customHeight="1">
      <c r="B985" s="216" t="s">
        <v>1623</v>
      </c>
      <c r="C985" s="212">
        <v>3850088</v>
      </c>
      <c r="D985" s="223">
        <v>35726822000139</v>
      </c>
      <c r="E985" s="217" t="s">
        <v>28</v>
      </c>
      <c r="F985" s="217" t="s">
        <v>950</v>
      </c>
      <c r="G985" s="217"/>
      <c r="H985" s="218"/>
      <c r="I985" s="217" t="s">
        <v>66</v>
      </c>
      <c r="J985" s="217" t="s">
        <v>66</v>
      </c>
      <c r="K985" s="218" t="s">
        <v>951</v>
      </c>
      <c r="L985" s="212" t="s">
        <v>87</v>
      </c>
      <c r="M985" s="250"/>
      <c r="N985" s="239">
        <v>43892</v>
      </c>
      <c r="O985" s="210" t="s">
        <v>451</v>
      </c>
      <c r="P985" s="210" t="s">
        <v>1075</v>
      </c>
      <c r="Q985" s="210" t="s">
        <v>1076</v>
      </c>
      <c r="R985" s="210" t="s">
        <v>1084</v>
      </c>
      <c r="S985" s="210" t="s">
        <v>1078</v>
      </c>
      <c r="T985" s="210" t="s">
        <v>1079</v>
      </c>
      <c r="U985" s="210" t="s">
        <v>950</v>
      </c>
      <c r="V985" s="210" t="s">
        <v>1080</v>
      </c>
      <c r="W985" s="211" t="s">
        <v>1007</v>
      </c>
      <c r="X985" s="211">
        <v>500</v>
      </c>
      <c r="Y985" s="211">
        <v>100</v>
      </c>
      <c r="Z985" s="212">
        <v>100</v>
      </c>
      <c r="AA985" s="240">
        <v>2</v>
      </c>
      <c r="AB985" s="213">
        <v>7.4999999999999997E-3</v>
      </c>
      <c r="AC985" s="213">
        <v>0.35</v>
      </c>
      <c r="AD985" s="213" t="s">
        <v>1100</v>
      </c>
      <c r="AE985" s="213">
        <v>1E-3</v>
      </c>
      <c r="AF985" s="241">
        <v>8316148.6799999997</v>
      </c>
      <c r="AG985" s="241">
        <v>8316148.6799999997</v>
      </c>
      <c r="AH985" s="213">
        <v>-2E-3</v>
      </c>
      <c r="AI985" s="352">
        <v>-3.1199999999999999E-2</v>
      </c>
      <c r="AJ985" s="213">
        <v>-0.1673</v>
      </c>
      <c r="AK985" s="352">
        <v>-1.778</v>
      </c>
      <c r="AL985" s="213">
        <v>3.0499999999999999E-2</v>
      </c>
      <c r="AM985" s="352">
        <v>0.25240000000000001</v>
      </c>
      <c r="AN985" s="213" t="s">
        <v>66</v>
      </c>
      <c r="AO985" s="352" t="s">
        <v>66</v>
      </c>
      <c r="AP985" s="213">
        <v>0.19839999999999999</v>
      </c>
      <c r="AQ985" s="219">
        <v>-1.2765812343941778</v>
      </c>
      <c r="AR985" s="213" t="s">
        <v>1827</v>
      </c>
      <c r="AU985" s="343"/>
      <c r="AV985" s="343"/>
      <c r="AW985" s="328"/>
      <c r="AX985" s="329"/>
      <c r="AY985" s="328"/>
      <c r="AZ985" s="328"/>
      <c r="BA985" s="330"/>
      <c r="BB985" s="328"/>
      <c r="BC985" s="328"/>
      <c r="BD985" s="328"/>
      <c r="BE985" s="330"/>
      <c r="BF985" s="330"/>
      <c r="BG985" s="344"/>
      <c r="BH985" s="383"/>
      <c r="BI985" s="330"/>
      <c r="BJ985" s="330"/>
      <c r="BK985" s="330"/>
      <c r="BL985" s="330"/>
      <c r="BM985" s="330"/>
      <c r="BN985" s="330"/>
      <c r="BO985" s="330"/>
      <c r="BP985" s="331"/>
      <c r="BQ985" s="332"/>
      <c r="BR985" s="333"/>
    </row>
    <row r="986" spans="2:70" ht="15.75" customHeight="1">
      <c r="B986" s="216" t="s">
        <v>635</v>
      </c>
      <c r="C986" s="212">
        <v>950662</v>
      </c>
      <c r="D986" s="223">
        <v>28579477000192</v>
      </c>
      <c r="E986" s="217" t="s">
        <v>19</v>
      </c>
      <c r="F986" s="217" t="s">
        <v>963</v>
      </c>
      <c r="G986" s="217" t="s">
        <v>1011</v>
      </c>
      <c r="H986" s="218" t="s">
        <v>1113</v>
      </c>
      <c r="I986" s="217" t="s">
        <v>66</v>
      </c>
      <c r="J986" s="217"/>
      <c r="K986" s="218" t="s">
        <v>951</v>
      </c>
      <c r="L986" s="212" t="s">
        <v>87</v>
      </c>
      <c r="M986" s="250"/>
      <c r="N986" s="239">
        <v>43066</v>
      </c>
      <c r="O986" s="210" t="s">
        <v>636</v>
      </c>
      <c r="P986" s="210" t="s">
        <v>1075</v>
      </c>
      <c r="Q986" s="210" t="s">
        <v>1076</v>
      </c>
      <c r="R986" s="210" t="s">
        <v>1084</v>
      </c>
      <c r="S986" s="210" t="s">
        <v>1078</v>
      </c>
      <c r="T986" s="210" t="s">
        <v>349</v>
      </c>
      <c r="U986" s="210" t="s">
        <v>1078</v>
      </c>
      <c r="V986" s="210" t="s">
        <v>25</v>
      </c>
      <c r="W986" s="211" t="s">
        <v>1016</v>
      </c>
      <c r="X986" s="211">
        <v>0</v>
      </c>
      <c r="Y986" s="211">
        <v>0</v>
      </c>
      <c r="Z986" s="212">
        <v>0</v>
      </c>
      <c r="AA986" s="240">
        <v>3</v>
      </c>
      <c r="AB986" s="213">
        <v>8.0000000000000002E-3</v>
      </c>
      <c r="AC986" s="213">
        <v>0</v>
      </c>
      <c r="AD986" s="213" t="s">
        <v>113</v>
      </c>
      <c r="AE986" s="213">
        <v>1.5999999999999999E-3</v>
      </c>
      <c r="AF986" s="241">
        <v>11300048.619999999</v>
      </c>
      <c r="AG986" s="241">
        <v>11300048.619999999</v>
      </c>
      <c r="AH986" s="213">
        <v>5.7000000000000002E-2</v>
      </c>
      <c r="AI986" s="352">
        <v>0.87770000000000004</v>
      </c>
      <c r="AJ986" s="213">
        <v>8.4199999999999997E-2</v>
      </c>
      <c r="AK986" s="352">
        <v>0.89449999999999996</v>
      </c>
      <c r="AL986" s="213">
        <v>0.13550000000000001</v>
      </c>
      <c r="AM986" s="352">
        <v>1.1212</v>
      </c>
      <c r="AN986" s="213">
        <v>0.22550000000000001</v>
      </c>
      <c r="AO986" s="352">
        <v>1.3380000000000001</v>
      </c>
      <c r="AP986" s="213">
        <v>2.81E-2</v>
      </c>
      <c r="AQ986" s="219">
        <v>-0.31004605696053811</v>
      </c>
      <c r="AR986" s="213" t="s">
        <v>1827</v>
      </c>
      <c r="AU986" s="343"/>
      <c r="AV986" s="343"/>
      <c r="AW986" s="328"/>
      <c r="AX986" s="329"/>
      <c r="AY986" s="328"/>
      <c r="AZ986" s="328"/>
      <c r="BA986" s="330"/>
      <c r="BB986" s="328"/>
      <c r="BC986" s="328"/>
      <c r="BD986" s="328"/>
      <c r="BE986" s="330"/>
      <c r="BF986" s="330"/>
      <c r="BG986" s="344"/>
      <c r="BH986" s="383"/>
      <c r="BI986" s="330"/>
      <c r="BJ986" s="330"/>
      <c r="BK986" s="330"/>
      <c r="BL986" s="330"/>
      <c r="BM986" s="330"/>
      <c r="BN986" s="330"/>
      <c r="BO986" s="330"/>
      <c r="BP986" s="331"/>
      <c r="BQ986" s="332"/>
      <c r="BR986" s="333"/>
    </row>
    <row r="987" spans="2:70" ht="15.75" customHeight="1">
      <c r="B987" s="216" t="s">
        <v>917</v>
      </c>
      <c r="C987" s="212">
        <v>1239539</v>
      </c>
      <c r="D987" s="223">
        <v>38029012000111</v>
      </c>
      <c r="E987" s="217" t="s">
        <v>28</v>
      </c>
      <c r="F987" s="217" t="s">
        <v>950</v>
      </c>
      <c r="G987" s="217"/>
      <c r="H987" s="218"/>
      <c r="I987" s="217" t="s">
        <v>66</v>
      </c>
      <c r="J987" s="217" t="s">
        <v>66</v>
      </c>
      <c r="K987" s="218" t="s">
        <v>951</v>
      </c>
      <c r="L987" s="212" t="s">
        <v>87</v>
      </c>
      <c r="M987" s="250"/>
      <c r="N987" s="239">
        <v>44069</v>
      </c>
      <c r="O987" s="210" t="s">
        <v>637</v>
      </c>
      <c r="P987" s="210" t="s">
        <v>1088</v>
      </c>
      <c r="Q987" s="210" t="s">
        <v>1089</v>
      </c>
      <c r="R987" s="210" t="s">
        <v>1084</v>
      </c>
      <c r="S987" s="210" t="s">
        <v>1078</v>
      </c>
      <c r="T987" s="210" t="s">
        <v>1079</v>
      </c>
      <c r="U987" s="210" t="s">
        <v>950</v>
      </c>
      <c r="V987" s="210" t="s">
        <v>1080</v>
      </c>
      <c r="W987" s="211" t="s">
        <v>1007</v>
      </c>
      <c r="X987" s="211">
        <v>10000</v>
      </c>
      <c r="Y987" s="211">
        <v>5000</v>
      </c>
      <c r="Z987" s="212">
        <v>10000</v>
      </c>
      <c r="AA987" s="240">
        <v>32</v>
      </c>
      <c r="AB987" s="213">
        <v>1.8499999999999999E-2</v>
      </c>
      <c r="AC987" s="213">
        <v>0.2</v>
      </c>
      <c r="AD987" s="213" t="s">
        <v>1014</v>
      </c>
      <c r="AE987" s="213">
        <v>3.7000000000000002E-3</v>
      </c>
      <c r="AF987" s="241">
        <v>41140493.740000002</v>
      </c>
      <c r="AG987" s="241">
        <v>41140493.740000002</v>
      </c>
      <c r="AH987" s="213">
        <v>-0.11650000000000001</v>
      </c>
      <c r="AI987" s="352">
        <v>-1.7945</v>
      </c>
      <c r="AJ987" s="213">
        <v>-0.193</v>
      </c>
      <c r="AK987" s="352">
        <v>-2.0518000000000001</v>
      </c>
      <c r="AL987" s="213" t="s">
        <v>66</v>
      </c>
      <c r="AM987" s="352" t="s">
        <v>66</v>
      </c>
      <c r="AN987" s="213" t="s">
        <v>66</v>
      </c>
      <c r="AO987" s="352" t="s">
        <v>66</v>
      </c>
      <c r="AP987" s="213">
        <v>0.2424</v>
      </c>
      <c r="AQ987" s="219">
        <v>-1.1346011671249099</v>
      </c>
      <c r="AR987" s="213" t="s">
        <v>1824</v>
      </c>
      <c r="AV987" s="343"/>
      <c r="AW987" s="328"/>
      <c r="AX987" s="329"/>
      <c r="AY987" s="328"/>
      <c r="AZ987" s="328"/>
      <c r="BA987" s="330"/>
      <c r="BB987" s="328"/>
      <c r="BC987" s="328"/>
      <c r="BD987" s="328"/>
      <c r="BE987" s="330"/>
      <c r="BF987" s="330"/>
      <c r="BG987" s="344"/>
      <c r="BH987" s="330"/>
      <c r="BI987" s="330"/>
      <c r="BJ987" s="330"/>
      <c r="BK987" s="330"/>
      <c r="BL987" s="330"/>
      <c r="BM987" s="330"/>
      <c r="BN987" s="330"/>
      <c r="BO987" s="330"/>
      <c r="BP987" s="331"/>
      <c r="BQ987" s="332"/>
      <c r="BR987" s="333"/>
    </row>
    <row r="988" spans="2:70" ht="15.75" customHeight="1">
      <c r="B988" s="216" t="s">
        <v>639</v>
      </c>
      <c r="C988" s="212">
        <v>1996065</v>
      </c>
      <c r="D988" s="223">
        <v>11734024000190</v>
      </c>
      <c r="E988" s="217" t="s">
        <v>28</v>
      </c>
      <c r="F988" s="217" t="s">
        <v>950</v>
      </c>
      <c r="G988" s="217"/>
      <c r="H988" s="218"/>
      <c r="I988" s="217" t="s">
        <v>66</v>
      </c>
      <c r="J988" s="217" t="s">
        <v>66</v>
      </c>
      <c r="K988" s="218" t="s">
        <v>951</v>
      </c>
      <c r="L988" s="212" t="s">
        <v>87</v>
      </c>
      <c r="M988" s="250"/>
      <c r="N988" s="239">
        <v>40365</v>
      </c>
      <c r="O988" s="210" t="s">
        <v>640</v>
      </c>
      <c r="P988" s="210" t="s">
        <v>1075</v>
      </c>
      <c r="Q988" s="210" t="s">
        <v>1076</v>
      </c>
      <c r="R988" s="210" t="s">
        <v>1084</v>
      </c>
      <c r="S988" s="210" t="s">
        <v>1078</v>
      </c>
      <c r="T988" s="210" t="s">
        <v>1079</v>
      </c>
      <c r="U988" s="210" t="s">
        <v>950</v>
      </c>
      <c r="V988" s="210" t="s">
        <v>1080</v>
      </c>
      <c r="W988" s="211" t="s">
        <v>1007</v>
      </c>
      <c r="X988" s="211">
        <v>10000</v>
      </c>
      <c r="Y988" s="211">
        <v>1000</v>
      </c>
      <c r="Z988" s="212">
        <v>1000</v>
      </c>
      <c r="AA988" s="240">
        <v>5</v>
      </c>
      <c r="AB988" s="213">
        <v>2.1999999999999999E-2</v>
      </c>
      <c r="AC988" s="213">
        <v>0.2</v>
      </c>
      <c r="AD988" s="213" t="s">
        <v>113</v>
      </c>
      <c r="AE988" s="213">
        <v>5.8666666666666659E-3</v>
      </c>
      <c r="AF988" s="241">
        <v>12277260.65</v>
      </c>
      <c r="AG988" s="241">
        <v>12277260.65</v>
      </c>
      <c r="AH988" s="213">
        <v>-0.29799999999999999</v>
      </c>
      <c r="AI988" s="352">
        <v>-4.5906000000000002</v>
      </c>
      <c r="AJ988" s="213">
        <v>-0.50249999999999995</v>
      </c>
      <c r="AK988" s="352">
        <v>-5.3407999999999998</v>
      </c>
      <c r="AL988" s="213">
        <v>-0.50560000000000005</v>
      </c>
      <c r="AM988" s="352">
        <v>-4.1853999999999996</v>
      </c>
      <c r="AN988" s="213">
        <v>-0.41570000000000001</v>
      </c>
      <c r="AO988" s="352">
        <v>-2.4670000000000001</v>
      </c>
      <c r="AP988" s="213">
        <v>0.30409999999999998</v>
      </c>
      <c r="AQ988" s="219">
        <v>-2.4367916048257627</v>
      </c>
      <c r="AR988" s="213" t="s">
        <v>1824</v>
      </c>
      <c r="AV988" s="343"/>
      <c r="AW988" s="328"/>
      <c r="AX988" s="329"/>
      <c r="AY988" s="328"/>
      <c r="AZ988" s="328"/>
      <c r="BA988" s="330"/>
      <c r="BB988" s="328"/>
      <c r="BC988" s="328"/>
      <c r="BD988" s="328"/>
      <c r="BE988" s="330"/>
      <c r="BF988" s="330"/>
      <c r="BG988" s="344"/>
      <c r="BH988" s="330"/>
      <c r="BI988" s="330"/>
      <c r="BJ988" s="330"/>
      <c r="BK988" s="330"/>
      <c r="BL988" s="330"/>
      <c r="BM988" s="330"/>
      <c r="BN988" s="330"/>
      <c r="BO988" s="330"/>
      <c r="BP988" s="331"/>
      <c r="BQ988" s="332"/>
      <c r="BR988" s="333"/>
    </row>
    <row r="989" spans="2:70" ht="15.75" customHeight="1">
      <c r="B989" s="216" t="s">
        <v>1625</v>
      </c>
      <c r="C989" s="212">
        <v>1042016</v>
      </c>
      <c r="D989" s="223">
        <v>13054728000148</v>
      </c>
      <c r="E989" s="217" t="s">
        <v>19</v>
      </c>
      <c r="F989" s="217" t="s">
        <v>963</v>
      </c>
      <c r="G989" s="217" t="s">
        <v>1034</v>
      </c>
      <c r="H989" s="218" t="s">
        <v>1113</v>
      </c>
      <c r="I989" s="217" t="s">
        <v>66</v>
      </c>
      <c r="J989" s="217" t="s">
        <v>1822</v>
      </c>
      <c r="K989" s="218" t="s">
        <v>951</v>
      </c>
      <c r="L989" s="212" t="s">
        <v>87</v>
      </c>
      <c r="M989" s="250"/>
      <c r="N989" s="239">
        <v>41018</v>
      </c>
      <c r="O989" s="210" t="s">
        <v>640</v>
      </c>
      <c r="P989" s="210" t="s">
        <v>1075</v>
      </c>
      <c r="Q989" s="210" t="s">
        <v>1076</v>
      </c>
      <c r="R989" s="210" t="s">
        <v>1077</v>
      </c>
      <c r="S989" s="210" t="s">
        <v>1078</v>
      </c>
      <c r="T989" s="210" t="s">
        <v>32</v>
      </c>
      <c r="U989" s="210" t="s">
        <v>1150</v>
      </c>
      <c r="V989" s="210" t="s">
        <v>25</v>
      </c>
      <c r="W989" s="211" t="s">
        <v>1019</v>
      </c>
      <c r="X989" s="211">
        <v>10000</v>
      </c>
      <c r="Y989" s="211">
        <v>1000</v>
      </c>
      <c r="Z989" s="212">
        <v>0</v>
      </c>
      <c r="AA989" s="240">
        <v>60</v>
      </c>
      <c r="AB989" s="213">
        <v>4.0000000000000001E-3</v>
      </c>
      <c r="AC989" s="213">
        <v>0.2</v>
      </c>
      <c r="AD989" s="213" t="s">
        <v>109</v>
      </c>
      <c r="AE989" s="213">
        <v>1.92E-3</v>
      </c>
      <c r="AF989" s="241">
        <v>138093464.22</v>
      </c>
      <c r="AG989" s="241">
        <v>138093464.22</v>
      </c>
      <c r="AH989" s="213">
        <v>7.9299999999999995E-2</v>
      </c>
      <c r="AI989" s="352">
        <v>1.222</v>
      </c>
      <c r="AJ989" s="213">
        <v>0.12130000000000001</v>
      </c>
      <c r="AK989" s="352">
        <v>1.2888999999999999</v>
      </c>
      <c r="AL989" s="213">
        <v>0.16850000000000001</v>
      </c>
      <c r="AM989" s="352">
        <v>1.3947000000000001</v>
      </c>
      <c r="AN989" s="213">
        <v>0.2319</v>
      </c>
      <c r="AO989" s="352">
        <v>1.3759999999999999</v>
      </c>
      <c r="AP989" s="213">
        <v>1.6999999999999999E-3</v>
      </c>
      <c r="AQ989" s="219">
        <v>14.230202942692374</v>
      </c>
      <c r="AR989" s="213" t="s">
        <v>1824</v>
      </c>
      <c r="AV989" s="343"/>
      <c r="AW989" s="328"/>
      <c r="AX989" s="329"/>
      <c r="AY989" s="328"/>
      <c r="AZ989" s="328"/>
      <c r="BA989" s="330"/>
      <c r="BB989" s="328"/>
      <c r="BC989" s="328"/>
      <c r="BD989" s="328"/>
      <c r="BE989" s="330"/>
      <c r="BF989" s="330"/>
      <c r="BG989" s="344"/>
      <c r="BH989" s="330"/>
      <c r="BI989" s="330"/>
      <c r="BJ989" s="330"/>
      <c r="BK989" s="330"/>
      <c r="BL989" s="330"/>
      <c r="BM989" s="330"/>
      <c r="BN989" s="330"/>
      <c r="BO989" s="330"/>
      <c r="BP989" s="331"/>
      <c r="BQ989" s="332"/>
      <c r="BR989" s="333"/>
    </row>
    <row r="990" spans="2:70" ht="15.75" customHeight="1">
      <c r="B990" s="216" t="s">
        <v>790</v>
      </c>
      <c r="C990" s="212">
        <v>949497</v>
      </c>
      <c r="D990" s="223">
        <v>34780531000166</v>
      </c>
      <c r="E990" s="217" t="s">
        <v>19</v>
      </c>
      <c r="F990" s="217" t="s">
        <v>963</v>
      </c>
      <c r="G990" s="217" t="s">
        <v>1034</v>
      </c>
      <c r="H990" s="218" t="s">
        <v>1113</v>
      </c>
      <c r="I990" s="217" t="s">
        <v>66</v>
      </c>
      <c r="J990" s="217" t="s">
        <v>1822</v>
      </c>
      <c r="K990" s="218" t="s">
        <v>951</v>
      </c>
      <c r="L990" s="212" t="s">
        <v>87</v>
      </c>
      <c r="M990" s="250"/>
      <c r="N990" s="239">
        <v>43735</v>
      </c>
      <c r="O990" s="210" t="s">
        <v>640</v>
      </c>
      <c r="P990" s="210" t="s">
        <v>1075</v>
      </c>
      <c r="Q990" s="210" t="s">
        <v>1076</v>
      </c>
      <c r="R990" s="210" t="s">
        <v>1077</v>
      </c>
      <c r="S990" s="210" t="s">
        <v>1078</v>
      </c>
      <c r="T990" s="210" t="s">
        <v>32</v>
      </c>
      <c r="U990" s="210" t="s">
        <v>1150</v>
      </c>
      <c r="V990" s="210" t="s">
        <v>25</v>
      </c>
      <c r="W990" s="211" t="s">
        <v>1019</v>
      </c>
      <c r="X990" s="211">
        <v>10000</v>
      </c>
      <c r="Y990" s="211">
        <v>1000</v>
      </c>
      <c r="Z990" s="212">
        <v>1000</v>
      </c>
      <c r="AA990" s="240">
        <v>45</v>
      </c>
      <c r="AB990" s="213">
        <v>9.1000000000000004E-3</v>
      </c>
      <c r="AC990" s="213">
        <v>0.2</v>
      </c>
      <c r="AD990" s="213" t="s">
        <v>109</v>
      </c>
      <c r="AE990" s="213">
        <v>2.4269700000000001E-3</v>
      </c>
      <c r="AF990" s="241">
        <v>117051042.66</v>
      </c>
      <c r="AG990" s="241">
        <v>117051042.66</v>
      </c>
      <c r="AH990" s="213">
        <v>7.9799999999999996E-2</v>
      </c>
      <c r="AI990" s="352">
        <v>1.2296</v>
      </c>
      <c r="AJ990" s="213">
        <v>0.1225</v>
      </c>
      <c r="AK990" s="352">
        <v>1.3025</v>
      </c>
      <c r="AL990" s="213">
        <v>0.1799</v>
      </c>
      <c r="AM990" s="352">
        <v>1.4895</v>
      </c>
      <c r="AN990" s="213" t="s">
        <v>66</v>
      </c>
      <c r="AO990" s="352" t="s">
        <v>66</v>
      </c>
      <c r="AP990" s="213">
        <v>1.5E-3</v>
      </c>
      <c r="AQ990" s="219">
        <v>16.617501524216916</v>
      </c>
      <c r="AR990" s="213" t="s">
        <v>1827</v>
      </c>
      <c r="AV990" s="343"/>
      <c r="AW990" s="328"/>
      <c r="AX990" s="329"/>
      <c r="AY990" s="328"/>
      <c r="AZ990" s="328"/>
      <c r="BA990" s="330"/>
      <c r="BB990" s="328"/>
      <c r="BC990" s="328"/>
      <c r="BD990" s="328"/>
      <c r="BE990" s="330"/>
      <c r="BF990" s="330"/>
      <c r="BG990" s="344"/>
      <c r="BH990" s="330"/>
      <c r="BI990" s="330"/>
      <c r="BJ990" s="330"/>
      <c r="BK990" s="330"/>
      <c r="BL990" s="330"/>
      <c r="BM990" s="330"/>
      <c r="BN990" s="330"/>
      <c r="BO990" s="330"/>
      <c r="BP990" s="331"/>
      <c r="BQ990" s="332"/>
      <c r="BR990" s="333"/>
    </row>
    <row r="991" spans="2:70" ht="15.75" customHeight="1">
      <c r="B991" s="216" t="s">
        <v>1626</v>
      </c>
      <c r="C991" s="212">
        <v>1026784</v>
      </c>
      <c r="D991" s="223">
        <v>14550994000124</v>
      </c>
      <c r="E991" s="217" t="s">
        <v>28</v>
      </c>
      <c r="F991" s="217" t="s">
        <v>950</v>
      </c>
      <c r="G991" s="217"/>
      <c r="H991" s="218"/>
      <c r="I991" s="217" t="s">
        <v>66</v>
      </c>
      <c r="J991" s="217" t="s">
        <v>66</v>
      </c>
      <c r="K991" s="218" t="s">
        <v>951</v>
      </c>
      <c r="L991" s="212" t="s">
        <v>87</v>
      </c>
      <c r="M991" s="250"/>
      <c r="N991" s="239">
        <v>40893</v>
      </c>
      <c r="O991" s="210" t="s">
        <v>642</v>
      </c>
      <c r="P991" s="210" t="s">
        <v>1088</v>
      </c>
      <c r="Q991" s="210" t="s">
        <v>1089</v>
      </c>
      <c r="R991" s="210" t="s">
        <v>1084</v>
      </c>
      <c r="S991" s="210" t="s">
        <v>1078</v>
      </c>
      <c r="T991" s="210" t="s">
        <v>1079</v>
      </c>
      <c r="U991" s="210" t="s">
        <v>950</v>
      </c>
      <c r="V991" s="210" t="s">
        <v>1080</v>
      </c>
      <c r="W991" s="211" t="s">
        <v>1018</v>
      </c>
      <c r="X991" s="211">
        <v>100</v>
      </c>
      <c r="Y991" s="211">
        <v>100</v>
      </c>
      <c r="Z991" s="212">
        <v>100</v>
      </c>
      <c r="AA991" s="240">
        <v>3</v>
      </c>
      <c r="AB991" s="213">
        <v>0.02</v>
      </c>
      <c r="AC991" s="213">
        <v>0.2</v>
      </c>
      <c r="AD991" s="213" t="s">
        <v>1014</v>
      </c>
      <c r="AE991" s="213">
        <v>4.0000000000000001E-3</v>
      </c>
      <c r="AF991" s="241">
        <v>321106658.19</v>
      </c>
      <c r="AG991" s="241">
        <v>321106658.19</v>
      </c>
      <c r="AH991" s="213">
        <v>-5.16E-2</v>
      </c>
      <c r="AI991" s="352">
        <v>-0.79430000000000001</v>
      </c>
      <c r="AJ991" s="213">
        <v>-0.21759999999999999</v>
      </c>
      <c r="AK991" s="352">
        <v>-2.3126000000000002</v>
      </c>
      <c r="AL991" s="213">
        <v>-9.35E-2</v>
      </c>
      <c r="AM991" s="352">
        <v>-0.77400000000000002</v>
      </c>
      <c r="AN991" s="213">
        <v>-9.3899999999999997E-2</v>
      </c>
      <c r="AO991" s="352">
        <v>-0.5575</v>
      </c>
      <c r="AP991" s="213">
        <v>0.20169999999999999</v>
      </c>
      <c r="AQ991" s="219">
        <v>-1.5605762953452229</v>
      </c>
      <c r="AR991" s="213" t="s">
        <v>1824</v>
      </c>
      <c r="AV991" s="343"/>
      <c r="AW991" s="328"/>
      <c r="AX991" s="329"/>
      <c r="AY991" s="328"/>
      <c r="AZ991" s="328"/>
      <c r="BA991" s="330"/>
      <c r="BB991" s="328"/>
      <c r="BC991" s="328"/>
      <c r="BD991" s="328"/>
      <c r="BE991" s="330"/>
      <c r="BF991" s="330"/>
      <c r="BG991" s="344"/>
      <c r="BH991" s="330"/>
      <c r="BI991" s="330"/>
      <c r="BJ991" s="330"/>
      <c r="BK991" s="330"/>
      <c r="BL991" s="330"/>
      <c r="BM991" s="330"/>
      <c r="BN991" s="330"/>
      <c r="BO991" s="330"/>
      <c r="BP991" s="331"/>
      <c r="BQ991" s="332"/>
      <c r="BR991" s="333"/>
    </row>
    <row r="992" spans="2:70" ht="15.75" customHeight="1">
      <c r="B992" s="216" t="s">
        <v>641</v>
      </c>
      <c r="C992" s="212">
        <v>574997</v>
      </c>
      <c r="D992" s="223">
        <v>29722466000182</v>
      </c>
      <c r="E992" s="217" t="s">
        <v>28</v>
      </c>
      <c r="F992" s="217" t="s">
        <v>950</v>
      </c>
      <c r="G992" s="217"/>
      <c r="H992" s="218"/>
      <c r="I992" s="217" t="s">
        <v>66</v>
      </c>
      <c r="J992" s="217" t="s">
        <v>66</v>
      </c>
      <c r="K992" s="218" t="s">
        <v>951</v>
      </c>
      <c r="L992" s="212" t="s">
        <v>87</v>
      </c>
      <c r="M992" s="250"/>
      <c r="N992" s="239">
        <v>43249</v>
      </c>
      <c r="O992" s="210" t="s">
        <v>642</v>
      </c>
      <c r="P992" s="210" t="s">
        <v>1088</v>
      </c>
      <c r="Q992" s="210" t="s">
        <v>1089</v>
      </c>
      <c r="R992" s="210" t="s">
        <v>1084</v>
      </c>
      <c r="S992" s="210" t="s">
        <v>1078</v>
      </c>
      <c r="T992" s="210" t="s">
        <v>1079</v>
      </c>
      <c r="U992" s="210" t="s">
        <v>950</v>
      </c>
      <c r="V992" s="210" t="s">
        <v>1080</v>
      </c>
      <c r="W992" s="211" t="s">
        <v>1018</v>
      </c>
      <c r="X992" s="211">
        <v>1000</v>
      </c>
      <c r="Y992" s="211">
        <v>1000</v>
      </c>
      <c r="Z992" s="212">
        <v>1000</v>
      </c>
      <c r="AA992" s="240">
        <v>3</v>
      </c>
      <c r="AB992" s="213">
        <v>1.95E-2</v>
      </c>
      <c r="AC992" s="213">
        <v>0.2</v>
      </c>
      <c r="AD992" s="213" t="s">
        <v>1014</v>
      </c>
      <c r="AE992" s="213">
        <v>3.8999999999999998E-3</v>
      </c>
      <c r="AF992" s="241">
        <v>12621433.92</v>
      </c>
      <c r="AG992" s="241">
        <v>12621433.92</v>
      </c>
      <c r="AH992" s="213">
        <v>-3.3E-3</v>
      </c>
      <c r="AI992" s="352">
        <v>-5.04E-2</v>
      </c>
      <c r="AJ992" s="213">
        <v>-0.15890000000000001</v>
      </c>
      <c r="AK992" s="352">
        <v>-1.6892</v>
      </c>
      <c r="AL992" s="213">
        <v>-3.1699999999999999E-2</v>
      </c>
      <c r="AM992" s="352">
        <v>-0.2626</v>
      </c>
      <c r="AN992" s="213">
        <v>-0.1036</v>
      </c>
      <c r="AO992" s="352">
        <v>-0.61480000000000001</v>
      </c>
      <c r="AP992" s="213">
        <v>0.2056</v>
      </c>
      <c r="AQ992" s="219">
        <v>-1.1762573764956357</v>
      </c>
      <c r="AR992" s="213" t="s">
        <v>1824</v>
      </c>
      <c r="AV992" s="343"/>
      <c r="AW992" s="328"/>
      <c r="AX992" s="329"/>
      <c r="AY992" s="328"/>
      <c r="AZ992" s="328"/>
      <c r="BA992" s="330"/>
      <c r="BB992" s="328"/>
      <c r="BC992" s="328"/>
      <c r="BD992" s="328"/>
      <c r="BE992" s="330"/>
      <c r="BF992" s="330"/>
      <c r="BG992" s="344"/>
      <c r="BH992" s="330"/>
      <c r="BI992" s="330"/>
      <c r="BJ992" s="330"/>
      <c r="BK992" s="330"/>
      <c r="BL992" s="330"/>
      <c r="BM992" s="330"/>
      <c r="BN992" s="330"/>
      <c r="BO992" s="330"/>
      <c r="BP992" s="331"/>
      <c r="BQ992" s="332"/>
      <c r="BR992" s="333"/>
    </row>
    <row r="993" spans="2:70" ht="15.75" customHeight="1">
      <c r="B993" s="216" t="s">
        <v>1627</v>
      </c>
      <c r="C993" s="212">
        <v>946205</v>
      </c>
      <c r="D993" s="223">
        <v>10462072000104</v>
      </c>
      <c r="E993" s="217" t="s">
        <v>25</v>
      </c>
      <c r="F993" s="217" t="s">
        <v>958</v>
      </c>
      <c r="G993" s="217" t="s">
        <v>962</v>
      </c>
      <c r="H993" s="218" t="s">
        <v>66</v>
      </c>
      <c r="I993" s="217" t="s">
        <v>1841</v>
      </c>
      <c r="J993" s="217" t="s">
        <v>66</v>
      </c>
      <c r="K993" s="218"/>
      <c r="L993" s="212" t="s">
        <v>87</v>
      </c>
      <c r="M993" s="250"/>
      <c r="N993" s="239">
        <v>40304</v>
      </c>
      <c r="O993" s="210" t="s">
        <v>642</v>
      </c>
      <c r="P993" s="210" t="s">
        <v>1088</v>
      </c>
      <c r="Q993" s="210" t="s">
        <v>1089</v>
      </c>
      <c r="R993" s="210" t="s">
        <v>1084</v>
      </c>
      <c r="S993" s="210" t="s">
        <v>1078</v>
      </c>
      <c r="T993" s="210" t="s">
        <v>1082</v>
      </c>
      <c r="U993" s="210" t="s">
        <v>958</v>
      </c>
      <c r="V993" s="210" t="s">
        <v>25</v>
      </c>
      <c r="W993" s="211" t="s">
        <v>1035</v>
      </c>
      <c r="X993" s="211">
        <v>1000</v>
      </c>
      <c r="Y993" s="211">
        <v>1000</v>
      </c>
      <c r="Z993" s="212">
        <v>1000</v>
      </c>
      <c r="AA993" s="240">
        <v>5</v>
      </c>
      <c r="AB993" s="213">
        <v>0.01</v>
      </c>
      <c r="AC993" s="213">
        <v>0.2</v>
      </c>
      <c r="AD993" s="213" t="s">
        <v>109</v>
      </c>
      <c r="AE993" s="213">
        <v>2E-3</v>
      </c>
      <c r="AF993" s="241">
        <v>33088977.82</v>
      </c>
      <c r="AG993" s="241">
        <v>33088977.82</v>
      </c>
      <c r="AH993" s="213">
        <v>7.17E-2</v>
      </c>
      <c r="AI993" s="352">
        <v>1.1042000000000001</v>
      </c>
      <c r="AJ993" s="213">
        <v>6.6500000000000004E-2</v>
      </c>
      <c r="AK993" s="352">
        <v>0.70650000000000002</v>
      </c>
      <c r="AL993" s="213">
        <v>0.1366</v>
      </c>
      <c r="AM993" s="352">
        <v>1.1303000000000001</v>
      </c>
      <c r="AN993" s="213">
        <v>0.1721</v>
      </c>
      <c r="AO993" s="352">
        <v>1.0212000000000001</v>
      </c>
      <c r="AP993" s="213">
        <v>3.44E-2</v>
      </c>
      <c r="AQ993" s="219">
        <v>-0.72679946082540625</v>
      </c>
      <c r="AR993" s="213" t="s">
        <v>1824</v>
      </c>
      <c r="AV993" s="343"/>
      <c r="AW993" s="328"/>
      <c r="AX993" s="329"/>
      <c r="AY993" s="328"/>
      <c r="AZ993" s="328"/>
      <c r="BA993" s="330"/>
      <c r="BB993" s="328"/>
      <c r="BC993" s="328"/>
      <c r="BD993" s="328"/>
      <c r="BE993" s="330"/>
      <c r="BF993" s="330"/>
      <c r="BG993" s="344"/>
      <c r="BH993" s="330"/>
      <c r="BI993" s="330"/>
      <c r="BJ993" s="330"/>
      <c r="BK993" s="330"/>
      <c r="BL993" s="330"/>
      <c r="BM993" s="330"/>
      <c r="BN993" s="330"/>
      <c r="BO993" s="330"/>
      <c r="BP993" s="331"/>
      <c r="BQ993" s="332"/>
      <c r="BR993" s="333"/>
    </row>
    <row r="994" spans="2:70" ht="15.75" customHeight="1">
      <c r="B994" s="216" t="s">
        <v>643</v>
      </c>
      <c r="C994" s="212">
        <v>596800</v>
      </c>
      <c r="D994" s="223">
        <v>21082291000184</v>
      </c>
      <c r="E994" s="217" t="s">
        <v>28</v>
      </c>
      <c r="F994" s="217" t="s">
        <v>950</v>
      </c>
      <c r="G994" s="217"/>
      <c r="H994" s="218"/>
      <c r="I994" s="217" t="s">
        <v>66</v>
      </c>
      <c r="J994" s="217" t="s">
        <v>66</v>
      </c>
      <c r="K994" s="218" t="s">
        <v>951</v>
      </c>
      <c r="L994" s="212" t="s">
        <v>87</v>
      </c>
      <c r="M994" s="250"/>
      <c r="N994" s="239">
        <v>43203</v>
      </c>
      <c r="O994" s="210" t="s">
        <v>642</v>
      </c>
      <c r="P994" s="210" t="s">
        <v>1088</v>
      </c>
      <c r="Q994" s="210" t="s">
        <v>1089</v>
      </c>
      <c r="R994" s="210" t="s">
        <v>1084</v>
      </c>
      <c r="S994" s="210" t="s">
        <v>1078</v>
      </c>
      <c r="T994" s="210" t="s">
        <v>1079</v>
      </c>
      <c r="U994" s="210" t="s">
        <v>950</v>
      </c>
      <c r="V994" s="210" t="s">
        <v>1080</v>
      </c>
      <c r="W994" s="211" t="s">
        <v>1007</v>
      </c>
      <c r="X994" s="211">
        <v>1000</v>
      </c>
      <c r="Y994" s="211">
        <v>1000</v>
      </c>
      <c r="Z994" s="212">
        <v>1000</v>
      </c>
      <c r="AA994" s="240">
        <v>37</v>
      </c>
      <c r="AB994" s="213">
        <v>0.01</v>
      </c>
      <c r="AC994" s="213">
        <v>0.2</v>
      </c>
      <c r="AD994" s="213" t="s">
        <v>1014</v>
      </c>
      <c r="AE994" s="213">
        <v>2E-3</v>
      </c>
      <c r="AF994" s="241">
        <v>17538400.210000001</v>
      </c>
      <c r="AG994" s="241">
        <v>17538400.210000001</v>
      </c>
      <c r="AH994" s="213">
        <v>-5.9400000000000001E-2</v>
      </c>
      <c r="AI994" s="352">
        <v>-0.91500000000000004</v>
      </c>
      <c r="AJ994" s="213">
        <v>-0.27900000000000003</v>
      </c>
      <c r="AK994" s="352">
        <v>-2.9659</v>
      </c>
      <c r="AL994" s="213">
        <v>-0.17899999999999999</v>
      </c>
      <c r="AM994" s="352">
        <v>-1.4819</v>
      </c>
      <c r="AN994" s="213">
        <v>-0.1565</v>
      </c>
      <c r="AO994" s="352">
        <v>-0.9284</v>
      </c>
      <c r="AP994" s="213">
        <v>0.22489999999999999</v>
      </c>
      <c r="AQ994" s="219">
        <v>-1.7415143805843734</v>
      </c>
      <c r="AR994" s="213" t="s">
        <v>1824</v>
      </c>
      <c r="AV994" s="343"/>
      <c r="AW994" s="328"/>
      <c r="AX994" s="329"/>
      <c r="AY994" s="328"/>
      <c r="AZ994" s="328"/>
      <c r="BA994" s="330"/>
      <c r="BB994" s="328"/>
      <c r="BC994" s="328"/>
      <c r="BD994" s="328"/>
      <c r="BE994" s="330"/>
      <c r="BF994" s="330"/>
      <c r="BG994" s="344"/>
      <c r="BH994" s="330"/>
      <c r="BI994" s="330"/>
      <c r="BJ994" s="330"/>
      <c r="BK994" s="330"/>
      <c r="BL994" s="330"/>
      <c r="BM994" s="330"/>
      <c r="BN994" s="330"/>
      <c r="BO994" s="330"/>
      <c r="BP994" s="331"/>
      <c r="BQ994" s="332"/>
      <c r="BR994" s="333"/>
    </row>
    <row r="995" spans="2:70" ht="15.75" customHeight="1">
      <c r="B995" s="216" t="s">
        <v>1628</v>
      </c>
      <c r="C995" s="212">
        <v>643360</v>
      </c>
      <c r="D995" s="223">
        <v>28206220000195</v>
      </c>
      <c r="E995" s="217" t="s">
        <v>19</v>
      </c>
      <c r="F995" s="217" t="s">
        <v>963</v>
      </c>
      <c r="G995" s="217" t="s">
        <v>1011</v>
      </c>
      <c r="H995" s="218" t="s">
        <v>1113</v>
      </c>
      <c r="I995" s="217" t="s">
        <v>66</v>
      </c>
      <c r="J995" s="217"/>
      <c r="K995" s="218" t="s">
        <v>951</v>
      </c>
      <c r="L995" s="212" t="s">
        <v>87</v>
      </c>
      <c r="M995" s="250"/>
      <c r="N995" s="239">
        <v>43388</v>
      </c>
      <c r="O995" s="210" t="s">
        <v>642</v>
      </c>
      <c r="P995" s="210" t="s">
        <v>1088</v>
      </c>
      <c r="Q995" s="210" t="s">
        <v>1089</v>
      </c>
      <c r="R995" s="210" t="s">
        <v>1084</v>
      </c>
      <c r="S995" s="210" t="s">
        <v>1078</v>
      </c>
      <c r="T995" s="210" t="s">
        <v>349</v>
      </c>
      <c r="U995" s="210" t="s">
        <v>1114</v>
      </c>
      <c r="V995" s="210" t="s">
        <v>19</v>
      </c>
      <c r="W995" s="211" t="s">
        <v>1017</v>
      </c>
      <c r="X995" s="211">
        <v>1000</v>
      </c>
      <c r="Y995" s="211">
        <v>1000</v>
      </c>
      <c r="Z995" s="212">
        <v>1000</v>
      </c>
      <c r="AA995" s="240">
        <v>1</v>
      </c>
      <c r="AB995" s="213">
        <v>5.0000000000000001E-3</v>
      </c>
      <c r="AC995" s="213">
        <v>0</v>
      </c>
      <c r="AD995" s="213" t="s">
        <v>1157</v>
      </c>
      <c r="AE995" s="213">
        <v>1.3333333333333333E-3</v>
      </c>
      <c r="AF995" s="241">
        <v>203750137.44</v>
      </c>
      <c r="AG995" s="241">
        <v>203750137.44</v>
      </c>
      <c r="AH995" s="213">
        <v>7.0900000000000005E-2</v>
      </c>
      <c r="AI995" s="352">
        <v>1.0927</v>
      </c>
      <c r="AJ995" s="213">
        <v>0.1072</v>
      </c>
      <c r="AK995" s="352">
        <v>1.1392</v>
      </c>
      <c r="AL995" s="213">
        <v>0.16930000000000001</v>
      </c>
      <c r="AM995" s="352">
        <v>1.4012</v>
      </c>
      <c r="AN995" s="213">
        <v>0.18990000000000001</v>
      </c>
      <c r="AO995" s="352">
        <v>1.1271</v>
      </c>
      <c r="AP995" s="213">
        <v>2E-3</v>
      </c>
      <c r="AQ995" s="219">
        <v>6.0388507342006159</v>
      </c>
      <c r="AR995" s="213" t="s">
        <v>1824</v>
      </c>
      <c r="AV995" s="343"/>
      <c r="AW995" s="328"/>
      <c r="AX995" s="329"/>
      <c r="AY995" s="328"/>
      <c r="AZ995" s="328"/>
      <c r="BA995" s="330"/>
      <c r="BB995" s="328"/>
      <c r="BC995" s="328"/>
      <c r="BD995" s="328"/>
      <c r="BE995" s="330"/>
      <c r="BF995" s="330"/>
      <c r="BG995" s="344"/>
      <c r="BH995" s="330"/>
      <c r="BI995" s="330"/>
      <c r="BJ995" s="330"/>
      <c r="BK995" s="330"/>
      <c r="BL995" s="330"/>
      <c r="BM995" s="330"/>
      <c r="BN995" s="330"/>
      <c r="BO995" s="330"/>
      <c r="BP995" s="331"/>
      <c r="BQ995" s="332"/>
      <c r="BR995" s="333"/>
    </row>
    <row r="996" spans="2:70" ht="15.75" customHeight="1">
      <c r="B996" s="216" t="s">
        <v>644</v>
      </c>
      <c r="C996" s="212">
        <v>2864980</v>
      </c>
      <c r="D996" s="223">
        <v>7552643000197</v>
      </c>
      <c r="E996" s="217" t="s">
        <v>25</v>
      </c>
      <c r="F996" s="217" t="s">
        <v>958</v>
      </c>
      <c r="G996" s="217" t="s">
        <v>962</v>
      </c>
      <c r="H996" s="218" t="s">
        <v>66</v>
      </c>
      <c r="I996" s="217" t="s">
        <v>1842</v>
      </c>
      <c r="J996" s="217" t="s">
        <v>66</v>
      </c>
      <c r="K996" s="218"/>
      <c r="L996" s="212" t="s">
        <v>87</v>
      </c>
      <c r="M996" s="250"/>
      <c r="N996" s="239">
        <v>38644</v>
      </c>
      <c r="O996" s="210" t="s">
        <v>645</v>
      </c>
      <c r="P996" s="210" t="s">
        <v>1090</v>
      </c>
      <c r="Q996" s="210" t="s">
        <v>1091</v>
      </c>
      <c r="R996" s="210" t="s">
        <v>1084</v>
      </c>
      <c r="S996" s="210" t="s">
        <v>1078</v>
      </c>
      <c r="T996" s="210" t="s">
        <v>1082</v>
      </c>
      <c r="U996" s="210" t="s">
        <v>958</v>
      </c>
      <c r="V996" s="210" t="s">
        <v>25</v>
      </c>
      <c r="W996" s="211" t="s">
        <v>1012</v>
      </c>
      <c r="X996" s="211">
        <v>1000</v>
      </c>
      <c r="Y996" s="211">
        <v>100</v>
      </c>
      <c r="Z996" s="212">
        <v>100</v>
      </c>
      <c r="AA996" s="240">
        <v>4</v>
      </c>
      <c r="AB996" s="213">
        <v>0.02</v>
      </c>
      <c r="AC996" s="213">
        <v>0.2</v>
      </c>
      <c r="AD996" s="213" t="s">
        <v>109</v>
      </c>
      <c r="AE996" s="213">
        <v>5.0000000000000001E-3</v>
      </c>
      <c r="AF996" s="241">
        <v>63110715.710000001</v>
      </c>
      <c r="AG996" s="241">
        <v>63110715.710000001</v>
      </c>
      <c r="AH996" s="213">
        <v>4.6800000000000001E-2</v>
      </c>
      <c r="AI996" s="352">
        <v>0.72150000000000003</v>
      </c>
      <c r="AJ996" s="213">
        <v>7.9299999999999995E-2</v>
      </c>
      <c r="AK996" s="352">
        <v>0.8427</v>
      </c>
      <c r="AL996" s="213">
        <v>0.374</v>
      </c>
      <c r="AM996" s="352">
        <v>3.0954999999999999</v>
      </c>
      <c r="AN996" s="213">
        <v>0.28839999999999999</v>
      </c>
      <c r="AO996" s="352">
        <v>1.7114</v>
      </c>
      <c r="AP996" s="213">
        <v>0.19409999999999999</v>
      </c>
      <c r="AQ996" s="219">
        <v>2.6571802368897442E-2</v>
      </c>
      <c r="AR996" s="213" t="s">
        <v>1827</v>
      </c>
      <c r="AV996" s="343"/>
      <c r="AW996" s="328"/>
      <c r="AX996" s="329"/>
      <c r="AY996" s="328"/>
      <c r="AZ996" s="328"/>
      <c r="BA996" s="330"/>
      <c r="BB996" s="328"/>
      <c r="BC996" s="328"/>
      <c r="BD996" s="328"/>
      <c r="BE996" s="330"/>
      <c r="BF996" s="330"/>
      <c r="BG996" s="344"/>
      <c r="BH996" s="330"/>
      <c r="BI996" s="330"/>
      <c r="BJ996" s="330"/>
      <c r="BK996" s="330"/>
      <c r="BL996" s="330"/>
      <c r="BM996" s="330"/>
      <c r="BN996" s="330"/>
      <c r="BO996" s="330"/>
      <c r="BP996" s="331"/>
      <c r="BQ996" s="332"/>
      <c r="BR996" s="333"/>
    </row>
    <row r="997" spans="2:70" ht="15.75" customHeight="1">
      <c r="B997" s="216" t="s">
        <v>646</v>
      </c>
      <c r="C997" s="212">
        <v>596748</v>
      </c>
      <c r="D997" s="223">
        <v>39959025000152</v>
      </c>
      <c r="E997" s="217" t="s">
        <v>19</v>
      </c>
      <c r="F997" s="217" t="s">
        <v>964</v>
      </c>
      <c r="G997" s="217" t="s">
        <v>1042</v>
      </c>
      <c r="H997" s="218" t="s">
        <v>1113</v>
      </c>
      <c r="I997" s="217" t="s">
        <v>66</v>
      </c>
      <c r="J997" s="217"/>
      <c r="K997" s="218" t="s">
        <v>951</v>
      </c>
      <c r="L997" s="212" t="s">
        <v>87</v>
      </c>
      <c r="M997" s="250"/>
      <c r="N997" s="239">
        <v>44225</v>
      </c>
      <c r="O997" s="210" t="s">
        <v>645</v>
      </c>
      <c r="P997" s="210" t="s">
        <v>1090</v>
      </c>
      <c r="Q997" s="210" t="s">
        <v>1091</v>
      </c>
      <c r="R997" s="210" t="s">
        <v>1084</v>
      </c>
      <c r="S997" s="210" t="s">
        <v>1078</v>
      </c>
      <c r="T997" s="210" t="s">
        <v>349</v>
      </c>
      <c r="U997" s="210" t="s">
        <v>964</v>
      </c>
      <c r="V997" s="210" t="s">
        <v>19</v>
      </c>
      <c r="W997" s="211" t="s">
        <v>1024</v>
      </c>
      <c r="X997" s="211">
        <v>1000</v>
      </c>
      <c r="Y997" s="211">
        <v>100</v>
      </c>
      <c r="Z997" s="212">
        <v>100</v>
      </c>
      <c r="AA997" s="240">
        <v>32</v>
      </c>
      <c r="AB997" s="213">
        <v>8.0000000000000002E-3</v>
      </c>
      <c r="AC997" s="213">
        <v>0</v>
      </c>
      <c r="AD997" s="213" t="s">
        <v>981</v>
      </c>
      <c r="AE997" s="213">
        <v>1.6000000000000001E-3</v>
      </c>
      <c r="AF997" s="241">
        <v>122511392.37</v>
      </c>
      <c r="AG997" s="241">
        <v>122511392.37</v>
      </c>
      <c r="AH997" s="213">
        <v>8.0699999999999994E-2</v>
      </c>
      <c r="AI997" s="352">
        <v>1.2427999999999999</v>
      </c>
      <c r="AJ997" s="213">
        <v>0.13400000000000001</v>
      </c>
      <c r="AK997" s="352">
        <v>1.4244000000000001</v>
      </c>
      <c r="AL997" s="213" t="s">
        <v>66</v>
      </c>
      <c r="AM997" s="352" t="s">
        <v>66</v>
      </c>
      <c r="AN997" s="213" t="s">
        <v>66</v>
      </c>
      <c r="AO997" s="352" t="s">
        <v>66</v>
      </c>
      <c r="AP997" s="213">
        <v>2.92E-2</v>
      </c>
      <c r="AQ997" s="219">
        <v>1.2423569631074747</v>
      </c>
      <c r="AR997" s="213" t="s">
        <v>1827</v>
      </c>
      <c r="AV997" s="343"/>
      <c r="AW997" s="328"/>
      <c r="AX997" s="329"/>
      <c r="AY997" s="328"/>
      <c r="AZ997" s="328"/>
      <c r="BA997" s="330"/>
      <c r="BB997" s="328"/>
      <c r="BC997" s="328"/>
      <c r="BD997" s="328"/>
      <c r="BE997" s="330"/>
      <c r="BF997" s="330"/>
      <c r="BG997" s="344"/>
      <c r="BH997" s="330"/>
      <c r="BI997" s="330"/>
      <c r="BJ997" s="330"/>
      <c r="BK997" s="330"/>
      <c r="BL997" s="330"/>
      <c r="BM997" s="330"/>
      <c r="BN997" s="330"/>
      <c r="BO997" s="330"/>
      <c r="BP997" s="331"/>
      <c r="BQ997" s="332"/>
      <c r="BR997" s="333"/>
    </row>
    <row r="998" spans="2:70" ht="15.75" customHeight="1">
      <c r="B998" s="216" t="s">
        <v>1801</v>
      </c>
      <c r="C998" s="212">
        <v>4078073</v>
      </c>
      <c r="D998" s="223">
        <v>36352361000144</v>
      </c>
      <c r="E998" s="217" t="s">
        <v>19</v>
      </c>
      <c r="F998" s="217" t="s">
        <v>963</v>
      </c>
      <c r="G998" s="217" t="s">
        <v>1042</v>
      </c>
      <c r="H998" s="218" t="s">
        <v>1113</v>
      </c>
      <c r="I998" s="217" t="s">
        <v>66</v>
      </c>
      <c r="J998" s="217"/>
      <c r="K998" s="218" t="s">
        <v>951</v>
      </c>
      <c r="L998" s="212" t="s">
        <v>87</v>
      </c>
      <c r="M998" s="250"/>
      <c r="N998" s="239">
        <v>44641</v>
      </c>
      <c r="O998" s="210" t="s">
        <v>1802</v>
      </c>
      <c r="P998" s="210" t="s">
        <v>1796</v>
      </c>
      <c r="Q998" s="210" t="s">
        <v>1797</v>
      </c>
      <c r="R998" s="210" t="s">
        <v>1745</v>
      </c>
      <c r="S998" s="210" t="s">
        <v>1078</v>
      </c>
      <c r="T998" s="210" t="s">
        <v>349</v>
      </c>
      <c r="U998" s="210" t="s">
        <v>964</v>
      </c>
      <c r="V998" s="210" t="s">
        <v>1746</v>
      </c>
      <c r="W998" s="211" t="s">
        <v>1753</v>
      </c>
      <c r="X998" s="211">
        <v>1000</v>
      </c>
      <c r="Y998" s="211">
        <v>100</v>
      </c>
      <c r="Z998" s="212">
        <v>100</v>
      </c>
      <c r="AA998" s="240">
        <v>46</v>
      </c>
      <c r="AB998" s="213">
        <v>8.0000000000000002E-3</v>
      </c>
      <c r="AC998" s="213" t="s">
        <v>1741</v>
      </c>
      <c r="AD998" s="213" t="s">
        <v>109</v>
      </c>
      <c r="AE998" s="213">
        <v>1.5999999999999999E-3</v>
      </c>
      <c r="AF998" s="241">
        <v>17253612.550000001</v>
      </c>
      <c r="AG998" s="241">
        <v>17253612.550000001</v>
      </c>
      <c r="AH998" s="213" t="s">
        <v>66</v>
      </c>
      <c r="AI998" s="352" t="s">
        <v>66</v>
      </c>
      <c r="AJ998" s="213" t="s">
        <v>66</v>
      </c>
      <c r="AK998" s="352" t="s">
        <v>66</v>
      </c>
      <c r="AL998" s="213" t="s">
        <v>66</v>
      </c>
      <c r="AM998" s="352" t="s">
        <v>66</v>
      </c>
      <c r="AN998" s="213" t="s">
        <v>66</v>
      </c>
      <c r="AO998" s="352" t="s">
        <v>66</v>
      </c>
      <c r="AP998" s="213" t="s">
        <v>66</v>
      </c>
      <c r="AQ998" s="219" t="s">
        <v>66</v>
      </c>
      <c r="AR998" s="213" t="s">
        <v>1827</v>
      </c>
      <c r="AV998" s="343"/>
      <c r="AW998" s="328"/>
      <c r="AX998" s="329"/>
      <c r="AY998" s="328"/>
      <c r="AZ998" s="328"/>
      <c r="BA998" s="330"/>
      <c r="BB998" s="328"/>
      <c r="BC998" s="328"/>
      <c r="BD998" s="328"/>
      <c r="BE998" s="330"/>
      <c r="BF998" s="330"/>
      <c r="BG998" s="344"/>
      <c r="BH998" s="330"/>
      <c r="BI998" s="330"/>
      <c r="BJ998" s="330"/>
      <c r="BK998" s="330"/>
      <c r="BL998" s="330"/>
      <c r="BM998" s="330"/>
      <c r="BN998" s="330"/>
      <c r="BO998" s="330"/>
      <c r="BP998" s="331"/>
      <c r="BQ998" s="332"/>
      <c r="BR998" s="333"/>
    </row>
    <row r="999" spans="2:70" ht="15.75" customHeight="1">
      <c r="B999" s="216" t="s">
        <v>1629</v>
      </c>
      <c r="C999" s="212">
        <v>2910612</v>
      </c>
      <c r="D999" s="223">
        <v>26759909000111</v>
      </c>
      <c r="E999" s="217" t="s">
        <v>19</v>
      </c>
      <c r="F999" s="217" t="s">
        <v>963</v>
      </c>
      <c r="G999" s="217" t="s">
        <v>1042</v>
      </c>
      <c r="H999" s="218" t="s">
        <v>1113</v>
      </c>
      <c r="I999" s="217" t="s">
        <v>66</v>
      </c>
      <c r="J999" s="217"/>
      <c r="K999" s="218" t="s">
        <v>951</v>
      </c>
      <c r="L999" s="212" t="s">
        <v>87</v>
      </c>
      <c r="M999" s="250"/>
      <c r="N999" s="239">
        <v>42916</v>
      </c>
      <c r="O999" s="210" t="s">
        <v>645</v>
      </c>
      <c r="P999" s="210" t="s">
        <v>1090</v>
      </c>
      <c r="Q999" s="210" t="s">
        <v>1091</v>
      </c>
      <c r="R999" s="210" t="s">
        <v>1084</v>
      </c>
      <c r="S999" s="210" t="s">
        <v>1078</v>
      </c>
      <c r="T999" s="210" t="s">
        <v>349</v>
      </c>
      <c r="U999" s="210" t="s">
        <v>1114</v>
      </c>
      <c r="V999" s="210" t="s">
        <v>19</v>
      </c>
      <c r="W999" s="211" t="s">
        <v>1024</v>
      </c>
      <c r="X999" s="211">
        <v>1000</v>
      </c>
      <c r="Y999" s="211">
        <v>100</v>
      </c>
      <c r="Z999" s="212">
        <v>100</v>
      </c>
      <c r="AA999" s="240">
        <v>32</v>
      </c>
      <c r="AB999" s="213">
        <v>8.0000000000000002E-3</v>
      </c>
      <c r="AC999" s="213">
        <v>0</v>
      </c>
      <c r="AD999" s="213" t="s">
        <v>109</v>
      </c>
      <c r="AE999" s="213">
        <v>2.3999999999999998E-3</v>
      </c>
      <c r="AF999" s="241">
        <v>650082088.64999998</v>
      </c>
      <c r="AG999" s="241">
        <v>650082088.64999998</v>
      </c>
      <c r="AH999" s="213">
        <v>7.4999999999999997E-2</v>
      </c>
      <c r="AI999" s="352">
        <v>1.1553</v>
      </c>
      <c r="AJ999" s="213">
        <v>0.1188</v>
      </c>
      <c r="AK999" s="352">
        <v>1.2626999999999999</v>
      </c>
      <c r="AL999" s="213">
        <v>0.19969999999999999</v>
      </c>
      <c r="AM999" s="352">
        <v>1.6526000000000001</v>
      </c>
      <c r="AN999" s="213">
        <v>0.2026</v>
      </c>
      <c r="AO999" s="352">
        <v>1.2023999999999999</v>
      </c>
      <c r="AP999" s="213">
        <v>1.29E-2</v>
      </c>
      <c r="AQ999" s="219">
        <v>1.7373069949252591</v>
      </c>
      <c r="AR999" s="213" t="s">
        <v>1827</v>
      </c>
      <c r="AV999" s="343"/>
      <c r="AW999" s="328"/>
      <c r="AX999" s="329"/>
      <c r="AY999" s="328"/>
      <c r="AZ999" s="328"/>
      <c r="BA999" s="330"/>
      <c r="BB999" s="328"/>
      <c r="BC999" s="328"/>
      <c r="BD999" s="328"/>
      <c r="BE999" s="330"/>
      <c r="BF999" s="330"/>
      <c r="BG999" s="344"/>
      <c r="BH999" s="330"/>
      <c r="BI999" s="330"/>
      <c r="BJ999" s="330"/>
      <c r="BK999" s="330"/>
      <c r="BL999" s="330"/>
      <c r="BM999" s="330"/>
      <c r="BN999" s="330"/>
      <c r="BO999" s="330"/>
      <c r="BP999" s="331"/>
      <c r="BQ999" s="332"/>
      <c r="BR999" s="333"/>
    </row>
    <row r="1000" spans="2:70" ht="15.75" customHeight="1">
      <c r="B1000" s="216" t="s">
        <v>1630</v>
      </c>
      <c r="C1000" s="212">
        <v>638933</v>
      </c>
      <c r="D1000" s="223">
        <v>14180011000105</v>
      </c>
      <c r="E1000" s="217" t="s">
        <v>25</v>
      </c>
      <c r="F1000" s="217" t="s">
        <v>959</v>
      </c>
      <c r="G1000" s="217" t="s">
        <v>962</v>
      </c>
      <c r="H1000" s="218" t="s">
        <v>66</v>
      </c>
      <c r="I1000" s="217" t="s">
        <v>1841</v>
      </c>
      <c r="J1000" s="217" t="s">
        <v>66</v>
      </c>
      <c r="K1000" s="218"/>
      <c r="L1000" s="212" t="s">
        <v>87</v>
      </c>
      <c r="M1000" s="250"/>
      <c r="N1000" s="239">
        <v>40968</v>
      </c>
      <c r="O1000" s="210" t="s">
        <v>645</v>
      </c>
      <c r="P1000" s="210" t="s">
        <v>1090</v>
      </c>
      <c r="Q1000" s="210" t="s">
        <v>1091</v>
      </c>
      <c r="R1000" s="210" t="s">
        <v>1084</v>
      </c>
      <c r="S1000" s="210" t="s">
        <v>1085</v>
      </c>
      <c r="T1000" s="210" t="s">
        <v>1082</v>
      </c>
      <c r="U1000" s="210" t="s">
        <v>1086</v>
      </c>
      <c r="V1000" s="210" t="s">
        <v>25</v>
      </c>
      <c r="W1000" s="211" t="s">
        <v>1016</v>
      </c>
      <c r="X1000" s="211">
        <v>5000</v>
      </c>
      <c r="Y1000" s="211">
        <v>3000</v>
      </c>
      <c r="Z1000" s="212">
        <v>5000</v>
      </c>
      <c r="AA1000" s="240">
        <v>4</v>
      </c>
      <c r="AB1000" s="213">
        <v>0.02</v>
      </c>
      <c r="AC1000" s="213">
        <v>0.2</v>
      </c>
      <c r="AD1000" s="213" t="s">
        <v>109</v>
      </c>
      <c r="AE1000" s="213" t="s">
        <v>66</v>
      </c>
      <c r="AF1000" s="241">
        <v>87448543.900000006</v>
      </c>
      <c r="AG1000" s="241">
        <v>87448543.900000006</v>
      </c>
      <c r="AH1000" s="213">
        <v>7.1199999999999999E-2</v>
      </c>
      <c r="AI1000" s="352">
        <v>1.0963000000000001</v>
      </c>
      <c r="AJ1000" s="213">
        <v>0.1079</v>
      </c>
      <c r="AK1000" s="352">
        <v>1.147</v>
      </c>
      <c r="AL1000" s="213">
        <v>0.1409</v>
      </c>
      <c r="AM1000" s="352">
        <v>1.1660999999999999</v>
      </c>
      <c r="AN1000" s="213">
        <v>0.2611</v>
      </c>
      <c r="AO1000" s="352">
        <v>1.5491999999999999</v>
      </c>
      <c r="AP1000" s="213">
        <v>6.1999999999999998E-3</v>
      </c>
      <c r="AQ1000" s="219">
        <v>2.0415321944886529</v>
      </c>
      <c r="AR1000" s="213" t="s">
        <v>1827</v>
      </c>
      <c r="AV1000" s="343"/>
      <c r="AW1000" s="328"/>
      <c r="AX1000" s="329"/>
      <c r="AY1000" s="328"/>
      <c r="AZ1000" s="328"/>
      <c r="BA1000" s="330"/>
      <c r="BB1000" s="328"/>
      <c r="BC1000" s="328"/>
      <c r="BD1000" s="328"/>
      <c r="BE1000" s="330"/>
      <c r="BF1000" s="330"/>
      <c r="BG1000" s="344"/>
      <c r="BH1000" s="330"/>
      <c r="BI1000" s="330"/>
      <c r="BJ1000" s="330"/>
      <c r="BK1000" s="330"/>
      <c r="BL1000" s="330"/>
      <c r="BM1000" s="330"/>
      <c r="BN1000" s="330"/>
      <c r="BO1000" s="330"/>
      <c r="BP1000" s="331"/>
      <c r="BQ1000" s="332"/>
      <c r="BR1000" s="333"/>
    </row>
    <row r="1001" spans="2:70" ht="15.75" customHeight="1">
      <c r="B1001" s="216" t="s">
        <v>1631</v>
      </c>
      <c r="C1001" s="212">
        <v>1016437</v>
      </c>
      <c r="D1001" s="223">
        <v>26773148000152</v>
      </c>
      <c r="E1001" s="217" t="s">
        <v>19</v>
      </c>
      <c r="F1001" s="217" t="s">
        <v>963</v>
      </c>
      <c r="G1001" s="217" t="s">
        <v>1011</v>
      </c>
      <c r="H1001" s="218" t="s">
        <v>1113</v>
      </c>
      <c r="I1001" s="217" t="s">
        <v>66</v>
      </c>
      <c r="J1001" s="217"/>
      <c r="K1001" s="218" t="s">
        <v>951</v>
      </c>
      <c r="L1001" s="212" t="s">
        <v>87</v>
      </c>
      <c r="M1001" s="250"/>
      <c r="N1001" s="239">
        <v>42858</v>
      </c>
      <c r="O1001" s="210" t="s">
        <v>645</v>
      </c>
      <c r="P1001" s="210" t="s">
        <v>1090</v>
      </c>
      <c r="Q1001" s="210" t="s">
        <v>1091</v>
      </c>
      <c r="R1001" s="210" t="s">
        <v>1077</v>
      </c>
      <c r="S1001" s="210" t="s">
        <v>1078</v>
      </c>
      <c r="T1001" s="210" t="s">
        <v>349</v>
      </c>
      <c r="U1001" s="210" t="s">
        <v>1114</v>
      </c>
      <c r="V1001" s="210" t="s">
        <v>19</v>
      </c>
      <c r="W1001" s="211" t="s">
        <v>1896</v>
      </c>
      <c r="X1001" s="211">
        <v>1000</v>
      </c>
      <c r="Y1001" s="211">
        <v>100</v>
      </c>
      <c r="Z1001" s="212">
        <v>100</v>
      </c>
      <c r="AA1001" s="240">
        <v>32</v>
      </c>
      <c r="AB1001" s="213">
        <v>3.5000000000000001E-3</v>
      </c>
      <c r="AC1001" s="213">
        <v>0.2</v>
      </c>
      <c r="AD1001" s="213" t="s">
        <v>109</v>
      </c>
      <c r="AE1001" s="213">
        <v>1.5983333333333333E-3</v>
      </c>
      <c r="AF1001" s="241">
        <v>246843280.93000001</v>
      </c>
      <c r="AG1001" s="241">
        <v>246843280.93000001</v>
      </c>
      <c r="AH1001" s="213">
        <v>7.6799999999999993E-2</v>
      </c>
      <c r="AI1001" s="352">
        <v>1.1828000000000001</v>
      </c>
      <c r="AJ1001" s="213">
        <v>0.11749999999999999</v>
      </c>
      <c r="AK1001" s="352">
        <v>1.2493000000000001</v>
      </c>
      <c r="AL1001" s="213">
        <v>0.19520000000000001</v>
      </c>
      <c r="AM1001" s="352">
        <v>1.6155999999999999</v>
      </c>
      <c r="AN1001" s="213">
        <v>0.23169999999999999</v>
      </c>
      <c r="AO1001" s="352">
        <v>1.3748</v>
      </c>
      <c r="AP1001" s="213">
        <v>2.7000000000000001E-3</v>
      </c>
      <c r="AQ1001" s="219">
        <v>7.8380917844639395</v>
      </c>
      <c r="AR1001" s="213" t="s">
        <v>1827</v>
      </c>
      <c r="AU1001" s="343"/>
      <c r="AV1001" s="343"/>
      <c r="AW1001" s="328"/>
      <c r="AX1001" s="329"/>
      <c r="AY1001" s="328"/>
      <c r="AZ1001" s="328"/>
      <c r="BA1001" s="330"/>
      <c r="BB1001" s="328"/>
      <c r="BC1001" s="328"/>
      <c r="BD1001" s="328"/>
      <c r="BE1001" s="330"/>
      <c r="BF1001" s="330"/>
      <c r="BG1001" s="344"/>
      <c r="BH1001" s="330"/>
      <c r="BI1001" s="330"/>
      <c r="BJ1001" s="330"/>
      <c r="BK1001" s="330"/>
      <c r="BL1001" s="330"/>
      <c r="BM1001" s="330"/>
      <c r="BN1001" s="330"/>
      <c r="BO1001" s="330"/>
      <c r="BP1001" s="331"/>
      <c r="BQ1001" s="332"/>
      <c r="BR1001" s="333"/>
    </row>
    <row r="1002" spans="2:70" ht="15.75" customHeight="1">
      <c r="B1002" s="216" t="s">
        <v>1632</v>
      </c>
      <c r="C1002" s="212">
        <v>4202431</v>
      </c>
      <c r="D1002" s="223">
        <v>12923387000137</v>
      </c>
      <c r="E1002" s="217" t="s">
        <v>19</v>
      </c>
      <c r="F1002" s="217" t="s">
        <v>963</v>
      </c>
      <c r="G1002" s="217" t="s">
        <v>1011</v>
      </c>
      <c r="H1002" s="218" t="s">
        <v>1113</v>
      </c>
      <c r="I1002" s="217" t="s">
        <v>66</v>
      </c>
      <c r="J1002" s="217" t="s">
        <v>1794</v>
      </c>
      <c r="K1002" s="218" t="s">
        <v>951</v>
      </c>
      <c r="L1002" s="212" t="s">
        <v>87</v>
      </c>
      <c r="M1002" s="250"/>
      <c r="N1002" s="239">
        <v>40542</v>
      </c>
      <c r="O1002" s="210" t="s">
        <v>645</v>
      </c>
      <c r="P1002" s="210" t="s">
        <v>1090</v>
      </c>
      <c r="Q1002" s="210" t="s">
        <v>1091</v>
      </c>
      <c r="R1002" s="210" t="s">
        <v>1084</v>
      </c>
      <c r="S1002" s="210" t="s">
        <v>1078</v>
      </c>
      <c r="T1002" s="210" t="s">
        <v>349</v>
      </c>
      <c r="U1002" s="210" t="s">
        <v>1114</v>
      </c>
      <c r="V1002" s="210" t="s">
        <v>19</v>
      </c>
      <c r="W1002" s="211" t="s">
        <v>1010</v>
      </c>
      <c r="X1002" s="211">
        <v>500</v>
      </c>
      <c r="Y1002" s="211">
        <v>100</v>
      </c>
      <c r="Z1002" s="212">
        <v>100</v>
      </c>
      <c r="AA1002" s="240">
        <v>0</v>
      </c>
      <c r="AB1002" s="213">
        <v>3.0000000000000001E-3</v>
      </c>
      <c r="AC1002" s="213">
        <v>0</v>
      </c>
      <c r="AD1002" s="213" t="s">
        <v>109</v>
      </c>
      <c r="AE1002" s="213">
        <v>7.5000000000000002E-4</v>
      </c>
      <c r="AF1002" s="241">
        <v>52365361.32</v>
      </c>
      <c r="AG1002" s="241">
        <v>52365361.32</v>
      </c>
      <c r="AH1002" s="213">
        <v>6.54E-2</v>
      </c>
      <c r="AI1002" s="352">
        <v>1.0073000000000001</v>
      </c>
      <c r="AJ1002" s="213">
        <v>9.4100000000000003E-2</v>
      </c>
      <c r="AK1002" s="352">
        <v>1.0001</v>
      </c>
      <c r="AL1002" s="213">
        <v>0.1137</v>
      </c>
      <c r="AM1002" s="352">
        <v>0.94130000000000003</v>
      </c>
      <c r="AN1002" s="213">
        <v>0.1547</v>
      </c>
      <c r="AO1002" s="352">
        <v>0.91800000000000004</v>
      </c>
      <c r="AP1002" s="213">
        <v>1.8E-3</v>
      </c>
      <c r="AQ1002" s="219">
        <v>3.2839747527893173E-3</v>
      </c>
      <c r="AR1002" s="213" t="s">
        <v>1827</v>
      </c>
      <c r="AU1002" s="343"/>
      <c r="AV1002" s="343"/>
      <c r="AW1002" s="328"/>
      <c r="AX1002" s="329"/>
      <c r="AY1002" s="328"/>
      <c r="AZ1002" s="328"/>
      <c r="BA1002" s="330"/>
      <c r="BB1002" s="328"/>
      <c r="BC1002" s="328"/>
      <c r="BD1002" s="328"/>
      <c r="BE1002" s="330"/>
      <c r="BF1002" s="330"/>
      <c r="BG1002" s="344"/>
      <c r="BH1002" s="383"/>
      <c r="BI1002" s="330"/>
      <c r="BJ1002" s="330"/>
      <c r="BK1002" s="330"/>
      <c r="BL1002" s="330"/>
      <c r="BM1002" s="330"/>
      <c r="BN1002" s="330"/>
      <c r="BO1002" s="330"/>
      <c r="BP1002" s="331"/>
      <c r="BQ1002" s="332"/>
      <c r="BR1002" s="333"/>
    </row>
    <row r="1003" spans="2:70" ht="15.75" customHeight="1">
      <c r="B1003" s="216" t="s">
        <v>1633</v>
      </c>
      <c r="C1003" s="212">
        <v>942445</v>
      </c>
      <c r="D1003" s="223">
        <v>38026926000129</v>
      </c>
      <c r="E1003" s="217" t="s">
        <v>19</v>
      </c>
      <c r="F1003" s="217" t="s">
        <v>964</v>
      </c>
      <c r="G1003" s="217" t="s">
        <v>1011</v>
      </c>
      <c r="H1003" s="218" t="s">
        <v>1113</v>
      </c>
      <c r="I1003" s="217" t="s">
        <v>66</v>
      </c>
      <c r="J1003" s="217"/>
      <c r="K1003" s="218" t="s">
        <v>951</v>
      </c>
      <c r="L1003" s="212" t="s">
        <v>87</v>
      </c>
      <c r="M1003" s="250"/>
      <c r="N1003" s="239">
        <v>44104</v>
      </c>
      <c r="O1003" s="210" t="s">
        <v>645</v>
      </c>
      <c r="P1003" s="210" t="s">
        <v>1090</v>
      </c>
      <c r="Q1003" s="210" t="s">
        <v>1091</v>
      </c>
      <c r="R1003" s="210" t="s">
        <v>1084</v>
      </c>
      <c r="S1003" s="210" t="s">
        <v>1078</v>
      </c>
      <c r="T1003" s="210" t="s">
        <v>349</v>
      </c>
      <c r="U1003" s="210" t="s">
        <v>964</v>
      </c>
      <c r="V1003" s="210" t="s">
        <v>19</v>
      </c>
      <c r="W1003" s="211" t="s">
        <v>1024</v>
      </c>
      <c r="X1003" s="211">
        <v>1000</v>
      </c>
      <c r="Y1003" s="211">
        <v>100</v>
      </c>
      <c r="Z1003" s="212">
        <v>100</v>
      </c>
      <c r="AA1003" s="240">
        <v>31</v>
      </c>
      <c r="AB1003" s="213">
        <v>3.0000000000000001E-3</v>
      </c>
      <c r="AC1003" s="213">
        <v>0.2</v>
      </c>
      <c r="AD1003" s="213" t="s">
        <v>113</v>
      </c>
      <c r="AE1003" s="213">
        <v>1.4E-3</v>
      </c>
      <c r="AF1003" s="241">
        <v>147653798.96000001</v>
      </c>
      <c r="AG1003" s="241">
        <v>147653798.96000001</v>
      </c>
      <c r="AH1003" s="213">
        <v>7.22E-2</v>
      </c>
      <c r="AI1003" s="352">
        <v>1.1124000000000001</v>
      </c>
      <c r="AJ1003" s="213">
        <v>0.1089</v>
      </c>
      <c r="AK1003" s="352">
        <v>1.1573</v>
      </c>
      <c r="AL1003" s="213" t="s">
        <v>66</v>
      </c>
      <c r="AM1003" s="352" t="s">
        <v>66</v>
      </c>
      <c r="AN1003" s="213" t="s">
        <v>66</v>
      </c>
      <c r="AO1003" s="352" t="s">
        <v>66</v>
      </c>
      <c r="AP1003" s="213">
        <v>2.76E-2</v>
      </c>
      <c r="AQ1003" s="219">
        <v>0.50024449710709895</v>
      </c>
      <c r="AR1003" s="213" t="s">
        <v>1827</v>
      </c>
      <c r="AV1003" s="343"/>
      <c r="AW1003" s="328"/>
      <c r="AX1003" s="329"/>
      <c r="AY1003" s="328"/>
      <c r="AZ1003" s="328"/>
      <c r="BA1003" s="330"/>
      <c r="BB1003" s="328"/>
      <c r="BC1003" s="328"/>
      <c r="BD1003" s="328"/>
      <c r="BE1003" s="330"/>
      <c r="BF1003" s="330"/>
      <c r="BG1003" s="344"/>
      <c r="BH1003" s="330"/>
      <c r="BI1003" s="330"/>
      <c r="BJ1003" s="330"/>
      <c r="BK1003" s="330"/>
      <c r="BL1003" s="330"/>
      <c r="BM1003" s="330"/>
      <c r="BN1003" s="330"/>
      <c r="BO1003" s="330"/>
      <c r="BP1003" s="331"/>
      <c r="BQ1003" s="332"/>
      <c r="BR1003" s="333"/>
    </row>
    <row r="1004" spans="2:70" ht="15.75" customHeight="1">
      <c r="B1004" s="216" t="s">
        <v>1634</v>
      </c>
      <c r="C1004" s="212">
        <v>1068281</v>
      </c>
      <c r="D1004" s="223">
        <v>17447468000121</v>
      </c>
      <c r="E1004" s="217" t="s">
        <v>28</v>
      </c>
      <c r="F1004" s="217" t="s">
        <v>957</v>
      </c>
      <c r="G1004" s="217"/>
      <c r="H1004" s="218"/>
      <c r="I1004" s="217" t="s">
        <v>1259</v>
      </c>
      <c r="J1004" s="217" t="s">
        <v>66</v>
      </c>
      <c r="K1004" s="218" t="s">
        <v>951</v>
      </c>
      <c r="L1004" s="212" t="s">
        <v>87</v>
      </c>
      <c r="M1004" s="250"/>
      <c r="N1004" s="239">
        <v>41353</v>
      </c>
      <c r="O1004" s="210" t="s">
        <v>114</v>
      </c>
      <c r="P1004" s="210" t="s">
        <v>1075</v>
      </c>
      <c r="Q1004" s="210" t="s">
        <v>1076</v>
      </c>
      <c r="R1004" s="210" t="s">
        <v>1077</v>
      </c>
      <c r="S1004" s="210" t="s">
        <v>1078</v>
      </c>
      <c r="T1004" s="210" t="s">
        <v>1079</v>
      </c>
      <c r="U1004" s="210" t="s">
        <v>957</v>
      </c>
      <c r="V1004" s="210" t="s">
        <v>1080</v>
      </c>
      <c r="W1004" s="211" t="s">
        <v>1007</v>
      </c>
      <c r="X1004" s="211">
        <v>10000</v>
      </c>
      <c r="Y1004" s="211">
        <v>10000</v>
      </c>
      <c r="Z1004" s="212">
        <v>10000</v>
      </c>
      <c r="AA1004" s="240">
        <v>62</v>
      </c>
      <c r="AB1004" s="213">
        <v>0.02</v>
      </c>
      <c r="AC1004" s="213">
        <v>0.2</v>
      </c>
      <c r="AD1004" s="213" t="s">
        <v>1100</v>
      </c>
      <c r="AE1004" s="213">
        <v>3.3333333333333331E-3</v>
      </c>
      <c r="AF1004" s="241">
        <v>117309497.29000001</v>
      </c>
      <c r="AG1004" s="241">
        <v>117309497.29000001</v>
      </c>
      <c r="AH1004" s="213">
        <v>3.7100000000000001E-2</v>
      </c>
      <c r="AI1004" s="352">
        <v>0.57140000000000002</v>
      </c>
      <c r="AJ1004" s="213">
        <v>-4.7699999999999999E-2</v>
      </c>
      <c r="AK1004" s="352">
        <v>-0.50749999999999995</v>
      </c>
      <c r="AL1004" s="213">
        <v>0.21310000000000001</v>
      </c>
      <c r="AM1004" s="352">
        <v>1.7642</v>
      </c>
      <c r="AN1004" s="213">
        <v>0.1961</v>
      </c>
      <c r="AO1004" s="352">
        <v>1.1638999999999999</v>
      </c>
      <c r="AP1004" s="213">
        <v>0.16350000000000001</v>
      </c>
      <c r="AQ1004" s="219">
        <v>-0.76778630449659147</v>
      </c>
      <c r="AR1004" s="213" t="s">
        <v>1827</v>
      </c>
      <c r="AV1004" s="343"/>
      <c r="AW1004" s="328"/>
      <c r="AX1004" s="329"/>
      <c r="AY1004" s="328"/>
      <c r="AZ1004" s="328"/>
      <c r="BA1004" s="330"/>
      <c r="BB1004" s="328"/>
      <c r="BC1004" s="328"/>
      <c r="BD1004" s="328"/>
      <c r="BE1004" s="330"/>
      <c r="BF1004" s="330"/>
      <c r="BG1004" s="344"/>
      <c r="BH1004" s="330"/>
      <c r="BI1004" s="330"/>
      <c r="BJ1004" s="330"/>
      <c r="BK1004" s="330"/>
      <c r="BL1004" s="330"/>
      <c r="BM1004" s="330"/>
      <c r="BN1004" s="330"/>
      <c r="BO1004" s="330"/>
      <c r="BP1004" s="331"/>
      <c r="BQ1004" s="332"/>
      <c r="BR1004" s="333"/>
    </row>
    <row r="1005" spans="2:70" ht="15.75" customHeight="1">
      <c r="B1005" s="216" t="s">
        <v>648</v>
      </c>
      <c r="C1005" s="212">
        <v>1994812</v>
      </c>
      <c r="D1005" s="223">
        <v>16617768000149</v>
      </c>
      <c r="E1005" s="217" t="s">
        <v>28</v>
      </c>
      <c r="F1005" s="217" t="s">
        <v>957</v>
      </c>
      <c r="G1005" s="217"/>
      <c r="H1005" s="218"/>
      <c r="I1005" s="217" t="s">
        <v>1259</v>
      </c>
      <c r="J1005" s="217" t="s">
        <v>66</v>
      </c>
      <c r="K1005" s="218" t="s">
        <v>951</v>
      </c>
      <c r="L1005" s="212" t="s">
        <v>87</v>
      </c>
      <c r="M1005" s="250"/>
      <c r="N1005" s="239">
        <v>41169</v>
      </c>
      <c r="O1005" s="210" t="s">
        <v>649</v>
      </c>
      <c r="P1005" s="210" t="s">
        <v>1083</v>
      </c>
      <c r="Q1005" s="210" t="s">
        <v>102</v>
      </c>
      <c r="R1005" s="210" t="s">
        <v>1077</v>
      </c>
      <c r="S1005" s="210" t="s">
        <v>1085</v>
      </c>
      <c r="T1005" s="210" t="s">
        <v>1079</v>
      </c>
      <c r="U1005" s="210" t="s">
        <v>957</v>
      </c>
      <c r="V1005" s="210" t="s">
        <v>1080</v>
      </c>
      <c r="W1005" s="211" t="s">
        <v>1007</v>
      </c>
      <c r="X1005" s="211">
        <v>50000</v>
      </c>
      <c r="Y1005" s="211">
        <v>10000</v>
      </c>
      <c r="Z1005" s="212">
        <v>50000</v>
      </c>
      <c r="AA1005" s="240">
        <v>62</v>
      </c>
      <c r="AB1005" s="213">
        <v>7.0000000000000001E-3</v>
      </c>
      <c r="AC1005" s="213">
        <v>0.2</v>
      </c>
      <c r="AD1005" s="213" t="s">
        <v>203</v>
      </c>
      <c r="AE1005" s="213">
        <v>3.16666E-3</v>
      </c>
      <c r="AF1005" s="241">
        <v>409993030.18000001</v>
      </c>
      <c r="AG1005" s="241">
        <v>409993030.18000001</v>
      </c>
      <c r="AH1005" s="213">
        <v>3.5999999999999997E-2</v>
      </c>
      <c r="AI1005" s="352">
        <v>0.55430000000000001</v>
      </c>
      <c r="AJ1005" s="213">
        <v>-5.0299999999999997E-2</v>
      </c>
      <c r="AK1005" s="352">
        <v>-0.53449999999999998</v>
      </c>
      <c r="AL1005" s="213">
        <v>0.21779999999999999</v>
      </c>
      <c r="AM1005" s="352">
        <v>1.8030999999999999</v>
      </c>
      <c r="AN1005" s="213">
        <v>0.2044</v>
      </c>
      <c r="AO1005" s="352">
        <v>1.2126999999999999</v>
      </c>
      <c r="AP1005" s="213">
        <v>0.16600000000000001</v>
      </c>
      <c r="AQ1005" s="219">
        <v>-0.76989064389261841</v>
      </c>
      <c r="AR1005" s="213" t="s">
        <v>1827</v>
      </c>
      <c r="AV1005" s="343"/>
      <c r="AW1005" s="328"/>
      <c r="AX1005" s="329"/>
      <c r="AY1005" s="328"/>
      <c r="AZ1005" s="328"/>
      <c r="BA1005" s="330"/>
      <c r="BB1005" s="328"/>
      <c r="BC1005" s="328"/>
      <c r="BD1005" s="328"/>
      <c r="BE1005" s="330"/>
      <c r="BF1005" s="330"/>
      <c r="BG1005" s="344"/>
      <c r="BH1005" s="330"/>
      <c r="BI1005" s="330"/>
      <c r="BJ1005" s="330"/>
      <c r="BK1005" s="330"/>
      <c r="BL1005" s="330"/>
      <c r="BM1005" s="330"/>
      <c r="BN1005" s="330"/>
      <c r="BO1005" s="330"/>
      <c r="BP1005" s="331"/>
      <c r="BQ1005" s="332"/>
      <c r="BR1005" s="333"/>
    </row>
    <row r="1006" spans="2:70" ht="15.75" customHeight="1">
      <c r="B1006" s="216" t="s">
        <v>1803</v>
      </c>
      <c r="C1006" s="212">
        <v>4047905</v>
      </c>
      <c r="D1006" s="223">
        <v>15334585000153</v>
      </c>
      <c r="E1006" s="217" t="s">
        <v>28</v>
      </c>
      <c r="F1006" s="217" t="s">
        <v>950</v>
      </c>
      <c r="G1006" s="217"/>
      <c r="H1006" s="218"/>
      <c r="I1006" s="217" t="s">
        <v>66</v>
      </c>
      <c r="J1006" s="217" t="s">
        <v>66</v>
      </c>
      <c r="K1006" s="218" t="s">
        <v>951</v>
      </c>
      <c r="L1006" s="212" t="s">
        <v>87</v>
      </c>
      <c r="M1006" s="250"/>
      <c r="N1006" s="239">
        <v>41096</v>
      </c>
      <c r="O1006" s="210" t="s">
        <v>1804</v>
      </c>
      <c r="P1006" s="210" t="s">
        <v>1774</v>
      </c>
      <c r="Q1006" s="210" t="s">
        <v>1773</v>
      </c>
      <c r="R1006" s="210" t="s">
        <v>1745</v>
      </c>
      <c r="S1006" s="210" t="s">
        <v>1078</v>
      </c>
      <c r="T1006" s="210" t="s">
        <v>1079</v>
      </c>
      <c r="U1006" s="210" t="s">
        <v>1739</v>
      </c>
      <c r="V1006" s="210" t="s">
        <v>1080</v>
      </c>
      <c r="W1006" s="211" t="s">
        <v>1740</v>
      </c>
      <c r="X1006" s="211">
        <v>5000</v>
      </c>
      <c r="Y1006" s="211">
        <v>5000</v>
      </c>
      <c r="Z1006" s="212">
        <v>5000</v>
      </c>
      <c r="AA1006" s="240">
        <v>32</v>
      </c>
      <c r="AB1006" s="213">
        <v>7.0000000000000001E-3</v>
      </c>
      <c r="AC1006" s="213">
        <v>0.2</v>
      </c>
      <c r="AD1006" s="213" t="s">
        <v>1170</v>
      </c>
      <c r="AE1006" s="213">
        <v>3.1668000000000004E-3</v>
      </c>
      <c r="AF1006" s="241">
        <v>50123704.530000001</v>
      </c>
      <c r="AG1006" s="241">
        <v>50123704.530000001</v>
      </c>
      <c r="AH1006" s="213">
        <v>-2.5499999999999998E-2</v>
      </c>
      <c r="AI1006" s="352">
        <v>-0.39350000000000002</v>
      </c>
      <c r="AJ1006" s="213">
        <v>-0.17610000000000001</v>
      </c>
      <c r="AK1006" s="352">
        <v>-1.8714999999999999</v>
      </c>
      <c r="AL1006" s="213">
        <v>3.0099999999999998E-2</v>
      </c>
      <c r="AM1006" s="352">
        <v>0.24929999999999999</v>
      </c>
      <c r="AN1006" s="213">
        <v>2.8199999999999999E-2</v>
      </c>
      <c r="AO1006" s="352">
        <v>0.1671</v>
      </c>
      <c r="AP1006" s="213">
        <v>0.22</v>
      </c>
      <c r="AQ1006" s="219">
        <v>-1.1790383183834927</v>
      </c>
      <c r="AR1006" s="213" t="s">
        <v>1827</v>
      </c>
      <c r="AV1006" s="343"/>
      <c r="AW1006" s="328"/>
      <c r="AX1006" s="329"/>
      <c r="AY1006" s="328"/>
      <c r="AZ1006" s="328"/>
      <c r="BA1006" s="330"/>
      <c r="BB1006" s="328"/>
      <c r="BC1006" s="328"/>
      <c r="BD1006" s="328"/>
      <c r="BE1006" s="330"/>
      <c r="BF1006" s="330"/>
      <c r="BG1006" s="344"/>
      <c r="BH1006" s="330"/>
      <c r="BI1006" s="330"/>
      <c r="BJ1006" s="330"/>
      <c r="BK1006" s="330"/>
      <c r="BL1006" s="330"/>
      <c r="BM1006" s="330"/>
      <c r="BN1006" s="330"/>
      <c r="BO1006" s="330"/>
      <c r="BP1006" s="331"/>
      <c r="BQ1006" s="332"/>
      <c r="BR1006" s="333"/>
    </row>
    <row r="1007" spans="2:70" ht="15.75" customHeight="1">
      <c r="B1007" s="216" t="s">
        <v>651</v>
      </c>
      <c r="C1007" s="212">
        <v>2345930</v>
      </c>
      <c r="D1007" s="223">
        <v>32300293000119</v>
      </c>
      <c r="E1007" s="217" t="s">
        <v>28</v>
      </c>
      <c r="F1007" s="217" t="s">
        <v>957</v>
      </c>
      <c r="G1007" s="217"/>
      <c r="H1007" s="218"/>
      <c r="I1007" s="217" t="s">
        <v>1842</v>
      </c>
      <c r="J1007" s="217" t="s">
        <v>66</v>
      </c>
      <c r="K1007" s="218" t="s">
        <v>951</v>
      </c>
      <c r="L1007" s="212" t="s">
        <v>87</v>
      </c>
      <c r="M1007" s="250"/>
      <c r="N1007" s="239">
        <v>43501</v>
      </c>
      <c r="O1007" s="210" t="s">
        <v>114</v>
      </c>
      <c r="P1007" s="210" t="s">
        <v>1075</v>
      </c>
      <c r="Q1007" s="210" t="s">
        <v>1076</v>
      </c>
      <c r="R1007" s="210" t="s">
        <v>1077</v>
      </c>
      <c r="S1007" s="210" t="s">
        <v>1085</v>
      </c>
      <c r="T1007" s="210" t="s">
        <v>1079</v>
      </c>
      <c r="U1007" s="210" t="s">
        <v>957</v>
      </c>
      <c r="V1007" s="210" t="s">
        <v>1080</v>
      </c>
      <c r="W1007" s="211" t="s">
        <v>1007</v>
      </c>
      <c r="X1007" s="211">
        <v>10000</v>
      </c>
      <c r="Y1007" s="211">
        <v>10000</v>
      </c>
      <c r="Z1007" s="212">
        <v>10000</v>
      </c>
      <c r="AA1007" s="240">
        <v>62</v>
      </c>
      <c r="AB1007" s="213">
        <v>0.02</v>
      </c>
      <c r="AC1007" s="213">
        <v>0.2</v>
      </c>
      <c r="AD1007" s="213" t="s">
        <v>113</v>
      </c>
      <c r="AE1007" s="213" t="s">
        <v>66</v>
      </c>
      <c r="AF1007" s="241">
        <v>152049742.08000001</v>
      </c>
      <c r="AG1007" s="241">
        <v>152049742.08000001</v>
      </c>
      <c r="AH1007" s="213">
        <v>2.7099999999999999E-2</v>
      </c>
      <c r="AI1007" s="352">
        <v>0.41710000000000003</v>
      </c>
      <c r="AJ1007" s="213">
        <v>-0.13200000000000001</v>
      </c>
      <c r="AK1007" s="352">
        <v>-1.403</v>
      </c>
      <c r="AL1007" s="213">
        <v>4.9500000000000002E-2</v>
      </c>
      <c r="AM1007" s="352">
        <v>0.40960000000000002</v>
      </c>
      <c r="AN1007" s="213">
        <v>0.1822</v>
      </c>
      <c r="AO1007" s="352">
        <v>1.0813999999999999</v>
      </c>
      <c r="AP1007" s="213">
        <v>0.20380000000000001</v>
      </c>
      <c r="AQ1007" s="219">
        <v>-1.0340780608373552</v>
      </c>
      <c r="AR1007" s="213" t="s">
        <v>1827</v>
      </c>
      <c r="AV1007" s="343"/>
      <c r="AW1007" s="328"/>
      <c r="AX1007" s="329"/>
      <c r="AY1007" s="328"/>
      <c r="AZ1007" s="328"/>
      <c r="BA1007" s="330"/>
      <c r="BB1007" s="328"/>
      <c r="BC1007" s="328"/>
      <c r="BD1007" s="328"/>
      <c r="BE1007" s="330"/>
      <c r="BF1007" s="330"/>
      <c r="BG1007" s="344"/>
      <c r="BH1007" s="330"/>
      <c r="BI1007" s="330"/>
      <c r="BJ1007" s="330"/>
      <c r="BK1007" s="330"/>
      <c r="BL1007" s="330"/>
      <c r="BM1007" s="330"/>
      <c r="BN1007" s="330"/>
      <c r="BO1007" s="330"/>
      <c r="BP1007" s="331"/>
      <c r="BQ1007" s="332"/>
      <c r="BR1007" s="333"/>
    </row>
    <row r="1008" spans="2:70" ht="15.75" customHeight="1">
      <c r="B1008" s="216" t="s">
        <v>853</v>
      </c>
      <c r="C1008" s="212">
        <v>952739</v>
      </c>
      <c r="D1008" s="223">
        <v>42774128000152</v>
      </c>
      <c r="E1008" s="217" t="s">
        <v>25</v>
      </c>
      <c r="F1008" s="217" t="s">
        <v>958</v>
      </c>
      <c r="G1008" s="217" t="s">
        <v>962</v>
      </c>
      <c r="H1008" s="218" t="s">
        <v>66</v>
      </c>
      <c r="I1008" s="217" t="s">
        <v>1842</v>
      </c>
      <c r="J1008" s="217" t="s">
        <v>66</v>
      </c>
      <c r="K1008" s="218"/>
      <c r="L1008" s="212" t="s">
        <v>87</v>
      </c>
      <c r="M1008" s="250"/>
      <c r="N1008" s="239">
        <v>44407</v>
      </c>
      <c r="O1008" s="210" t="s">
        <v>854</v>
      </c>
      <c r="P1008" s="210" t="s">
        <v>1075</v>
      </c>
      <c r="Q1008" s="210" t="s">
        <v>1076</v>
      </c>
      <c r="R1008" s="210" t="s">
        <v>1077</v>
      </c>
      <c r="S1008" s="210" t="s">
        <v>1078</v>
      </c>
      <c r="T1008" s="210" t="s">
        <v>1082</v>
      </c>
      <c r="U1008" s="210" t="s">
        <v>958</v>
      </c>
      <c r="V1008" s="210" t="s">
        <v>25</v>
      </c>
      <c r="W1008" s="211" t="s">
        <v>1016</v>
      </c>
      <c r="X1008" s="211">
        <v>5000</v>
      </c>
      <c r="Y1008" s="211">
        <v>1000</v>
      </c>
      <c r="Z1008" s="212">
        <v>5000</v>
      </c>
      <c r="AA1008" s="240">
        <v>32</v>
      </c>
      <c r="AB1008" s="213">
        <v>1.9E-2</v>
      </c>
      <c r="AC1008" s="213">
        <v>0.2</v>
      </c>
      <c r="AD1008" s="213" t="s">
        <v>113</v>
      </c>
      <c r="AE1008" s="213">
        <v>6.3333333333333332E-3</v>
      </c>
      <c r="AF1008" s="241">
        <v>24644580.030000001</v>
      </c>
      <c r="AG1008" s="241">
        <v>24644580.030000001</v>
      </c>
      <c r="AH1008" s="213">
        <v>8.7999999999999995E-2</v>
      </c>
      <c r="AI1008" s="352">
        <v>1.3552</v>
      </c>
      <c r="AJ1008" s="213" t="s">
        <v>66</v>
      </c>
      <c r="AK1008" s="352" t="s">
        <v>66</v>
      </c>
      <c r="AL1008" s="213" t="s">
        <v>66</v>
      </c>
      <c r="AM1008" s="352" t="s">
        <v>66</v>
      </c>
      <c r="AN1008" s="213" t="s">
        <v>66</v>
      </c>
      <c r="AO1008" s="352" t="s">
        <v>66</v>
      </c>
      <c r="AP1008" s="213" t="s">
        <v>66</v>
      </c>
      <c r="AQ1008" s="219" t="s">
        <v>66</v>
      </c>
      <c r="AR1008" s="213" t="s">
        <v>1827</v>
      </c>
      <c r="AV1008" s="343"/>
      <c r="AW1008" s="328"/>
      <c r="AX1008" s="329"/>
      <c r="AY1008" s="328"/>
      <c r="AZ1008" s="328"/>
      <c r="BA1008" s="330"/>
      <c r="BB1008" s="328"/>
      <c r="BC1008" s="328"/>
      <c r="BD1008" s="328"/>
      <c r="BE1008" s="330"/>
      <c r="BF1008" s="330"/>
      <c r="BG1008" s="344"/>
      <c r="BH1008" s="330"/>
      <c r="BI1008" s="330"/>
      <c r="BJ1008" s="330"/>
      <c r="BK1008" s="330"/>
      <c r="BL1008" s="330"/>
      <c r="BM1008" s="330"/>
      <c r="BN1008" s="330"/>
      <c r="BO1008" s="330"/>
      <c r="BP1008" s="331"/>
      <c r="BQ1008" s="332"/>
      <c r="BR1008" s="333"/>
    </row>
    <row r="1009" spans="2:70" ht="15.75" customHeight="1">
      <c r="B1009" s="216" t="s">
        <v>652</v>
      </c>
      <c r="C1009" s="212">
        <v>1084696</v>
      </c>
      <c r="D1009" s="223">
        <v>12282747000169</v>
      </c>
      <c r="E1009" s="217" t="s">
        <v>28</v>
      </c>
      <c r="F1009" s="217" t="s">
        <v>957</v>
      </c>
      <c r="G1009" s="217"/>
      <c r="H1009" s="218"/>
      <c r="I1009" s="217" t="s">
        <v>1842</v>
      </c>
      <c r="J1009" s="217" t="s">
        <v>66</v>
      </c>
      <c r="K1009" s="218" t="s">
        <v>951</v>
      </c>
      <c r="L1009" s="212" t="s">
        <v>87</v>
      </c>
      <c r="M1009" s="250"/>
      <c r="N1009" s="239">
        <v>40451</v>
      </c>
      <c r="O1009" s="210" t="s">
        <v>653</v>
      </c>
      <c r="P1009" s="210" t="s">
        <v>1090</v>
      </c>
      <c r="Q1009" s="210" t="s">
        <v>1091</v>
      </c>
      <c r="R1009" s="210" t="s">
        <v>1077</v>
      </c>
      <c r="S1009" s="210" t="s">
        <v>1078</v>
      </c>
      <c r="T1009" s="210" t="s">
        <v>1079</v>
      </c>
      <c r="U1009" s="210" t="s">
        <v>957</v>
      </c>
      <c r="V1009" s="210" t="s">
        <v>1080</v>
      </c>
      <c r="W1009" s="211" t="s">
        <v>1013</v>
      </c>
      <c r="X1009" s="211">
        <v>5000</v>
      </c>
      <c r="Y1009" s="211">
        <v>1000</v>
      </c>
      <c r="Z1009" s="212">
        <v>5000</v>
      </c>
      <c r="AA1009" s="240">
        <v>32</v>
      </c>
      <c r="AB1009" s="213">
        <v>0.02</v>
      </c>
      <c r="AC1009" s="213">
        <v>0.2</v>
      </c>
      <c r="AD1009" s="213" t="s">
        <v>203</v>
      </c>
      <c r="AE1009" s="213">
        <v>4.6666666666666662E-3</v>
      </c>
      <c r="AF1009" s="241">
        <v>206872083.25999999</v>
      </c>
      <c r="AG1009" s="241">
        <v>206872083.25999999</v>
      </c>
      <c r="AH1009" s="213">
        <v>-0.15310000000000001</v>
      </c>
      <c r="AI1009" s="352">
        <v>-2.3580000000000001</v>
      </c>
      <c r="AJ1009" s="213">
        <v>-0.2969</v>
      </c>
      <c r="AK1009" s="352">
        <v>-3.1555</v>
      </c>
      <c r="AL1009" s="213">
        <v>-0.17050000000000001</v>
      </c>
      <c r="AM1009" s="352">
        <v>-1.4113</v>
      </c>
      <c r="AN1009" s="213">
        <v>9.1999999999999998E-3</v>
      </c>
      <c r="AO1009" s="352">
        <v>5.4600000000000003E-2</v>
      </c>
      <c r="AP1009" s="213">
        <v>0.18870000000000001</v>
      </c>
      <c r="AQ1009" s="219">
        <v>-2.2476655816504776</v>
      </c>
      <c r="AR1009" s="213" t="s">
        <v>1827</v>
      </c>
      <c r="AV1009" s="343"/>
      <c r="AW1009" s="328"/>
      <c r="AX1009" s="329"/>
      <c r="AY1009" s="328"/>
      <c r="AZ1009" s="328"/>
      <c r="BA1009" s="330"/>
      <c r="BB1009" s="328"/>
      <c r="BC1009" s="328"/>
      <c r="BD1009" s="328"/>
      <c r="BE1009" s="330"/>
      <c r="BF1009" s="330"/>
      <c r="BG1009" s="344"/>
      <c r="BH1009" s="330"/>
      <c r="BI1009" s="330"/>
      <c r="BJ1009" s="330"/>
      <c r="BK1009" s="330"/>
      <c r="BL1009" s="330"/>
      <c r="BM1009" s="330"/>
      <c r="BN1009" s="330"/>
      <c r="BO1009" s="330"/>
      <c r="BP1009" s="331"/>
      <c r="BQ1009" s="332"/>
      <c r="BR1009" s="333"/>
    </row>
    <row r="1010" spans="2:70" ht="15.75" customHeight="1">
      <c r="B1010" s="216" t="s">
        <v>654</v>
      </c>
      <c r="C1010" s="212">
        <v>1155323</v>
      </c>
      <c r="D1010" s="223">
        <v>17164804000129</v>
      </c>
      <c r="E1010" s="217" t="s">
        <v>28</v>
      </c>
      <c r="F1010" s="217" t="s">
        <v>950</v>
      </c>
      <c r="G1010" s="217"/>
      <c r="H1010" s="218"/>
      <c r="I1010" s="217" t="s">
        <v>66</v>
      </c>
      <c r="J1010" s="217" t="s">
        <v>66</v>
      </c>
      <c r="K1010" s="218" t="s">
        <v>951</v>
      </c>
      <c r="L1010" s="212" t="s">
        <v>87</v>
      </c>
      <c r="M1010" s="250"/>
      <c r="N1010" s="239">
        <v>41269</v>
      </c>
      <c r="O1010" s="210" t="s">
        <v>653</v>
      </c>
      <c r="P1010" s="210" t="s">
        <v>1090</v>
      </c>
      <c r="Q1010" s="210" t="s">
        <v>1091</v>
      </c>
      <c r="R1010" s="210" t="s">
        <v>1084</v>
      </c>
      <c r="S1010" s="210" t="s">
        <v>1078</v>
      </c>
      <c r="T1010" s="210" t="s">
        <v>1079</v>
      </c>
      <c r="U1010" s="210" t="s">
        <v>950</v>
      </c>
      <c r="V1010" s="210" t="s">
        <v>1080</v>
      </c>
      <c r="W1010" s="211" t="s">
        <v>1013</v>
      </c>
      <c r="X1010" s="211">
        <v>5000</v>
      </c>
      <c r="Y1010" s="211">
        <v>1000</v>
      </c>
      <c r="Z1010" s="212">
        <v>5000</v>
      </c>
      <c r="AA1010" s="240">
        <v>32</v>
      </c>
      <c r="AB1010" s="213">
        <v>0.02</v>
      </c>
      <c r="AC1010" s="213">
        <v>0.2</v>
      </c>
      <c r="AD1010" s="213" t="s">
        <v>1014</v>
      </c>
      <c r="AE1010" s="213">
        <v>4.7999999999999996E-3</v>
      </c>
      <c r="AF1010" s="241">
        <v>63493830.810000002</v>
      </c>
      <c r="AG1010" s="241">
        <v>63493830.810000002</v>
      </c>
      <c r="AH1010" s="213">
        <v>-0.13120000000000001</v>
      </c>
      <c r="AI1010" s="352">
        <v>-2.0202</v>
      </c>
      <c r="AJ1010" s="213">
        <v>-0.32850000000000001</v>
      </c>
      <c r="AK1010" s="352">
        <v>-3.4910000000000001</v>
      </c>
      <c r="AL1010" s="213">
        <v>-0.2177</v>
      </c>
      <c r="AM1010" s="352">
        <v>-1.8023</v>
      </c>
      <c r="AN1010" s="213">
        <v>-7.4800000000000005E-2</v>
      </c>
      <c r="AO1010" s="352">
        <v>-0.44390000000000002</v>
      </c>
      <c r="AP1010" s="213">
        <v>0.22220000000000001</v>
      </c>
      <c r="AQ1010" s="219">
        <v>-2.0847934154032255</v>
      </c>
      <c r="AR1010" s="213" t="s">
        <v>1824</v>
      </c>
      <c r="AV1010" s="343"/>
      <c r="AW1010" s="328"/>
      <c r="AX1010" s="329"/>
      <c r="AY1010" s="328"/>
      <c r="AZ1010" s="328"/>
      <c r="BA1010" s="330"/>
      <c r="BB1010" s="328"/>
      <c r="BC1010" s="328"/>
      <c r="BD1010" s="328"/>
      <c r="BE1010" s="330"/>
      <c r="BF1010" s="330"/>
      <c r="BG1010" s="344"/>
      <c r="BH1010" s="330"/>
      <c r="BI1010" s="330"/>
      <c r="BJ1010" s="330"/>
      <c r="BK1010" s="330"/>
      <c r="BL1010" s="330"/>
      <c r="BM1010" s="330"/>
      <c r="BN1010" s="330"/>
      <c r="BO1010" s="330"/>
      <c r="BP1010" s="331"/>
      <c r="BQ1010" s="332"/>
      <c r="BR1010" s="333"/>
    </row>
    <row r="1011" spans="2:70" ht="15.75" customHeight="1">
      <c r="B1011" s="216" t="s">
        <v>655</v>
      </c>
      <c r="C1011" s="212">
        <v>1084687</v>
      </c>
      <c r="D1011" s="223">
        <v>19727078000130</v>
      </c>
      <c r="E1011" s="217" t="s">
        <v>28</v>
      </c>
      <c r="F1011" s="217" t="s">
        <v>950</v>
      </c>
      <c r="G1011" s="217"/>
      <c r="H1011" s="218"/>
      <c r="I1011" s="217" t="s">
        <v>66</v>
      </c>
      <c r="J1011" s="217" t="s">
        <v>66</v>
      </c>
      <c r="K1011" s="218" t="s">
        <v>951</v>
      </c>
      <c r="L1011" s="212" t="s">
        <v>87</v>
      </c>
      <c r="M1011" s="250"/>
      <c r="N1011" s="239">
        <v>44214</v>
      </c>
      <c r="O1011" s="210" t="s">
        <v>547</v>
      </c>
      <c r="P1011" s="210" t="s">
        <v>1075</v>
      </c>
      <c r="Q1011" s="210" t="s">
        <v>1076</v>
      </c>
      <c r="R1011" s="210" t="s">
        <v>1084</v>
      </c>
      <c r="S1011" s="210" t="s">
        <v>1078</v>
      </c>
      <c r="T1011" s="210" t="s">
        <v>1079</v>
      </c>
      <c r="U1011" s="210" t="s">
        <v>950</v>
      </c>
      <c r="V1011" s="210" t="s">
        <v>1080</v>
      </c>
      <c r="W1011" s="211" t="s">
        <v>1007</v>
      </c>
      <c r="X1011" s="211">
        <v>5000</v>
      </c>
      <c r="Y1011" s="211">
        <v>100</v>
      </c>
      <c r="Z1011" s="212">
        <v>5000</v>
      </c>
      <c r="AA1011" s="240">
        <v>122</v>
      </c>
      <c r="AB1011" s="213">
        <v>0.02</v>
      </c>
      <c r="AC1011" s="213">
        <v>0.2</v>
      </c>
      <c r="AD1011" s="213" t="s">
        <v>113</v>
      </c>
      <c r="AE1011" s="213">
        <v>2E-3</v>
      </c>
      <c r="AF1011" s="241">
        <v>97476545.780000001</v>
      </c>
      <c r="AG1011" s="241">
        <v>97476545.780000001</v>
      </c>
      <c r="AH1011" s="213">
        <v>-0.1731</v>
      </c>
      <c r="AI1011" s="352">
        <v>-2.6659999999999999</v>
      </c>
      <c r="AJ1011" s="213">
        <v>-0.34620000000000001</v>
      </c>
      <c r="AK1011" s="352">
        <v>-3.6800999999999999</v>
      </c>
      <c r="AL1011" s="213" t="s">
        <v>66</v>
      </c>
      <c r="AM1011" s="352" t="s">
        <v>66</v>
      </c>
      <c r="AN1011" s="213" t="s">
        <v>66</v>
      </c>
      <c r="AO1011" s="352" t="s">
        <v>66</v>
      </c>
      <c r="AP1011" s="213">
        <v>0.35039999999999999</v>
      </c>
      <c r="AQ1011" s="219">
        <v>-1.2932966029599291</v>
      </c>
      <c r="AR1011" s="213" t="s">
        <v>1827</v>
      </c>
      <c r="AV1011" s="343"/>
      <c r="AW1011" s="328"/>
      <c r="AX1011" s="329"/>
      <c r="AY1011" s="328"/>
      <c r="AZ1011" s="328"/>
      <c r="BA1011" s="330"/>
      <c r="BB1011" s="328"/>
      <c r="BC1011" s="328"/>
      <c r="BD1011" s="328"/>
      <c r="BE1011" s="330"/>
      <c r="BF1011" s="330"/>
      <c r="BG1011" s="344"/>
      <c r="BH1011" s="330"/>
      <c r="BI1011" s="330"/>
      <c r="BJ1011" s="330"/>
      <c r="BK1011" s="330"/>
      <c r="BL1011" s="330"/>
      <c r="BM1011" s="330"/>
      <c r="BN1011" s="330"/>
      <c r="BO1011" s="330"/>
      <c r="BP1011" s="331"/>
      <c r="BQ1011" s="332"/>
      <c r="BR1011" s="333"/>
    </row>
    <row r="1012" spans="2:70" ht="15.75" customHeight="1">
      <c r="B1012" s="216" t="s">
        <v>656</v>
      </c>
      <c r="C1012" s="212">
        <v>1084693</v>
      </c>
      <c r="D1012" s="223">
        <v>17033928000175</v>
      </c>
      <c r="E1012" s="217" t="s">
        <v>28</v>
      </c>
      <c r="F1012" s="217" t="s">
        <v>950</v>
      </c>
      <c r="G1012" s="217"/>
      <c r="H1012" s="218"/>
      <c r="I1012" s="217" t="s">
        <v>66</v>
      </c>
      <c r="J1012" s="217" t="s">
        <v>66</v>
      </c>
      <c r="K1012" s="218" t="s">
        <v>951</v>
      </c>
      <c r="L1012" s="212" t="s">
        <v>87</v>
      </c>
      <c r="M1012" s="250"/>
      <c r="N1012" s="239">
        <v>41415</v>
      </c>
      <c r="O1012" s="210" t="s">
        <v>657</v>
      </c>
      <c r="P1012" s="210" t="s">
        <v>1090</v>
      </c>
      <c r="Q1012" s="210" t="s">
        <v>1091</v>
      </c>
      <c r="R1012" s="210" t="s">
        <v>1084</v>
      </c>
      <c r="S1012" s="210" t="s">
        <v>1078</v>
      </c>
      <c r="T1012" s="210" t="s">
        <v>1079</v>
      </c>
      <c r="U1012" s="210" t="s">
        <v>950</v>
      </c>
      <c r="V1012" s="210" t="s">
        <v>1080</v>
      </c>
      <c r="W1012" s="211" t="s">
        <v>1007</v>
      </c>
      <c r="X1012" s="211">
        <v>500</v>
      </c>
      <c r="Y1012" s="211">
        <v>500</v>
      </c>
      <c r="Z1012" s="212">
        <v>500</v>
      </c>
      <c r="AA1012" s="240">
        <v>17</v>
      </c>
      <c r="AB1012" s="213">
        <v>1.8499999999999999E-2</v>
      </c>
      <c r="AC1012" s="213">
        <v>0.2</v>
      </c>
      <c r="AD1012" s="213" t="s">
        <v>1014</v>
      </c>
      <c r="AE1012" s="213">
        <v>4.933333333333333E-3</v>
      </c>
      <c r="AF1012" s="241">
        <v>31485302.489999998</v>
      </c>
      <c r="AG1012" s="241">
        <v>31485302.489999998</v>
      </c>
      <c r="AH1012" s="213">
        <v>-3.5499999999999997E-2</v>
      </c>
      <c r="AI1012" s="352">
        <v>-0.54610000000000003</v>
      </c>
      <c r="AJ1012" s="213">
        <v>-0.28189999999999998</v>
      </c>
      <c r="AK1012" s="352">
        <v>-2.9956999999999998</v>
      </c>
      <c r="AL1012" s="213">
        <v>-0.1147</v>
      </c>
      <c r="AM1012" s="352">
        <v>-0.94950000000000001</v>
      </c>
      <c r="AN1012" s="213">
        <v>-7.46E-2</v>
      </c>
      <c r="AO1012" s="352">
        <v>-0.44259999999999999</v>
      </c>
      <c r="AP1012" s="213">
        <v>0.27329999999999999</v>
      </c>
      <c r="AQ1012" s="219">
        <v>-1.4034888675857002</v>
      </c>
      <c r="AR1012" s="213" t="s">
        <v>1827</v>
      </c>
      <c r="AV1012" s="343"/>
      <c r="AW1012" s="328"/>
      <c r="AX1012" s="329"/>
      <c r="AY1012" s="328"/>
      <c r="AZ1012" s="328"/>
      <c r="BA1012" s="330"/>
      <c r="BB1012" s="328"/>
      <c r="BC1012" s="328"/>
      <c r="BD1012" s="328"/>
      <c r="BE1012" s="330"/>
      <c r="BF1012" s="330"/>
      <c r="BG1012" s="344"/>
      <c r="BH1012" s="330"/>
      <c r="BI1012" s="330"/>
      <c r="BJ1012" s="330"/>
      <c r="BK1012" s="330"/>
      <c r="BL1012" s="330"/>
      <c r="BM1012" s="330"/>
      <c r="BN1012" s="330"/>
      <c r="BO1012" s="330"/>
      <c r="BP1012" s="331"/>
      <c r="BQ1012" s="332"/>
      <c r="BR1012" s="333"/>
    </row>
    <row r="1013" spans="2:70" ht="15.75" customHeight="1">
      <c r="B1013" s="216" t="s">
        <v>658</v>
      </c>
      <c r="C1013" s="212">
        <v>551077</v>
      </c>
      <c r="D1013" s="223">
        <v>17301119000105</v>
      </c>
      <c r="E1013" s="217" t="s">
        <v>28</v>
      </c>
      <c r="F1013" s="217" t="s">
        <v>950</v>
      </c>
      <c r="G1013" s="217"/>
      <c r="H1013" s="218"/>
      <c r="I1013" s="217" t="s">
        <v>66</v>
      </c>
      <c r="J1013" s="217" t="s">
        <v>66</v>
      </c>
      <c r="K1013" s="218" t="s">
        <v>951</v>
      </c>
      <c r="L1013" s="212" t="s">
        <v>87</v>
      </c>
      <c r="M1013" s="250"/>
      <c r="N1013" s="239">
        <v>41338</v>
      </c>
      <c r="O1013" s="210" t="s">
        <v>657</v>
      </c>
      <c r="P1013" s="210" t="s">
        <v>1090</v>
      </c>
      <c r="Q1013" s="210" t="s">
        <v>1091</v>
      </c>
      <c r="R1013" s="210" t="s">
        <v>1077</v>
      </c>
      <c r="S1013" s="210" t="s">
        <v>1078</v>
      </c>
      <c r="T1013" s="210" t="s">
        <v>1079</v>
      </c>
      <c r="U1013" s="210" t="s">
        <v>950</v>
      </c>
      <c r="V1013" s="210" t="s">
        <v>1080</v>
      </c>
      <c r="W1013" s="211" t="s">
        <v>1007</v>
      </c>
      <c r="X1013" s="211">
        <v>5000</v>
      </c>
      <c r="Y1013" s="211">
        <v>5000</v>
      </c>
      <c r="Z1013" s="212">
        <v>5000</v>
      </c>
      <c r="AA1013" s="240">
        <v>32</v>
      </c>
      <c r="AB1013" s="213">
        <v>1.8499999999999999E-2</v>
      </c>
      <c r="AC1013" s="213">
        <v>0.15</v>
      </c>
      <c r="AD1013" s="213" t="s">
        <v>1425</v>
      </c>
      <c r="AE1013" s="213">
        <v>4.933333333333333E-3</v>
      </c>
      <c r="AF1013" s="241">
        <v>88847850.760000005</v>
      </c>
      <c r="AG1013" s="241">
        <v>88847850.760000005</v>
      </c>
      <c r="AH1013" s="213">
        <v>-2.06E-2</v>
      </c>
      <c r="AI1013" s="352">
        <v>-0.31780000000000003</v>
      </c>
      <c r="AJ1013" s="213">
        <v>-0.2702</v>
      </c>
      <c r="AK1013" s="352">
        <v>-2.8719000000000001</v>
      </c>
      <c r="AL1013" s="213">
        <v>-6.9599999999999995E-2</v>
      </c>
      <c r="AM1013" s="352">
        <v>-0.57650000000000001</v>
      </c>
      <c r="AN1013" s="213">
        <v>-2.24E-2</v>
      </c>
      <c r="AO1013" s="352">
        <v>-0.13270000000000001</v>
      </c>
      <c r="AP1013" s="213">
        <v>0.27389999999999998</v>
      </c>
      <c r="AQ1013" s="219">
        <v>-1.3410840885443756</v>
      </c>
      <c r="AR1013" s="213" t="s">
        <v>1827</v>
      </c>
      <c r="AV1013" s="343"/>
      <c r="AW1013" s="328"/>
      <c r="AX1013" s="329"/>
      <c r="AY1013" s="328"/>
      <c r="AZ1013" s="328"/>
      <c r="BA1013" s="330"/>
      <c r="BB1013" s="328"/>
      <c r="BC1013" s="328"/>
      <c r="BD1013" s="328"/>
      <c r="BE1013" s="330"/>
      <c r="BF1013" s="330"/>
      <c r="BG1013" s="344"/>
      <c r="BH1013" s="330"/>
      <c r="BI1013" s="330"/>
      <c r="BJ1013" s="330"/>
      <c r="BK1013" s="330"/>
      <c r="BL1013" s="330"/>
      <c r="BM1013" s="330"/>
      <c r="BN1013" s="330"/>
      <c r="BO1013" s="330"/>
      <c r="BP1013" s="331"/>
      <c r="BQ1013" s="332"/>
      <c r="BR1013" s="333"/>
    </row>
    <row r="1014" spans="2:70" ht="15.75" customHeight="1">
      <c r="B1014" s="216" t="s">
        <v>1635</v>
      </c>
      <c r="C1014" s="212">
        <v>1818545</v>
      </c>
      <c r="D1014" s="223">
        <v>23711497000151</v>
      </c>
      <c r="E1014" s="217" t="s">
        <v>25</v>
      </c>
      <c r="F1014" s="217" t="s">
        <v>958</v>
      </c>
      <c r="G1014" s="217" t="s">
        <v>962</v>
      </c>
      <c r="H1014" s="218" t="s">
        <v>66</v>
      </c>
      <c r="I1014" s="217" t="s">
        <v>1842</v>
      </c>
      <c r="J1014" s="217" t="s">
        <v>66</v>
      </c>
      <c r="K1014" s="218"/>
      <c r="L1014" s="212" t="s">
        <v>87</v>
      </c>
      <c r="M1014" s="250"/>
      <c r="N1014" s="239">
        <v>42433</v>
      </c>
      <c r="O1014" s="210" t="s">
        <v>657</v>
      </c>
      <c r="P1014" s="210" t="s">
        <v>1090</v>
      </c>
      <c r="Q1014" s="210" t="s">
        <v>1091</v>
      </c>
      <c r="R1014" s="210" t="s">
        <v>1084</v>
      </c>
      <c r="S1014" s="210" t="s">
        <v>1078</v>
      </c>
      <c r="T1014" s="210" t="s">
        <v>1082</v>
      </c>
      <c r="U1014" s="210" t="s">
        <v>958</v>
      </c>
      <c r="V1014" s="210" t="s">
        <v>25</v>
      </c>
      <c r="W1014" s="211" t="s">
        <v>1016</v>
      </c>
      <c r="X1014" s="211">
        <v>1000</v>
      </c>
      <c r="Y1014" s="211">
        <v>500</v>
      </c>
      <c r="Z1014" s="212">
        <v>500</v>
      </c>
      <c r="AA1014" s="240">
        <v>16</v>
      </c>
      <c r="AB1014" s="213">
        <v>1.8499999999999999E-2</v>
      </c>
      <c r="AC1014" s="213">
        <v>0.2</v>
      </c>
      <c r="AD1014" s="213" t="s">
        <v>109</v>
      </c>
      <c r="AE1014" s="213">
        <v>4.933333333333333E-3</v>
      </c>
      <c r="AF1014" s="241">
        <v>12085165.789999999</v>
      </c>
      <c r="AG1014" s="241">
        <v>12085165.789999999</v>
      </c>
      <c r="AH1014" s="213">
        <v>0.1605</v>
      </c>
      <c r="AI1014" s="352">
        <v>2.4722</v>
      </c>
      <c r="AJ1014" s="213">
        <v>4.5999999999999999E-3</v>
      </c>
      <c r="AK1014" s="352">
        <v>4.9000000000000002E-2</v>
      </c>
      <c r="AL1014" s="213">
        <v>0.11119999999999999</v>
      </c>
      <c r="AM1014" s="352">
        <v>0.92090000000000005</v>
      </c>
      <c r="AN1014" s="213">
        <v>0.14779999999999999</v>
      </c>
      <c r="AO1014" s="352">
        <v>0.87719999999999998</v>
      </c>
      <c r="AP1014" s="213">
        <v>0.2402</v>
      </c>
      <c r="AQ1014" s="219">
        <v>-0.23614141420055848</v>
      </c>
      <c r="AR1014" s="213" t="s">
        <v>1827</v>
      </c>
      <c r="AV1014" s="343"/>
      <c r="AW1014" s="328"/>
      <c r="AX1014" s="329"/>
      <c r="AY1014" s="328"/>
      <c r="AZ1014" s="328"/>
      <c r="BA1014" s="330"/>
      <c r="BB1014" s="328"/>
      <c r="BC1014" s="328"/>
      <c r="BD1014" s="328"/>
      <c r="BE1014" s="330"/>
      <c r="BF1014" s="330"/>
      <c r="BG1014" s="344"/>
      <c r="BH1014" s="330"/>
      <c r="BI1014" s="330"/>
      <c r="BJ1014" s="330"/>
      <c r="BK1014" s="330"/>
      <c r="BL1014" s="330"/>
      <c r="BM1014" s="330"/>
      <c r="BN1014" s="330"/>
      <c r="BO1014" s="330"/>
      <c r="BP1014" s="331"/>
      <c r="BQ1014" s="332"/>
      <c r="BR1014" s="333"/>
    </row>
    <row r="1015" spans="2:70" ht="15.75" customHeight="1">
      <c r="B1015" s="216" t="s">
        <v>659</v>
      </c>
      <c r="C1015" s="212">
        <v>4078073</v>
      </c>
      <c r="D1015" s="223">
        <v>11225767000135</v>
      </c>
      <c r="E1015" s="217" t="s">
        <v>28</v>
      </c>
      <c r="F1015" s="217" t="s">
        <v>950</v>
      </c>
      <c r="G1015" s="217"/>
      <c r="H1015" s="218"/>
      <c r="I1015" s="217" t="s">
        <v>66</v>
      </c>
      <c r="J1015" s="217" t="s">
        <v>66</v>
      </c>
      <c r="K1015" s="218" t="s">
        <v>951</v>
      </c>
      <c r="L1015" s="212" t="s">
        <v>87</v>
      </c>
      <c r="M1015" s="250"/>
      <c r="N1015" s="239">
        <v>40142</v>
      </c>
      <c r="O1015" s="210" t="s">
        <v>657</v>
      </c>
      <c r="P1015" s="210" t="s">
        <v>1088</v>
      </c>
      <c r="Q1015" s="210" t="s">
        <v>1089</v>
      </c>
      <c r="R1015" s="210" t="s">
        <v>1084</v>
      </c>
      <c r="S1015" s="210" t="s">
        <v>1078</v>
      </c>
      <c r="T1015" s="210" t="s">
        <v>1079</v>
      </c>
      <c r="U1015" s="210" t="s">
        <v>950</v>
      </c>
      <c r="V1015" s="210" t="s">
        <v>1080</v>
      </c>
      <c r="W1015" s="211" t="s">
        <v>1007</v>
      </c>
      <c r="X1015" s="211">
        <v>5000</v>
      </c>
      <c r="Y1015" s="211">
        <v>5000</v>
      </c>
      <c r="Z1015" s="212">
        <v>5000</v>
      </c>
      <c r="AA1015" s="240">
        <v>16</v>
      </c>
      <c r="AB1015" s="213">
        <v>1.8499999999999999E-2</v>
      </c>
      <c r="AC1015" s="213">
        <v>0.2</v>
      </c>
      <c r="AD1015" s="213" t="s">
        <v>1014</v>
      </c>
      <c r="AE1015" s="213">
        <v>3.6999999999999993E-3</v>
      </c>
      <c r="AF1015" s="241">
        <v>79376704.420000002</v>
      </c>
      <c r="AG1015" s="241">
        <v>79376704.420000002</v>
      </c>
      <c r="AH1015" s="213">
        <v>-4.3299999999999998E-2</v>
      </c>
      <c r="AI1015" s="352">
        <v>-0.66710000000000003</v>
      </c>
      <c r="AJ1015" s="213">
        <v>-0.28899999999999998</v>
      </c>
      <c r="AK1015" s="352">
        <v>-3.0720999999999998</v>
      </c>
      <c r="AL1015" s="213">
        <v>-0.105</v>
      </c>
      <c r="AM1015" s="352">
        <v>-0.86919999999999997</v>
      </c>
      <c r="AN1015" s="213">
        <v>-9.5000000000000001E-2</v>
      </c>
      <c r="AO1015" s="352">
        <v>-0.56389999999999996</v>
      </c>
      <c r="AP1015" s="213">
        <v>0.27260000000000001</v>
      </c>
      <c r="AQ1015" s="219">
        <v>-1.444348028469931</v>
      </c>
      <c r="AR1015" s="213" t="s">
        <v>1824</v>
      </c>
      <c r="AV1015" s="343"/>
      <c r="AW1015" s="328"/>
      <c r="AX1015" s="329"/>
      <c r="AY1015" s="328"/>
      <c r="AZ1015" s="328"/>
      <c r="BA1015" s="330"/>
      <c r="BB1015" s="328"/>
      <c r="BC1015" s="328"/>
      <c r="BD1015" s="328"/>
      <c r="BE1015" s="330"/>
      <c r="BF1015" s="330"/>
      <c r="BG1015" s="344"/>
      <c r="BH1015" s="330"/>
      <c r="BI1015" s="330"/>
      <c r="BJ1015" s="330"/>
      <c r="BK1015" s="330"/>
      <c r="BL1015" s="330"/>
      <c r="BM1015" s="330"/>
      <c r="BN1015" s="330"/>
      <c r="BO1015" s="330"/>
      <c r="BP1015" s="331"/>
      <c r="BQ1015" s="332"/>
      <c r="BR1015" s="333"/>
    </row>
    <row r="1016" spans="2:70" ht="15.75" customHeight="1">
      <c r="B1016" s="216" t="s">
        <v>1045</v>
      </c>
      <c r="C1016" s="212">
        <v>544502</v>
      </c>
      <c r="D1016" s="223">
        <v>17797493000135</v>
      </c>
      <c r="E1016" s="217" t="s">
        <v>25</v>
      </c>
      <c r="F1016" s="217" t="s">
        <v>958</v>
      </c>
      <c r="G1016" s="217" t="s">
        <v>962</v>
      </c>
      <c r="H1016" s="218" t="s">
        <v>66</v>
      </c>
      <c r="I1016" s="217" t="s">
        <v>1841</v>
      </c>
      <c r="J1016" s="217" t="s">
        <v>66</v>
      </c>
      <c r="K1016" s="218"/>
      <c r="L1016" s="212" t="s">
        <v>87</v>
      </c>
      <c r="M1016" s="250"/>
      <c r="N1016" s="239">
        <v>43318</v>
      </c>
      <c r="O1016" s="210" t="s">
        <v>660</v>
      </c>
      <c r="P1016" s="210" t="s">
        <v>660</v>
      </c>
      <c r="Q1016" s="210" t="s">
        <v>1089</v>
      </c>
      <c r="R1016" s="210" t="s">
        <v>1084</v>
      </c>
      <c r="S1016" s="210" t="s">
        <v>1078</v>
      </c>
      <c r="T1016" s="210" t="s">
        <v>1082</v>
      </c>
      <c r="U1016" s="210" t="s">
        <v>958</v>
      </c>
      <c r="V1016" s="210" t="s">
        <v>25</v>
      </c>
      <c r="W1016" s="211" t="s">
        <v>1012</v>
      </c>
      <c r="X1016" s="211">
        <v>1000</v>
      </c>
      <c r="Y1016" s="211">
        <v>1000</v>
      </c>
      <c r="Z1016" s="212">
        <v>1000</v>
      </c>
      <c r="AA1016" s="240">
        <v>31</v>
      </c>
      <c r="AB1016" s="213">
        <v>0.02</v>
      </c>
      <c r="AC1016" s="213">
        <v>0.2</v>
      </c>
      <c r="AD1016" s="213" t="s">
        <v>109</v>
      </c>
      <c r="AE1016" s="213">
        <v>7.1999999999999998E-3</v>
      </c>
      <c r="AF1016" s="241">
        <v>23742662.010000002</v>
      </c>
      <c r="AG1016" s="241">
        <v>23742662.010000002</v>
      </c>
      <c r="AH1016" s="213">
        <v>8.9200000000000002E-2</v>
      </c>
      <c r="AI1016" s="352">
        <v>1.3737999999999999</v>
      </c>
      <c r="AJ1016" s="213">
        <v>3.6799999999999999E-2</v>
      </c>
      <c r="AK1016" s="352">
        <v>0.39079999999999998</v>
      </c>
      <c r="AL1016" s="213">
        <v>1.44E-2</v>
      </c>
      <c r="AM1016" s="352">
        <v>0.1196</v>
      </c>
      <c r="AN1016" s="213">
        <v>7.2300000000000003E-2</v>
      </c>
      <c r="AO1016" s="352">
        <v>0.4289</v>
      </c>
      <c r="AP1016" s="213">
        <v>3.8699999999999998E-2</v>
      </c>
      <c r="AQ1016" s="219">
        <v>-1.371527343072575</v>
      </c>
      <c r="AR1016" s="213" t="s">
        <v>1827</v>
      </c>
      <c r="AV1016" s="343"/>
      <c r="AW1016" s="328"/>
      <c r="AX1016" s="329"/>
      <c r="AY1016" s="328"/>
      <c r="AZ1016" s="328"/>
      <c r="BA1016" s="330"/>
      <c r="BB1016" s="328"/>
      <c r="BC1016" s="328"/>
      <c r="BD1016" s="328"/>
      <c r="BE1016" s="330"/>
      <c r="BF1016" s="330"/>
      <c r="BG1016" s="344"/>
      <c r="BH1016" s="330"/>
      <c r="BI1016" s="330"/>
      <c r="BJ1016" s="330"/>
      <c r="BK1016" s="330"/>
      <c r="BL1016" s="330"/>
      <c r="BM1016" s="330"/>
      <c r="BN1016" s="330"/>
      <c r="BO1016" s="330"/>
      <c r="BP1016" s="331"/>
      <c r="BQ1016" s="332"/>
      <c r="BR1016" s="333"/>
    </row>
    <row r="1017" spans="2:70" ht="15.75" customHeight="1">
      <c r="B1017" s="216" t="s">
        <v>1636</v>
      </c>
      <c r="C1017" s="212">
        <v>1035199</v>
      </c>
      <c r="D1017" s="223">
        <v>13823084000105</v>
      </c>
      <c r="E1017" s="217" t="s">
        <v>19</v>
      </c>
      <c r="F1017" s="217" t="s">
        <v>963</v>
      </c>
      <c r="G1017" s="217" t="s">
        <v>1011</v>
      </c>
      <c r="H1017" s="218" t="s">
        <v>1113</v>
      </c>
      <c r="I1017" s="217" t="s">
        <v>66</v>
      </c>
      <c r="J1017" s="217"/>
      <c r="K1017" s="218" t="s">
        <v>951</v>
      </c>
      <c r="L1017" s="212" t="s">
        <v>87</v>
      </c>
      <c r="M1017" s="250"/>
      <c r="N1017" s="239">
        <v>40994</v>
      </c>
      <c r="O1017" s="210" t="s">
        <v>660</v>
      </c>
      <c r="P1017" s="210" t="s">
        <v>660</v>
      </c>
      <c r="Q1017" s="210" t="s">
        <v>1089</v>
      </c>
      <c r="R1017" s="210" t="s">
        <v>1084</v>
      </c>
      <c r="S1017" s="210" t="s">
        <v>1078</v>
      </c>
      <c r="T1017" s="210" t="s">
        <v>349</v>
      </c>
      <c r="U1017" s="210" t="s">
        <v>1078</v>
      </c>
      <c r="V1017" s="210" t="s">
        <v>19</v>
      </c>
      <c r="W1017" s="211" t="s">
        <v>1024</v>
      </c>
      <c r="X1017" s="211">
        <v>1000</v>
      </c>
      <c r="Y1017" s="211">
        <v>1000</v>
      </c>
      <c r="Z1017" s="212">
        <v>1000</v>
      </c>
      <c r="AA1017" s="240">
        <v>30</v>
      </c>
      <c r="AB1017" s="213">
        <v>6.0000000000000001E-3</v>
      </c>
      <c r="AC1017" s="213">
        <v>0.2</v>
      </c>
      <c r="AD1017" s="213" t="s">
        <v>109</v>
      </c>
      <c r="AE1017" s="213">
        <v>2.4000000000000002E-3</v>
      </c>
      <c r="AF1017" s="241">
        <v>1062695454.6</v>
      </c>
      <c r="AG1017" s="241">
        <v>1062695454.6</v>
      </c>
      <c r="AH1017" s="213">
        <v>7.3300000000000004E-2</v>
      </c>
      <c r="AI1017" s="352">
        <v>1.1286</v>
      </c>
      <c r="AJ1017" s="213">
        <v>0.1195</v>
      </c>
      <c r="AK1017" s="352">
        <v>1.2697000000000001</v>
      </c>
      <c r="AL1017" s="213">
        <v>0.18099999999999999</v>
      </c>
      <c r="AM1017" s="352">
        <v>1.4982</v>
      </c>
      <c r="AN1017" s="213">
        <v>0.1772</v>
      </c>
      <c r="AO1017" s="352">
        <v>1.0515000000000001</v>
      </c>
      <c r="AP1017" s="213">
        <v>3.8E-3</v>
      </c>
      <c r="AQ1017" s="219">
        <v>6.1006309076491076</v>
      </c>
      <c r="AR1017" s="213" t="s">
        <v>1824</v>
      </c>
      <c r="AV1017" s="343"/>
      <c r="AW1017" s="328"/>
      <c r="AX1017" s="329"/>
      <c r="AY1017" s="328"/>
      <c r="AZ1017" s="328"/>
      <c r="BA1017" s="330"/>
      <c r="BB1017" s="328"/>
      <c r="BC1017" s="328"/>
      <c r="BD1017" s="328"/>
      <c r="BE1017" s="330"/>
      <c r="BF1017" s="330"/>
      <c r="BG1017" s="344"/>
      <c r="BH1017" s="330"/>
      <c r="BI1017" s="330"/>
      <c r="BJ1017" s="330"/>
      <c r="BK1017" s="330"/>
      <c r="BL1017" s="330"/>
      <c r="BM1017" s="330"/>
      <c r="BN1017" s="330"/>
      <c r="BO1017" s="330"/>
      <c r="BP1017" s="331"/>
      <c r="BQ1017" s="332"/>
      <c r="BR1017" s="333"/>
    </row>
    <row r="1018" spans="2:70" ht="15.75" customHeight="1">
      <c r="B1018" s="216" t="s">
        <v>918</v>
      </c>
      <c r="C1018" s="212">
        <v>790276</v>
      </c>
      <c r="D1018" s="223">
        <v>35847495000173</v>
      </c>
      <c r="E1018" s="217" t="s">
        <v>28</v>
      </c>
      <c r="F1018" s="217" t="s">
        <v>950</v>
      </c>
      <c r="G1018" s="217"/>
      <c r="H1018" s="218"/>
      <c r="I1018" s="217" t="s">
        <v>66</v>
      </c>
      <c r="J1018" s="217" t="s">
        <v>66</v>
      </c>
      <c r="K1018" s="218" t="s">
        <v>951</v>
      </c>
      <c r="L1018" s="212" t="s">
        <v>87</v>
      </c>
      <c r="M1018" s="250"/>
      <c r="N1018" s="239">
        <v>44013</v>
      </c>
      <c r="O1018" s="210" t="s">
        <v>660</v>
      </c>
      <c r="P1018" s="210" t="s">
        <v>1088</v>
      </c>
      <c r="Q1018" s="210" t="s">
        <v>1089</v>
      </c>
      <c r="R1018" s="210" t="s">
        <v>1084</v>
      </c>
      <c r="S1018" s="210" t="s">
        <v>1078</v>
      </c>
      <c r="T1018" s="210" t="s">
        <v>1079</v>
      </c>
      <c r="U1018" s="210" t="s">
        <v>950</v>
      </c>
      <c r="V1018" s="210" t="s">
        <v>1080</v>
      </c>
      <c r="W1018" s="211" t="s">
        <v>1013</v>
      </c>
      <c r="X1018" s="211">
        <v>1000</v>
      </c>
      <c r="Y1018" s="211">
        <v>1000</v>
      </c>
      <c r="Z1018" s="212">
        <v>1000</v>
      </c>
      <c r="AA1018" s="240">
        <v>32</v>
      </c>
      <c r="AB1018" s="213">
        <v>1.4999999999999999E-2</v>
      </c>
      <c r="AC1018" s="213">
        <v>0.2</v>
      </c>
      <c r="AD1018" s="213" t="s">
        <v>1014</v>
      </c>
      <c r="AE1018" s="213">
        <v>4.9999999999999992E-3</v>
      </c>
      <c r="AF1018" s="241">
        <v>1679333.43</v>
      </c>
      <c r="AG1018" s="241">
        <v>1679333.43</v>
      </c>
      <c r="AH1018" s="213">
        <v>-8.9200000000000002E-2</v>
      </c>
      <c r="AI1018" s="352">
        <v>-1.3734</v>
      </c>
      <c r="AJ1018" s="213">
        <v>-0.30880000000000002</v>
      </c>
      <c r="AK1018" s="352">
        <v>-3.2818999999999998</v>
      </c>
      <c r="AL1018" s="213">
        <v>-0.2331</v>
      </c>
      <c r="AM1018" s="352">
        <v>-1.9296</v>
      </c>
      <c r="AN1018" s="213" t="s">
        <v>66</v>
      </c>
      <c r="AO1018" s="352" t="s">
        <v>66</v>
      </c>
      <c r="AP1018" s="213">
        <v>0.2142</v>
      </c>
      <c r="AQ1018" s="219">
        <v>-2.0349231339164722</v>
      </c>
      <c r="AR1018" s="213" t="s">
        <v>1824</v>
      </c>
      <c r="AV1018" s="343"/>
      <c r="AW1018" s="328"/>
      <c r="AX1018" s="329"/>
      <c r="AY1018" s="328"/>
      <c r="AZ1018" s="328"/>
      <c r="BA1018" s="330"/>
      <c r="BB1018" s="328"/>
      <c r="BC1018" s="328"/>
      <c r="BD1018" s="328"/>
      <c r="BE1018" s="330"/>
      <c r="BF1018" s="330"/>
      <c r="BG1018" s="344"/>
      <c r="BH1018" s="330"/>
      <c r="BI1018" s="330"/>
      <c r="BJ1018" s="330"/>
      <c r="BK1018" s="330"/>
      <c r="BL1018" s="330"/>
      <c r="BM1018" s="330"/>
      <c r="BN1018" s="330"/>
      <c r="BO1018" s="330"/>
      <c r="BP1018" s="331"/>
      <c r="BQ1018" s="332"/>
      <c r="BR1018" s="333"/>
    </row>
    <row r="1019" spans="2:70" ht="15.75" customHeight="1">
      <c r="B1019" s="216" t="s">
        <v>661</v>
      </c>
      <c r="C1019" s="212">
        <v>537082</v>
      </c>
      <c r="D1019" s="223">
        <v>11458144000102</v>
      </c>
      <c r="E1019" s="217" t="s">
        <v>28</v>
      </c>
      <c r="F1019" s="217" t="s">
        <v>950</v>
      </c>
      <c r="G1019" s="217"/>
      <c r="H1019" s="218"/>
      <c r="I1019" s="217" t="s">
        <v>66</v>
      </c>
      <c r="J1019" s="217" t="s">
        <v>66</v>
      </c>
      <c r="K1019" s="218" t="s">
        <v>951</v>
      </c>
      <c r="L1019" s="212" t="s">
        <v>87</v>
      </c>
      <c r="M1019" s="250"/>
      <c r="N1019" s="239">
        <v>40415</v>
      </c>
      <c r="O1019" s="210" t="s">
        <v>660</v>
      </c>
      <c r="P1019" s="210" t="s">
        <v>1088</v>
      </c>
      <c r="Q1019" s="210" t="s">
        <v>1089</v>
      </c>
      <c r="R1019" s="210" t="s">
        <v>1084</v>
      </c>
      <c r="S1019" s="210" t="s">
        <v>1078</v>
      </c>
      <c r="T1019" s="210" t="s">
        <v>1079</v>
      </c>
      <c r="U1019" s="210" t="s">
        <v>950</v>
      </c>
      <c r="V1019" s="210" t="s">
        <v>1080</v>
      </c>
      <c r="W1019" s="211" t="s">
        <v>1013</v>
      </c>
      <c r="X1019" s="211">
        <v>2500</v>
      </c>
      <c r="Y1019" s="211">
        <v>2500</v>
      </c>
      <c r="Z1019" s="212">
        <v>2500</v>
      </c>
      <c r="AA1019" s="240">
        <v>3</v>
      </c>
      <c r="AB1019" s="213">
        <v>1.4999999999999999E-2</v>
      </c>
      <c r="AC1019" s="213">
        <v>0.2</v>
      </c>
      <c r="AD1019" s="213" t="s">
        <v>1014</v>
      </c>
      <c r="AE1019" s="213">
        <v>5.8500000000000002E-3</v>
      </c>
      <c r="AF1019" s="241">
        <v>190508393.18000001</v>
      </c>
      <c r="AG1019" s="241">
        <v>190508393.18000001</v>
      </c>
      <c r="AH1019" s="213">
        <v>-8.2900000000000001E-2</v>
      </c>
      <c r="AI1019" s="352">
        <v>-1.2773000000000001</v>
      </c>
      <c r="AJ1019" s="213">
        <v>-0.30249999999999999</v>
      </c>
      <c r="AK1019" s="352">
        <v>-3.2151000000000001</v>
      </c>
      <c r="AL1019" s="213">
        <v>-0.2233</v>
      </c>
      <c r="AM1019" s="352">
        <v>-1.8480000000000001</v>
      </c>
      <c r="AN1019" s="213">
        <v>-0.25990000000000002</v>
      </c>
      <c r="AO1019" s="352">
        <v>-1.5422</v>
      </c>
      <c r="AP1019" s="213">
        <v>0.2142</v>
      </c>
      <c r="AQ1019" s="219">
        <v>-1.99367785065682</v>
      </c>
      <c r="AR1019" s="213" t="s">
        <v>1824</v>
      </c>
      <c r="AV1019" s="343"/>
      <c r="AW1019" s="328"/>
      <c r="AX1019" s="329"/>
      <c r="AY1019" s="328"/>
      <c r="AZ1019" s="328"/>
      <c r="BA1019" s="330"/>
      <c r="BB1019" s="328"/>
      <c r="BC1019" s="328"/>
      <c r="BD1019" s="328"/>
      <c r="BE1019" s="330"/>
      <c r="BF1019" s="330"/>
      <c r="BG1019" s="344"/>
      <c r="BH1019" s="330"/>
      <c r="BI1019" s="330"/>
      <c r="BJ1019" s="330"/>
      <c r="BK1019" s="330"/>
      <c r="BL1019" s="330"/>
      <c r="BM1019" s="330"/>
      <c r="BN1019" s="330"/>
      <c r="BO1019" s="330"/>
      <c r="BP1019" s="331"/>
      <c r="BQ1019" s="332"/>
      <c r="BR1019" s="333"/>
    </row>
    <row r="1020" spans="2:70" ht="15.75" customHeight="1">
      <c r="B1020" s="216" t="s">
        <v>1637</v>
      </c>
      <c r="C1020" s="212">
        <v>536309</v>
      </c>
      <c r="D1020" s="223">
        <v>12839769000187</v>
      </c>
      <c r="E1020" s="217" t="s">
        <v>25</v>
      </c>
      <c r="F1020" s="217" t="s">
        <v>958</v>
      </c>
      <c r="G1020" s="217" t="s">
        <v>962</v>
      </c>
      <c r="H1020" s="218" t="s">
        <v>66</v>
      </c>
      <c r="I1020" s="217" t="s">
        <v>1841</v>
      </c>
      <c r="J1020" s="217" t="s">
        <v>66</v>
      </c>
      <c r="K1020" s="218"/>
      <c r="L1020" s="212" t="s">
        <v>87</v>
      </c>
      <c r="M1020" s="250"/>
      <c r="N1020" s="239">
        <v>40597</v>
      </c>
      <c r="O1020" s="210" t="s">
        <v>660</v>
      </c>
      <c r="P1020" s="210" t="s">
        <v>1088</v>
      </c>
      <c r="Q1020" s="210" t="s">
        <v>1089</v>
      </c>
      <c r="R1020" s="210" t="s">
        <v>1084</v>
      </c>
      <c r="S1020" s="210" t="s">
        <v>1078</v>
      </c>
      <c r="T1020" s="210" t="s">
        <v>1082</v>
      </c>
      <c r="U1020" s="210" t="s">
        <v>958</v>
      </c>
      <c r="V1020" s="210" t="s">
        <v>25</v>
      </c>
      <c r="W1020" s="211" t="s">
        <v>1012</v>
      </c>
      <c r="X1020" s="211">
        <v>1000</v>
      </c>
      <c r="Y1020" s="211">
        <v>1000</v>
      </c>
      <c r="Z1020" s="212">
        <v>1000</v>
      </c>
      <c r="AA1020" s="240">
        <v>1</v>
      </c>
      <c r="AB1020" s="213">
        <v>0.01</v>
      </c>
      <c r="AC1020" s="213">
        <v>0.2</v>
      </c>
      <c r="AD1020" s="213" t="s">
        <v>109</v>
      </c>
      <c r="AE1020" s="213">
        <v>3.5999999999999999E-3</v>
      </c>
      <c r="AF1020" s="241">
        <v>23048642.73</v>
      </c>
      <c r="AG1020" s="241">
        <v>23048642.73</v>
      </c>
      <c r="AH1020" s="213">
        <v>6.6799999999999998E-2</v>
      </c>
      <c r="AI1020" s="352">
        <v>1.0290999999999999</v>
      </c>
      <c r="AJ1020" s="213">
        <v>0.06</v>
      </c>
      <c r="AK1020" s="352">
        <v>0.63749999999999996</v>
      </c>
      <c r="AL1020" s="213">
        <v>7.6399999999999996E-2</v>
      </c>
      <c r="AM1020" s="352">
        <v>0.63200000000000001</v>
      </c>
      <c r="AN1020" s="213">
        <v>7.2499999999999995E-2</v>
      </c>
      <c r="AO1020" s="352">
        <v>0.43020000000000003</v>
      </c>
      <c r="AP1020" s="213">
        <v>1.7399999999999999E-2</v>
      </c>
      <c r="AQ1020" s="219">
        <v>-1.808601700724813</v>
      </c>
      <c r="AR1020" s="213" t="s">
        <v>1824</v>
      </c>
      <c r="AV1020" s="343"/>
      <c r="AW1020" s="328"/>
      <c r="AX1020" s="329"/>
      <c r="AY1020" s="328"/>
      <c r="AZ1020" s="328"/>
      <c r="BA1020" s="330"/>
      <c r="BB1020" s="328"/>
      <c r="BC1020" s="328"/>
      <c r="BD1020" s="328"/>
      <c r="BE1020" s="330"/>
      <c r="BF1020" s="330"/>
      <c r="BG1020" s="344"/>
      <c r="BH1020" s="330"/>
      <c r="BI1020" s="330"/>
      <c r="BJ1020" s="330"/>
      <c r="BK1020" s="330"/>
      <c r="BL1020" s="330"/>
      <c r="BM1020" s="330"/>
      <c r="BN1020" s="330"/>
      <c r="BO1020" s="330"/>
      <c r="BP1020" s="331"/>
      <c r="BQ1020" s="332"/>
      <c r="BR1020" s="333"/>
    </row>
    <row r="1021" spans="2:70" ht="15.75" customHeight="1">
      <c r="B1021" s="216" t="s">
        <v>1638</v>
      </c>
      <c r="C1021" s="212">
        <v>1230697</v>
      </c>
      <c r="D1021" s="223">
        <v>4899128000190</v>
      </c>
      <c r="E1021" s="217" t="s">
        <v>19</v>
      </c>
      <c r="F1021" s="217" t="s">
        <v>963</v>
      </c>
      <c r="G1021" s="217" t="s">
        <v>1011</v>
      </c>
      <c r="H1021" s="218" t="s">
        <v>1113</v>
      </c>
      <c r="I1021" s="217" t="s">
        <v>66</v>
      </c>
      <c r="J1021" s="217"/>
      <c r="K1021" s="218" t="s">
        <v>951</v>
      </c>
      <c r="L1021" s="212" t="s">
        <v>87</v>
      </c>
      <c r="M1021" s="250"/>
      <c r="N1021" s="239">
        <v>37428</v>
      </c>
      <c r="O1021" s="210" t="s">
        <v>660</v>
      </c>
      <c r="P1021" s="210" t="s">
        <v>660</v>
      </c>
      <c r="Q1021" s="210" t="s">
        <v>1089</v>
      </c>
      <c r="R1021" s="210" t="s">
        <v>1084</v>
      </c>
      <c r="S1021" s="210" t="s">
        <v>1078</v>
      </c>
      <c r="T1021" s="210" t="s">
        <v>349</v>
      </c>
      <c r="U1021" s="210" t="s">
        <v>1114</v>
      </c>
      <c r="V1021" s="210" t="s">
        <v>19</v>
      </c>
      <c r="W1021" s="211" t="s">
        <v>1017</v>
      </c>
      <c r="X1021" s="211">
        <v>1000</v>
      </c>
      <c r="Y1021" s="211">
        <v>1000</v>
      </c>
      <c r="Z1021" s="212">
        <v>1000</v>
      </c>
      <c r="AA1021" s="240">
        <v>1</v>
      </c>
      <c r="AB1021" s="213">
        <v>3.0000000000000001E-3</v>
      </c>
      <c r="AC1021" s="213">
        <v>0</v>
      </c>
      <c r="AD1021" s="213" t="s">
        <v>109</v>
      </c>
      <c r="AE1021" s="213">
        <v>1E-3</v>
      </c>
      <c r="AF1021" s="241">
        <v>2937254436.4400001</v>
      </c>
      <c r="AG1021" s="241">
        <v>2937254436.4400001</v>
      </c>
      <c r="AH1021" s="213">
        <v>7.22E-2</v>
      </c>
      <c r="AI1021" s="352">
        <v>1.1123000000000001</v>
      </c>
      <c r="AJ1021" s="213">
        <v>0.1198</v>
      </c>
      <c r="AK1021" s="352">
        <v>1.2730999999999999</v>
      </c>
      <c r="AL1021" s="213">
        <v>0.17369999999999999</v>
      </c>
      <c r="AM1021" s="352">
        <v>1.4378</v>
      </c>
      <c r="AN1021" s="213">
        <v>0.15959999999999999</v>
      </c>
      <c r="AO1021" s="352">
        <v>0.94699999999999995</v>
      </c>
      <c r="AP1021" s="213">
        <v>6.4000000000000003E-3</v>
      </c>
      <c r="AQ1021" s="219">
        <v>3.6225906677626107</v>
      </c>
      <c r="AR1021" s="213" t="s">
        <v>1824</v>
      </c>
      <c r="AV1021" s="343"/>
      <c r="AW1021" s="328"/>
      <c r="AX1021" s="329"/>
      <c r="AY1021" s="328"/>
      <c r="AZ1021" s="328"/>
      <c r="BA1021" s="330"/>
      <c r="BB1021" s="328"/>
      <c r="BC1021" s="328"/>
      <c r="BD1021" s="328"/>
      <c r="BE1021" s="330"/>
      <c r="BF1021" s="330"/>
      <c r="BG1021" s="344"/>
      <c r="BH1021" s="330"/>
      <c r="BI1021" s="330"/>
      <c r="BJ1021" s="330"/>
      <c r="BK1021" s="330"/>
      <c r="BL1021" s="330"/>
      <c r="BM1021" s="330"/>
      <c r="BN1021" s="330"/>
      <c r="BO1021" s="330"/>
      <c r="BP1021" s="331"/>
      <c r="BQ1021" s="332"/>
      <c r="BR1021" s="333"/>
    </row>
    <row r="1022" spans="2:70" ht="15.75" customHeight="1">
      <c r="B1022" s="216" t="s">
        <v>1640</v>
      </c>
      <c r="C1022" s="212">
        <v>536757</v>
      </c>
      <c r="D1022" s="223">
        <v>4066545000151</v>
      </c>
      <c r="E1022" s="217" t="s">
        <v>25</v>
      </c>
      <c r="F1022" s="217" t="s">
        <v>958</v>
      </c>
      <c r="G1022" s="217" t="s">
        <v>962</v>
      </c>
      <c r="H1022" s="218" t="s">
        <v>66</v>
      </c>
      <c r="I1022" s="217" t="s">
        <v>1841</v>
      </c>
      <c r="J1022" s="217" t="s">
        <v>66</v>
      </c>
      <c r="K1022" s="218"/>
      <c r="L1022" s="212" t="s">
        <v>87</v>
      </c>
      <c r="M1022" s="250"/>
      <c r="N1022" s="239">
        <v>37043</v>
      </c>
      <c r="O1022" s="210" t="s">
        <v>1641</v>
      </c>
      <c r="P1022" s="210" t="s">
        <v>660</v>
      </c>
      <c r="Q1022" s="210" t="s">
        <v>1089</v>
      </c>
      <c r="R1022" s="210" t="s">
        <v>1084</v>
      </c>
      <c r="S1022" s="210" t="s">
        <v>1078</v>
      </c>
      <c r="T1022" s="210" t="s">
        <v>1082</v>
      </c>
      <c r="U1022" s="210" t="s">
        <v>958</v>
      </c>
      <c r="V1022" s="210" t="s">
        <v>25</v>
      </c>
      <c r="W1022" s="211" t="s">
        <v>1016</v>
      </c>
      <c r="X1022" s="211">
        <v>10000</v>
      </c>
      <c r="Y1022" s="211">
        <v>2500</v>
      </c>
      <c r="Z1022" s="212">
        <v>2500</v>
      </c>
      <c r="AA1022" s="240">
        <v>3</v>
      </c>
      <c r="AB1022" s="213">
        <v>5.0000000000000001E-3</v>
      </c>
      <c r="AC1022" s="213">
        <v>0</v>
      </c>
      <c r="AD1022" s="213" t="s">
        <v>109</v>
      </c>
      <c r="AE1022" s="213">
        <v>1E-3</v>
      </c>
      <c r="AF1022" s="241">
        <v>38684264.159999996</v>
      </c>
      <c r="AG1022" s="241">
        <v>38684264.159999996</v>
      </c>
      <c r="AH1022" s="213">
        <v>6.8599999999999994E-2</v>
      </c>
      <c r="AI1022" s="352">
        <v>1.0573999999999999</v>
      </c>
      <c r="AJ1022" s="213">
        <v>8.0600000000000005E-2</v>
      </c>
      <c r="AK1022" s="352">
        <v>0.85719999999999996</v>
      </c>
      <c r="AL1022" s="213">
        <v>0.1391</v>
      </c>
      <c r="AM1022" s="352">
        <v>1.151</v>
      </c>
      <c r="AN1022" s="213">
        <v>0.18410000000000001</v>
      </c>
      <c r="AO1022" s="352">
        <v>1.0927</v>
      </c>
      <c r="AP1022" s="213">
        <v>3.4799999999999998E-2</v>
      </c>
      <c r="AQ1022" s="219">
        <v>-0.33832801806517321</v>
      </c>
      <c r="AR1022" s="213" t="s">
        <v>1827</v>
      </c>
      <c r="AV1022" s="343"/>
      <c r="AW1022" s="328"/>
      <c r="AX1022" s="329"/>
      <c r="AY1022" s="328"/>
      <c r="AZ1022" s="328"/>
      <c r="BA1022" s="330"/>
      <c r="BB1022" s="328"/>
      <c r="BC1022" s="328"/>
      <c r="BD1022" s="328"/>
      <c r="BE1022" s="330"/>
      <c r="BF1022" s="330"/>
      <c r="BG1022" s="344"/>
      <c r="BH1022" s="330"/>
      <c r="BI1022" s="330"/>
      <c r="BJ1022" s="330"/>
      <c r="BK1022" s="330"/>
      <c r="BL1022" s="330"/>
      <c r="BM1022" s="330"/>
      <c r="BN1022" s="330"/>
      <c r="BO1022" s="330"/>
      <c r="BP1022" s="331"/>
      <c r="BQ1022" s="332"/>
      <c r="BR1022" s="333"/>
    </row>
    <row r="1023" spans="2:70" ht="15.75" customHeight="1">
      <c r="B1023" s="216" t="s">
        <v>868</v>
      </c>
      <c r="C1023" s="212">
        <v>2095140</v>
      </c>
      <c r="D1023" s="223">
        <v>13001237000139</v>
      </c>
      <c r="E1023" s="217" t="s">
        <v>28</v>
      </c>
      <c r="F1023" s="217" t="s">
        <v>950</v>
      </c>
      <c r="G1023" s="217"/>
      <c r="H1023" s="218"/>
      <c r="I1023" s="217" t="s">
        <v>66</v>
      </c>
      <c r="J1023" s="217" t="s">
        <v>66</v>
      </c>
      <c r="K1023" s="218" t="s">
        <v>951</v>
      </c>
      <c r="L1023" s="212" t="s">
        <v>87</v>
      </c>
      <c r="M1023" s="250"/>
      <c r="N1023" s="239">
        <v>40595</v>
      </c>
      <c r="O1023" s="210" t="s">
        <v>660</v>
      </c>
      <c r="P1023" s="210" t="s">
        <v>660</v>
      </c>
      <c r="Q1023" s="210" t="s">
        <v>1089</v>
      </c>
      <c r="R1023" s="210" t="s">
        <v>1084</v>
      </c>
      <c r="S1023" s="210" t="s">
        <v>1078</v>
      </c>
      <c r="T1023" s="210" t="s">
        <v>1642</v>
      </c>
      <c r="U1023" s="210" t="s">
        <v>950</v>
      </c>
      <c r="V1023" s="210" t="s">
        <v>1080</v>
      </c>
      <c r="W1023" s="211" t="s">
        <v>1007</v>
      </c>
      <c r="X1023" s="211">
        <v>1000</v>
      </c>
      <c r="Y1023" s="211">
        <v>1000</v>
      </c>
      <c r="Z1023" s="212">
        <v>1000</v>
      </c>
      <c r="AA1023" s="240">
        <v>3</v>
      </c>
      <c r="AB1023" s="213">
        <v>0.01</v>
      </c>
      <c r="AC1023" s="213">
        <v>0</v>
      </c>
      <c r="AD1023" s="213" t="s">
        <v>1014</v>
      </c>
      <c r="AE1023" s="213">
        <v>3.3333333333333331E-3</v>
      </c>
      <c r="AF1023" s="241">
        <v>24794373.620000001</v>
      </c>
      <c r="AG1023" s="241">
        <v>24794373.620000001</v>
      </c>
      <c r="AH1023" s="213">
        <v>-9.9000000000000008E-3</v>
      </c>
      <c r="AI1023" s="352">
        <v>-0.15210000000000001</v>
      </c>
      <c r="AJ1023" s="213">
        <v>-0.115</v>
      </c>
      <c r="AK1023" s="352">
        <v>-1.2225999999999999</v>
      </c>
      <c r="AL1023" s="213">
        <v>2.63E-2</v>
      </c>
      <c r="AM1023" s="352">
        <v>0.21790000000000001</v>
      </c>
      <c r="AN1023" s="213">
        <v>8.8900000000000007E-2</v>
      </c>
      <c r="AO1023" s="352">
        <v>0.52729999999999999</v>
      </c>
      <c r="AP1023" s="213">
        <v>0.2046</v>
      </c>
      <c r="AQ1023" s="219">
        <v>-0.93473252950758856</v>
      </c>
      <c r="AR1023" s="213" t="s">
        <v>1827</v>
      </c>
      <c r="AV1023" s="343"/>
      <c r="AW1023" s="328"/>
      <c r="AX1023" s="329"/>
      <c r="AY1023" s="328"/>
      <c r="AZ1023" s="328"/>
      <c r="BA1023" s="330"/>
      <c r="BB1023" s="328"/>
      <c r="BC1023" s="328"/>
      <c r="BD1023" s="328"/>
      <c r="BE1023" s="330"/>
      <c r="BF1023" s="330"/>
      <c r="BG1023" s="344"/>
      <c r="BH1023" s="330"/>
      <c r="BI1023" s="330"/>
      <c r="BJ1023" s="330"/>
      <c r="BK1023" s="330"/>
      <c r="BL1023" s="330"/>
      <c r="BM1023" s="330"/>
      <c r="BN1023" s="330"/>
      <c r="BO1023" s="330"/>
      <c r="BP1023" s="331"/>
      <c r="BQ1023" s="332"/>
      <c r="BR1023" s="333"/>
    </row>
    <row r="1024" spans="2:70" ht="15.75" customHeight="1">
      <c r="B1024" s="216" t="s">
        <v>1643</v>
      </c>
      <c r="C1024" s="212">
        <v>1176358</v>
      </c>
      <c r="D1024" s="223">
        <v>9326708000101</v>
      </c>
      <c r="E1024" s="217" t="s">
        <v>19</v>
      </c>
      <c r="F1024" s="217" t="s">
        <v>964</v>
      </c>
      <c r="G1024" s="217" t="s">
        <v>1011</v>
      </c>
      <c r="H1024" s="218" t="s">
        <v>1259</v>
      </c>
      <c r="I1024" s="217" t="s">
        <v>66</v>
      </c>
      <c r="J1024" s="217"/>
      <c r="K1024" s="218" t="s">
        <v>951</v>
      </c>
      <c r="L1024" s="212" t="s">
        <v>87</v>
      </c>
      <c r="M1024" s="250"/>
      <c r="N1024" s="239">
        <v>39640</v>
      </c>
      <c r="O1024" s="210" t="s">
        <v>660</v>
      </c>
      <c r="P1024" s="210" t="s">
        <v>1088</v>
      </c>
      <c r="Q1024" s="210" t="s">
        <v>1089</v>
      </c>
      <c r="R1024" s="210" t="s">
        <v>1084</v>
      </c>
      <c r="S1024" s="210" t="s">
        <v>1078</v>
      </c>
      <c r="T1024" s="210" t="s">
        <v>349</v>
      </c>
      <c r="U1024" s="210" t="s">
        <v>964</v>
      </c>
      <c r="V1024" s="210" t="s">
        <v>19</v>
      </c>
      <c r="W1024" s="211" t="s">
        <v>1032</v>
      </c>
      <c r="X1024" s="211">
        <v>5000</v>
      </c>
      <c r="Y1024" s="211">
        <v>2500</v>
      </c>
      <c r="Z1024" s="212">
        <v>2500</v>
      </c>
      <c r="AA1024" s="240">
        <v>2</v>
      </c>
      <c r="AB1024" s="213">
        <v>4.0000000000000001E-3</v>
      </c>
      <c r="AC1024" s="213">
        <v>0.2</v>
      </c>
      <c r="AD1024" s="213" t="s">
        <v>1157</v>
      </c>
      <c r="AE1024" s="213">
        <v>1.4399999999999999E-3</v>
      </c>
      <c r="AF1024" s="241">
        <v>262049667.27000001</v>
      </c>
      <c r="AG1024" s="241">
        <v>262049667.27000001</v>
      </c>
      <c r="AH1024" s="213">
        <v>3.7600000000000001E-2</v>
      </c>
      <c r="AI1024" s="352">
        <v>0.57889999999999997</v>
      </c>
      <c r="AJ1024" s="213">
        <v>-1.2699999999999999E-2</v>
      </c>
      <c r="AK1024" s="352">
        <v>-0.13450000000000001</v>
      </c>
      <c r="AL1024" s="213">
        <v>2.4400000000000002E-2</v>
      </c>
      <c r="AM1024" s="352">
        <v>0.20180000000000001</v>
      </c>
      <c r="AN1024" s="213">
        <v>8.6699999999999999E-2</v>
      </c>
      <c r="AO1024" s="352">
        <v>0.51470000000000005</v>
      </c>
      <c r="AP1024" s="213">
        <v>5.9200000000000003E-2</v>
      </c>
      <c r="AQ1024" s="219">
        <v>-1.7062566148725558</v>
      </c>
      <c r="AR1024" s="213" t="s">
        <v>1824</v>
      </c>
      <c r="AV1024" s="343"/>
      <c r="AW1024" s="328"/>
      <c r="AX1024" s="329"/>
      <c r="AY1024" s="328"/>
      <c r="AZ1024" s="328"/>
      <c r="BA1024" s="330"/>
      <c r="BB1024" s="328"/>
      <c r="BC1024" s="328"/>
      <c r="BD1024" s="328"/>
      <c r="BE1024" s="330"/>
      <c r="BF1024" s="330"/>
      <c r="BG1024" s="344"/>
      <c r="BH1024" s="330"/>
      <c r="BI1024" s="330"/>
      <c r="BJ1024" s="330"/>
      <c r="BK1024" s="330"/>
      <c r="BL1024" s="330"/>
      <c r="BM1024" s="330"/>
      <c r="BN1024" s="330"/>
      <c r="BO1024" s="330"/>
      <c r="BP1024" s="331"/>
      <c r="BQ1024" s="332"/>
      <c r="BR1024" s="333"/>
    </row>
    <row r="1025" spans="2:70" ht="15.75" customHeight="1">
      <c r="B1025" s="216" t="s">
        <v>1910</v>
      </c>
      <c r="C1025" s="212">
        <v>4047905</v>
      </c>
      <c r="D1025" s="223">
        <v>16892116000112</v>
      </c>
      <c r="E1025" s="217" t="s">
        <v>19</v>
      </c>
      <c r="F1025" s="217" t="s">
        <v>964</v>
      </c>
      <c r="G1025" s="217" t="s">
        <v>1021</v>
      </c>
      <c r="H1025" s="218" t="s">
        <v>1113</v>
      </c>
      <c r="I1025" s="217" t="s">
        <v>66</v>
      </c>
      <c r="J1025" s="217"/>
      <c r="K1025" s="218" t="s">
        <v>951</v>
      </c>
      <c r="L1025" s="212" t="s">
        <v>87</v>
      </c>
      <c r="M1025" s="250"/>
      <c r="N1025" s="239">
        <v>41332</v>
      </c>
      <c r="O1025" s="210" t="s">
        <v>660</v>
      </c>
      <c r="P1025" s="210" t="s">
        <v>1088</v>
      </c>
      <c r="Q1025" s="210" t="s">
        <v>1089</v>
      </c>
      <c r="R1025" s="210" t="s">
        <v>1084</v>
      </c>
      <c r="S1025" s="210" t="s">
        <v>1078</v>
      </c>
      <c r="T1025" s="210" t="s">
        <v>349</v>
      </c>
      <c r="U1025" s="210" t="s">
        <v>964</v>
      </c>
      <c r="V1025" s="210" t="s">
        <v>19</v>
      </c>
      <c r="W1025" s="211" t="s">
        <v>1029</v>
      </c>
      <c r="X1025" s="211">
        <v>5000</v>
      </c>
      <c r="Y1025" s="211">
        <v>2500</v>
      </c>
      <c r="Z1025" s="212">
        <v>2500</v>
      </c>
      <c r="AA1025" s="240">
        <v>2</v>
      </c>
      <c r="AB1025" s="213">
        <v>2.5000000000000001E-3</v>
      </c>
      <c r="AC1025" s="213">
        <v>0.2</v>
      </c>
      <c r="AD1025" s="213" t="s">
        <v>981</v>
      </c>
      <c r="AE1025" s="213">
        <v>8.3333333333333328E-4</v>
      </c>
      <c r="AF1025" s="241">
        <v>27754411.93</v>
      </c>
      <c r="AG1025" s="241">
        <v>27754411.93</v>
      </c>
      <c r="AH1025" s="213">
        <v>6.8099999999999994E-2</v>
      </c>
      <c r="AI1025" s="352">
        <v>1.0496000000000001</v>
      </c>
      <c r="AJ1025" s="213">
        <v>6.2600000000000003E-2</v>
      </c>
      <c r="AK1025" s="352">
        <v>0.66520000000000001</v>
      </c>
      <c r="AL1025" s="213">
        <v>9.69E-2</v>
      </c>
      <c r="AM1025" s="352">
        <v>0.8024</v>
      </c>
      <c r="AN1025" s="213">
        <v>0.1825</v>
      </c>
      <c r="AO1025" s="352">
        <v>1.083</v>
      </c>
      <c r="AP1025" s="213">
        <v>3.6400000000000002E-2</v>
      </c>
      <c r="AQ1025" s="219">
        <v>-0.7837427732557708</v>
      </c>
      <c r="AR1025" s="213" t="s">
        <v>1824</v>
      </c>
      <c r="AV1025" s="343"/>
      <c r="AW1025" s="328"/>
      <c r="AX1025" s="329"/>
      <c r="AY1025" s="328"/>
      <c r="AZ1025" s="328"/>
      <c r="BA1025" s="330"/>
      <c r="BB1025" s="328"/>
      <c r="BC1025" s="328"/>
      <c r="BD1025" s="328"/>
      <c r="BE1025" s="330"/>
      <c r="BF1025" s="330"/>
      <c r="BG1025" s="344"/>
      <c r="BH1025" s="330"/>
      <c r="BI1025" s="330"/>
      <c r="BJ1025" s="330"/>
      <c r="BK1025" s="330"/>
      <c r="BL1025" s="330"/>
      <c r="BM1025" s="330"/>
      <c r="BN1025" s="330"/>
      <c r="BO1025" s="330"/>
      <c r="BP1025" s="331"/>
      <c r="BQ1025" s="332"/>
      <c r="BR1025" s="333"/>
    </row>
    <row r="1026" spans="2:70" ht="15.75" customHeight="1">
      <c r="B1026" s="216" t="s">
        <v>1644</v>
      </c>
      <c r="C1026" s="212">
        <v>1173369</v>
      </c>
      <c r="D1026" s="223">
        <v>7381653000107</v>
      </c>
      <c r="E1026" s="217" t="s">
        <v>19</v>
      </c>
      <c r="F1026" s="217" t="s">
        <v>963</v>
      </c>
      <c r="G1026" s="217" t="s">
        <v>962</v>
      </c>
      <c r="H1026" s="218" t="s">
        <v>1113</v>
      </c>
      <c r="I1026" s="217" t="s">
        <v>66</v>
      </c>
      <c r="J1026" s="217" t="s">
        <v>66</v>
      </c>
      <c r="K1026" s="218" t="s">
        <v>951</v>
      </c>
      <c r="L1026" s="212" t="s">
        <v>87</v>
      </c>
      <c r="M1026" s="250"/>
      <c r="N1026" s="239">
        <v>38497</v>
      </c>
      <c r="O1026" s="210" t="s">
        <v>660</v>
      </c>
      <c r="P1026" s="210" t="s">
        <v>1088</v>
      </c>
      <c r="Q1026" s="210" t="s">
        <v>1089</v>
      </c>
      <c r="R1026" s="210" t="s">
        <v>1084</v>
      </c>
      <c r="S1026" s="210" t="s">
        <v>1078</v>
      </c>
      <c r="T1026" s="210" t="s">
        <v>349</v>
      </c>
      <c r="U1026" s="210" t="s">
        <v>1078</v>
      </c>
      <c r="V1026" s="210" t="s">
        <v>19</v>
      </c>
      <c r="W1026" s="211" t="s">
        <v>1017</v>
      </c>
      <c r="X1026" s="211">
        <v>1000</v>
      </c>
      <c r="Y1026" s="211">
        <v>1000</v>
      </c>
      <c r="Z1026" s="212">
        <v>1000</v>
      </c>
      <c r="AA1026" s="240">
        <v>1</v>
      </c>
      <c r="AB1026" s="213">
        <v>5.0000000000000001E-3</v>
      </c>
      <c r="AC1026" s="213">
        <v>0.2</v>
      </c>
      <c r="AD1026" s="213" t="s">
        <v>109</v>
      </c>
      <c r="AE1026" s="213">
        <v>1.8E-3</v>
      </c>
      <c r="AF1026" s="241">
        <v>65211958.289999999</v>
      </c>
      <c r="AG1026" s="241">
        <v>65211958.289999999</v>
      </c>
      <c r="AH1026" s="213">
        <v>6.5600000000000006E-2</v>
      </c>
      <c r="AI1026" s="352">
        <v>1.0107999999999999</v>
      </c>
      <c r="AJ1026" s="213">
        <v>7.3499999999999996E-2</v>
      </c>
      <c r="AK1026" s="352">
        <v>0.78100000000000003</v>
      </c>
      <c r="AL1026" s="213">
        <v>7.3700000000000002E-2</v>
      </c>
      <c r="AM1026" s="352">
        <v>0.60970000000000002</v>
      </c>
      <c r="AN1026" s="213">
        <v>0.11260000000000001</v>
      </c>
      <c r="AO1026" s="352">
        <v>0.66830000000000001</v>
      </c>
      <c r="AP1026" s="213">
        <v>9.7000000000000003E-3</v>
      </c>
      <c r="AQ1026" s="219">
        <v>-1.9635461593786041</v>
      </c>
      <c r="AR1026" s="213" t="s">
        <v>1824</v>
      </c>
      <c r="AV1026" s="343"/>
      <c r="AW1026" s="328"/>
      <c r="AX1026" s="329"/>
      <c r="AY1026" s="328"/>
      <c r="AZ1026" s="328"/>
      <c r="BA1026" s="330"/>
      <c r="BB1026" s="328"/>
      <c r="BC1026" s="328"/>
      <c r="BD1026" s="328"/>
      <c r="BE1026" s="330"/>
      <c r="BF1026" s="330"/>
      <c r="BG1026" s="344"/>
      <c r="BH1026" s="330"/>
      <c r="BI1026" s="330"/>
      <c r="BJ1026" s="330"/>
      <c r="BK1026" s="330"/>
      <c r="BL1026" s="330"/>
      <c r="BM1026" s="330"/>
      <c r="BN1026" s="330"/>
      <c r="BO1026" s="330"/>
      <c r="BP1026" s="331"/>
      <c r="BQ1026" s="332"/>
      <c r="BR1026" s="333"/>
    </row>
    <row r="1027" spans="2:70" ht="15.75" customHeight="1">
      <c r="B1027" s="216" t="s">
        <v>919</v>
      </c>
      <c r="C1027" s="212">
        <v>2567280</v>
      </c>
      <c r="D1027" s="223">
        <v>34525068000106</v>
      </c>
      <c r="E1027" s="217" t="s">
        <v>28</v>
      </c>
      <c r="F1027" s="217" t="s">
        <v>950</v>
      </c>
      <c r="G1027" s="217"/>
      <c r="H1027" s="218"/>
      <c r="I1027" s="217" t="s">
        <v>66</v>
      </c>
      <c r="J1027" s="217" t="s">
        <v>66</v>
      </c>
      <c r="K1027" s="218" t="s">
        <v>951</v>
      </c>
      <c r="L1027" s="212" t="s">
        <v>87</v>
      </c>
      <c r="M1027" s="250"/>
      <c r="N1027" s="239">
        <v>43829</v>
      </c>
      <c r="O1027" s="210" t="s">
        <v>660</v>
      </c>
      <c r="P1027" s="210" t="s">
        <v>1088</v>
      </c>
      <c r="Q1027" s="210" t="s">
        <v>1089</v>
      </c>
      <c r="R1027" s="210" t="s">
        <v>1084</v>
      </c>
      <c r="S1027" s="210" t="s">
        <v>1078</v>
      </c>
      <c r="T1027" s="210" t="s">
        <v>1079</v>
      </c>
      <c r="U1027" s="210" t="s">
        <v>950</v>
      </c>
      <c r="V1027" s="210" t="s">
        <v>1080</v>
      </c>
      <c r="W1027" s="211" t="s">
        <v>1007</v>
      </c>
      <c r="X1027" s="211">
        <v>1000</v>
      </c>
      <c r="Y1027" s="211">
        <v>1000</v>
      </c>
      <c r="Z1027" s="212">
        <v>1000</v>
      </c>
      <c r="AA1027" s="240">
        <v>32</v>
      </c>
      <c r="AB1027" s="213">
        <v>0.02</v>
      </c>
      <c r="AC1027" s="213">
        <v>0.2</v>
      </c>
      <c r="AD1027" s="213" t="s">
        <v>1157</v>
      </c>
      <c r="AE1027" s="213">
        <v>6.6666666666666662E-3</v>
      </c>
      <c r="AF1027" s="241">
        <v>339783733.88999999</v>
      </c>
      <c r="AG1027" s="241">
        <v>339783733.88999999</v>
      </c>
      <c r="AH1027" s="213">
        <v>-0.16839999999999999</v>
      </c>
      <c r="AI1027" s="352">
        <v>-2.5933999999999999</v>
      </c>
      <c r="AJ1027" s="213">
        <v>-0.35060000000000002</v>
      </c>
      <c r="AK1027" s="352">
        <v>-3.7265000000000001</v>
      </c>
      <c r="AL1027" s="213">
        <v>-7.5899999999999995E-2</v>
      </c>
      <c r="AM1027" s="352">
        <v>-0.628</v>
      </c>
      <c r="AN1027" s="213" t="s">
        <v>66</v>
      </c>
      <c r="AO1027" s="352" t="s">
        <v>66</v>
      </c>
      <c r="AP1027" s="213">
        <v>0.27010000000000001</v>
      </c>
      <c r="AQ1027" s="219">
        <v>-1.7946019913050821</v>
      </c>
      <c r="AR1027" s="213" t="s">
        <v>1824</v>
      </c>
      <c r="AV1027" s="343"/>
      <c r="AW1027" s="328"/>
      <c r="AX1027" s="329"/>
      <c r="AY1027" s="328"/>
      <c r="AZ1027" s="328"/>
      <c r="BA1027" s="330"/>
      <c r="BB1027" s="328"/>
      <c r="BC1027" s="328"/>
      <c r="BD1027" s="328"/>
      <c r="BE1027" s="330"/>
      <c r="BF1027" s="330"/>
      <c r="BG1027" s="344"/>
      <c r="BH1027" s="330"/>
      <c r="BI1027" s="330"/>
      <c r="BJ1027" s="330"/>
      <c r="BK1027" s="330"/>
      <c r="BL1027" s="330"/>
      <c r="BM1027" s="330"/>
      <c r="BN1027" s="330"/>
      <c r="BO1027" s="330"/>
      <c r="BP1027" s="331"/>
      <c r="BQ1027" s="332"/>
      <c r="BR1027" s="333"/>
    </row>
    <row r="1028" spans="2:70" ht="15.75" customHeight="1">
      <c r="B1028" s="216" t="s">
        <v>1645</v>
      </c>
      <c r="C1028" s="212">
        <v>2341056</v>
      </c>
      <c r="D1028" s="223">
        <v>17797426000110</v>
      </c>
      <c r="E1028" s="217" t="s">
        <v>28</v>
      </c>
      <c r="F1028" s="217" t="s">
        <v>950</v>
      </c>
      <c r="G1028" s="217"/>
      <c r="H1028" s="218"/>
      <c r="I1028" s="217" t="s">
        <v>66</v>
      </c>
      <c r="J1028" s="217" t="s">
        <v>66</v>
      </c>
      <c r="K1028" s="218" t="s">
        <v>951</v>
      </c>
      <c r="L1028" s="212" t="s">
        <v>87</v>
      </c>
      <c r="M1028" s="250"/>
      <c r="N1028" s="239">
        <v>42766</v>
      </c>
      <c r="O1028" s="210" t="s">
        <v>660</v>
      </c>
      <c r="P1028" s="210" t="s">
        <v>660</v>
      </c>
      <c r="Q1028" s="210" t="s">
        <v>1089</v>
      </c>
      <c r="R1028" s="210" t="s">
        <v>1084</v>
      </c>
      <c r="S1028" s="210" t="s">
        <v>1078</v>
      </c>
      <c r="T1028" s="210" t="s">
        <v>1079</v>
      </c>
      <c r="U1028" s="210" t="s">
        <v>950</v>
      </c>
      <c r="V1028" s="210" t="s">
        <v>1080</v>
      </c>
      <c r="W1028" s="211" t="s">
        <v>1007</v>
      </c>
      <c r="X1028" s="211">
        <v>100</v>
      </c>
      <c r="Y1028" s="211">
        <v>100</v>
      </c>
      <c r="Z1028" s="212">
        <v>100</v>
      </c>
      <c r="AA1028" s="240">
        <v>3</v>
      </c>
      <c r="AB1028" s="213">
        <v>1.2E-2</v>
      </c>
      <c r="AC1028" s="213">
        <v>0.2</v>
      </c>
      <c r="AD1028" s="213" t="s">
        <v>1157</v>
      </c>
      <c r="AE1028" s="213" t="s">
        <v>66</v>
      </c>
      <c r="AF1028" s="241">
        <v>13676045.609999999</v>
      </c>
      <c r="AG1028" s="241">
        <v>13676045.609999999</v>
      </c>
      <c r="AH1028" s="213">
        <v>6.7999999999999996E-3</v>
      </c>
      <c r="AI1028" s="352">
        <v>0.1052</v>
      </c>
      <c r="AJ1028" s="213">
        <v>-6.7199999999999996E-2</v>
      </c>
      <c r="AK1028" s="352">
        <v>-0.71430000000000005</v>
      </c>
      <c r="AL1028" s="213">
        <v>-1.4500000000000001E-2</v>
      </c>
      <c r="AM1028" s="352">
        <v>-0.1197</v>
      </c>
      <c r="AN1028" s="213">
        <v>5.9499999999999997E-2</v>
      </c>
      <c r="AO1028" s="352">
        <v>0.35320000000000001</v>
      </c>
      <c r="AP1028" s="213">
        <v>0.18410000000000001</v>
      </c>
      <c r="AQ1028" s="219">
        <v>-0.77460569941233703</v>
      </c>
      <c r="AR1028" s="213" t="s">
        <v>1827</v>
      </c>
      <c r="AV1028" s="343"/>
      <c r="AW1028" s="328"/>
      <c r="AX1028" s="329"/>
      <c r="AY1028" s="328"/>
      <c r="AZ1028" s="328"/>
      <c r="BA1028" s="330"/>
      <c r="BB1028" s="328"/>
      <c r="BC1028" s="328"/>
      <c r="BD1028" s="328"/>
      <c r="BE1028" s="330"/>
      <c r="BF1028" s="330"/>
      <c r="BG1028" s="344"/>
      <c r="BH1028" s="330"/>
      <c r="BI1028" s="330"/>
      <c r="BJ1028" s="330"/>
      <c r="BK1028" s="330"/>
      <c r="BL1028" s="330"/>
      <c r="BM1028" s="330"/>
      <c r="BN1028" s="330"/>
      <c r="BO1028" s="330"/>
      <c r="BP1028" s="331"/>
      <c r="BQ1028" s="332"/>
      <c r="BR1028" s="333"/>
    </row>
    <row r="1029" spans="2:70" ht="15.75" customHeight="1">
      <c r="B1029" s="216" t="s">
        <v>662</v>
      </c>
      <c r="C1029" s="212">
        <v>1166950</v>
      </c>
      <c r="D1029" s="223">
        <v>33701828000126</v>
      </c>
      <c r="E1029" s="217" t="s">
        <v>19</v>
      </c>
      <c r="F1029" s="217" t="s">
        <v>963</v>
      </c>
      <c r="G1029" s="217" t="s">
        <v>1011</v>
      </c>
      <c r="H1029" s="218" t="s">
        <v>1113</v>
      </c>
      <c r="I1029" s="217" t="s">
        <v>66</v>
      </c>
      <c r="J1029" s="217"/>
      <c r="K1029" s="218" t="s">
        <v>954</v>
      </c>
      <c r="L1029" s="212" t="s">
        <v>87</v>
      </c>
      <c r="M1029" s="250"/>
      <c r="N1029" s="239">
        <v>44172</v>
      </c>
      <c r="O1029" s="210" t="s">
        <v>660</v>
      </c>
      <c r="P1029" s="210" t="s">
        <v>660</v>
      </c>
      <c r="Q1029" s="210" t="s">
        <v>1089</v>
      </c>
      <c r="R1029" s="210" t="s">
        <v>1077</v>
      </c>
      <c r="S1029" s="210" t="s">
        <v>1078</v>
      </c>
      <c r="T1029" s="210" t="s">
        <v>349</v>
      </c>
      <c r="U1029" s="210" t="s">
        <v>1114</v>
      </c>
      <c r="V1029" s="210" t="s">
        <v>19</v>
      </c>
      <c r="W1029" s="211" t="s">
        <v>1024</v>
      </c>
      <c r="X1029" s="211">
        <v>1000</v>
      </c>
      <c r="Y1029" s="211">
        <v>1000</v>
      </c>
      <c r="Z1029" s="212">
        <v>1000</v>
      </c>
      <c r="AA1029" s="240">
        <v>46</v>
      </c>
      <c r="AB1029" s="213">
        <v>6.0000000000000001E-3</v>
      </c>
      <c r="AC1029" s="213">
        <v>0.2</v>
      </c>
      <c r="AD1029" s="213" t="s">
        <v>109</v>
      </c>
      <c r="AE1029" s="213">
        <v>1.9997999999999999E-3</v>
      </c>
      <c r="AF1029" s="241">
        <v>573387378.35000002</v>
      </c>
      <c r="AG1029" s="241">
        <v>573387378.35000002</v>
      </c>
      <c r="AH1029" s="213">
        <v>7.6300000000000007E-2</v>
      </c>
      <c r="AI1029" s="352">
        <v>1.1747000000000001</v>
      </c>
      <c r="AJ1029" s="213">
        <v>0.12130000000000001</v>
      </c>
      <c r="AK1029" s="352">
        <v>1.2895000000000001</v>
      </c>
      <c r="AL1029" s="213" t="s">
        <v>66</v>
      </c>
      <c r="AM1029" s="352" t="s">
        <v>66</v>
      </c>
      <c r="AN1029" s="213" t="s">
        <v>66</v>
      </c>
      <c r="AO1029" s="352" t="s">
        <v>66</v>
      </c>
      <c r="AP1029" s="213">
        <v>4.1999999999999997E-3</v>
      </c>
      <c r="AQ1029" s="219">
        <v>5.8219120621348148</v>
      </c>
      <c r="AR1029" s="213" t="s">
        <v>1827</v>
      </c>
      <c r="AV1029" s="343"/>
      <c r="AW1029" s="328"/>
      <c r="AX1029" s="329"/>
      <c r="AY1029" s="328"/>
      <c r="AZ1029" s="328"/>
      <c r="BA1029" s="330"/>
      <c r="BB1029" s="328"/>
      <c r="BC1029" s="328"/>
      <c r="BD1029" s="328"/>
      <c r="BE1029" s="330"/>
      <c r="BF1029" s="330"/>
      <c r="BG1029" s="344"/>
      <c r="BH1029" s="330"/>
      <c r="BI1029" s="330"/>
      <c r="BJ1029" s="330"/>
      <c r="BK1029" s="330"/>
      <c r="BL1029" s="330"/>
      <c r="BM1029" s="330"/>
      <c r="BN1029" s="330"/>
      <c r="BO1029" s="330"/>
      <c r="BP1029" s="331"/>
      <c r="BQ1029" s="332"/>
      <c r="BR1029" s="333"/>
    </row>
    <row r="1030" spans="2:70" ht="15.75" customHeight="1">
      <c r="B1030" s="216" t="s">
        <v>1646</v>
      </c>
      <c r="C1030" s="212">
        <v>2601657</v>
      </c>
      <c r="D1030" s="223">
        <v>22759995000101</v>
      </c>
      <c r="E1030" s="217" t="s">
        <v>19</v>
      </c>
      <c r="F1030" s="217" t="s">
        <v>964</v>
      </c>
      <c r="G1030" s="217" t="s">
        <v>1042</v>
      </c>
      <c r="H1030" s="218" t="s">
        <v>1113</v>
      </c>
      <c r="I1030" s="217" t="s">
        <v>66</v>
      </c>
      <c r="J1030" s="217"/>
      <c r="K1030" s="218" t="s">
        <v>951</v>
      </c>
      <c r="L1030" s="212" t="s">
        <v>87</v>
      </c>
      <c r="M1030" s="250"/>
      <c r="N1030" s="239">
        <v>42865</v>
      </c>
      <c r="O1030" s="210" t="s">
        <v>660</v>
      </c>
      <c r="P1030" s="210" t="s">
        <v>660</v>
      </c>
      <c r="Q1030" s="210" t="s">
        <v>1089</v>
      </c>
      <c r="R1030" s="210" t="s">
        <v>1084</v>
      </c>
      <c r="S1030" s="210" t="s">
        <v>1078</v>
      </c>
      <c r="T1030" s="210" t="s">
        <v>349</v>
      </c>
      <c r="U1030" s="210" t="s">
        <v>964</v>
      </c>
      <c r="V1030" s="210" t="s">
        <v>19</v>
      </c>
      <c r="W1030" s="211" t="s">
        <v>1024</v>
      </c>
      <c r="X1030" s="211">
        <v>1000</v>
      </c>
      <c r="Y1030" s="211">
        <v>1000</v>
      </c>
      <c r="Z1030" s="212">
        <v>1000</v>
      </c>
      <c r="AA1030" s="240">
        <v>46</v>
      </c>
      <c r="AB1030" s="213">
        <v>8.0000000000000002E-3</v>
      </c>
      <c r="AC1030" s="213">
        <v>0.2</v>
      </c>
      <c r="AD1030" s="213" t="s">
        <v>981</v>
      </c>
      <c r="AE1030" s="213">
        <v>3.3600000000000001E-3</v>
      </c>
      <c r="AF1030" s="241">
        <v>61148260.869999997</v>
      </c>
      <c r="AG1030" s="241">
        <v>61148260.869999997</v>
      </c>
      <c r="AH1030" s="213">
        <v>5.28E-2</v>
      </c>
      <c r="AI1030" s="352">
        <v>0.81269999999999998</v>
      </c>
      <c r="AJ1030" s="213">
        <v>8.9300000000000004E-2</v>
      </c>
      <c r="AK1030" s="352">
        <v>0.94869999999999999</v>
      </c>
      <c r="AL1030" s="213">
        <v>0.18759999999999999</v>
      </c>
      <c r="AM1030" s="352">
        <v>1.5529999999999999</v>
      </c>
      <c r="AN1030" s="213">
        <v>0.22489999999999999</v>
      </c>
      <c r="AO1030" s="352">
        <v>1.3344</v>
      </c>
      <c r="AP1030" s="213">
        <v>3.1300000000000001E-2</v>
      </c>
      <c r="AQ1030" s="219">
        <v>-0.12571065934089845</v>
      </c>
      <c r="AR1030" s="213" t="s">
        <v>1827</v>
      </c>
      <c r="AV1030" s="343"/>
      <c r="AW1030" s="328"/>
      <c r="AX1030" s="329"/>
      <c r="AY1030" s="328"/>
      <c r="AZ1030" s="328"/>
      <c r="BA1030" s="330"/>
      <c r="BB1030" s="328"/>
      <c r="BC1030" s="328"/>
      <c r="BD1030" s="328"/>
      <c r="BE1030" s="330"/>
      <c r="BF1030" s="330"/>
      <c r="BG1030" s="344"/>
      <c r="BH1030" s="330"/>
      <c r="BI1030" s="330"/>
      <c r="BJ1030" s="330"/>
      <c r="BK1030" s="330"/>
      <c r="BL1030" s="330"/>
      <c r="BM1030" s="330"/>
      <c r="BN1030" s="330"/>
      <c r="BO1030" s="330"/>
      <c r="BP1030" s="331"/>
      <c r="BQ1030" s="332"/>
      <c r="BR1030" s="333"/>
    </row>
    <row r="1031" spans="2:70" ht="15.75" customHeight="1">
      <c r="B1031" s="216" t="s">
        <v>663</v>
      </c>
      <c r="C1031" s="212">
        <v>545030</v>
      </c>
      <c r="D1031" s="223">
        <v>39669100000140</v>
      </c>
      <c r="E1031" s="217" t="s">
        <v>28</v>
      </c>
      <c r="F1031" s="217" t="s">
        <v>950</v>
      </c>
      <c r="G1031" s="217"/>
      <c r="H1031" s="218"/>
      <c r="I1031" s="217" t="s">
        <v>66</v>
      </c>
      <c r="J1031" s="217" t="s">
        <v>66</v>
      </c>
      <c r="K1031" s="218" t="s">
        <v>951</v>
      </c>
      <c r="L1031" s="212" t="s">
        <v>87</v>
      </c>
      <c r="M1031" s="250"/>
      <c r="N1031" s="239">
        <v>44228</v>
      </c>
      <c r="O1031" s="210" t="s">
        <v>660</v>
      </c>
      <c r="P1031" s="210" t="s">
        <v>660</v>
      </c>
      <c r="Q1031" s="210" t="s">
        <v>1089</v>
      </c>
      <c r="R1031" s="210" t="s">
        <v>1084</v>
      </c>
      <c r="S1031" s="210" t="s">
        <v>1078</v>
      </c>
      <c r="T1031" s="210" t="s">
        <v>1079</v>
      </c>
      <c r="U1031" s="210" t="s">
        <v>950</v>
      </c>
      <c r="V1031" s="210" t="s">
        <v>1080</v>
      </c>
      <c r="W1031" s="211" t="s">
        <v>1044</v>
      </c>
      <c r="X1031" s="211">
        <v>1000</v>
      </c>
      <c r="Y1031" s="211">
        <v>1000</v>
      </c>
      <c r="Z1031" s="212">
        <v>1000</v>
      </c>
      <c r="AA1031" s="240">
        <v>32</v>
      </c>
      <c r="AB1031" s="213">
        <v>0.02</v>
      </c>
      <c r="AC1031" s="213">
        <v>0.2</v>
      </c>
      <c r="AD1031" s="213" t="s">
        <v>1014</v>
      </c>
      <c r="AE1031" s="213">
        <v>6.6660000000000001E-3</v>
      </c>
      <c r="AF1031" s="241">
        <v>17130435.039999999</v>
      </c>
      <c r="AG1031" s="241">
        <v>17130435.039999999</v>
      </c>
      <c r="AH1031" s="213">
        <v>-0.30430000000000001</v>
      </c>
      <c r="AI1031" s="352">
        <v>-4.6877000000000004</v>
      </c>
      <c r="AJ1031" s="213">
        <v>-0.44819999999999999</v>
      </c>
      <c r="AK1031" s="352">
        <v>-4.7638999999999996</v>
      </c>
      <c r="AL1031" s="213" t="s">
        <v>66</v>
      </c>
      <c r="AM1031" s="352" t="s">
        <v>66</v>
      </c>
      <c r="AN1031" s="213" t="s">
        <v>66</v>
      </c>
      <c r="AO1031" s="352" t="s">
        <v>66</v>
      </c>
      <c r="AP1031" s="213">
        <v>0.2326</v>
      </c>
      <c r="AQ1031" s="219">
        <v>-2.8232659499331767</v>
      </c>
      <c r="AR1031" s="213" t="s">
        <v>1827</v>
      </c>
      <c r="AV1031" s="343"/>
      <c r="AW1031" s="328"/>
      <c r="AX1031" s="329"/>
      <c r="AY1031" s="328"/>
      <c r="AZ1031" s="328"/>
      <c r="BA1031" s="330"/>
      <c r="BB1031" s="328"/>
      <c r="BC1031" s="328"/>
      <c r="BD1031" s="328"/>
      <c r="BE1031" s="330"/>
      <c r="BF1031" s="330"/>
      <c r="BG1031" s="344"/>
      <c r="BH1031" s="330"/>
      <c r="BI1031" s="330"/>
      <c r="BJ1031" s="330"/>
      <c r="BK1031" s="330"/>
      <c r="BL1031" s="330"/>
      <c r="BM1031" s="330"/>
      <c r="BN1031" s="330"/>
      <c r="BO1031" s="330"/>
      <c r="BP1031" s="331"/>
      <c r="BQ1031" s="332"/>
      <c r="BR1031" s="333"/>
    </row>
    <row r="1032" spans="2:70" ht="15.75" customHeight="1">
      <c r="B1032" s="216" t="s">
        <v>1647</v>
      </c>
      <c r="C1032" s="212">
        <v>586229</v>
      </c>
      <c r="D1032" s="223">
        <v>41744647000105</v>
      </c>
      <c r="E1032" s="217" t="s">
        <v>28</v>
      </c>
      <c r="F1032" s="217" t="s">
        <v>950</v>
      </c>
      <c r="G1032" s="217"/>
      <c r="H1032" s="218"/>
      <c r="I1032" s="217" t="s">
        <v>66</v>
      </c>
      <c r="J1032" s="217" t="s">
        <v>66</v>
      </c>
      <c r="K1032" s="218" t="s">
        <v>951</v>
      </c>
      <c r="L1032" s="212" t="s">
        <v>87</v>
      </c>
      <c r="M1032" s="250"/>
      <c r="N1032" s="239">
        <v>44385</v>
      </c>
      <c r="O1032" s="210" t="s">
        <v>1648</v>
      </c>
      <c r="P1032" s="210" t="s">
        <v>1075</v>
      </c>
      <c r="Q1032" s="210" t="s">
        <v>1076</v>
      </c>
      <c r="R1032" s="210" t="s">
        <v>1084</v>
      </c>
      <c r="S1032" s="210" t="s">
        <v>1078</v>
      </c>
      <c r="T1032" s="210" t="s">
        <v>1079</v>
      </c>
      <c r="U1032" s="210" t="s">
        <v>950</v>
      </c>
      <c r="V1032" s="210" t="s">
        <v>1080</v>
      </c>
      <c r="W1032" s="211" t="s">
        <v>1007</v>
      </c>
      <c r="X1032" s="211">
        <v>1000</v>
      </c>
      <c r="Y1032" s="211">
        <v>500</v>
      </c>
      <c r="Z1032" s="212">
        <v>300</v>
      </c>
      <c r="AA1032" s="240">
        <v>16</v>
      </c>
      <c r="AB1032" s="213">
        <v>8.9999999999999993E-3</v>
      </c>
      <c r="AC1032" s="213">
        <v>0.1</v>
      </c>
      <c r="AD1032" s="213" t="s">
        <v>113</v>
      </c>
      <c r="AE1032" s="213">
        <v>1.8E-3</v>
      </c>
      <c r="AF1032" s="241">
        <v>5728714.75</v>
      </c>
      <c r="AG1032" s="241">
        <v>5728714.75</v>
      </c>
      <c r="AH1032" s="213">
        <v>-6.8400000000000002E-2</v>
      </c>
      <c r="AI1032" s="352">
        <v>-1.0536000000000001</v>
      </c>
      <c r="AJ1032" s="213">
        <v>-0.1031</v>
      </c>
      <c r="AK1032" s="352">
        <v>-1.0961000000000001</v>
      </c>
      <c r="AL1032" s="213" t="s">
        <v>66</v>
      </c>
      <c r="AM1032" s="352" t="s">
        <v>66</v>
      </c>
      <c r="AN1032" s="213" t="s">
        <v>66</v>
      </c>
      <c r="AO1032" s="352" t="s">
        <v>66</v>
      </c>
      <c r="AP1032" s="213">
        <v>0.19739999999999999</v>
      </c>
      <c r="AQ1032" s="219">
        <v>-0.90839315614265792</v>
      </c>
      <c r="AR1032" s="213" t="s">
        <v>1827</v>
      </c>
      <c r="AV1032" s="343"/>
      <c r="AW1032" s="328"/>
      <c r="AX1032" s="329"/>
      <c r="AY1032" s="328"/>
      <c r="AZ1032" s="328"/>
      <c r="BA1032" s="330"/>
      <c r="BB1032" s="328"/>
      <c r="BC1032" s="328"/>
      <c r="BD1032" s="328"/>
      <c r="BE1032" s="330"/>
      <c r="BF1032" s="330"/>
      <c r="BG1032" s="344"/>
      <c r="BH1032" s="330"/>
      <c r="BI1032" s="330"/>
      <c r="BJ1032" s="330"/>
      <c r="BK1032" s="330"/>
      <c r="BL1032" s="330"/>
      <c r="BM1032" s="330"/>
      <c r="BN1032" s="330"/>
      <c r="BO1032" s="330"/>
      <c r="BP1032" s="331"/>
      <c r="BQ1032" s="332"/>
      <c r="BR1032" s="333"/>
    </row>
    <row r="1033" spans="2:70" ht="15.75" customHeight="1">
      <c r="B1033" s="216" t="s">
        <v>1649</v>
      </c>
      <c r="C1033" s="212">
        <v>1811214</v>
      </c>
      <c r="D1033" s="223">
        <v>38949124000190</v>
      </c>
      <c r="E1033" s="217" t="s">
        <v>28</v>
      </c>
      <c r="F1033" s="217" t="s">
        <v>950</v>
      </c>
      <c r="G1033" s="217"/>
      <c r="H1033" s="218" t="s">
        <v>1260</v>
      </c>
      <c r="I1033" s="217" t="s">
        <v>66</v>
      </c>
      <c r="J1033" s="217" t="s">
        <v>66</v>
      </c>
      <c r="K1033" s="218" t="s">
        <v>1040</v>
      </c>
      <c r="L1033" s="212"/>
      <c r="M1033" s="250"/>
      <c r="N1033" s="239">
        <v>44112</v>
      </c>
      <c r="O1033" s="210" t="s">
        <v>249</v>
      </c>
      <c r="P1033" s="210" t="s">
        <v>1075</v>
      </c>
      <c r="Q1033" s="210" t="s">
        <v>1076</v>
      </c>
      <c r="R1033" s="210" t="s">
        <v>1077</v>
      </c>
      <c r="S1033" s="210" t="s">
        <v>1078</v>
      </c>
      <c r="T1033" s="210" t="s">
        <v>1079</v>
      </c>
      <c r="U1033" s="210" t="s">
        <v>65</v>
      </c>
      <c r="V1033" s="210" t="s">
        <v>1080</v>
      </c>
      <c r="W1033" s="211" t="s">
        <v>1036</v>
      </c>
      <c r="X1033" s="211">
        <v>5000</v>
      </c>
      <c r="Y1033" s="211">
        <v>5000</v>
      </c>
      <c r="Z1033" s="212">
        <v>5000</v>
      </c>
      <c r="AA1033" s="240">
        <v>9</v>
      </c>
      <c r="AB1033" s="213">
        <v>1.2E-2</v>
      </c>
      <c r="AC1033" s="213">
        <v>0</v>
      </c>
      <c r="AD1033" s="213" t="s">
        <v>113</v>
      </c>
      <c r="AE1033" s="213">
        <v>8.0000000000000002E-3</v>
      </c>
      <c r="AF1033" s="241">
        <v>20610731.539999999</v>
      </c>
      <c r="AG1033" s="241">
        <v>20610731.539999999</v>
      </c>
      <c r="AH1033" s="213">
        <v>-0.1067</v>
      </c>
      <c r="AI1033" s="352">
        <v>-1.6433</v>
      </c>
      <c r="AJ1033" s="213">
        <v>-5.9700000000000003E-2</v>
      </c>
      <c r="AK1033" s="352">
        <v>-0.63449999999999995</v>
      </c>
      <c r="AL1033" s="213" t="s">
        <v>66</v>
      </c>
      <c r="AM1033" s="352" t="s">
        <v>66</v>
      </c>
      <c r="AN1033" s="213" t="s">
        <v>66</v>
      </c>
      <c r="AO1033" s="352" t="s">
        <v>66</v>
      </c>
      <c r="AP1033" s="213">
        <v>0.27289999999999998</v>
      </c>
      <c r="AQ1033" s="219">
        <v>-0.41886926719124756</v>
      </c>
      <c r="AR1033" s="213" t="s">
        <v>1824</v>
      </c>
      <c r="AV1033" s="343"/>
      <c r="AW1033" s="328"/>
      <c r="AX1033" s="329"/>
      <c r="AY1033" s="328"/>
      <c r="AZ1033" s="328"/>
      <c r="BA1033" s="330"/>
      <c r="BB1033" s="328"/>
      <c r="BC1033" s="328"/>
      <c r="BD1033" s="328"/>
      <c r="BE1033" s="330"/>
      <c r="BF1033" s="330"/>
      <c r="BG1033" s="344"/>
      <c r="BH1033" s="330"/>
      <c r="BI1033" s="330"/>
      <c r="BJ1033" s="330"/>
      <c r="BK1033" s="330"/>
      <c r="BL1033" s="330"/>
      <c r="BM1033" s="330"/>
      <c r="BN1033" s="330"/>
      <c r="BO1033" s="330"/>
      <c r="BP1033" s="331"/>
      <c r="BQ1033" s="332"/>
      <c r="BR1033" s="333"/>
    </row>
    <row r="1034" spans="2:70" ht="15.75" customHeight="1">
      <c r="B1034" s="216" t="s">
        <v>920</v>
      </c>
      <c r="C1034" s="212">
        <v>1904608</v>
      </c>
      <c r="D1034" s="223">
        <v>41922414000155</v>
      </c>
      <c r="E1034" s="217" t="s">
        <v>28</v>
      </c>
      <c r="F1034" s="217" t="s">
        <v>950</v>
      </c>
      <c r="G1034" s="217"/>
      <c r="H1034" s="218"/>
      <c r="I1034" s="217" t="s">
        <v>66</v>
      </c>
      <c r="J1034" s="217" t="s">
        <v>66</v>
      </c>
      <c r="K1034" s="218" t="s">
        <v>951</v>
      </c>
      <c r="L1034" s="212" t="s">
        <v>87</v>
      </c>
      <c r="M1034" s="250"/>
      <c r="N1034" s="239">
        <v>44377</v>
      </c>
      <c r="O1034" s="210" t="s">
        <v>856</v>
      </c>
      <c r="P1034" s="210" t="s">
        <v>1088</v>
      </c>
      <c r="Q1034" s="210" t="s">
        <v>1089</v>
      </c>
      <c r="R1034" s="210" t="s">
        <v>1084</v>
      </c>
      <c r="S1034" s="210" t="s">
        <v>1078</v>
      </c>
      <c r="T1034" s="210" t="s">
        <v>1079</v>
      </c>
      <c r="U1034" s="210" t="s">
        <v>950</v>
      </c>
      <c r="V1034" s="210" t="s">
        <v>1080</v>
      </c>
      <c r="W1034" s="211" t="s">
        <v>1007</v>
      </c>
      <c r="X1034" s="211">
        <v>5000</v>
      </c>
      <c r="Y1034" s="211">
        <v>500</v>
      </c>
      <c r="Z1034" s="212">
        <v>2500</v>
      </c>
      <c r="AA1034" s="240">
        <v>32</v>
      </c>
      <c r="AB1034" s="213">
        <v>1.89E-2</v>
      </c>
      <c r="AC1034" s="213">
        <v>0.2</v>
      </c>
      <c r="AD1034" s="213" t="s">
        <v>1014</v>
      </c>
      <c r="AE1034" s="213">
        <v>6.2993699999999994E-3</v>
      </c>
      <c r="AF1034" s="241">
        <v>4455542.03</v>
      </c>
      <c r="AG1034" s="241">
        <v>4455542.03</v>
      </c>
      <c r="AH1034" s="213">
        <v>1.04E-2</v>
      </c>
      <c r="AI1034" s="352">
        <v>0.1603</v>
      </c>
      <c r="AJ1034" s="213">
        <v>-0.17480000000000001</v>
      </c>
      <c r="AK1034" s="352">
        <v>-1.8580000000000001</v>
      </c>
      <c r="AL1034" s="213" t="s">
        <v>66</v>
      </c>
      <c r="AM1034" s="352" t="s">
        <v>66</v>
      </c>
      <c r="AN1034" s="213" t="s">
        <v>66</v>
      </c>
      <c r="AO1034" s="352" t="s">
        <v>66</v>
      </c>
      <c r="AP1034" s="213">
        <v>0.2172</v>
      </c>
      <c r="AQ1034" s="219">
        <v>-1.1896554353836772</v>
      </c>
      <c r="AR1034" s="213" t="s">
        <v>1827</v>
      </c>
      <c r="AU1034" s="343"/>
      <c r="AV1034" s="343"/>
      <c r="AW1034" s="328"/>
      <c r="AX1034" s="329"/>
      <c r="AY1034" s="328"/>
      <c r="AZ1034" s="328"/>
      <c r="BA1034" s="330"/>
      <c r="BB1034" s="328"/>
      <c r="BC1034" s="328"/>
      <c r="BD1034" s="328"/>
      <c r="BE1034" s="330"/>
      <c r="BF1034" s="330"/>
      <c r="BG1034" s="344"/>
      <c r="BH1034" s="383"/>
      <c r="BI1034" s="330"/>
      <c r="BJ1034" s="330"/>
      <c r="BK1034" s="330"/>
      <c r="BL1034" s="330"/>
      <c r="BM1034" s="330"/>
      <c r="BN1034" s="330"/>
      <c r="BO1034" s="330"/>
      <c r="BP1034" s="331"/>
      <c r="BQ1034" s="332"/>
      <c r="BR1034" s="333"/>
    </row>
    <row r="1035" spans="2:70" ht="15.75" customHeight="1">
      <c r="B1035" s="216" t="s">
        <v>855</v>
      </c>
      <c r="C1035" s="212">
        <v>549004</v>
      </c>
      <c r="D1035" s="223">
        <v>41922498000127</v>
      </c>
      <c r="E1035" s="217" t="s">
        <v>28</v>
      </c>
      <c r="F1035" s="217" t="s">
        <v>957</v>
      </c>
      <c r="G1035" s="217"/>
      <c r="H1035" s="218"/>
      <c r="I1035" s="217" t="s">
        <v>1259</v>
      </c>
      <c r="J1035" s="217" t="s">
        <v>66</v>
      </c>
      <c r="K1035" s="218" t="s">
        <v>951</v>
      </c>
      <c r="L1035" s="212" t="s">
        <v>87</v>
      </c>
      <c r="M1035" s="250"/>
      <c r="N1035" s="239">
        <v>44377</v>
      </c>
      <c r="O1035" s="210" t="s">
        <v>856</v>
      </c>
      <c r="P1035" s="210" t="s">
        <v>1088</v>
      </c>
      <c r="Q1035" s="210" t="s">
        <v>1089</v>
      </c>
      <c r="R1035" s="210" t="s">
        <v>1077</v>
      </c>
      <c r="S1035" s="210" t="s">
        <v>1078</v>
      </c>
      <c r="T1035" s="210" t="s">
        <v>1079</v>
      </c>
      <c r="U1035" s="210" t="s">
        <v>957</v>
      </c>
      <c r="V1035" s="210" t="s">
        <v>25</v>
      </c>
      <c r="W1035" s="211" t="s">
        <v>1023</v>
      </c>
      <c r="X1035" s="211">
        <v>5000</v>
      </c>
      <c r="Y1035" s="211">
        <v>500</v>
      </c>
      <c r="Z1035" s="212">
        <v>2500</v>
      </c>
      <c r="AA1035" s="240">
        <v>32</v>
      </c>
      <c r="AB1035" s="213">
        <v>1.89E-2</v>
      </c>
      <c r="AC1035" s="213">
        <v>0.2</v>
      </c>
      <c r="AD1035" s="213" t="s">
        <v>203</v>
      </c>
      <c r="AE1035" s="213">
        <v>6.2993699999999994E-3</v>
      </c>
      <c r="AF1035" s="241">
        <v>4633293.9400000004</v>
      </c>
      <c r="AG1035" s="241">
        <v>4633293.9400000004</v>
      </c>
      <c r="AH1035" s="213">
        <v>4.7899999999999998E-2</v>
      </c>
      <c r="AI1035" s="352">
        <v>0.73770000000000002</v>
      </c>
      <c r="AJ1035" s="213">
        <v>-2.7300000000000001E-2</v>
      </c>
      <c r="AK1035" s="352">
        <v>-0.29039999999999999</v>
      </c>
      <c r="AL1035" s="213" t="s">
        <v>66</v>
      </c>
      <c r="AM1035" s="352" t="s">
        <v>66</v>
      </c>
      <c r="AN1035" s="213" t="s">
        <v>66</v>
      </c>
      <c r="AO1035" s="352" t="s">
        <v>66</v>
      </c>
      <c r="AP1035" s="213">
        <v>0.1449</v>
      </c>
      <c r="AQ1035" s="219">
        <v>-0.73988407897273079</v>
      </c>
      <c r="AR1035" s="213" t="s">
        <v>1827</v>
      </c>
      <c r="AU1035" s="343"/>
      <c r="AV1035" s="343"/>
      <c r="AW1035" s="328"/>
      <c r="AX1035" s="329"/>
      <c r="AY1035" s="328"/>
      <c r="AZ1035" s="328"/>
      <c r="BA1035" s="330"/>
      <c r="BB1035" s="328"/>
      <c r="BC1035" s="328"/>
      <c r="BD1035" s="328"/>
      <c r="BE1035" s="330"/>
      <c r="BF1035" s="330"/>
      <c r="BG1035" s="344"/>
      <c r="BH1035" s="383"/>
      <c r="BI1035" s="330"/>
      <c r="BJ1035" s="330"/>
      <c r="BK1035" s="330"/>
      <c r="BL1035" s="330"/>
      <c r="BM1035" s="330"/>
      <c r="BN1035" s="330"/>
      <c r="BO1035" s="330"/>
      <c r="BP1035" s="331"/>
      <c r="BQ1035" s="332"/>
      <c r="BR1035" s="333"/>
    </row>
    <row r="1036" spans="2:70" ht="15.75" customHeight="1">
      <c r="B1036" s="216" t="s">
        <v>664</v>
      </c>
      <c r="C1036" s="212">
        <v>542562</v>
      </c>
      <c r="D1036" s="223">
        <v>12120451000141</v>
      </c>
      <c r="E1036" s="217" t="s">
        <v>25</v>
      </c>
      <c r="F1036" s="217" t="s">
        <v>958</v>
      </c>
      <c r="G1036" s="217" t="s">
        <v>962</v>
      </c>
      <c r="H1036" s="218" t="s">
        <v>66</v>
      </c>
      <c r="I1036" s="217" t="s">
        <v>1841</v>
      </c>
      <c r="J1036" s="217" t="s">
        <v>66</v>
      </c>
      <c r="K1036" s="218"/>
      <c r="L1036" s="212" t="s">
        <v>87</v>
      </c>
      <c r="M1036" s="250"/>
      <c r="N1036" s="239">
        <v>40387</v>
      </c>
      <c r="O1036" s="210" t="s">
        <v>665</v>
      </c>
      <c r="P1036" s="210" t="s">
        <v>1075</v>
      </c>
      <c r="Q1036" s="210" t="s">
        <v>1076</v>
      </c>
      <c r="R1036" s="210" t="s">
        <v>1084</v>
      </c>
      <c r="S1036" s="210" t="s">
        <v>1078</v>
      </c>
      <c r="T1036" s="210" t="s">
        <v>1082</v>
      </c>
      <c r="U1036" s="210" t="s">
        <v>958</v>
      </c>
      <c r="V1036" s="210" t="s">
        <v>25</v>
      </c>
      <c r="W1036" s="211" t="s">
        <v>1016</v>
      </c>
      <c r="X1036" s="211">
        <v>1000</v>
      </c>
      <c r="Y1036" s="211">
        <v>1000</v>
      </c>
      <c r="Z1036" s="212">
        <v>1000</v>
      </c>
      <c r="AA1036" s="240">
        <v>1</v>
      </c>
      <c r="AB1036" s="213">
        <v>0.02</v>
      </c>
      <c r="AC1036" s="213">
        <v>0.2</v>
      </c>
      <c r="AD1036" s="213" t="s">
        <v>109</v>
      </c>
      <c r="AE1036" s="213">
        <v>4.0000000000000001E-3</v>
      </c>
      <c r="AF1036" s="241">
        <v>18446899.530000001</v>
      </c>
      <c r="AG1036" s="241">
        <v>18446899.530000001</v>
      </c>
      <c r="AH1036" s="213">
        <v>5.6899999999999999E-2</v>
      </c>
      <c r="AI1036" s="352">
        <v>0.87660000000000005</v>
      </c>
      <c r="AJ1036" s="213">
        <v>7.3700000000000002E-2</v>
      </c>
      <c r="AK1036" s="352">
        <v>0.7833</v>
      </c>
      <c r="AL1036" s="213">
        <v>0.09</v>
      </c>
      <c r="AM1036" s="352">
        <v>0.74460000000000004</v>
      </c>
      <c r="AN1036" s="213">
        <v>0.1968</v>
      </c>
      <c r="AO1036" s="352">
        <v>1.1676</v>
      </c>
      <c r="AP1036" s="213">
        <v>2.24E-2</v>
      </c>
      <c r="AQ1036" s="219">
        <v>-0.826908738380844</v>
      </c>
      <c r="AR1036" s="213" t="s">
        <v>1827</v>
      </c>
      <c r="AU1036" s="343"/>
      <c r="AV1036" s="343"/>
      <c r="AW1036" s="328"/>
      <c r="AX1036" s="329"/>
      <c r="AY1036" s="328"/>
      <c r="AZ1036" s="328"/>
      <c r="BA1036" s="330"/>
      <c r="BB1036" s="328"/>
      <c r="BC1036" s="328"/>
      <c r="BD1036" s="328"/>
      <c r="BE1036" s="330"/>
      <c r="BF1036" s="330"/>
      <c r="BG1036" s="344"/>
      <c r="BH1036" s="383"/>
      <c r="BI1036" s="330"/>
      <c r="BJ1036" s="330"/>
      <c r="BK1036" s="330"/>
      <c r="BL1036" s="330"/>
      <c r="BM1036" s="330"/>
      <c r="BN1036" s="330"/>
      <c r="BO1036" s="330"/>
      <c r="BP1036" s="331"/>
      <c r="BQ1036" s="332"/>
      <c r="BR1036" s="333"/>
    </row>
    <row r="1037" spans="2:70" ht="15.75" customHeight="1">
      <c r="B1037" s="216" t="s">
        <v>666</v>
      </c>
      <c r="C1037" s="212">
        <v>588417</v>
      </c>
      <c r="D1037" s="223">
        <v>3618010000183</v>
      </c>
      <c r="E1037" s="217" t="s">
        <v>28</v>
      </c>
      <c r="F1037" s="217" t="s">
        <v>950</v>
      </c>
      <c r="G1037" s="217"/>
      <c r="H1037" s="218"/>
      <c r="I1037" s="217" t="s">
        <v>66</v>
      </c>
      <c r="J1037" s="217" t="s">
        <v>66</v>
      </c>
      <c r="K1037" s="218" t="s">
        <v>951</v>
      </c>
      <c r="L1037" s="212" t="s">
        <v>87</v>
      </c>
      <c r="M1037" s="250"/>
      <c r="N1037" s="239">
        <v>40584</v>
      </c>
      <c r="O1037" s="210" t="s">
        <v>665</v>
      </c>
      <c r="P1037" s="210" t="s">
        <v>1075</v>
      </c>
      <c r="Q1037" s="210" t="s">
        <v>1076</v>
      </c>
      <c r="R1037" s="210" t="s">
        <v>1084</v>
      </c>
      <c r="S1037" s="210" t="s">
        <v>1078</v>
      </c>
      <c r="T1037" s="210" t="s">
        <v>1079</v>
      </c>
      <c r="U1037" s="210" t="s">
        <v>950</v>
      </c>
      <c r="V1037" s="210" t="s">
        <v>1080</v>
      </c>
      <c r="W1037" s="211" t="s">
        <v>1007</v>
      </c>
      <c r="X1037" s="211">
        <v>1000</v>
      </c>
      <c r="Y1037" s="211">
        <v>1000</v>
      </c>
      <c r="Z1037" s="212">
        <v>1000</v>
      </c>
      <c r="AA1037" s="240">
        <v>17</v>
      </c>
      <c r="AB1037" s="213">
        <v>0.02</v>
      </c>
      <c r="AC1037" s="213">
        <v>0.2</v>
      </c>
      <c r="AD1037" s="213" t="s">
        <v>1014</v>
      </c>
      <c r="AE1037" s="213">
        <v>4.0000000000000001E-3</v>
      </c>
      <c r="AF1037" s="241">
        <v>20139573.789999999</v>
      </c>
      <c r="AG1037" s="241">
        <v>20139573.789999999</v>
      </c>
      <c r="AH1037" s="213">
        <v>-0.19189999999999999</v>
      </c>
      <c r="AI1037" s="352">
        <v>-2.9561999999999999</v>
      </c>
      <c r="AJ1037" s="213">
        <v>-0.42909999999999998</v>
      </c>
      <c r="AK1037" s="352">
        <v>-4.5610999999999997</v>
      </c>
      <c r="AL1037" s="213">
        <v>-0.37419999999999998</v>
      </c>
      <c r="AM1037" s="352">
        <v>-3.0973000000000002</v>
      </c>
      <c r="AN1037" s="213">
        <v>-0.29360000000000003</v>
      </c>
      <c r="AO1037" s="352">
        <v>-1.7421</v>
      </c>
      <c r="AP1037" s="213">
        <v>0.38229999999999997</v>
      </c>
      <c r="AQ1037" s="219">
        <v>-1.5085749124757835</v>
      </c>
      <c r="AR1037" s="213" t="s">
        <v>1827</v>
      </c>
      <c r="AU1037" s="343"/>
      <c r="AV1037" s="343"/>
      <c r="AW1037" s="328"/>
      <c r="AX1037" s="329"/>
      <c r="AY1037" s="328"/>
      <c r="AZ1037" s="328"/>
      <c r="BA1037" s="330"/>
      <c r="BB1037" s="328"/>
      <c r="BC1037" s="328"/>
      <c r="BD1037" s="328"/>
      <c r="BE1037" s="330"/>
      <c r="BF1037" s="330"/>
      <c r="BG1037" s="344"/>
      <c r="BH1037" s="383"/>
      <c r="BI1037" s="330"/>
      <c r="BJ1037" s="330"/>
      <c r="BK1037" s="330"/>
      <c r="BL1037" s="330"/>
      <c r="BM1037" s="330"/>
      <c r="BN1037" s="330"/>
      <c r="BO1037" s="330"/>
      <c r="BP1037" s="331"/>
      <c r="BQ1037" s="332"/>
      <c r="BR1037" s="333"/>
    </row>
    <row r="1038" spans="2:70" ht="15.75" customHeight="1">
      <c r="B1038" s="216" t="s">
        <v>1650</v>
      </c>
      <c r="C1038" s="212">
        <v>638651</v>
      </c>
      <c r="D1038" s="223">
        <v>16599959000125</v>
      </c>
      <c r="E1038" s="217" t="s">
        <v>19</v>
      </c>
      <c r="F1038" s="217" t="s">
        <v>963</v>
      </c>
      <c r="G1038" s="217" t="s">
        <v>1011</v>
      </c>
      <c r="H1038" s="218" t="s">
        <v>1113</v>
      </c>
      <c r="I1038" s="217" t="s">
        <v>66</v>
      </c>
      <c r="J1038" s="217" t="s">
        <v>66</v>
      </c>
      <c r="K1038" s="218" t="s">
        <v>951</v>
      </c>
      <c r="L1038" s="212" t="s">
        <v>87</v>
      </c>
      <c r="M1038" s="250"/>
      <c r="N1038" s="239">
        <v>41180</v>
      </c>
      <c r="O1038" s="210" t="s">
        <v>665</v>
      </c>
      <c r="P1038" s="210" t="s">
        <v>1075</v>
      </c>
      <c r="Q1038" s="210" t="s">
        <v>1076</v>
      </c>
      <c r="R1038" s="210" t="s">
        <v>1084</v>
      </c>
      <c r="S1038" s="210" t="s">
        <v>1078</v>
      </c>
      <c r="T1038" s="210" t="s">
        <v>349</v>
      </c>
      <c r="U1038" s="210" t="s">
        <v>1114</v>
      </c>
      <c r="V1038" s="210" t="s">
        <v>19</v>
      </c>
      <c r="W1038" s="211" t="s">
        <v>1024</v>
      </c>
      <c r="X1038" s="211">
        <v>500</v>
      </c>
      <c r="Y1038" s="211">
        <v>500</v>
      </c>
      <c r="Z1038" s="212">
        <v>500</v>
      </c>
      <c r="AA1038" s="240">
        <v>15</v>
      </c>
      <c r="AB1038" s="213">
        <v>7.4999999999999997E-3</v>
      </c>
      <c r="AC1038" s="213">
        <v>0</v>
      </c>
      <c r="AD1038" s="213" t="s">
        <v>109</v>
      </c>
      <c r="AE1038" s="213">
        <v>1.4999999999999998E-3</v>
      </c>
      <c r="AF1038" s="241">
        <v>83759661.469999999</v>
      </c>
      <c r="AG1038" s="241">
        <v>83759661.469999999</v>
      </c>
      <c r="AH1038" s="213">
        <v>7.7399999999999997E-2</v>
      </c>
      <c r="AI1038" s="352">
        <v>1.1924999999999999</v>
      </c>
      <c r="AJ1038" s="213">
        <v>0.115</v>
      </c>
      <c r="AK1038" s="352">
        <v>1.2221</v>
      </c>
      <c r="AL1038" s="213">
        <v>0.18410000000000001</v>
      </c>
      <c r="AM1038" s="352">
        <v>1.5237000000000001</v>
      </c>
      <c r="AN1038" s="213">
        <v>0.1663</v>
      </c>
      <c r="AO1038" s="352">
        <v>0.98699999999999999</v>
      </c>
      <c r="AP1038" s="213">
        <v>4.1000000000000003E-3</v>
      </c>
      <c r="AQ1038" s="219">
        <v>4.6362919622498655</v>
      </c>
      <c r="AR1038" s="213" t="s">
        <v>1827</v>
      </c>
      <c r="AV1038" s="343"/>
      <c r="AW1038" s="328"/>
      <c r="AX1038" s="329"/>
      <c r="AY1038" s="328"/>
      <c r="AZ1038" s="328"/>
      <c r="BA1038" s="330"/>
      <c r="BB1038" s="328"/>
      <c r="BC1038" s="328"/>
      <c r="BD1038" s="328"/>
      <c r="BE1038" s="330"/>
      <c r="BF1038" s="330"/>
      <c r="BG1038" s="344"/>
      <c r="BH1038" s="330"/>
      <c r="BI1038" s="330"/>
      <c r="BJ1038" s="330"/>
      <c r="BK1038" s="330"/>
      <c r="BL1038" s="330"/>
      <c r="BM1038" s="330"/>
      <c r="BN1038" s="330"/>
      <c r="BO1038" s="330"/>
      <c r="BP1038" s="331"/>
      <c r="BQ1038" s="332"/>
      <c r="BR1038" s="333"/>
    </row>
    <row r="1039" spans="2:70" ht="15.75" customHeight="1">
      <c r="B1039" s="216" t="s">
        <v>1651</v>
      </c>
      <c r="C1039" s="212">
        <v>535526</v>
      </c>
      <c r="D1039" s="223">
        <v>42922205000174</v>
      </c>
      <c r="E1039" s="217" t="s">
        <v>28</v>
      </c>
      <c r="F1039" s="217" t="s">
        <v>950</v>
      </c>
      <c r="G1039" s="217"/>
      <c r="H1039" s="218"/>
      <c r="I1039" s="217" t="s">
        <v>66</v>
      </c>
      <c r="J1039" s="217" t="s">
        <v>66</v>
      </c>
      <c r="K1039" s="218" t="s">
        <v>951</v>
      </c>
      <c r="L1039" s="212" t="s">
        <v>87</v>
      </c>
      <c r="M1039" s="250"/>
      <c r="N1039" s="239">
        <v>44650</v>
      </c>
      <c r="O1039" s="210" t="s">
        <v>667</v>
      </c>
      <c r="P1039" s="210" t="s">
        <v>1117</v>
      </c>
      <c r="Q1039" s="210" t="s">
        <v>1117</v>
      </c>
      <c r="R1039" s="210" t="s">
        <v>1084</v>
      </c>
      <c r="S1039" s="210" t="s">
        <v>1078</v>
      </c>
      <c r="T1039" s="210" t="s">
        <v>1079</v>
      </c>
      <c r="U1039" s="210" t="s">
        <v>950</v>
      </c>
      <c r="V1039" s="210" t="s">
        <v>1080</v>
      </c>
      <c r="W1039" s="211" t="s">
        <v>1052</v>
      </c>
      <c r="X1039" s="211">
        <v>1000</v>
      </c>
      <c r="Y1039" s="211">
        <v>1000</v>
      </c>
      <c r="Z1039" s="212">
        <v>1000</v>
      </c>
      <c r="AA1039" s="240">
        <v>92</v>
      </c>
      <c r="AB1039" s="213">
        <v>0.01</v>
      </c>
      <c r="AC1039" s="213">
        <v>0</v>
      </c>
      <c r="AD1039" s="213" t="s">
        <v>1157</v>
      </c>
      <c r="AE1039" s="213">
        <v>2.333E-3</v>
      </c>
      <c r="AF1039" s="241">
        <v>25278547.809999999</v>
      </c>
      <c r="AG1039" s="241">
        <v>25278547.809999999</v>
      </c>
      <c r="AH1039" s="213" t="s">
        <v>66</v>
      </c>
      <c r="AI1039" s="352" t="s">
        <v>66</v>
      </c>
      <c r="AJ1039" s="213" t="s">
        <v>66</v>
      </c>
      <c r="AK1039" s="352" t="s">
        <v>66</v>
      </c>
      <c r="AL1039" s="213" t="s">
        <v>66</v>
      </c>
      <c r="AM1039" s="352" t="s">
        <v>66</v>
      </c>
      <c r="AN1039" s="213" t="s">
        <v>66</v>
      </c>
      <c r="AO1039" s="352" t="s">
        <v>66</v>
      </c>
      <c r="AP1039" s="213" t="s">
        <v>66</v>
      </c>
      <c r="AQ1039" s="219" t="s">
        <v>66</v>
      </c>
      <c r="AR1039" s="213" t="s">
        <v>1824</v>
      </c>
      <c r="AV1039" s="343"/>
      <c r="AW1039" s="328"/>
      <c r="AX1039" s="329"/>
      <c r="AY1039" s="328"/>
      <c r="AZ1039" s="328"/>
      <c r="BA1039" s="330"/>
      <c r="BB1039" s="328"/>
      <c r="BC1039" s="328"/>
      <c r="BD1039" s="328"/>
      <c r="BE1039" s="330"/>
      <c r="BF1039" s="330"/>
      <c r="BG1039" s="344"/>
      <c r="BH1039" s="330"/>
      <c r="BI1039" s="330"/>
      <c r="BJ1039" s="330"/>
      <c r="BK1039" s="330"/>
      <c r="BL1039" s="330"/>
      <c r="BM1039" s="330"/>
      <c r="BN1039" s="330"/>
      <c r="BO1039" s="330"/>
      <c r="BP1039" s="331"/>
      <c r="BQ1039" s="332"/>
      <c r="BR1039" s="333"/>
    </row>
    <row r="1040" spans="2:70" ht="15.75" customHeight="1">
      <c r="B1040" s="216" t="s">
        <v>668</v>
      </c>
      <c r="C1040" s="212">
        <v>2306041</v>
      </c>
      <c r="D1040" s="223">
        <v>22232927000190</v>
      </c>
      <c r="E1040" s="217" t="s">
        <v>28</v>
      </c>
      <c r="F1040" s="217" t="s">
        <v>950</v>
      </c>
      <c r="G1040" s="217"/>
      <c r="H1040" s="218"/>
      <c r="I1040" s="217" t="s">
        <v>66</v>
      </c>
      <c r="J1040" s="217" t="s">
        <v>66</v>
      </c>
      <c r="K1040" s="218" t="s">
        <v>951</v>
      </c>
      <c r="L1040" s="212" t="s">
        <v>87</v>
      </c>
      <c r="M1040" s="250"/>
      <c r="N1040" s="239">
        <v>42220</v>
      </c>
      <c r="O1040" s="210" t="s">
        <v>667</v>
      </c>
      <c r="P1040" s="210" t="s">
        <v>1075</v>
      </c>
      <c r="Q1040" s="210" t="s">
        <v>1076</v>
      </c>
      <c r="R1040" s="210" t="s">
        <v>1084</v>
      </c>
      <c r="S1040" s="210" t="s">
        <v>1085</v>
      </c>
      <c r="T1040" s="210" t="s">
        <v>1079</v>
      </c>
      <c r="U1040" s="210" t="s">
        <v>950</v>
      </c>
      <c r="V1040" s="210" t="s">
        <v>1080</v>
      </c>
      <c r="W1040" s="211" t="s">
        <v>1007</v>
      </c>
      <c r="X1040" s="211">
        <v>1000</v>
      </c>
      <c r="Y1040" s="211">
        <v>1000</v>
      </c>
      <c r="Z1040" s="212">
        <v>1000</v>
      </c>
      <c r="AA1040" s="240">
        <v>32</v>
      </c>
      <c r="AB1040" s="213">
        <v>0.02</v>
      </c>
      <c r="AC1040" s="213">
        <v>0.2</v>
      </c>
      <c r="AD1040" s="213" t="s">
        <v>113</v>
      </c>
      <c r="AE1040" s="213">
        <v>3.7499999999999999E-3</v>
      </c>
      <c r="AF1040" s="241">
        <v>402398436.94</v>
      </c>
      <c r="AG1040" s="241">
        <v>402398436.94</v>
      </c>
      <c r="AH1040" s="213">
        <v>5.79E-2</v>
      </c>
      <c r="AI1040" s="352">
        <v>0.89170000000000005</v>
      </c>
      <c r="AJ1040" s="213">
        <v>-1.9099999999999999E-2</v>
      </c>
      <c r="AK1040" s="352">
        <v>-0.2026</v>
      </c>
      <c r="AL1040" s="213">
        <v>0.35599999999999998</v>
      </c>
      <c r="AM1040" s="352">
        <v>2.9466000000000001</v>
      </c>
      <c r="AN1040" s="213">
        <v>0.69650000000000001</v>
      </c>
      <c r="AO1040" s="352">
        <v>4.1332000000000004</v>
      </c>
      <c r="AP1040" s="213">
        <v>0.1973</v>
      </c>
      <c r="AQ1040" s="219">
        <v>-0.45492180769989704</v>
      </c>
      <c r="AR1040" s="213" t="s">
        <v>1824</v>
      </c>
      <c r="AV1040" s="343"/>
      <c r="AW1040" s="328"/>
      <c r="AX1040" s="329"/>
      <c r="AY1040" s="328"/>
      <c r="AZ1040" s="328"/>
      <c r="BA1040" s="330"/>
      <c r="BB1040" s="328"/>
      <c r="BC1040" s="328"/>
      <c r="BD1040" s="328"/>
      <c r="BE1040" s="330"/>
      <c r="BF1040" s="330"/>
      <c r="BG1040" s="344"/>
      <c r="BH1040" s="330"/>
      <c r="BI1040" s="330"/>
      <c r="BJ1040" s="330"/>
      <c r="BK1040" s="330"/>
      <c r="BL1040" s="330"/>
      <c r="BM1040" s="330"/>
      <c r="BN1040" s="330"/>
      <c r="BO1040" s="330"/>
      <c r="BP1040" s="331"/>
      <c r="BQ1040" s="332"/>
      <c r="BR1040" s="333"/>
    </row>
    <row r="1041" spans="2:70" ht="15.75" customHeight="1">
      <c r="B1041" s="216" t="s">
        <v>1652</v>
      </c>
      <c r="C1041" s="212">
        <v>564143</v>
      </c>
      <c r="D1041" s="223">
        <v>39346123000114</v>
      </c>
      <c r="E1041" s="217" t="s">
        <v>28</v>
      </c>
      <c r="F1041" s="217" t="s">
        <v>950</v>
      </c>
      <c r="G1041" s="217"/>
      <c r="H1041" s="218"/>
      <c r="I1041" s="217" t="s">
        <v>66</v>
      </c>
      <c r="J1041" s="217" t="s">
        <v>66</v>
      </c>
      <c r="K1041" s="218" t="s">
        <v>951</v>
      </c>
      <c r="L1041" s="212" t="s">
        <v>87</v>
      </c>
      <c r="M1041" s="250"/>
      <c r="N1041" s="239">
        <v>44146</v>
      </c>
      <c r="O1041" s="210" t="s">
        <v>667</v>
      </c>
      <c r="P1041" s="210" t="s">
        <v>1117</v>
      </c>
      <c r="Q1041" s="210" t="s">
        <v>1117</v>
      </c>
      <c r="R1041" s="210" t="s">
        <v>1077</v>
      </c>
      <c r="S1041" s="210" t="s">
        <v>1078</v>
      </c>
      <c r="T1041" s="210" t="s">
        <v>1079</v>
      </c>
      <c r="U1041" s="210" t="s">
        <v>950</v>
      </c>
      <c r="V1041" s="210" t="s">
        <v>1080</v>
      </c>
      <c r="W1041" s="211" t="s">
        <v>1007</v>
      </c>
      <c r="X1041" s="211">
        <v>1000</v>
      </c>
      <c r="Y1041" s="211">
        <v>1000</v>
      </c>
      <c r="Z1041" s="212">
        <v>1000</v>
      </c>
      <c r="AA1041" s="240">
        <v>92</v>
      </c>
      <c r="AB1041" s="213">
        <v>0.02</v>
      </c>
      <c r="AC1041" s="213">
        <v>0.2</v>
      </c>
      <c r="AD1041" s="213" t="s">
        <v>1014</v>
      </c>
      <c r="AE1041" s="213" t="s">
        <v>66</v>
      </c>
      <c r="AF1041" s="241">
        <v>161280849.58000001</v>
      </c>
      <c r="AG1041" s="241">
        <v>161280849.58000001</v>
      </c>
      <c r="AH1041" s="213">
        <v>5.4800000000000001E-2</v>
      </c>
      <c r="AI1041" s="352">
        <v>0.84430000000000005</v>
      </c>
      <c r="AJ1041" s="213">
        <v>-3.1800000000000002E-2</v>
      </c>
      <c r="AK1041" s="352">
        <v>-0.33829999999999999</v>
      </c>
      <c r="AL1041" s="213" t="s">
        <v>66</v>
      </c>
      <c r="AM1041" s="352" t="s">
        <v>66</v>
      </c>
      <c r="AN1041" s="213" t="s">
        <v>66</v>
      </c>
      <c r="AO1041" s="352" t="s">
        <v>66</v>
      </c>
      <c r="AP1041" s="213">
        <v>0.2026</v>
      </c>
      <c r="AQ1041" s="219">
        <v>-0.5024158860527359</v>
      </c>
      <c r="AR1041" s="213" t="s">
        <v>1824</v>
      </c>
      <c r="AV1041" s="343"/>
      <c r="AW1041" s="328"/>
      <c r="AX1041" s="329"/>
      <c r="AY1041" s="328"/>
      <c r="AZ1041" s="328"/>
      <c r="BA1041" s="330"/>
      <c r="BB1041" s="328"/>
      <c r="BC1041" s="328"/>
      <c r="BD1041" s="328"/>
      <c r="BE1041" s="330"/>
      <c r="BF1041" s="330"/>
      <c r="BG1041" s="344"/>
      <c r="BH1041" s="330"/>
      <c r="BI1041" s="330"/>
      <c r="BJ1041" s="330"/>
      <c r="BK1041" s="330"/>
      <c r="BL1041" s="330"/>
      <c r="BM1041" s="330"/>
      <c r="BN1041" s="330"/>
      <c r="BO1041" s="330"/>
      <c r="BP1041" s="331"/>
      <c r="BQ1041" s="332"/>
      <c r="BR1041" s="333"/>
    </row>
    <row r="1042" spans="2:70" ht="15.75" customHeight="1">
      <c r="B1042" s="216" t="s">
        <v>1653</v>
      </c>
      <c r="C1042" s="212">
        <v>1333384</v>
      </c>
      <c r="D1042" s="223">
        <v>36499392000122</v>
      </c>
      <c r="E1042" s="217" t="s">
        <v>28</v>
      </c>
      <c r="F1042" s="217" t="s">
        <v>950</v>
      </c>
      <c r="G1042" s="217"/>
      <c r="H1042" s="218"/>
      <c r="I1042" s="217" t="s">
        <v>66</v>
      </c>
      <c r="J1042" s="217" t="s">
        <v>66</v>
      </c>
      <c r="K1042" s="218" t="s">
        <v>1040</v>
      </c>
      <c r="L1042" s="212"/>
      <c r="M1042" s="250"/>
      <c r="N1042" s="239">
        <v>43917</v>
      </c>
      <c r="O1042" s="210" t="s">
        <v>667</v>
      </c>
      <c r="P1042" s="210" t="s">
        <v>1117</v>
      </c>
      <c r="Q1042" s="210" t="s">
        <v>1117</v>
      </c>
      <c r="R1042" s="210" t="s">
        <v>1077</v>
      </c>
      <c r="S1042" s="210" t="s">
        <v>1078</v>
      </c>
      <c r="T1042" s="210" t="s">
        <v>1079</v>
      </c>
      <c r="U1042" s="210" t="s">
        <v>65</v>
      </c>
      <c r="V1042" s="210" t="s">
        <v>1080</v>
      </c>
      <c r="W1042" s="211" t="s">
        <v>1036</v>
      </c>
      <c r="X1042" s="211">
        <v>1000</v>
      </c>
      <c r="Y1042" s="211">
        <v>1000</v>
      </c>
      <c r="Z1042" s="212">
        <v>1000</v>
      </c>
      <c r="AA1042" s="240">
        <v>62</v>
      </c>
      <c r="AB1042" s="213">
        <v>1.4999999999999999E-2</v>
      </c>
      <c r="AC1042" s="213">
        <v>0</v>
      </c>
      <c r="AD1042" s="213" t="s">
        <v>1157</v>
      </c>
      <c r="AE1042" s="213">
        <v>3.4995E-3</v>
      </c>
      <c r="AF1042" s="241">
        <v>11944158.300000001</v>
      </c>
      <c r="AG1042" s="241">
        <v>11944158.300000001</v>
      </c>
      <c r="AH1042" s="213">
        <v>-0.31130000000000002</v>
      </c>
      <c r="AI1042" s="352">
        <v>-4.7956000000000003</v>
      </c>
      <c r="AJ1042" s="213">
        <v>-0.34789999999999999</v>
      </c>
      <c r="AK1042" s="352">
        <v>-3.6974</v>
      </c>
      <c r="AL1042" s="213">
        <v>-0.17</v>
      </c>
      <c r="AM1042" s="352">
        <v>-1.4074</v>
      </c>
      <c r="AN1042" s="213" t="s">
        <v>66</v>
      </c>
      <c r="AO1042" s="352" t="s">
        <v>66</v>
      </c>
      <c r="AP1042" s="213">
        <v>0.29880000000000001</v>
      </c>
      <c r="AQ1042" s="219">
        <v>-1.5824510203831093</v>
      </c>
      <c r="AR1042" s="213" t="s">
        <v>1824</v>
      </c>
      <c r="AV1042" s="343"/>
      <c r="AW1042" s="328"/>
      <c r="AX1042" s="329"/>
      <c r="AY1042" s="328"/>
      <c r="AZ1042" s="328"/>
      <c r="BA1042" s="330"/>
      <c r="BB1042" s="328"/>
      <c r="BC1042" s="328"/>
      <c r="BD1042" s="328"/>
      <c r="BE1042" s="330"/>
      <c r="BF1042" s="330"/>
      <c r="BG1042" s="344"/>
      <c r="BH1042" s="330"/>
      <c r="BI1042" s="330"/>
      <c r="BJ1042" s="330"/>
      <c r="BK1042" s="330"/>
      <c r="BL1042" s="330"/>
      <c r="BM1042" s="330"/>
      <c r="BN1042" s="330"/>
      <c r="BO1042" s="330"/>
      <c r="BP1042" s="331"/>
      <c r="BQ1042" s="332"/>
      <c r="BR1042" s="333"/>
    </row>
    <row r="1043" spans="2:70" ht="15.75" customHeight="1">
      <c r="B1043" s="216" t="s">
        <v>1654</v>
      </c>
      <c r="C1043" s="212">
        <v>535159</v>
      </c>
      <c r="D1043" s="223">
        <v>41269079000138</v>
      </c>
      <c r="E1043" s="217" t="s">
        <v>28</v>
      </c>
      <c r="F1043" s="217" t="s">
        <v>950</v>
      </c>
      <c r="G1043" s="217"/>
      <c r="H1043" s="218"/>
      <c r="I1043" s="217" t="s">
        <v>66</v>
      </c>
      <c r="J1043" s="217" t="s">
        <v>66</v>
      </c>
      <c r="K1043" s="218" t="s">
        <v>1040</v>
      </c>
      <c r="L1043" s="212"/>
      <c r="M1043" s="250"/>
      <c r="N1043" s="239">
        <v>44483</v>
      </c>
      <c r="O1043" s="210" t="s">
        <v>667</v>
      </c>
      <c r="P1043" s="210" t="s">
        <v>1117</v>
      </c>
      <c r="Q1043" s="210" t="s">
        <v>1117</v>
      </c>
      <c r="R1043" s="210" t="s">
        <v>1077</v>
      </c>
      <c r="S1043" s="210" t="s">
        <v>1078</v>
      </c>
      <c r="T1043" s="210" t="s">
        <v>1079</v>
      </c>
      <c r="U1043" s="210" t="s">
        <v>65</v>
      </c>
      <c r="V1043" s="210" t="s">
        <v>1080</v>
      </c>
      <c r="W1043" s="211" t="s">
        <v>1007</v>
      </c>
      <c r="X1043" s="211">
        <v>50000</v>
      </c>
      <c r="Y1043" s="211">
        <v>10000</v>
      </c>
      <c r="Z1043" s="212">
        <v>10000</v>
      </c>
      <c r="AA1043" s="240">
        <v>62</v>
      </c>
      <c r="AB1043" s="213">
        <v>1.4999999999999999E-2</v>
      </c>
      <c r="AC1043" s="213">
        <v>0.2</v>
      </c>
      <c r="AD1043" s="213" t="s">
        <v>1157</v>
      </c>
      <c r="AE1043" s="213">
        <v>3.4995E-3</v>
      </c>
      <c r="AF1043" s="241">
        <v>13401897.01</v>
      </c>
      <c r="AG1043" s="241">
        <v>13401897.01</v>
      </c>
      <c r="AH1043" s="213">
        <v>-0.3075</v>
      </c>
      <c r="AI1043" s="352">
        <v>-4.7366000000000001</v>
      </c>
      <c r="AJ1043" s="213" t="s">
        <v>66</v>
      </c>
      <c r="AK1043" s="352" t="s">
        <v>66</v>
      </c>
      <c r="AL1043" s="213" t="s">
        <v>66</v>
      </c>
      <c r="AM1043" s="352" t="s">
        <v>66</v>
      </c>
      <c r="AN1043" s="213" t="s">
        <v>66</v>
      </c>
      <c r="AO1043" s="352" t="s">
        <v>66</v>
      </c>
      <c r="AP1043" s="213" t="s">
        <v>66</v>
      </c>
      <c r="AQ1043" s="219" t="s">
        <v>66</v>
      </c>
      <c r="AR1043" s="213" t="s">
        <v>1827</v>
      </c>
      <c r="AV1043" s="343"/>
      <c r="AW1043" s="328"/>
      <c r="AX1043" s="329"/>
      <c r="AY1043" s="328"/>
      <c r="AZ1043" s="328"/>
      <c r="BA1043" s="330"/>
      <c r="BB1043" s="328"/>
      <c r="BC1043" s="328"/>
      <c r="BD1043" s="328"/>
      <c r="BE1043" s="330"/>
      <c r="BF1043" s="330"/>
      <c r="BG1043" s="344"/>
      <c r="BH1043" s="330"/>
      <c r="BI1043" s="330"/>
      <c r="BJ1043" s="330"/>
      <c r="BK1043" s="330"/>
      <c r="BL1043" s="330"/>
      <c r="BM1043" s="330"/>
      <c r="BN1043" s="330"/>
      <c r="BO1043" s="330"/>
      <c r="BP1043" s="331"/>
      <c r="BQ1043" s="332"/>
      <c r="BR1043" s="333"/>
    </row>
    <row r="1044" spans="2:70" ht="15.75" customHeight="1">
      <c r="B1044" s="216" t="s">
        <v>669</v>
      </c>
      <c r="C1044" s="212">
        <v>766378</v>
      </c>
      <c r="D1044" s="223">
        <v>34713026000107</v>
      </c>
      <c r="E1044" s="217" t="s">
        <v>28</v>
      </c>
      <c r="F1044" s="217" t="s">
        <v>950</v>
      </c>
      <c r="G1044" s="217"/>
      <c r="H1044" s="218"/>
      <c r="I1044" s="217" t="s">
        <v>66</v>
      </c>
      <c r="J1044" s="217" t="s">
        <v>66</v>
      </c>
      <c r="K1044" s="218" t="s">
        <v>951</v>
      </c>
      <c r="L1044" s="212" t="s">
        <v>87</v>
      </c>
      <c r="M1044" s="250"/>
      <c r="N1044" s="239">
        <v>43742</v>
      </c>
      <c r="O1044" s="210" t="s">
        <v>667</v>
      </c>
      <c r="P1044" s="210" t="s">
        <v>1117</v>
      </c>
      <c r="Q1044" s="210" t="s">
        <v>1117</v>
      </c>
      <c r="R1044" s="210" t="s">
        <v>1084</v>
      </c>
      <c r="S1044" s="210" t="s">
        <v>1078</v>
      </c>
      <c r="T1044" s="210" t="s">
        <v>1079</v>
      </c>
      <c r="U1044" s="210" t="s">
        <v>950</v>
      </c>
      <c r="V1044" s="210" t="s">
        <v>1080</v>
      </c>
      <c r="W1044" s="211" t="s">
        <v>1007</v>
      </c>
      <c r="X1044" s="211">
        <v>1000</v>
      </c>
      <c r="Y1044" s="211">
        <v>1000</v>
      </c>
      <c r="Z1044" s="212">
        <v>1000</v>
      </c>
      <c r="AA1044" s="240">
        <v>32</v>
      </c>
      <c r="AB1044" s="213">
        <v>0.02</v>
      </c>
      <c r="AC1044" s="213">
        <v>0.2</v>
      </c>
      <c r="AD1044" s="213" t="s">
        <v>113</v>
      </c>
      <c r="AE1044" s="213">
        <v>4.6666666666666662E-3</v>
      </c>
      <c r="AF1044" s="241">
        <v>160135009.13999999</v>
      </c>
      <c r="AG1044" s="241">
        <v>160135009.13999999</v>
      </c>
      <c r="AH1044" s="213">
        <v>-1.9900000000000001E-2</v>
      </c>
      <c r="AI1044" s="352">
        <v>-0.30640000000000001</v>
      </c>
      <c r="AJ1044" s="213">
        <v>-9.4299999999999995E-2</v>
      </c>
      <c r="AK1044" s="352">
        <v>-1.0026999999999999</v>
      </c>
      <c r="AL1044" s="213">
        <v>0.14069999999999999</v>
      </c>
      <c r="AM1044" s="352">
        <v>1.1642999999999999</v>
      </c>
      <c r="AN1044" s="213" t="s">
        <v>66</v>
      </c>
      <c r="AO1044" s="352" t="s">
        <v>66</v>
      </c>
      <c r="AP1044" s="213">
        <v>0.2228</v>
      </c>
      <c r="AQ1044" s="219">
        <v>-0.7375102074388854</v>
      </c>
      <c r="AR1044" s="213" t="s">
        <v>1824</v>
      </c>
      <c r="AV1044" s="343"/>
      <c r="AW1044" s="328"/>
      <c r="AX1044" s="329"/>
      <c r="AY1044" s="328"/>
      <c r="AZ1044" s="328"/>
      <c r="BA1044" s="330"/>
      <c r="BB1044" s="328"/>
      <c r="BC1044" s="328"/>
      <c r="BD1044" s="328"/>
      <c r="BE1044" s="330"/>
      <c r="BF1044" s="330"/>
      <c r="BG1044" s="344"/>
      <c r="BH1044" s="330"/>
      <c r="BI1044" s="330"/>
      <c r="BJ1044" s="330"/>
      <c r="BK1044" s="330"/>
      <c r="BL1044" s="330"/>
      <c r="BM1044" s="330"/>
      <c r="BN1044" s="330"/>
      <c r="BO1044" s="330"/>
      <c r="BP1044" s="331"/>
      <c r="BQ1044" s="332"/>
      <c r="BR1044" s="333"/>
    </row>
    <row r="1045" spans="2:70" ht="15.75" customHeight="1">
      <c r="B1045" s="216" t="s">
        <v>1655</v>
      </c>
      <c r="C1045" s="212">
        <v>50518</v>
      </c>
      <c r="D1045" s="223">
        <v>38028896000190</v>
      </c>
      <c r="E1045" s="217" t="s">
        <v>28</v>
      </c>
      <c r="F1045" s="217" t="s">
        <v>957</v>
      </c>
      <c r="G1045" s="217"/>
      <c r="H1045" s="218"/>
      <c r="I1045" s="217" t="s">
        <v>1842</v>
      </c>
      <c r="J1045" s="217" t="s">
        <v>66</v>
      </c>
      <c r="K1045" s="218" t="s">
        <v>951</v>
      </c>
      <c r="L1045" s="212" t="s">
        <v>87</v>
      </c>
      <c r="M1045" s="250"/>
      <c r="N1045" s="239">
        <v>44165</v>
      </c>
      <c r="O1045" s="210" t="s">
        <v>670</v>
      </c>
      <c r="P1045" s="210" t="s">
        <v>1088</v>
      </c>
      <c r="Q1045" s="210" t="s">
        <v>1089</v>
      </c>
      <c r="R1045" s="210" t="s">
        <v>1084</v>
      </c>
      <c r="S1045" s="210" t="s">
        <v>1078</v>
      </c>
      <c r="T1045" s="210" t="s">
        <v>1079</v>
      </c>
      <c r="U1045" s="210" t="s">
        <v>957</v>
      </c>
      <c r="V1045" s="210" t="s">
        <v>1080</v>
      </c>
      <c r="W1045" s="211" t="s">
        <v>1007</v>
      </c>
      <c r="X1045" s="211">
        <v>1000</v>
      </c>
      <c r="Y1045" s="211">
        <v>1000</v>
      </c>
      <c r="Z1045" s="212">
        <v>1000</v>
      </c>
      <c r="AA1045" s="240">
        <v>32</v>
      </c>
      <c r="AB1045" s="213">
        <v>0.02</v>
      </c>
      <c r="AC1045" s="213">
        <v>0.2</v>
      </c>
      <c r="AD1045" s="213" t="s">
        <v>1157</v>
      </c>
      <c r="AE1045" s="213">
        <v>5.3333333333333332E-3</v>
      </c>
      <c r="AF1045" s="241">
        <v>23585031.09</v>
      </c>
      <c r="AG1045" s="241">
        <v>23585031.09</v>
      </c>
      <c r="AH1045" s="213">
        <v>-1.72E-2</v>
      </c>
      <c r="AI1045" s="352">
        <v>-0.26479999999999998</v>
      </c>
      <c r="AJ1045" s="213">
        <v>-0.30099999999999999</v>
      </c>
      <c r="AK1045" s="352">
        <v>-3.1993999999999998</v>
      </c>
      <c r="AL1045" s="213" t="s">
        <v>66</v>
      </c>
      <c r="AM1045" s="352" t="s">
        <v>66</v>
      </c>
      <c r="AN1045" s="213" t="s">
        <v>66</v>
      </c>
      <c r="AO1045" s="352" t="s">
        <v>66</v>
      </c>
      <c r="AP1045" s="213">
        <v>0.21609999999999999</v>
      </c>
      <c r="AQ1045" s="219">
        <v>-1.9644943796544641</v>
      </c>
      <c r="AR1045" s="213" t="s">
        <v>1824</v>
      </c>
      <c r="AV1045" s="343"/>
      <c r="AW1045" s="328"/>
      <c r="AX1045" s="329"/>
      <c r="AY1045" s="328"/>
      <c r="AZ1045" s="328"/>
      <c r="BA1045" s="330"/>
      <c r="BB1045" s="328"/>
      <c r="BC1045" s="328"/>
      <c r="BD1045" s="328"/>
      <c r="BE1045" s="330"/>
      <c r="BF1045" s="330"/>
      <c r="BG1045" s="344"/>
      <c r="BH1045" s="330"/>
      <c r="BI1045" s="330"/>
      <c r="BJ1045" s="330"/>
      <c r="BK1045" s="330"/>
      <c r="BL1045" s="330"/>
      <c r="BM1045" s="330"/>
      <c r="BN1045" s="330"/>
      <c r="BO1045" s="330"/>
      <c r="BP1045" s="331"/>
      <c r="BQ1045" s="332"/>
      <c r="BR1045" s="333"/>
    </row>
    <row r="1046" spans="2:70" ht="15.75" customHeight="1">
      <c r="B1046" s="216" t="s">
        <v>671</v>
      </c>
      <c r="C1046" s="212">
        <v>2013962</v>
      </c>
      <c r="D1046" s="223">
        <v>28703554000174</v>
      </c>
      <c r="E1046" s="217" t="s">
        <v>28</v>
      </c>
      <c r="F1046" s="217" t="s">
        <v>957</v>
      </c>
      <c r="G1046" s="217"/>
      <c r="H1046" s="218"/>
      <c r="I1046" s="217" t="s">
        <v>1842</v>
      </c>
      <c r="J1046" s="217" t="s">
        <v>66</v>
      </c>
      <c r="K1046" s="218" t="s">
        <v>951</v>
      </c>
      <c r="L1046" s="212" t="s">
        <v>87</v>
      </c>
      <c r="M1046" s="250"/>
      <c r="N1046" s="239">
        <v>43096</v>
      </c>
      <c r="O1046" s="210" t="s">
        <v>672</v>
      </c>
      <c r="P1046" s="210" t="s">
        <v>1075</v>
      </c>
      <c r="Q1046" s="210" t="s">
        <v>1076</v>
      </c>
      <c r="R1046" s="210" t="s">
        <v>1077</v>
      </c>
      <c r="S1046" s="210" t="s">
        <v>1078</v>
      </c>
      <c r="T1046" s="210" t="s">
        <v>1079</v>
      </c>
      <c r="U1046" s="210" t="s">
        <v>957</v>
      </c>
      <c r="V1046" s="210" t="s">
        <v>1080</v>
      </c>
      <c r="W1046" s="211" t="s">
        <v>1007</v>
      </c>
      <c r="X1046" s="211">
        <v>30000</v>
      </c>
      <c r="Y1046" s="211">
        <v>10000</v>
      </c>
      <c r="Z1046" s="212">
        <v>30000</v>
      </c>
      <c r="AA1046" s="240">
        <v>32</v>
      </c>
      <c r="AB1046" s="213">
        <v>0.02</v>
      </c>
      <c r="AC1046" s="213">
        <v>0</v>
      </c>
      <c r="AD1046" s="213" t="s">
        <v>113</v>
      </c>
      <c r="AE1046" s="213">
        <v>6.6666666666666662E-3</v>
      </c>
      <c r="AF1046" s="241">
        <v>46975061.829999998</v>
      </c>
      <c r="AG1046" s="241">
        <v>46975061.829999998</v>
      </c>
      <c r="AH1046" s="213">
        <v>-0.1646</v>
      </c>
      <c r="AI1046" s="352">
        <v>-2.536</v>
      </c>
      <c r="AJ1046" s="213">
        <v>-0.29110000000000003</v>
      </c>
      <c r="AK1046" s="352">
        <v>-3.0941999999999998</v>
      </c>
      <c r="AL1046" s="213">
        <v>-0.2225</v>
      </c>
      <c r="AM1046" s="352">
        <v>-1.8421000000000001</v>
      </c>
      <c r="AN1046" s="213">
        <v>-0.17610000000000001</v>
      </c>
      <c r="AO1046" s="352">
        <v>-1.0448</v>
      </c>
      <c r="AP1046" s="213">
        <v>0.27679999999999999</v>
      </c>
      <c r="AQ1046" s="219">
        <v>-1.4283700748562549</v>
      </c>
      <c r="AR1046" s="213" t="s">
        <v>1827</v>
      </c>
      <c r="AV1046" s="343"/>
      <c r="AW1046" s="328"/>
      <c r="AX1046" s="329"/>
      <c r="AY1046" s="328"/>
      <c r="AZ1046" s="328"/>
      <c r="BA1046" s="330"/>
      <c r="BB1046" s="328"/>
      <c r="BC1046" s="328"/>
      <c r="BD1046" s="328"/>
      <c r="BE1046" s="330"/>
      <c r="BF1046" s="330"/>
      <c r="BG1046" s="344"/>
      <c r="BH1046" s="330"/>
      <c r="BI1046" s="330"/>
      <c r="BJ1046" s="330"/>
      <c r="BK1046" s="330"/>
      <c r="BL1046" s="330"/>
      <c r="BM1046" s="330"/>
      <c r="BN1046" s="330"/>
      <c r="BO1046" s="330"/>
      <c r="BP1046" s="331"/>
      <c r="BQ1046" s="332"/>
      <c r="BR1046" s="333"/>
    </row>
    <row r="1047" spans="2:70" ht="15.75" customHeight="1">
      <c r="B1047" s="216" t="s">
        <v>1656</v>
      </c>
      <c r="C1047" s="212">
        <v>536392</v>
      </c>
      <c r="D1047" s="223">
        <v>34096113000154</v>
      </c>
      <c r="E1047" s="217" t="s">
        <v>28</v>
      </c>
      <c r="F1047" s="217" t="s">
        <v>957</v>
      </c>
      <c r="G1047" s="217"/>
      <c r="H1047" s="218"/>
      <c r="I1047" s="217" t="s">
        <v>1842</v>
      </c>
      <c r="J1047" s="217" t="s">
        <v>66</v>
      </c>
      <c r="K1047" s="218" t="s">
        <v>951</v>
      </c>
      <c r="L1047" s="212" t="s">
        <v>87</v>
      </c>
      <c r="M1047" s="250"/>
      <c r="N1047" s="239">
        <v>43693</v>
      </c>
      <c r="O1047" s="210" t="s">
        <v>672</v>
      </c>
      <c r="P1047" s="210" t="s">
        <v>1075</v>
      </c>
      <c r="Q1047" s="210" t="s">
        <v>1076</v>
      </c>
      <c r="R1047" s="210" t="s">
        <v>1077</v>
      </c>
      <c r="S1047" s="210" t="s">
        <v>1078</v>
      </c>
      <c r="T1047" s="210" t="s">
        <v>1079</v>
      </c>
      <c r="U1047" s="210" t="s">
        <v>957</v>
      </c>
      <c r="V1047" s="210" t="s">
        <v>1080</v>
      </c>
      <c r="W1047" s="211" t="s">
        <v>1007</v>
      </c>
      <c r="X1047" s="211">
        <v>30000</v>
      </c>
      <c r="Y1047" s="211">
        <v>10000</v>
      </c>
      <c r="Z1047" s="212">
        <v>30000</v>
      </c>
      <c r="AA1047" s="240">
        <v>32</v>
      </c>
      <c r="AB1047" s="213">
        <v>1.9199999999999998E-2</v>
      </c>
      <c r="AC1047" s="213">
        <v>0.2</v>
      </c>
      <c r="AD1047" s="213" t="s">
        <v>113</v>
      </c>
      <c r="AE1047" s="213">
        <v>6.3999999999999994E-3</v>
      </c>
      <c r="AF1047" s="241">
        <v>47353291.640000001</v>
      </c>
      <c r="AG1047" s="241">
        <v>47353291.640000001</v>
      </c>
      <c r="AH1047" s="213">
        <v>-0.1643</v>
      </c>
      <c r="AI1047" s="352">
        <v>-2.5301999999999998</v>
      </c>
      <c r="AJ1047" s="213">
        <v>-0.29070000000000001</v>
      </c>
      <c r="AK1047" s="352">
        <v>-3.0901999999999998</v>
      </c>
      <c r="AL1047" s="213">
        <v>-0.24579999999999999</v>
      </c>
      <c r="AM1047" s="352">
        <v>-2.0348999999999999</v>
      </c>
      <c r="AN1047" s="213" t="s">
        <v>66</v>
      </c>
      <c r="AO1047" s="352" t="s">
        <v>66</v>
      </c>
      <c r="AP1047" s="213">
        <v>0.2767</v>
      </c>
      <c r="AQ1047" s="219">
        <v>-1.4271182347571651</v>
      </c>
      <c r="AR1047" s="213" t="s">
        <v>1827</v>
      </c>
      <c r="AV1047" s="343"/>
      <c r="AW1047" s="328"/>
      <c r="AX1047" s="329"/>
      <c r="AY1047" s="328"/>
      <c r="AZ1047" s="328"/>
      <c r="BA1047" s="330"/>
      <c r="BB1047" s="328"/>
      <c r="BC1047" s="328"/>
      <c r="BD1047" s="328"/>
      <c r="BE1047" s="330"/>
      <c r="BF1047" s="330"/>
      <c r="BG1047" s="344"/>
      <c r="BH1047" s="330"/>
      <c r="BI1047" s="330"/>
      <c r="BJ1047" s="330"/>
      <c r="BK1047" s="330"/>
      <c r="BL1047" s="330"/>
      <c r="BM1047" s="330"/>
      <c r="BN1047" s="330"/>
      <c r="BO1047" s="330"/>
      <c r="BP1047" s="331"/>
      <c r="BQ1047" s="332"/>
      <c r="BR1047" s="333"/>
    </row>
    <row r="1048" spans="2:70" ht="15.75" customHeight="1">
      <c r="B1048" s="216" t="s">
        <v>1657</v>
      </c>
      <c r="C1048" s="212">
        <v>978654</v>
      </c>
      <c r="D1048" s="223">
        <v>34096196000181</v>
      </c>
      <c r="E1048" s="217" t="s">
        <v>28</v>
      </c>
      <c r="F1048" s="217" t="s">
        <v>957</v>
      </c>
      <c r="G1048" s="217"/>
      <c r="H1048" s="218"/>
      <c r="I1048" s="217" t="s">
        <v>1842</v>
      </c>
      <c r="J1048" s="217" t="s">
        <v>66</v>
      </c>
      <c r="K1048" s="218" t="s">
        <v>951</v>
      </c>
      <c r="L1048" s="212" t="s">
        <v>87</v>
      </c>
      <c r="M1048" s="250"/>
      <c r="N1048" s="239">
        <v>43677</v>
      </c>
      <c r="O1048" s="210" t="s">
        <v>672</v>
      </c>
      <c r="P1048" s="210" t="s">
        <v>1075</v>
      </c>
      <c r="Q1048" s="210" t="s">
        <v>1076</v>
      </c>
      <c r="R1048" s="210" t="s">
        <v>1084</v>
      </c>
      <c r="S1048" s="210" t="s">
        <v>1078</v>
      </c>
      <c r="T1048" s="210" t="s">
        <v>1079</v>
      </c>
      <c r="U1048" s="210" t="s">
        <v>957</v>
      </c>
      <c r="V1048" s="210" t="s">
        <v>25</v>
      </c>
      <c r="W1048" s="211" t="s">
        <v>1016</v>
      </c>
      <c r="X1048" s="211">
        <v>10000</v>
      </c>
      <c r="Y1048" s="211">
        <v>5000</v>
      </c>
      <c r="Z1048" s="212">
        <v>10000</v>
      </c>
      <c r="AA1048" s="240">
        <v>32</v>
      </c>
      <c r="AB1048" s="213">
        <v>1.9199999999999998E-2</v>
      </c>
      <c r="AC1048" s="213">
        <v>0.2</v>
      </c>
      <c r="AD1048" s="213" t="s">
        <v>113</v>
      </c>
      <c r="AE1048" s="213">
        <v>6.3999999999999994E-3</v>
      </c>
      <c r="AF1048" s="241">
        <v>58707201.5</v>
      </c>
      <c r="AG1048" s="241">
        <v>58707201.5</v>
      </c>
      <c r="AH1048" s="213">
        <v>-0.1641</v>
      </c>
      <c r="AI1048" s="352">
        <v>-2.5270999999999999</v>
      </c>
      <c r="AJ1048" s="213">
        <v>-0.2903</v>
      </c>
      <c r="AK1048" s="352">
        <v>-3.0857999999999999</v>
      </c>
      <c r="AL1048" s="213">
        <v>-0.24149999999999999</v>
      </c>
      <c r="AM1048" s="352">
        <v>-1.9992000000000001</v>
      </c>
      <c r="AN1048" s="213" t="s">
        <v>66</v>
      </c>
      <c r="AO1048" s="352" t="s">
        <v>66</v>
      </c>
      <c r="AP1048" s="213">
        <v>0.27710000000000001</v>
      </c>
      <c r="AQ1048" s="219">
        <v>-1.4227640707136757</v>
      </c>
      <c r="AR1048" s="213" t="s">
        <v>1827</v>
      </c>
      <c r="AV1048" s="343"/>
      <c r="AW1048" s="328"/>
      <c r="AX1048" s="329"/>
      <c r="AY1048" s="328"/>
      <c r="AZ1048" s="328"/>
      <c r="BA1048" s="330"/>
      <c r="BB1048" s="328"/>
      <c r="BC1048" s="328"/>
      <c r="BD1048" s="328"/>
      <c r="BE1048" s="330"/>
      <c r="BF1048" s="330"/>
      <c r="BG1048" s="344"/>
      <c r="BH1048" s="330"/>
      <c r="BI1048" s="330"/>
      <c r="BJ1048" s="330"/>
      <c r="BK1048" s="330"/>
      <c r="BL1048" s="330"/>
      <c r="BM1048" s="330"/>
      <c r="BN1048" s="330"/>
      <c r="BO1048" s="330"/>
      <c r="BP1048" s="331"/>
      <c r="BQ1048" s="332"/>
      <c r="BR1048" s="333"/>
    </row>
    <row r="1049" spans="2:70" ht="15.75" customHeight="1">
      <c r="B1049" s="216" t="s">
        <v>1658</v>
      </c>
      <c r="C1049" s="212">
        <v>564150</v>
      </c>
      <c r="D1049" s="223">
        <v>9141867000131</v>
      </c>
      <c r="E1049" s="217" t="s">
        <v>28</v>
      </c>
      <c r="F1049" s="217" t="s">
        <v>957</v>
      </c>
      <c r="G1049" s="217"/>
      <c r="H1049" s="218"/>
      <c r="I1049" s="217" t="s">
        <v>1842</v>
      </c>
      <c r="J1049" s="217" t="s">
        <v>66</v>
      </c>
      <c r="K1049" s="218" t="s">
        <v>951</v>
      </c>
      <c r="L1049" s="212" t="s">
        <v>87</v>
      </c>
      <c r="M1049" s="250"/>
      <c r="N1049" s="239">
        <v>39398</v>
      </c>
      <c r="O1049" s="210" t="s">
        <v>672</v>
      </c>
      <c r="P1049" s="210" t="s">
        <v>1075</v>
      </c>
      <c r="Q1049" s="210" t="s">
        <v>1076</v>
      </c>
      <c r="R1049" s="210" t="s">
        <v>1084</v>
      </c>
      <c r="S1049" s="210" t="s">
        <v>1085</v>
      </c>
      <c r="T1049" s="210" t="s">
        <v>1079</v>
      </c>
      <c r="U1049" s="210" t="s">
        <v>957</v>
      </c>
      <c r="V1049" s="210" t="s">
        <v>25</v>
      </c>
      <c r="W1049" s="211" t="s">
        <v>1023</v>
      </c>
      <c r="X1049" s="211">
        <v>10000</v>
      </c>
      <c r="Y1049" s="211">
        <v>5000</v>
      </c>
      <c r="Z1049" s="212">
        <v>5000</v>
      </c>
      <c r="AA1049" s="240">
        <v>32</v>
      </c>
      <c r="AB1049" s="213">
        <v>0.02</v>
      </c>
      <c r="AC1049" s="213">
        <v>0.2</v>
      </c>
      <c r="AD1049" s="213" t="s">
        <v>113</v>
      </c>
      <c r="AE1049" s="213">
        <v>6.6666666666666662E-3</v>
      </c>
      <c r="AF1049" s="241">
        <v>158783161.03</v>
      </c>
      <c r="AG1049" s="241">
        <v>158783161.03</v>
      </c>
      <c r="AH1049" s="213">
        <v>-0.1653</v>
      </c>
      <c r="AI1049" s="352">
        <v>-2.5461999999999998</v>
      </c>
      <c r="AJ1049" s="213">
        <v>-0.2918</v>
      </c>
      <c r="AK1049" s="352">
        <v>-3.1015000000000001</v>
      </c>
      <c r="AL1049" s="213">
        <v>-0.2213</v>
      </c>
      <c r="AM1049" s="352">
        <v>-1.8320000000000001</v>
      </c>
      <c r="AN1049" s="213">
        <v>-0.1706</v>
      </c>
      <c r="AO1049" s="352">
        <v>-1.0125</v>
      </c>
      <c r="AP1049" s="213">
        <v>0.2772</v>
      </c>
      <c r="AQ1049" s="219">
        <v>-1.4298096489219545</v>
      </c>
      <c r="AR1049" s="213" t="s">
        <v>1827</v>
      </c>
      <c r="AV1049" s="343"/>
      <c r="AW1049" s="328"/>
      <c r="AX1049" s="329"/>
      <c r="AY1049" s="328"/>
      <c r="AZ1049" s="328"/>
      <c r="BA1049" s="330"/>
      <c r="BB1049" s="328"/>
      <c r="BC1049" s="328"/>
      <c r="BD1049" s="328"/>
      <c r="BE1049" s="330"/>
      <c r="BF1049" s="330"/>
      <c r="BG1049" s="344"/>
      <c r="BH1049" s="330"/>
      <c r="BI1049" s="330"/>
      <c r="BJ1049" s="330"/>
      <c r="BK1049" s="330"/>
      <c r="BL1049" s="330"/>
      <c r="BM1049" s="330"/>
      <c r="BN1049" s="330"/>
      <c r="BO1049" s="330"/>
      <c r="BP1049" s="331"/>
      <c r="BQ1049" s="332"/>
      <c r="BR1049" s="333"/>
    </row>
    <row r="1050" spans="2:70" ht="15.75" customHeight="1">
      <c r="B1050" s="216" t="s">
        <v>1659</v>
      </c>
      <c r="C1050" s="212">
        <v>2306023</v>
      </c>
      <c r="D1050" s="223">
        <v>34270970000129</v>
      </c>
      <c r="E1050" s="217" t="s">
        <v>28</v>
      </c>
      <c r="F1050" s="217" t="s">
        <v>957</v>
      </c>
      <c r="G1050" s="217"/>
      <c r="H1050" s="218"/>
      <c r="I1050" s="217" t="s">
        <v>1842</v>
      </c>
      <c r="J1050" s="217" t="s">
        <v>66</v>
      </c>
      <c r="K1050" s="218" t="s">
        <v>951</v>
      </c>
      <c r="L1050" s="212" t="s">
        <v>87</v>
      </c>
      <c r="M1050" s="250"/>
      <c r="N1050" s="239">
        <v>43691</v>
      </c>
      <c r="O1050" s="210" t="s">
        <v>114</v>
      </c>
      <c r="P1050" s="210" t="s">
        <v>1075</v>
      </c>
      <c r="Q1050" s="210" t="s">
        <v>1076</v>
      </c>
      <c r="R1050" s="210" t="s">
        <v>1077</v>
      </c>
      <c r="S1050" s="210" t="s">
        <v>1078</v>
      </c>
      <c r="T1050" s="210" t="s">
        <v>1079</v>
      </c>
      <c r="U1050" s="210" t="s">
        <v>957</v>
      </c>
      <c r="V1050" s="210" t="s">
        <v>25</v>
      </c>
      <c r="W1050" s="211" t="s">
        <v>1016</v>
      </c>
      <c r="X1050" s="211">
        <v>100</v>
      </c>
      <c r="Y1050" s="211">
        <v>100</v>
      </c>
      <c r="Z1050" s="212">
        <v>100</v>
      </c>
      <c r="AA1050" s="240">
        <v>32</v>
      </c>
      <c r="AB1050" s="213">
        <v>1.9199999999999998E-2</v>
      </c>
      <c r="AC1050" s="213">
        <v>0.2</v>
      </c>
      <c r="AD1050" s="213" t="s">
        <v>113</v>
      </c>
      <c r="AE1050" s="213">
        <v>7.6799999999999993E-3</v>
      </c>
      <c r="AF1050" s="241">
        <v>7256876.8600000003</v>
      </c>
      <c r="AG1050" s="241">
        <v>7256876.8600000003</v>
      </c>
      <c r="AH1050" s="213">
        <v>-0.1605</v>
      </c>
      <c r="AI1050" s="352">
        <v>-2.4727000000000001</v>
      </c>
      <c r="AJ1050" s="213">
        <v>-0.28649999999999998</v>
      </c>
      <c r="AK1050" s="352">
        <v>-3.0447000000000002</v>
      </c>
      <c r="AL1050" s="213">
        <v>-0.2384</v>
      </c>
      <c r="AM1050" s="352">
        <v>-1.9737</v>
      </c>
      <c r="AN1050" s="213" t="s">
        <v>66</v>
      </c>
      <c r="AO1050" s="352" t="s">
        <v>66</v>
      </c>
      <c r="AP1050" s="213">
        <v>0.27300000000000002</v>
      </c>
      <c r="AQ1050" s="219">
        <v>-1.4284322319463403</v>
      </c>
      <c r="AR1050" s="213" t="s">
        <v>1827</v>
      </c>
      <c r="AU1050" s="343"/>
      <c r="AV1050" s="343"/>
      <c r="AW1050" s="328"/>
      <c r="AX1050" s="329"/>
      <c r="AY1050" s="328"/>
      <c r="AZ1050" s="328"/>
      <c r="BA1050" s="330"/>
      <c r="BB1050" s="328"/>
      <c r="BC1050" s="328"/>
      <c r="BD1050" s="328"/>
      <c r="BE1050" s="330"/>
      <c r="BF1050" s="330"/>
      <c r="BG1050" s="344"/>
      <c r="BH1050" s="383"/>
      <c r="BI1050" s="330"/>
      <c r="BJ1050" s="330"/>
      <c r="BK1050" s="330"/>
      <c r="BL1050" s="330"/>
      <c r="BM1050" s="330"/>
      <c r="BN1050" s="330"/>
      <c r="BO1050" s="330"/>
      <c r="BP1050" s="331"/>
      <c r="BQ1050" s="332"/>
      <c r="BR1050" s="333"/>
    </row>
    <row r="1051" spans="2:70" ht="15.75" customHeight="1">
      <c r="B1051" s="216" t="s">
        <v>673</v>
      </c>
      <c r="C1051" s="212">
        <v>1051390</v>
      </c>
      <c r="D1051" s="223">
        <v>40575693000165</v>
      </c>
      <c r="E1051" s="217" t="s">
        <v>25</v>
      </c>
      <c r="F1051" s="217" t="s">
        <v>959</v>
      </c>
      <c r="G1051" s="217" t="s">
        <v>960</v>
      </c>
      <c r="H1051" s="218" t="s">
        <v>66</v>
      </c>
      <c r="I1051" s="217" t="s">
        <v>1842</v>
      </c>
      <c r="J1051" s="217" t="s">
        <v>66</v>
      </c>
      <c r="K1051" s="218" t="s">
        <v>951</v>
      </c>
      <c r="L1051" s="212" t="s">
        <v>87</v>
      </c>
      <c r="M1051" s="250"/>
      <c r="N1051" s="239">
        <v>44232</v>
      </c>
      <c r="O1051" s="210" t="s">
        <v>672</v>
      </c>
      <c r="P1051" s="210" t="s">
        <v>1075</v>
      </c>
      <c r="Q1051" s="210" t="s">
        <v>1076</v>
      </c>
      <c r="R1051" s="210" t="s">
        <v>1084</v>
      </c>
      <c r="S1051" s="210" t="s">
        <v>1078</v>
      </c>
      <c r="T1051" s="210" t="s">
        <v>1082</v>
      </c>
      <c r="U1051" s="210" t="s">
        <v>1086</v>
      </c>
      <c r="V1051" s="210" t="s">
        <v>25</v>
      </c>
      <c r="W1051" s="211" t="s">
        <v>1023</v>
      </c>
      <c r="X1051" s="211">
        <v>5000</v>
      </c>
      <c r="Y1051" s="211">
        <v>1000</v>
      </c>
      <c r="Z1051" s="212">
        <v>5000</v>
      </c>
      <c r="AA1051" s="240">
        <v>6</v>
      </c>
      <c r="AB1051" s="213">
        <v>0.02</v>
      </c>
      <c r="AC1051" s="213">
        <v>0.2</v>
      </c>
      <c r="AD1051" s="213" t="s">
        <v>109</v>
      </c>
      <c r="AE1051" s="213">
        <v>6.6666666666666662E-3</v>
      </c>
      <c r="AF1051" s="241">
        <v>33104377.940000001</v>
      </c>
      <c r="AG1051" s="241">
        <v>33104377.940000001</v>
      </c>
      <c r="AH1051" s="213">
        <v>-5.0000000000000001E-3</v>
      </c>
      <c r="AI1051" s="352">
        <v>-7.7299999999999994E-2</v>
      </c>
      <c r="AJ1051" s="213">
        <v>-7.3000000000000001E-3</v>
      </c>
      <c r="AK1051" s="352">
        <v>-7.7499999999999999E-2</v>
      </c>
      <c r="AL1051" s="213" t="s">
        <v>66</v>
      </c>
      <c r="AM1051" s="352" t="s">
        <v>66</v>
      </c>
      <c r="AN1051" s="213" t="s">
        <v>66</v>
      </c>
      <c r="AO1051" s="352" t="s">
        <v>66</v>
      </c>
      <c r="AP1051" s="213">
        <v>0.16550000000000001</v>
      </c>
      <c r="AQ1051" s="219">
        <v>-0.5053792913349574</v>
      </c>
      <c r="AR1051" s="213" t="s">
        <v>1827</v>
      </c>
      <c r="AU1051" s="343"/>
      <c r="AV1051" s="343"/>
      <c r="AW1051" s="328"/>
      <c r="AX1051" s="329"/>
      <c r="AY1051" s="328"/>
      <c r="AZ1051" s="328"/>
      <c r="BA1051" s="330"/>
      <c r="BB1051" s="328"/>
      <c r="BC1051" s="328"/>
      <c r="BD1051" s="328"/>
      <c r="BE1051" s="330"/>
      <c r="BF1051" s="330"/>
      <c r="BG1051" s="344"/>
      <c r="BH1051" s="383"/>
      <c r="BI1051" s="330"/>
      <c r="BJ1051" s="330"/>
      <c r="BK1051" s="330"/>
      <c r="BL1051" s="330"/>
      <c r="BM1051" s="330"/>
      <c r="BN1051" s="330"/>
      <c r="BO1051" s="330"/>
      <c r="BP1051" s="331"/>
      <c r="BQ1051" s="332"/>
      <c r="BR1051" s="333"/>
    </row>
    <row r="1052" spans="2:70" ht="15.75" customHeight="1">
      <c r="B1052" s="216" t="s">
        <v>1660</v>
      </c>
      <c r="C1052" s="212">
        <v>1612744</v>
      </c>
      <c r="D1052" s="223">
        <v>27528774000146</v>
      </c>
      <c r="E1052" s="217" t="s">
        <v>25</v>
      </c>
      <c r="F1052" s="217" t="s">
        <v>959</v>
      </c>
      <c r="G1052" s="217" t="s">
        <v>962</v>
      </c>
      <c r="H1052" s="218" t="s">
        <v>66</v>
      </c>
      <c r="I1052" s="217" t="s">
        <v>1842</v>
      </c>
      <c r="J1052" s="217" t="s">
        <v>66</v>
      </c>
      <c r="K1052" s="218" t="s">
        <v>954</v>
      </c>
      <c r="L1052" s="212" t="s">
        <v>87</v>
      </c>
      <c r="M1052" s="250"/>
      <c r="N1052" s="239">
        <v>42936</v>
      </c>
      <c r="O1052" s="210" t="s">
        <v>345</v>
      </c>
      <c r="P1052" s="210" t="s">
        <v>1090</v>
      </c>
      <c r="Q1052" s="210" t="s">
        <v>1091</v>
      </c>
      <c r="R1052" s="210" t="s">
        <v>1077</v>
      </c>
      <c r="S1052" s="210" t="s">
        <v>1078</v>
      </c>
      <c r="T1052" s="210" t="s">
        <v>1082</v>
      </c>
      <c r="U1052" s="210" t="s">
        <v>65</v>
      </c>
      <c r="V1052" s="210" t="s">
        <v>25</v>
      </c>
      <c r="W1052" s="211" t="s">
        <v>1028</v>
      </c>
      <c r="X1052" s="211">
        <v>25000</v>
      </c>
      <c r="Y1052" s="211">
        <v>0</v>
      </c>
      <c r="Z1052" s="212">
        <v>1000</v>
      </c>
      <c r="AA1052" s="240">
        <v>5</v>
      </c>
      <c r="AB1052" s="213">
        <v>9.2999999999999992E-3</v>
      </c>
      <c r="AC1052" s="213">
        <v>0</v>
      </c>
      <c r="AD1052" s="213" t="s">
        <v>113</v>
      </c>
      <c r="AE1052" s="213">
        <v>4.6499999999999996E-3</v>
      </c>
      <c r="AF1052" s="241">
        <v>736856.83</v>
      </c>
      <c r="AG1052" s="241">
        <v>736856.83</v>
      </c>
      <c r="AH1052" s="213">
        <v>-9.6699999999999994E-2</v>
      </c>
      <c r="AI1052" s="352">
        <v>-1.4898</v>
      </c>
      <c r="AJ1052" s="213">
        <v>-0.1182</v>
      </c>
      <c r="AK1052" s="352">
        <v>-1.2563</v>
      </c>
      <c r="AL1052" s="213">
        <v>-0.14330000000000001</v>
      </c>
      <c r="AM1052" s="352">
        <v>-1.1861999999999999</v>
      </c>
      <c r="AN1052" s="213">
        <v>-0.22750000000000001</v>
      </c>
      <c r="AO1052" s="352">
        <v>-1.3502000000000001</v>
      </c>
      <c r="AP1052" s="213">
        <v>8.7400000000000005E-2</v>
      </c>
      <c r="AQ1052" s="219">
        <v>-2.4250143609071819</v>
      </c>
      <c r="AR1052" s="213" t="s">
        <v>1827</v>
      </c>
      <c r="AV1052" s="343"/>
      <c r="AW1052" s="328"/>
      <c r="AX1052" s="329"/>
      <c r="AY1052" s="328"/>
      <c r="AZ1052" s="328"/>
      <c r="BA1052" s="330"/>
      <c r="BB1052" s="328"/>
      <c r="BC1052" s="328"/>
      <c r="BD1052" s="328"/>
      <c r="BE1052" s="330"/>
      <c r="BF1052" s="330"/>
      <c r="BG1052" s="344"/>
      <c r="BH1052" s="330"/>
      <c r="BI1052" s="330"/>
      <c r="BJ1052" s="330"/>
      <c r="BK1052" s="330"/>
      <c r="BL1052" s="330"/>
      <c r="BM1052" s="330"/>
      <c r="BN1052" s="330"/>
      <c r="BO1052" s="330"/>
      <c r="BP1052" s="331"/>
      <c r="BQ1052" s="332"/>
      <c r="BR1052" s="333"/>
    </row>
    <row r="1053" spans="2:70" ht="15.75" customHeight="1">
      <c r="B1053" s="216" t="s">
        <v>1661</v>
      </c>
      <c r="C1053" s="212">
        <v>544710</v>
      </c>
      <c r="D1053" s="223">
        <v>45126846000100</v>
      </c>
      <c r="E1053" s="217" t="s">
        <v>28</v>
      </c>
      <c r="F1053" s="217" t="s">
        <v>950</v>
      </c>
      <c r="G1053" s="217"/>
      <c r="H1053" s="218"/>
      <c r="I1053" s="217" t="s">
        <v>66</v>
      </c>
      <c r="J1053" s="217" t="s">
        <v>66</v>
      </c>
      <c r="K1053" s="218" t="s">
        <v>951</v>
      </c>
      <c r="L1053" s="212" t="s">
        <v>87</v>
      </c>
      <c r="M1053" s="250"/>
      <c r="N1053" s="239">
        <v>44617</v>
      </c>
      <c r="O1053" s="210" t="s">
        <v>1662</v>
      </c>
      <c r="P1053" s="210" t="s">
        <v>1075</v>
      </c>
      <c r="Q1053" s="210" t="s">
        <v>1076</v>
      </c>
      <c r="R1053" s="210" t="s">
        <v>1084</v>
      </c>
      <c r="S1053" s="210" t="s">
        <v>1078</v>
      </c>
      <c r="T1053" s="210" t="s">
        <v>1079</v>
      </c>
      <c r="U1053" s="210" t="s">
        <v>950</v>
      </c>
      <c r="V1053" s="210" t="s">
        <v>1080</v>
      </c>
      <c r="W1053" s="211" t="s">
        <v>1007</v>
      </c>
      <c r="X1053" s="211">
        <v>1000</v>
      </c>
      <c r="Y1053" s="211">
        <v>1000</v>
      </c>
      <c r="Z1053" s="212">
        <v>1000</v>
      </c>
      <c r="AA1053" s="240">
        <v>30</v>
      </c>
      <c r="AB1053" s="213">
        <v>1.9E-2</v>
      </c>
      <c r="AC1053" s="213">
        <v>0.2</v>
      </c>
      <c r="AD1053" s="213" t="s">
        <v>1100</v>
      </c>
      <c r="AE1053" s="213">
        <v>5.0666666666666664E-3</v>
      </c>
      <c r="AF1053" s="241">
        <v>22157432.98</v>
      </c>
      <c r="AG1053" s="241">
        <v>22157432.98</v>
      </c>
      <c r="AH1053" s="213" t="s">
        <v>66</v>
      </c>
      <c r="AI1053" s="352" t="s">
        <v>66</v>
      </c>
      <c r="AJ1053" s="213" t="s">
        <v>66</v>
      </c>
      <c r="AK1053" s="352" t="s">
        <v>66</v>
      </c>
      <c r="AL1053" s="213" t="s">
        <v>66</v>
      </c>
      <c r="AM1053" s="352" t="s">
        <v>66</v>
      </c>
      <c r="AN1053" s="213" t="s">
        <v>66</v>
      </c>
      <c r="AO1053" s="352" t="s">
        <v>66</v>
      </c>
      <c r="AP1053" s="213" t="s">
        <v>66</v>
      </c>
      <c r="AQ1053" s="219" t="s">
        <v>66</v>
      </c>
      <c r="AR1053" s="213" t="s">
        <v>1824</v>
      </c>
      <c r="AV1053" s="343"/>
      <c r="AW1053" s="328"/>
      <c r="AX1053" s="329"/>
      <c r="AY1053" s="328"/>
      <c r="AZ1053" s="328"/>
      <c r="BA1053" s="330"/>
      <c r="BB1053" s="328"/>
      <c r="BC1053" s="328"/>
      <c r="BD1053" s="328"/>
      <c r="BE1053" s="330"/>
      <c r="BF1053" s="330"/>
      <c r="BG1053" s="344"/>
      <c r="BH1053" s="330"/>
      <c r="BI1053" s="330"/>
      <c r="BJ1053" s="330"/>
      <c r="BK1053" s="330"/>
      <c r="BL1053" s="330"/>
      <c r="BM1053" s="330"/>
      <c r="BN1053" s="330"/>
      <c r="BO1053" s="330"/>
      <c r="BP1053" s="331"/>
      <c r="BQ1053" s="332"/>
      <c r="BR1053" s="333"/>
    </row>
    <row r="1054" spans="2:70" ht="15.75" customHeight="1">
      <c r="B1054" s="216" t="s">
        <v>674</v>
      </c>
      <c r="C1054" s="212">
        <v>2151179</v>
      </c>
      <c r="D1054" s="223">
        <v>24769058000162</v>
      </c>
      <c r="E1054" s="217" t="s">
        <v>19</v>
      </c>
      <c r="F1054" s="217" t="s">
        <v>963</v>
      </c>
      <c r="G1054" s="217" t="s">
        <v>1011</v>
      </c>
      <c r="H1054" s="218" t="s">
        <v>1113</v>
      </c>
      <c r="I1054" s="217" t="s">
        <v>66</v>
      </c>
      <c r="J1054" s="217"/>
      <c r="K1054" s="218" t="s">
        <v>951</v>
      </c>
      <c r="L1054" s="212" t="s">
        <v>87</v>
      </c>
      <c r="M1054" s="250"/>
      <c r="N1054" s="239">
        <v>42543</v>
      </c>
      <c r="O1054" s="210" t="s">
        <v>675</v>
      </c>
      <c r="P1054" s="210" t="s">
        <v>1382</v>
      </c>
      <c r="Q1054" s="210" t="s">
        <v>1382</v>
      </c>
      <c r="R1054" s="210" t="s">
        <v>1084</v>
      </c>
      <c r="S1054" s="210" t="s">
        <v>1078</v>
      </c>
      <c r="T1054" s="210" t="s">
        <v>349</v>
      </c>
      <c r="U1054" s="210" t="s">
        <v>1114</v>
      </c>
      <c r="V1054" s="210" t="s">
        <v>19</v>
      </c>
      <c r="W1054" s="211" t="s">
        <v>1025</v>
      </c>
      <c r="X1054" s="211">
        <v>100</v>
      </c>
      <c r="Y1054" s="211">
        <v>100</v>
      </c>
      <c r="Z1054" s="212">
        <v>100</v>
      </c>
      <c r="AA1054" s="240">
        <v>1</v>
      </c>
      <c r="AB1054" s="213">
        <v>3.5000000000000001E-3</v>
      </c>
      <c r="AC1054" s="213">
        <v>0</v>
      </c>
      <c r="AD1054" s="213" t="s">
        <v>109</v>
      </c>
      <c r="AE1054" s="213">
        <v>8.166666666666666E-4</v>
      </c>
      <c r="AF1054" s="241">
        <v>42090076.600000001</v>
      </c>
      <c r="AG1054" s="241">
        <v>42090076.600000001</v>
      </c>
      <c r="AH1054" s="213">
        <v>6.9599999999999995E-2</v>
      </c>
      <c r="AI1054" s="352">
        <v>1.0717000000000001</v>
      </c>
      <c r="AJ1054" s="213">
        <v>0.10249999999999999</v>
      </c>
      <c r="AK1054" s="352">
        <v>1.0894999999999999</v>
      </c>
      <c r="AL1054" s="213">
        <v>0.1363</v>
      </c>
      <c r="AM1054" s="352">
        <v>1.1279999999999999</v>
      </c>
      <c r="AN1054" s="213">
        <v>0.18609999999999999</v>
      </c>
      <c r="AO1054" s="352">
        <v>1.1045</v>
      </c>
      <c r="AP1054" s="213">
        <v>2.5999999999999999E-3</v>
      </c>
      <c r="AQ1054" s="219">
        <v>2.9383668130302083</v>
      </c>
      <c r="AR1054" s="213" t="s">
        <v>1827</v>
      </c>
      <c r="AV1054" s="343"/>
      <c r="AW1054" s="328"/>
      <c r="AX1054" s="329"/>
      <c r="AY1054" s="328"/>
      <c r="AZ1054" s="328"/>
      <c r="BA1054" s="330"/>
      <c r="BB1054" s="328"/>
      <c r="BC1054" s="328"/>
      <c r="BD1054" s="328"/>
      <c r="BE1054" s="330"/>
      <c r="BF1054" s="330"/>
      <c r="BG1054" s="344"/>
      <c r="BH1054" s="330"/>
      <c r="BI1054" s="330"/>
      <c r="BJ1054" s="330"/>
      <c r="BK1054" s="330"/>
      <c r="BL1054" s="330"/>
      <c r="BM1054" s="330"/>
      <c r="BN1054" s="330"/>
      <c r="BO1054" s="330"/>
      <c r="BP1054" s="331"/>
      <c r="BQ1054" s="332"/>
      <c r="BR1054" s="333"/>
    </row>
    <row r="1055" spans="2:70" ht="15.75" customHeight="1">
      <c r="B1055" s="216" t="s">
        <v>676</v>
      </c>
      <c r="C1055" s="212">
        <v>923729</v>
      </c>
      <c r="D1055" s="223">
        <v>35088081000108</v>
      </c>
      <c r="E1055" s="217" t="s">
        <v>28</v>
      </c>
      <c r="F1055" s="217" t="s">
        <v>957</v>
      </c>
      <c r="G1055" s="217"/>
      <c r="H1055" s="218"/>
      <c r="I1055" s="217" t="s">
        <v>1842</v>
      </c>
      <c r="J1055" s="217" t="s">
        <v>66</v>
      </c>
      <c r="K1055" s="218" t="s">
        <v>951</v>
      </c>
      <c r="L1055" s="212" t="s">
        <v>87</v>
      </c>
      <c r="M1055" s="250"/>
      <c r="N1055" s="239">
        <v>43798</v>
      </c>
      <c r="O1055" s="210" t="s">
        <v>114</v>
      </c>
      <c r="P1055" s="210" t="s">
        <v>1075</v>
      </c>
      <c r="Q1055" s="210" t="s">
        <v>1076</v>
      </c>
      <c r="R1055" s="210" t="s">
        <v>1077</v>
      </c>
      <c r="S1055" s="210" t="s">
        <v>1078</v>
      </c>
      <c r="T1055" s="210" t="s">
        <v>1079</v>
      </c>
      <c r="U1055" s="210" t="s">
        <v>957</v>
      </c>
      <c r="V1055" s="210" t="s">
        <v>1080</v>
      </c>
      <c r="W1055" s="211" t="s">
        <v>1007</v>
      </c>
      <c r="X1055" s="211">
        <v>100</v>
      </c>
      <c r="Y1055" s="211">
        <v>100</v>
      </c>
      <c r="Z1055" s="212">
        <v>100</v>
      </c>
      <c r="AA1055" s="240">
        <v>62</v>
      </c>
      <c r="AB1055" s="213">
        <v>0.02</v>
      </c>
      <c r="AC1055" s="213">
        <v>0.2</v>
      </c>
      <c r="AD1055" s="213" t="s">
        <v>113</v>
      </c>
      <c r="AE1055" s="213">
        <v>4.0000000000000001E-3</v>
      </c>
      <c r="AF1055" s="241">
        <v>46134228.219999999</v>
      </c>
      <c r="AG1055" s="241">
        <v>46134228.219999999</v>
      </c>
      <c r="AH1055" s="213">
        <v>5.6300000000000003E-2</v>
      </c>
      <c r="AI1055" s="352">
        <v>0.8679</v>
      </c>
      <c r="AJ1055" s="213">
        <v>-0.20880000000000001</v>
      </c>
      <c r="AK1055" s="352">
        <v>-2.2187999999999999</v>
      </c>
      <c r="AL1055" s="213">
        <v>-7.5499999999999998E-2</v>
      </c>
      <c r="AM1055" s="352">
        <v>-0.62480000000000002</v>
      </c>
      <c r="AN1055" s="213" t="s">
        <v>66</v>
      </c>
      <c r="AO1055" s="352" t="s">
        <v>66</v>
      </c>
      <c r="AP1055" s="213">
        <v>0.25430000000000003</v>
      </c>
      <c r="AQ1055" s="219">
        <v>-1.1471179398750369</v>
      </c>
      <c r="AR1055" s="213" t="s">
        <v>1827</v>
      </c>
      <c r="AV1055" s="343"/>
      <c r="AW1055" s="328"/>
      <c r="AX1055" s="329"/>
      <c r="AY1055" s="328"/>
      <c r="AZ1055" s="328"/>
      <c r="BA1055" s="330"/>
      <c r="BB1055" s="328"/>
      <c r="BC1055" s="328"/>
      <c r="BD1055" s="328"/>
      <c r="BE1055" s="330"/>
      <c r="BF1055" s="330"/>
      <c r="BG1055" s="344"/>
      <c r="BH1055" s="330"/>
      <c r="BI1055" s="330"/>
      <c r="BJ1055" s="330"/>
      <c r="BK1055" s="330"/>
      <c r="BL1055" s="330"/>
      <c r="BM1055" s="330"/>
      <c r="BN1055" s="330"/>
      <c r="BO1055" s="330"/>
      <c r="BP1055" s="331"/>
      <c r="BQ1055" s="332"/>
      <c r="BR1055" s="333"/>
    </row>
    <row r="1056" spans="2:70" ht="15.75" customHeight="1">
      <c r="B1056" s="216" t="s">
        <v>677</v>
      </c>
      <c r="C1056" s="212">
        <v>676899</v>
      </c>
      <c r="D1056" s="223">
        <v>34429833000194</v>
      </c>
      <c r="E1056" s="217" t="s">
        <v>28</v>
      </c>
      <c r="F1056" s="217" t="s">
        <v>957</v>
      </c>
      <c r="G1056" s="217"/>
      <c r="H1056" s="218"/>
      <c r="I1056" s="217" t="s">
        <v>1842</v>
      </c>
      <c r="J1056" s="217" t="s">
        <v>66</v>
      </c>
      <c r="K1056" s="218" t="s">
        <v>951</v>
      </c>
      <c r="L1056" s="212" t="s">
        <v>87</v>
      </c>
      <c r="M1056" s="250"/>
      <c r="N1056" s="239">
        <v>43788</v>
      </c>
      <c r="O1056" s="210" t="s">
        <v>678</v>
      </c>
      <c r="P1056" s="210" t="s">
        <v>1090</v>
      </c>
      <c r="Q1056" s="210" t="s">
        <v>1091</v>
      </c>
      <c r="R1056" s="210" t="s">
        <v>1077</v>
      </c>
      <c r="S1056" s="210" t="s">
        <v>1078</v>
      </c>
      <c r="T1056" s="210" t="s">
        <v>1079</v>
      </c>
      <c r="U1056" s="210" t="s">
        <v>957</v>
      </c>
      <c r="V1056" s="210" t="s">
        <v>1080</v>
      </c>
      <c r="W1056" s="211" t="s">
        <v>1007</v>
      </c>
      <c r="X1056" s="211">
        <v>5000</v>
      </c>
      <c r="Y1056" s="211">
        <v>5000</v>
      </c>
      <c r="Z1056" s="212">
        <v>5000</v>
      </c>
      <c r="AA1056" s="240">
        <v>62</v>
      </c>
      <c r="AB1056" s="213">
        <v>0.02</v>
      </c>
      <c r="AC1056" s="213">
        <v>0.2</v>
      </c>
      <c r="AD1056" s="213" t="s">
        <v>113</v>
      </c>
      <c r="AE1056" s="213">
        <v>4.0000000000000001E-3</v>
      </c>
      <c r="AF1056" s="241">
        <v>198947227.97999999</v>
      </c>
      <c r="AG1056" s="241">
        <v>198947227.97999999</v>
      </c>
      <c r="AH1056" s="213">
        <v>5.3999999999999999E-2</v>
      </c>
      <c r="AI1056" s="352">
        <v>0.83160000000000001</v>
      </c>
      <c r="AJ1056" s="213">
        <v>-0.21360000000000001</v>
      </c>
      <c r="AK1056" s="352">
        <v>-2.2705000000000002</v>
      </c>
      <c r="AL1056" s="213">
        <v>-7.9299999999999995E-2</v>
      </c>
      <c r="AM1056" s="352">
        <v>-0.65659999999999996</v>
      </c>
      <c r="AN1056" s="213" t="s">
        <v>66</v>
      </c>
      <c r="AO1056" s="352" t="s">
        <v>66</v>
      </c>
      <c r="AP1056" s="213">
        <v>0.25829999999999997</v>
      </c>
      <c r="AQ1056" s="219">
        <v>-1.1494391354279567</v>
      </c>
      <c r="AR1056" s="213" t="s">
        <v>1827</v>
      </c>
      <c r="AV1056" s="343"/>
      <c r="AW1056" s="328"/>
      <c r="AX1056" s="329"/>
      <c r="AY1056" s="328"/>
      <c r="AZ1056" s="328"/>
      <c r="BA1056" s="330"/>
      <c r="BB1056" s="328"/>
      <c r="BC1056" s="328"/>
      <c r="BD1056" s="328"/>
      <c r="BE1056" s="330"/>
      <c r="BF1056" s="330"/>
      <c r="BG1056" s="344"/>
      <c r="BH1056" s="330"/>
      <c r="BI1056" s="330"/>
      <c r="BJ1056" s="330"/>
      <c r="BK1056" s="330"/>
      <c r="BL1056" s="330"/>
      <c r="BM1056" s="330"/>
      <c r="BN1056" s="330"/>
      <c r="BO1056" s="330"/>
      <c r="BP1056" s="331"/>
      <c r="BQ1056" s="332"/>
      <c r="BR1056" s="333"/>
    </row>
    <row r="1057" spans="2:70" ht="15.75" customHeight="1">
      <c r="B1057" s="216" t="s">
        <v>679</v>
      </c>
      <c r="C1057" s="212">
        <v>541346</v>
      </c>
      <c r="D1057" s="223">
        <v>32041875000128</v>
      </c>
      <c r="E1057" s="217" t="s">
        <v>28</v>
      </c>
      <c r="F1057" s="217" t="s">
        <v>957</v>
      </c>
      <c r="G1057" s="217"/>
      <c r="H1057" s="218"/>
      <c r="I1057" s="217" t="s">
        <v>1842</v>
      </c>
      <c r="J1057" s="217" t="s">
        <v>66</v>
      </c>
      <c r="K1057" s="218" t="s">
        <v>951</v>
      </c>
      <c r="L1057" s="212" t="s">
        <v>87</v>
      </c>
      <c r="M1057" s="250"/>
      <c r="N1057" s="239">
        <v>43481</v>
      </c>
      <c r="O1057" s="210" t="s">
        <v>114</v>
      </c>
      <c r="P1057" s="210" t="s">
        <v>1075</v>
      </c>
      <c r="Q1057" s="210" t="s">
        <v>1076</v>
      </c>
      <c r="R1057" s="210" t="s">
        <v>1077</v>
      </c>
      <c r="S1057" s="210" t="s">
        <v>1085</v>
      </c>
      <c r="T1057" s="210" t="s">
        <v>1642</v>
      </c>
      <c r="U1057" s="210" t="s">
        <v>957</v>
      </c>
      <c r="V1057" s="210" t="s">
        <v>1080</v>
      </c>
      <c r="W1057" s="211" t="s">
        <v>1007</v>
      </c>
      <c r="X1057" s="211">
        <v>30000</v>
      </c>
      <c r="Y1057" s="211">
        <v>30000</v>
      </c>
      <c r="Z1057" s="212">
        <v>30000</v>
      </c>
      <c r="AA1057" s="240">
        <v>32</v>
      </c>
      <c r="AB1057" s="213">
        <v>0.02</v>
      </c>
      <c r="AC1057" s="213">
        <v>0.2</v>
      </c>
      <c r="AD1057" s="213" t="s">
        <v>113</v>
      </c>
      <c r="AE1057" s="213">
        <v>5.0000000000000001E-3</v>
      </c>
      <c r="AF1057" s="241">
        <v>43318843.609999999</v>
      </c>
      <c r="AG1057" s="241">
        <v>43318843.609999999</v>
      </c>
      <c r="AH1057" s="213">
        <v>5.2299999999999999E-2</v>
      </c>
      <c r="AI1057" s="352">
        <v>0.80510000000000004</v>
      </c>
      <c r="AJ1057" s="213">
        <v>-0.21249999999999999</v>
      </c>
      <c r="AK1057" s="352">
        <v>-2.2591000000000001</v>
      </c>
      <c r="AL1057" s="213">
        <v>-6.88E-2</v>
      </c>
      <c r="AM1057" s="352">
        <v>-0.5696</v>
      </c>
      <c r="AN1057" s="213">
        <v>1.0800000000000001E-2</v>
      </c>
      <c r="AO1057" s="352">
        <v>6.4100000000000004E-2</v>
      </c>
      <c r="AP1057" s="213">
        <v>0.25590000000000002</v>
      </c>
      <c r="AQ1057" s="219">
        <v>-1.1568797116086234</v>
      </c>
      <c r="AR1057" s="213" t="s">
        <v>1827</v>
      </c>
      <c r="AU1057" s="343"/>
      <c r="AV1057" s="343"/>
      <c r="AW1057" s="328"/>
      <c r="AX1057" s="329"/>
      <c r="AY1057" s="328"/>
      <c r="AZ1057" s="328"/>
      <c r="BA1057" s="330"/>
      <c r="BB1057" s="328"/>
      <c r="BC1057" s="328"/>
      <c r="BD1057" s="328"/>
      <c r="BE1057" s="330"/>
      <c r="BF1057" s="330"/>
      <c r="BG1057" s="344"/>
      <c r="BH1057" s="383"/>
      <c r="BI1057" s="330"/>
      <c r="BJ1057" s="330"/>
      <c r="BK1057" s="330"/>
      <c r="BL1057" s="330"/>
      <c r="BM1057" s="330"/>
      <c r="BN1057" s="330"/>
      <c r="BO1057" s="330"/>
      <c r="BP1057" s="331"/>
      <c r="BQ1057" s="332"/>
      <c r="BR1057" s="333"/>
    </row>
    <row r="1058" spans="2:70" ht="15.75" customHeight="1">
      <c r="B1058" s="216" t="s">
        <v>680</v>
      </c>
      <c r="C1058" s="212">
        <v>3798805</v>
      </c>
      <c r="D1058" s="223">
        <v>31493876000140</v>
      </c>
      <c r="E1058" s="217" t="s">
        <v>28</v>
      </c>
      <c r="F1058" s="217" t="s">
        <v>950</v>
      </c>
      <c r="G1058" s="217"/>
      <c r="H1058" s="218"/>
      <c r="I1058" s="217" t="s">
        <v>66</v>
      </c>
      <c r="J1058" s="217" t="s">
        <v>66</v>
      </c>
      <c r="K1058" s="218" t="s">
        <v>951</v>
      </c>
      <c r="L1058" s="212" t="s">
        <v>87</v>
      </c>
      <c r="M1058" s="250"/>
      <c r="N1058" s="239">
        <v>43404</v>
      </c>
      <c r="O1058" s="210" t="s">
        <v>678</v>
      </c>
      <c r="P1058" s="210" t="s">
        <v>1075</v>
      </c>
      <c r="Q1058" s="210" t="s">
        <v>1091</v>
      </c>
      <c r="R1058" s="210" t="s">
        <v>1077</v>
      </c>
      <c r="S1058" s="210" t="s">
        <v>1085</v>
      </c>
      <c r="T1058" s="210" t="s">
        <v>1079</v>
      </c>
      <c r="U1058" s="210" t="s">
        <v>957</v>
      </c>
      <c r="V1058" s="210" t="s">
        <v>1080</v>
      </c>
      <c r="W1058" s="211" t="s">
        <v>1007</v>
      </c>
      <c r="X1058" s="211">
        <v>5000</v>
      </c>
      <c r="Y1058" s="211">
        <v>5000</v>
      </c>
      <c r="Z1058" s="212">
        <v>5000</v>
      </c>
      <c r="AA1058" s="240">
        <v>32</v>
      </c>
      <c r="AB1058" s="213">
        <v>0.02</v>
      </c>
      <c r="AC1058" s="213">
        <v>0.2</v>
      </c>
      <c r="AD1058" s="213" t="s">
        <v>1100</v>
      </c>
      <c r="AE1058" s="213">
        <v>5.0000000000000001E-3</v>
      </c>
      <c r="AF1058" s="241">
        <v>437750272.69</v>
      </c>
      <c r="AG1058" s="241">
        <v>437750272.69</v>
      </c>
      <c r="AH1058" s="213">
        <v>5.3800000000000001E-2</v>
      </c>
      <c r="AI1058" s="352">
        <v>0.82920000000000005</v>
      </c>
      <c r="AJ1058" s="213">
        <v>-0.21410000000000001</v>
      </c>
      <c r="AK1058" s="352">
        <v>-2.2757999999999998</v>
      </c>
      <c r="AL1058" s="213">
        <v>-6.9599999999999995E-2</v>
      </c>
      <c r="AM1058" s="352">
        <v>-0.57599999999999996</v>
      </c>
      <c r="AN1058" s="213">
        <v>2.8999999999999998E-3</v>
      </c>
      <c r="AO1058" s="352">
        <v>1.7299999999999999E-2</v>
      </c>
      <c r="AP1058" s="213">
        <v>0.2591</v>
      </c>
      <c r="AQ1058" s="219">
        <v>-1.1472722805263158</v>
      </c>
      <c r="AR1058" s="213" t="s">
        <v>1827</v>
      </c>
      <c r="AV1058" s="343"/>
      <c r="AW1058" s="328"/>
      <c r="AX1058" s="329"/>
      <c r="AY1058" s="328"/>
      <c r="AZ1058" s="328"/>
      <c r="BA1058" s="330"/>
      <c r="BB1058" s="328"/>
      <c r="BC1058" s="328"/>
      <c r="BD1058" s="328"/>
      <c r="BE1058" s="330"/>
      <c r="BF1058" s="330"/>
      <c r="BG1058" s="344"/>
      <c r="BH1058" s="330"/>
      <c r="BI1058" s="330"/>
      <c r="BJ1058" s="330"/>
      <c r="BK1058" s="330"/>
      <c r="BL1058" s="330"/>
      <c r="BM1058" s="330"/>
      <c r="BN1058" s="330"/>
      <c r="BO1058" s="330"/>
      <c r="BP1058" s="331"/>
      <c r="BQ1058" s="332"/>
      <c r="BR1058" s="333"/>
    </row>
    <row r="1059" spans="2:70" ht="15.75" customHeight="1">
      <c r="B1059" s="216" t="s">
        <v>921</v>
      </c>
      <c r="C1059" s="212">
        <v>534497</v>
      </c>
      <c r="D1059" s="223">
        <v>35957054000124</v>
      </c>
      <c r="E1059" s="217" t="s">
        <v>28</v>
      </c>
      <c r="F1059" s="217" t="s">
        <v>950</v>
      </c>
      <c r="G1059" s="217"/>
      <c r="H1059" s="218"/>
      <c r="I1059" s="217" t="s">
        <v>66</v>
      </c>
      <c r="J1059" s="217" t="s">
        <v>66</v>
      </c>
      <c r="K1059" s="218" t="s">
        <v>951</v>
      </c>
      <c r="L1059" s="212" t="s">
        <v>87</v>
      </c>
      <c r="M1059" s="250"/>
      <c r="N1059" s="239">
        <v>43977</v>
      </c>
      <c r="O1059" s="210" t="s">
        <v>678</v>
      </c>
      <c r="P1059" s="210" t="s">
        <v>1090</v>
      </c>
      <c r="Q1059" s="210" t="s">
        <v>1091</v>
      </c>
      <c r="R1059" s="210" t="s">
        <v>1077</v>
      </c>
      <c r="S1059" s="210" t="s">
        <v>1078</v>
      </c>
      <c r="T1059" s="210" t="s">
        <v>1079</v>
      </c>
      <c r="U1059" s="210" t="s">
        <v>950</v>
      </c>
      <c r="V1059" s="210" t="s">
        <v>1080</v>
      </c>
      <c r="W1059" s="211" t="s">
        <v>1007</v>
      </c>
      <c r="X1059" s="211">
        <v>1000</v>
      </c>
      <c r="Y1059" s="211">
        <v>1000</v>
      </c>
      <c r="Z1059" s="212">
        <v>1000</v>
      </c>
      <c r="AA1059" s="240">
        <v>62</v>
      </c>
      <c r="AB1059" s="213">
        <v>0.02</v>
      </c>
      <c r="AC1059" s="213">
        <v>0.2</v>
      </c>
      <c r="AD1059" s="213" t="s">
        <v>113</v>
      </c>
      <c r="AE1059" s="213">
        <v>4.0000000000000001E-3</v>
      </c>
      <c r="AF1059" s="241">
        <v>10573702</v>
      </c>
      <c r="AG1059" s="241">
        <v>10573702</v>
      </c>
      <c r="AH1059" s="213">
        <v>3.4700000000000002E-2</v>
      </c>
      <c r="AI1059" s="352">
        <v>0.53449999999999998</v>
      </c>
      <c r="AJ1059" s="213">
        <v>-0.2203</v>
      </c>
      <c r="AK1059" s="352">
        <v>-2.3414999999999999</v>
      </c>
      <c r="AL1059" s="213">
        <v>-0.10829999999999999</v>
      </c>
      <c r="AM1059" s="352">
        <v>-0.89649999999999996</v>
      </c>
      <c r="AN1059" s="213" t="s">
        <v>66</v>
      </c>
      <c r="AO1059" s="352" t="s">
        <v>66</v>
      </c>
      <c r="AP1059" s="213">
        <v>0.26269999999999999</v>
      </c>
      <c r="AQ1059" s="219">
        <v>-1.1581271776064221</v>
      </c>
      <c r="AR1059" s="213" t="s">
        <v>1827</v>
      </c>
      <c r="AV1059" s="343"/>
      <c r="AW1059" s="328"/>
      <c r="AX1059" s="329"/>
      <c r="AY1059" s="328"/>
      <c r="AZ1059" s="328"/>
      <c r="BA1059" s="330"/>
      <c r="BB1059" s="328"/>
      <c r="BC1059" s="328"/>
      <c r="BD1059" s="328"/>
      <c r="BE1059" s="330"/>
      <c r="BF1059" s="330"/>
      <c r="BG1059" s="344"/>
      <c r="BH1059" s="330"/>
      <c r="BI1059" s="330"/>
      <c r="BJ1059" s="330"/>
      <c r="BK1059" s="330"/>
      <c r="BL1059" s="330"/>
      <c r="BM1059" s="330"/>
      <c r="BN1059" s="330"/>
      <c r="BO1059" s="330"/>
      <c r="BP1059" s="331"/>
      <c r="BQ1059" s="332"/>
      <c r="BR1059" s="333"/>
    </row>
    <row r="1060" spans="2:70" ht="15.75" customHeight="1">
      <c r="B1060" s="216" t="s">
        <v>681</v>
      </c>
      <c r="C1060" s="212">
        <v>1250787</v>
      </c>
      <c r="D1060" s="223">
        <v>31533145000181</v>
      </c>
      <c r="E1060" s="217" t="s">
        <v>28</v>
      </c>
      <c r="F1060" s="217" t="s">
        <v>950</v>
      </c>
      <c r="G1060" s="217"/>
      <c r="H1060" s="218"/>
      <c r="I1060" s="217" t="s">
        <v>66</v>
      </c>
      <c r="J1060" s="217" t="s">
        <v>66</v>
      </c>
      <c r="K1060" s="218" t="s">
        <v>951</v>
      </c>
      <c r="L1060" s="212" t="s">
        <v>87</v>
      </c>
      <c r="M1060" s="250"/>
      <c r="N1060" s="239">
        <v>43404</v>
      </c>
      <c r="O1060" s="210" t="s">
        <v>678</v>
      </c>
      <c r="P1060" s="210" t="s">
        <v>1075</v>
      </c>
      <c r="Q1060" s="210" t="s">
        <v>1091</v>
      </c>
      <c r="R1060" s="210" t="s">
        <v>1084</v>
      </c>
      <c r="S1060" s="210" t="s">
        <v>1078</v>
      </c>
      <c r="T1060" s="210" t="s">
        <v>1079</v>
      </c>
      <c r="U1060" s="210" t="s">
        <v>950</v>
      </c>
      <c r="V1060" s="210" t="s">
        <v>1080</v>
      </c>
      <c r="W1060" s="211" t="s">
        <v>1007</v>
      </c>
      <c r="X1060" s="211">
        <v>500</v>
      </c>
      <c r="Y1060" s="211">
        <v>500</v>
      </c>
      <c r="Z1060" s="212">
        <v>500</v>
      </c>
      <c r="AA1060" s="240">
        <v>32</v>
      </c>
      <c r="AB1060" s="213">
        <v>0.03</v>
      </c>
      <c r="AC1060" s="213">
        <v>0</v>
      </c>
      <c r="AD1060" s="213" t="s">
        <v>113</v>
      </c>
      <c r="AE1060" s="213">
        <v>7.4999999999999997E-3</v>
      </c>
      <c r="AF1060" s="241">
        <v>620637458.87</v>
      </c>
      <c r="AG1060" s="241">
        <v>620637458.87</v>
      </c>
      <c r="AH1060" s="213">
        <v>2.7099999999999999E-2</v>
      </c>
      <c r="AI1060" s="352">
        <v>0.41799999999999998</v>
      </c>
      <c r="AJ1060" s="213">
        <v>-0.22850000000000001</v>
      </c>
      <c r="AK1060" s="352">
        <v>-2.4285999999999999</v>
      </c>
      <c r="AL1060" s="213">
        <v>-5.4800000000000001E-2</v>
      </c>
      <c r="AM1060" s="352">
        <v>-0.45369999999999999</v>
      </c>
      <c r="AN1060" s="213">
        <v>9.8599999999999993E-2</v>
      </c>
      <c r="AO1060" s="352">
        <v>0.58530000000000004</v>
      </c>
      <c r="AP1060" s="213">
        <v>0.26069999999999999</v>
      </c>
      <c r="AQ1060" s="219">
        <v>-1.2091729256073946</v>
      </c>
      <c r="AR1060" s="213" t="s">
        <v>1824</v>
      </c>
      <c r="AV1060" s="343"/>
      <c r="AW1060" s="328"/>
      <c r="AX1060" s="329"/>
      <c r="AY1060" s="328"/>
      <c r="AZ1060" s="328"/>
      <c r="BA1060" s="330"/>
      <c r="BB1060" s="328"/>
      <c r="BC1060" s="328"/>
      <c r="BD1060" s="328"/>
      <c r="BE1060" s="330"/>
      <c r="BF1060" s="330"/>
      <c r="BG1060" s="344"/>
      <c r="BH1060" s="330"/>
      <c r="BI1060" s="330"/>
      <c r="BJ1060" s="330"/>
      <c r="BK1060" s="330"/>
      <c r="BL1060" s="330"/>
      <c r="BM1060" s="330"/>
      <c r="BN1060" s="330"/>
      <c r="BO1060" s="330"/>
      <c r="BP1060" s="331"/>
      <c r="BQ1060" s="332"/>
      <c r="BR1060" s="333"/>
    </row>
    <row r="1061" spans="2:70" ht="15.75" customHeight="1">
      <c r="B1061" s="216" t="s">
        <v>682</v>
      </c>
      <c r="C1061" s="212">
        <v>969291</v>
      </c>
      <c r="D1061" s="223">
        <v>40938273000104</v>
      </c>
      <c r="E1061" s="217" t="s">
        <v>28</v>
      </c>
      <c r="F1061" s="217" t="s">
        <v>950</v>
      </c>
      <c r="G1061" s="217" t="s">
        <v>1021</v>
      </c>
      <c r="H1061" s="218"/>
      <c r="I1061" s="217" t="s">
        <v>66</v>
      </c>
      <c r="J1061" s="217" t="s">
        <v>66</v>
      </c>
      <c r="K1061" s="218" t="s">
        <v>1040</v>
      </c>
      <c r="L1061" s="212"/>
      <c r="M1061" s="250"/>
      <c r="N1061" s="239">
        <v>44291</v>
      </c>
      <c r="O1061" s="210" t="s">
        <v>323</v>
      </c>
      <c r="P1061" s="210" t="s">
        <v>1075</v>
      </c>
      <c r="Q1061" s="210" t="s">
        <v>1076</v>
      </c>
      <c r="R1061" s="210" t="s">
        <v>1084</v>
      </c>
      <c r="S1061" s="210" t="s">
        <v>1078</v>
      </c>
      <c r="T1061" s="210" t="s">
        <v>1079</v>
      </c>
      <c r="U1061" s="210" t="s">
        <v>65</v>
      </c>
      <c r="V1061" s="210" t="s">
        <v>25</v>
      </c>
      <c r="W1061" s="211" t="s">
        <v>1016</v>
      </c>
      <c r="X1061" s="211">
        <v>500</v>
      </c>
      <c r="Y1061" s="211">
        <v>100</v>
      </c>
      <c r="Z1061" s="212">
        <v>100</v>
      </c>
      <c r="AA1061" s="240">
        <v>1</v>
      </c>
      <c r="AB1061" s="213">
        <v>5.0000000000000001E-3</v>
      </c>
      <c r="AC1061" s="213">
        <v>0</v>
      </c>
      <c r="AD1061" s="213" t="s">
        <v>113</v>
      </c>
      <c r="AE1061" s="213">
        <v>6.6649999999999999E-4</v>
      </c>
      <c r="AF1061" s="241">
        <v>4867463.8099999996</v>
      </c>
      <c r="AG1061" s="241">
        <v>4867463.8099999996</v>
      </c>
      <c r="AH1061" s="213">
        <v>-8.8599999999999998E-2</v>
      </c>
      <c r="AI1061" s="352">
        <v>-1.3647</v>
      </c>
      <c r="AJ1061" s="213">
        <v>1.66E-2</v>
      </c>
      <c r="AK1061" s="352">
        <v>0.17599999999999999</v>
      </c>
      <c r="AL1061" s="213" t="s">
        <v>66</v>
      </c>
      <c r="AM1061" s="352" t="s">
        <v>66</v>
      </c>
      <c r="AN1061" s="213" t="s">
        <v>66</v>
      </c>
      <c r="AO1061" s="352" t="s">
        <v>66</v>
      </c>
      <c r="AP1061" s="213">
        <v>0.2056</v>
      </c>
      <c r="AQ1061" s="219">
        <v>-0.25483842412994878</v>
      </c>
      <c r="AR1061" s="213" t="s">
        <v>1827</v>
      </c>
      <c r="AV1061" s="343"/>
      <c r="AW1061" s="328"/>
      <c r="AX1061" s="329"/>
      <c r="AY1061" s="328"/>
      <c r="AZ1061" s="328"/>
      <c r="BA1061" s="330"/>
      <c r="BB1061" s="328"/>
      <c r="BC1061" s="328"/>
      <c r="BD1061" s="328"/>
      <c r="BE1061" s="330"/>
      <c r="BF1061" s="330"/>
      <c r="BG1061" s="344"/>
      <c r="BH1061" s="330"/>
      <c r="BI1061" s="330"/>
      <c r="BJ1061" s="330"/>
      <c r="BK1061" s="330"/>
      <c r="BL1061" s="330"/>
      <c r="BM1061" s="330"/>
      <c r="BN1061" s="330"/>
      <c r="BO1061" s="330"/>
      <c r="BP1061" s="331"/>
      <c r="BQ1061" s="332"/>
      <c r="BR1061" s="333"/>
    </row>
    <row r="1062" spans="2:70" ht="15.75" customHeight="1">
      <c r="B1062" s="216" t="s">
        <v>1914</v>
      </c>
      <c r="C1062" s="212">
        <v>3033992</v>
      </c>
      <c r="D1062" s="223">
        <v>41395002000104</v>
      </c>
      <c r="E1062" s="217" t="s">
        <v>19</v>
      </c>
      <c r="F1062" s="217" t="s">
        <v>964</v>
      </c>
      <c r="G1062" s="217" t="s">
        <v>1021</v>
      </c>
      <c r="H1062" s="218" t="s">
        <v>1113</v>
      </c>
      <c r="I1062" s="217" t="s">
        <v>66</v>
      </c>
      <c r="J1062" s="217"/>
      <c r="K1062" s="218" t="s">
        <v>951</v>
      </c>
      <c r="L1062" s="212" t="s">
        <v>87</v>
      </c>
      <c r="M1062" s="250"/>
      <c r="N1062" s="239">
        <v>44376</v>
      </c>
      <c r="O1062" s="210" t="s">
        <v>323</v>
      </c>
      <c r="P1062" s="210" t="s">
        <v>1075</v>
      </c>
      <c r="Q1062" s="210" t="s">
        <v>1076</v>
      </c>
      <c r="R1062" s="210" t="s">
        <v>1084</v>
      </c>
      <c r="S1062" s="210" t="s">
        <v>1078</v>
      </c>
      <c r="T1062" s="210" t="s">
        <v>349</v>
      </c>
      <c r="U1062" s="210" t="s">
        <v>964</v>
      </c>
      <c r="V1062" s="210" t="s">
        <v>19</v>
      </c>
      <c r="W1062" s="211" t="s">
        <v>1025</v>
      </c>
      <c r="X1062" s="211">
        <v>0</v>
      </c>
      <c r="Y1062" s="211">
        <v>0</v>
      </c>
      <c r="Z1062" s="212">
        <v>0</v>
      </c>
      <c r="AA1062" s="240">
        <v>1</v>
      </c>
      <c r="AB1062" s="213">
        <v>5.0000000000000001E-3</v>
      </c>
      <c r="AC1062" s="213">
        <v>0</v>
      </c>
      <c r="AD1062" s="213" t="s">
        <v>981</v>
      </c>
      <c r="AE1062" s="213">
        <v>6.6649999999999999E-4</v>
      </c>
      <c r="AF1062" s="241">
        <v>10289303.24</v>
      </c>
      <c r="AG1062" s="241">
        <v>10289303.24</v>
      </c>
      <c r="AH1062" s="213">
        <v>6.4100000000000004E-2</v>
      </c>
      <c r="AI1062" s="352">
        <v>0.98709999999999998</v>
      </c>
      <c r="AJ1062" s="213">
        <v>9.2999999999999999E-2</v>
      </c>
      <c r="AK1062" s="352">
        <v>0.9889</v>
      </c>
      <c r="AL1062" s="213" t="s">
        <v>66</v>
      </c>
      <c r="AM1062" s="352" t="s">
        <v>66</v>
      </c>
      <c r="AN1062" s="213" t="s">
        <v>66</v>
      </c>
      <c r="AO1062" s="352" t="s">
        <v>66</v>
      </c>
      <c r="AP1062" s="213">
        <v>2.6599999999999999E-2</v>
      </c>
      <c r="AQ1062" s="219">
        <v>-2.2864198538845516E-2</v>
      </c>
      <c r="AR1062" s="213" t="s">
        <v>1827</v>
      </c>
      <c r="AV1062" s="343"/>
      <c r="AW1062" s="328"/>
      <c r="AX1062" s="329"/>
      <c r="AY1062" s="328"/>
      <c r="AZ1062" s="328"/>
      <c r="BA1062" s="330"/>
      <c r="BB1062" s="328"/>
      <c r="BC1062" s="328"/>
      <c r="BD1062" s="328"/>
      <c r="BE1062" s="330"/>
      <c r="BF1062" s="330"/>
      <c r="BG1062" s="344"/>
      <c r="BH1062" s="330"/>
      <c r="BI1062" s="330"/>
      <c r="BJ1062" s="330"/>
      <c r="BK1062" s="330"/>
      <c r="BL1062" s="330"/>
      <c r="BM1062" s="330"/>
      <c r="BN1062" s="330"/>
      <c r="BO1062" s="330"/>
      <c r="BP1062" s="331"/>
      <c r="BQ1062" s="332"/>
      <c r="BR1062" s="333"/>
    </row>
    <row r="1063" spans="2:70" ht="15.75" customHeight="1">
      <c r="B1063" s="216" t="s">
        <v>896</v>
      </c>
      <c r="C1063" s="212">
        <v>808021</v>
      </c>
      <c r="D1063" s="223">
        <v>41360111000196</v>
      </c>
      <c r="E1063" s="217" t="s">
        <v>28</v>
      </c>
      <c r="F1063" s="217" t="s">
        <v>957</v>
      </c>
      <c r="G1063" s="217"/>
      <c r="H1063" s="218"/>
      <c r="I1063" s="217" t="s">
        <v>1842</v>
      </c>
      <c r="J1063" s="217" t="s">
        <v>66</v>
      </c>
      <c r="K1063" s="218" t="s">
        <v>951</v>
      </c>
      <c r="L1063" s="212" t="s">
        <v>87</v>
      </c>
      <c r="M1063" s="250"/>
      <c r="N1063" s="239">
        <v>44354</v>
      </c>
      <c r="O1063" s="210" t="s">
        <v>683</v>
      </c>
      <c r="P1063" s="210" t="s">
        <v>1083</v>
      </c>
      <c r="Q1063" s="210" t="s">
        <v>102</v>
      </c>
      <c r="R1063" s="210" t="s">
        <v>1077</v>
      </c>
      <c r="S1063" s="210" t="s">
        <v>1078</v>
      </c>
      <c r="T1063" s="210" t="s">
        <v>1079</v>
      </c>
      <c r="U1063" s="210" t="s">
        <v>957</v>
      </c>
      <c r="V1063" s="210" t="s">
        <v>1080</v>
      </c>
      <c r="W1063" s="211" t="s">
        <v>1007</v>
      </c>
      <c r="X1063" s="211">
        <v>500</v>
      </c>
      <c r="Y1063" s="211">
        <v>100</v>
      </c>
      <c r="Z1063" s="212">
        <v>100</v>
      </c>
      <c r="AA1063" s="240">
        <v>32</v>
      </c>
      <c r="AB1063" s="213">
        <v>0.02</v>
      </c>
      <c r="AC1063" s="213">
        <v>0.2</v>
      </c>
      <c r="AD1063" s="213" t="s">
        <v>203</v>
      </c>
      <c r="AE1063" s="213">
        <v>6.6666666666666662E-3</v>
      </c>
      <c r="AF1063" s="241">
        <v>60862467.32</v>
      </c>
      <c r="AG1063" s="241">
        <v>60862467.32</v>
      </c>
      <c r="AH1063" s="213">
        <v>-6.4100000000000004E-2</v>
      </c>
      <c r="AI1063" s="352">
        <v>-0.98670000000000002</v>
      </c>
      <c r="AJ1063" s="213">
        <v>-0.2243</v>
      </c>
      <c r="AK1063" s="352">
        <v>-2.3843000000000001</v>
      </c>
      <c r="AL1063" s="213" t="s">
        <v>66</v>
      </c>
      <c r="AM1063" s="352" t="s">
        <v>66</v>
      </c>
      <c r="AN1063" s="213" t="s">
        <v>66</v>
      </c>
      <c r="AO1063" s="352" t="s">
        <v>66</v>
      </c>
      <c r="AP1063" s="213">
        <v>0.22789999999999999</v>
      </c>
      <c r="AQ1063" s="219">
        <v>-1.394476470480376</v>
      </c>
      <c r="AR1063" s="213" t="s">
        <v>1827</v>
      </c>
      <c r="AV1063" s="343"/>
      <c r="AW1063" s="328"/>
      <c r="AX1063" s="329"/>
      <c r="AY1063" s="328"/>
      <c r="AZ1063" s="328"/>
      <c r="BA1063" s="330"/>
      <c r="BB1063" s="328"/>
      <c r="BC1063" s="328"/>
      <c r="BD1063" s="328"/>
      <c r="BE1063" s="330"/>
      <c r="BF1063" s="330"/>
      <c r="BG1063" s="344"/>
      <c r="BH1063" s="330"/>
      <c r="BI1063" s="330"/>
      <c r="BJ1063" s="330"/>
      <c r="BK1063" s="330"/>
      <c r="BL1063" s="330"/>
      <c r="BM1063" s="330"/>
      <c r="BN1063" s="330"/>
      <c r="BO1063" s="330"/>
      <c r="BP1063" s="331"/>
      <c r="BQ1063" s="332"/>
      <c r="BR1063" s="333"/>
    </row>
    <row r="1064" spans="2:70" ht="15.75" customHeight="1">
      <c r="B1064" s="216" t="s">
        <v>684</v>
      </c>
      <c r="C1064" s="212">
        <v>1144430</v>
      </c>
      <c r="D1064" s="223">
        <v>28581175000159</v>
      </c>
      <c r="E1064" s="217" t="s">
        <v>25</v>
      </c>
      <c r="F1064" s="217" t="s">
        <v>958</v>
      </c>
      <c r="G1064" s="217" t="s">
        <v>962</v>
      </c>
      <c r="H1064" s="218" t="s">
        <v>66</v>
      </c>
      <c r="I1064" s="217" t="s">
        <v>1842</v>
      </c>
      <c r="J1064" s="217" t="s">
        <v>66</v>
      </c>
      <c r="K1064" s="218"/>
      <c r="L1064" s="212" t="s">
        <v>87</v>
      </c>
      <c r="M1064" s="250"/>
      <c r="N1064" s="239">
        <v>43223</v>
      </c>
      <c r="O1064" s="210" t="s">
        <v>683</v>
      </c>
      <c r="P1064" s="210" t="s">
        <v>1083</v>
      </c>
      <c r="Q1064" s="210" t="s">
        <v>102</v>
      </c>
      <c r="R1064" s="210" t="s">
        <v>1084</v>
      </c>
      <c r="S1064" s="210" t="s">
        <v>1078</v>
      </c>
      <c r="T1064" s="210" t="s">
        <v>1082</v>
      </c>
      <c r="U1064" s="210" t="s">
        <v>958</v>
      </c>
      <c r="V1064" s="210" t="s">
        <v>25</v>
      </c>
      <c r="W1064" s="211" t="s">
        <v>1012</v>
      </c>
      <c r="X1064" s="211">
        <v>500</v>
      </c>
      <c r="Y1064" s="211">
        <v>100</v>
      </c>
      <c r="Z1064" s="212">
        <v>100</v>
      </c>
      <c r="AA1064" s="240">
        <v>31</v>
      </c>
      <c r="AB1064" s="213">
        <v>1.4E-2</v>
      </c>
      <c r="AC1064" s="213">
        <v>0.2</v>
      </c>
      <c r="AD1064" s="213" t="s">
        <v>109</v>
      </c>
      <c r="AE1064" s="213">
        <v>3.7333333333333333E-3</v>
      </c>
      <c r="AF1064" s="241">
        <v>61457542.590000004</v>
      </c>
      <c r="AG1064" s="241">
        <v>61457542.590000004</v>
      </c>
      <c r="AH1064" s="213">
        <v>4.7E-2</v>
      </c>
      <c r="AI1064" s="352">
        <v>0.72460000000000002</v>
      </c>
      <c r="AJ1064" s="213">
        <v>8.2000000000000007E-3</v>
      </c>
      <c r="AK1064" s="352">
        <v>8.6699999999999999E-2</v>
      </c>
      <c r="AL1064" s="213">
        <v>3.4799999999999998E-2</v>
      </c>
      <c r="AM1064" s="352">
        <v>0.28839999999999999</v>
      </c>
      <c r="AN1064" s="213">
        <v>9.5899999999999999E-2</v>
      </c>
      <c r="AO1064" s="352">
        <v>0.56920000000000004</v>
      </c>
      <c r="AP1064" s="213">
        <v>8.9499999999999996E-2</v>
      </c>
      <c r="AQ1064" s="219">
        <v>-0.86954197066098338</v>
      </c>
      <c r="AR1064" s="213" t="s">
        <v>1827</v>
      </c>
      <c r="AU1064" s="343"/>
      <c r="AV1064" s="343"/>
      <c r="AW1064" s="328"/>
      <c r="AX1064" s="329"/>
      <c r="AY1064" s="328"/>
      <c r="AZ1064" s="328"/>
      <c r="BA1064" s="330"/>
      <c r="BB1064" s="328"/>
      <c r="BC1064" s="328"/>
      <c r="BD1064" s="328"/>
      <c r="BE1064" s="330"/>
      <c r="BF1064" s="330"/>
      <c r="BG1064" s="344"/>
      <c r="BH1064" s="330"/>
      <c r="BI1064" s="330"/>
      <c r="BJ1064" s="330"/>
      <c r="BK1064" s="330"/>
      <c r="BL1064" s="330"/>
      <c r="BM1064" s="330"/>
      <c r="BN1064" s="330"/>
      <c r="BO1064" s="330"/>
      <c r="BP1064" s="331"/>
      <c r="BQ1064" s="332"/>
      <c r="BR1064" s="333"/>
    </row>
    <row r="1065" spans="2:70" ht="15.75" customHeight="1">
      <c r="B1065" s="216" t="s">
        <v>922</v>
      </c>
      <c r="C1065" s="212">
        <v>1068291</v>
      </c>
      <c r="D1065" s="223">
        <v>41574875000184</v>
      </c>
      <c r="E1065" s="217" t="s">
        <v>28</v>
      </c>
      <c r="F1065" s="217" t="s">
        <v>950</v>
      </c>
      <c r="G1065" s="217"/>
      <c r="H1065" s="218"/>
      <c r="I1065" s="217" t="s">
        <v>66</v>
      </c>
      <c r="J1065" s="217" t="s">
        <v>66</v>
      </c>
      <c r="K1065" s="218" t="s">
        <v>951</v>
      </c>
      <c r="L1065" s="212" t="s">
        <v>87</v>
      </c>
      <c r="M1065" s="250"/>
      <c r="N1065" s="239">
        <v>44355</v>
      </c>
      <c r="O1065" s="210" t="s">
        <v>366</v>
      </c>
      <c r="P1065" s="210" t="s">
        <v>1075</v>
      </c>
      <c r="Q1065" s="210" t="s">
        <v>1076</v>
      </c>
      <c r="R1065" s="210" t="s">
        <v>1084</v>
      </c>
      <c r="S1065" s="210" t="s">
        <v>1078</v>
      </c>
      <c r="T1065" s="210" t="s">
        <v>1079</v>
      </c>
      <c r="U1065" s="210" t="s">
        <v>950</v>
      </c>
      <c r="V1065" s="210" t="s">
        <v>1080</v>
      </c>
      <c r="W1065" s="211" t="s">
        <v>1030</v>
      </c>
      <c r="X1065" s="211">
        <v>50</v>
      </c>
      <c r="Y1065" s="211">
        <v>50</v>
      </c>
      <c r="Z1065" s="212">
        <v>30</v>
      </c>
      <c r="AA1065" s="240">
        <v>92</v>
      </c>
      <c r="AB1065" s="213">
        <v>0.02</v>
      </c>
      <c r="AC1065" s="213">
        <v>0.2</v>
      </c>
      <c r="AD1065" s="213" t="s">
        <v>113</v>
      </c>
      <c r="AE1065" s="213">
        <v>5.3333333333333332E-3</v>
      </c>
      <c r="AF1065" s="241">
        <v>1211977.6299999999</v>
      </c>
      <c r="AG1065" s="241">
        <v>1211977.6299999999</v>
      </c>
      <c r="AH1065" s="213">
        <v>-3.8699999999999998E-2</v>
      </c>
      <c r="AI1065" s="352">
        <v>-0.59630000000000005</v>
      </c>
      <c r="AJ1065" s="213">
        <v>-0.17249999999999999</v>
      </c>
      <c r="AK1065" s="352">
        <v>-1.8331</v>
      </c>
      <c r="AL1065" s="213" t="s">
        <v>66</v>
      </c>
      <c r="AM1065" s="352" t="s">
        <v>66</v>
      </c>
      <c r="AN1065" s="213" t="s">
        <v>66</v>
      </c>
      <c r="AO1065" s="352" t="s">
        <v>66</v>
      </c>
      <c r="AP1065" s="213">
        <v>0.2697</v>
      </c>
      <c r="AQ1065" s="219">
        <v>-0.90012924759591839</v>
      </c>
      <c r="AR1065" s="213" t="s">
        <v>1824</v>
      </c>
      <c r="AV1065" s="343"/>
      <c r="AW1065" s="328"/>
      <c r="AX1065" s="329"/>
      <c r="AY1065" s="328"/>
      <c r="AZ1065" s="328"/>
      <c r="BA1065" s="330"/>
      <c r="BB1065" s="328"/>
      <c r="BC1065" s="328"/>
      <c r="BD1065" s="328"/>
      <c r="BE1065" s="330"/>
      <c r="BF1065" s="330"/>
      <c r="BG1065" s="344"/>
      <c r="BH1065" s="330"/>
      <c r="BI1065" s="330"/>
      <c r="BJ1065" s="330"/>
      <c r="BK1065" s="330"/>
      <c r="BL1065" s="330"/>
      <c r="BM1065" s="330"/>
      <c r="BN1065" s="330"/>
      <c r="BO1065" s="330"/>
      <c r="BP1065" s="331"/>
      <c r="BQ1065" s="332"/>
      <c r="BR1065" s="333"/>
    </row>
    <row r="1066" spans="2:70" ht="15.75" customHeight="1">
      <c r="B1066" s="216" t="s">
        <v>1668</v>
      </c>
      <c r="C1066" s="212">
        <v>532470</v>
      </c>
      <c r="D1066" s="223">
        <v>29177013000112</v>
      </c>
      <c r="E1066" s="217" t="s">
        <v>28</v>
      </c>
      <c r="F1066" s="217" t="s">
        <v>950</v>
      </c>
      <c r="G1066" s="217"/>
      <c r="H1066" s="218"/>
      <c r="I1066" s="217" t="s">
        <v>66</v>
      </c>
      <c r="J1066" s="217" t="s">
        <v>66</v>
      </c>
      <c r="K1066" s="218" t="s">
        <v>951</v>
      </c>
      <c r="L1066" s="212" t="s">
        <v>87</v>
      </c>
      <c r="M1066" s="250"/>
      <c r="N1066" s="239">
        <v>43214</v>
      </c>
      <c r="O1066" s="210" t="s">
        <v>366</v>
      </c>
      <c r="P1066" s="210" t="s">
        <v>1075</v>
      </c>
      <c r="Q1066" s="210" t="s">
        <v>1076</v>
      </c>
      <c r="R1066" s="210" t="s">
        <v>1084</v>
      </c>
      <c r="S1066" s="210" t="s">
        <v>1085</v>
      </c>
      <c r="T1066" s="210" t="s">
        <v>1079</v>
      </c>
      <c r="U1066" s="210" t="s">
        <v>950</v>
      </c>
      <c r="V1066" s="210" t="s">
        <v>1080</v>
      </c>
      <c r="W1066" s="211" t="s">
        <v>1030</v>
      </c>
      <c r="X1066" s="211">
        <v>50</v>
      </c>
      <c r="Y1066" s="211">
        <v>50</v>
      </c>
      <c r="Z1066" s="212">
        <v>30</v>
      </c>
      <c r="AA1066" s="240">
        <v>32</v>
      </c>
      <c r="AB1066" s="213">
        <v>0.02</v>
      </c>
      <c r="AC1066" s="213">
        <v>0.2</v>
      </c>
      <c r="AD1066" s="213" t="s">
        <v>113</v>
      </c>
      <c r="AE1066" s="213">
        <v>5.3333333333333332E-3</v>
      </c>
      <c r="AF1066" s="241">
        <v>157624544.46000001</v>
      </c>
      <c r="AG1066" s="241">
        <v>157624544.46000001</v>
      </c>
      <c r="AH1066" s="213">
        <v>-3.4700000000000002E-2</v>
      </c>
      <c r="AI1066" s="352">
        <v>-0.53449999999999998</v>
      </c>
      <c r="AJ1066" s="213">
        <v>-0.13669999999999999</v>
      </c>
      <c r="AK1066" s="352">
        <v>-1.4533</v>
      </c>
      <c r="AL1066" s="213">
        <v>0.66869999999999996</v>
      </c>
      <c r="AM1066" s="352">
        <v>5.5354999999999999</v>
      </c>
      <c r="AN1066" s="213">
        <v>1.0711999999999999</v>
      </c>
      <c r="AO1066" s="352">
        <v>6.3564999999999996</v>
      </c>
      <c r="AP1066" s="213">
        <v>0.24979999999999999</v>
      </c>
      <c r="AQ1066" s="219">
        <v>-0.8240296532004977</v>
      </c>
      <c r="AR1066" s="213" t="s">
        <v>1824</v>
      </c>
      <c r="AV1066" s="343"/>
      <c r="AW1066" s="328"/>
      <c r="AX1066" s="329"/>
      <c r="AY1066" s="328"/>
      <c r="AZ1066" s="328"/>
      <c r="BA1066" s="330"/>
      <c r="BB1066" s="328"/>
      <c r="BC1066" s="328"/>
      <c r="BD1066" s="328"/>
      <c r="BE1066" s="330"/>
      <c r="BF1066" s="330"/>
      <c r="BG1066" s="344"/>
      <c r="BH1066" s="330"/>
      <c r="BI1066" s="330"/>
      <c r="BJ1066" s="330"/>
      <c r="BK1066" s="330"/>
      <c r="BL1066" s="330"/>
      <c r="BM1066" s="330"/>
      <c r="BN1066" s="330"/>
      <c r="BO1066" s="330"/>
      <c r="BP1066" s="331"/>
      <c r="BQ1066" s="332"/>
      <c r="BR1066" s="333"/>
    </row>
    <row r="1067" spans="2:70" ht="15.75" customHeight="1">
      <c r="B1067" s="216" t="s">
        <v>923</v>
      </c>
      <c r="C1067" s="212">
        <v>1183836</v>
      </c>
      <c r="D1067" s="223">
        <v>42887842000157</v>
      </c>
      <c r="E1067" s="217" t="s">
        <v>28</v>
      </c>
      <c r="F1067" s="217" t="s">
        <v>950</v>
      </c>
      <c r="G1067" s="217"/>
      <c r="H1067" s="218"/>
      <c r="I1067" s="217" t="s">
        <v>66</v>
      </c>
      <c r="J1067" s="217" t="s">
        <v>66</v>
      </c>
      <c r="K1067" s="218" t="s">
        <v>951</v>
      </c>
      <c r="L1067" s="212" t="s">
        <v>87</v>
      </c>
      <c r="M1067" s="250"/>
      <c r="N1067" s="239">
        <v>44440</v>
      </c>
      <c r="O1067" s="210" t="s">
        <v>366</v>
      </c>
      <c r="P1067" s="210" t="s">
        <v>1075</v>
      </c>
      <c r="Q1067" s="210" t="s">
        <v>1076</v>
      </c>
      <c r="R1067" s="210" t="s">
        <v>1084</v>
      </c>
      <c r="S1067" s="210" t="s">
        <v>1078</v>
      </c>
      <c r="T1067" s="210" t="s">
        <v>1079</v>
      </c>
      <c r="U1067" s="210" t="s">
        <v>950</v>
      </c>
      <c r="V1067" s="210" t="s">
        <v>1080</v>
      </c>
      <c r="W1067" s="211" t="s">
        <v>1030</v>
      </c>
      <c r="X1067" s="211">
        <v>50</v>
      </c>
      <c r="Y1067" s="211">
        <v>50</v>
      </c>
      <c r="Z1067" s="212">
        <v>30</v>
      </c>
      <c r="AA1067" s="240">
        <v>32</v>
      </c>
      <c r="AB1067" s="213">
        <v>0.02</v>
      </c>
      <c r="AC1067" s="213">
        <v>0.2</v>
      </c>
      <c r="AD1067" s="213" t="s">
        <v>113</v>
      </c>
      <c r="AE1067" s="213">
        <v>5.3333333333333332E-3</v>
      </c>
      <c r="AF1067" s="241">
        <v>30528091.68</v>
      </c>
      <c r="AG1067" s="241">
        <v>30528091.68</v>
      </c>
      <c r="AH1067" s="213">
        <v>-0.12189999999999999</v>
      </c>
      <c r="AI1067" s="352">
        <v>-1.8771</v>
      </c>
      <c r="AJ1067" s="213" t="s">
        <v>66</v>
      </c>
      <c r="AK1067" s="352" t="s">
        <v>66</v>
      </c>
      <c r="AL1067" s="213" t="s">
        <v>66</v>
      </c>
      <c r="AM1067" s="352" t="s">
        <v>66</v>
      </c>
      <c r="AN1067" s="213" t="s">
        <v>66</v>
      </c>
      <c r="AO1067" s="352" t="s">
        <v>66</v>
      </c>
      <c r="AP1067" s="213" t="s">
        <v>66</v>
      </c>
      <c r="AQ1067" s="219" t="s">
        <v>66</v>
      </c>
      <c r="AR1067" s="213" t="s">
        <v>1824</v>
      </c>
      <c r="AU1067" s="343"/>
      <c r="AV1067" s="343"/>
      <c r="AW1067" s="328"/>
      <c r="AX1067" s="329"/>
      <c r="AY1067" s="328"/>
      <c r="AZ1067" s="328"/>
      <c r="BA1067" s="330"/>
      <c r="BB1067" s="328"/>
      <c r="BC1067" s="328"/>
      <c r="BD1067" s="328"/>
      <c r="BE1067" s="330"/>
      <c r="BF1067" s="330"/>
      <c r="BG1067" s="344"/>
      <c r="BH1067" s="383"/>
      <c r="BI1067" s="330"/>
      <c r="BJ1067" s="330"/>
      <c r="BK1067" s="330"/>
      <c r="BL1067" s="330"/>
      <c r="BM1067" s="330"/>
      <c r="BN1067" s="330"/>
      <c r="BO1067" s="330"/>
      <c r="BP1067" s="331"/>
      <c r="BQ1067" s="332"/>
      <c r="BR1067" s="333"/>
    </row>
    <row r="1068" spans="2:70" ht="15.75" customHeight="1">
      <c r="B1068" s="216" t="s">
        <v>1669</v>
      </c>
      <c r="C1068" s="212">
        <v>1644734</v>
      </c>
      <c r="D1068" s="223">
        <v>40265153000185</v>
      </c>
      <c r="E1068" s="217" t="s">
        <v>28</v>
      </c>
      <c r="F1068" s="217" t="s">
        <v>950</v>
      </c>
      <c r="G1068" s="217"/>
      <c r="H1068" s="218"/>
      <c r="I1068" s="217" t="s">
        <v>66</v>
      </c>
      <c r="J1068" s="217" t="s">
        <v>66</v>
      </c>
      <c r="K1068" s="218" t="s">
        <v>951</v>
      </c>
      <c r="L1068" s="212" t="s">
        <v>87</v>
      </c>
      <c r="M1068" s="250"/>
      <c r="N1068" s="239">
        <v>44232</v>
      </c>
      <c r="O1068" s="210" t="s">
        <v>366</v>
      </c>
      <c r="P1068" s="210" t="s">
        <v>1075</v>
      </c>
      <c r="Q1068" s="210" t="s">
        <v>1076</v>
      </c>
      <c r="R1068" s="210" t="s">
        <v>1084</v>
      </c>
      <c r="S1068" s="210" t="s">
        <v>1078</v>
      </c>
      <c r="T1068" s="210" t="s">
        <v>1079</v>
      </c>
      <c r="U1068" s="210" t="s">
        <v>950</v>
      </c>
      <c r="V1068" s="210" t="s">
        <v>1080</v>
      </c>
      <c r="W1068" s="211" t="s">
        <v>1007</v>
      </c>
      <c r="X1068" s="211">
        <v>50</v>
      </c>
      <c r="Y1068" s="211">
        <v>50</v>
      </c>
      <c r="Z1068" s="212">
        <v>30</v>
      </c>
      <c r="AA1068" s="240">
        <v>32</v>
      </c>
      <c r="AB1068" s="213">
        <v>0.02</v>
      </c>
      <c r="AC1068" s="213">
        <v>0.2</v>
      </c>
      <c r="AD1068" s="213" t="s">
        <v>113</v>
      </c>
      <c r="AE1068" s="213">
        <v>5.3333333333333332E-3</v>
      </c>
      <c r="AF1068" s="241">
        <v>26505964.559999999</v>
      </c>
      <c r="AG1068" s="241">
        <v>26505964.559999999</v>
      </c>
      <c r="AH1068" s="213">
        <v>-7.6499999999999999E-2</v>
      </c>
      <c r="AI1068" s="352">
        <v>-1.1780999999999999</v>
      </c>
      <c r="AJ1068" s="213">
        <v>-0.1142</v>
      </c>
      <c r="AK1068" s="352">
        <v>-1.2141999999999999</v>
      </c>
      <c r="AL1068" s="213" t="s">
        <v>66</v>
      </c>
      <c r="AM1068" s="352" t="s">
        <v>66</v>
      </c>
      <c r="AN1068" s="213" t="s">
        <v>66</v>
      </c>
      <c r="AO1068" s="352" t="s">
        <v>66</v>
      </c>
      <c r="AP1068" s="213">
        <v>0.1875</v>
      </c>
      <c r="AQ1068" s="219">
        <v>-1.0331786655768604</v>
      </c>
      <c r="AR1068" s="213" t="s">
        <v>1824</v>
      </c>
      <c r="AV1068" s="343"/>
      <c r="AW1068" s="328"/>
      <c r="AX1068" s="329"/>
      <c r="AY1068" s="328"/>
      <c r="AZ1068" s="328"/>
      <c r="BA1068" s="330"/>
      <c r="BB1068" s="328"/>
      <c r="BC1068" s="328"/>
      <c r="BD1068" s="328"/>
      <c r="BE1068" s="330"/>
      <c r="BF1068" s="330"/>
      <c r="BG1068" s="344"/>
      <c r="BH1068" s="330"/>
      <c r="BI1068" s="330"/>
      <c r="BJ1068" s="330"/>
      <c r="BK1068" s="330"/>
      <c r="BL1068" s="330"/>
      <c r="BM1068" s="330"/>
      <c r="BN1068" s="330"/>
      <c r="BO1068" s="330"/>
      <c r="BP1068" s="331"/>
      <c r="BQ1068" s="332"/>
      <c r="BR1068" s="333"/>
    </row>
    <row r="1069" spans="2:70" ht="15.75" customHeight="1">
      <c r="B1069" s="216" t="s">
        <v>1805</v>
      </c>
      <c r="C1069" s="212">
        <v>4165780</v>
      </c>
      <c r="D1069" s="223">
        <v>46521638000179</v>
      </c>
      <c r="E1069" s="217" t="s">
        <v>19</v>
      </c>
      <c r="F1069" s="217" t="s">
        <v>963</v>
      </c>
      <c r="G1069" s="217" t="s">
        <v>1011</v>
      </c>
      <c r="H1069" s="218" t="s">
        <v>1113</v>
      </c>
      <c r="I1069" s="217" t="s">
        <v>66</v>
      </c>
      <c r="J1069" s="217"/>
      <c r="K1069" s="218" t="s">
        <v>951</v>
      </c>
      <c r="L1069" s="212" t="s">
        <v>87</v>
      </c>
      <c r="M1069" s="250"/>
      <c r="N1069" s="239">
        <v>44742</v>
      </c>
      <c r="O1069" s="210" t="s">
        <v>1806</v>
      </c>
      <c r="P1069" s="210" t="s">
        <v>1736</v>
      </c>
      <c r="Q1069" s="210" t="s">
        <v>1737</v>
      </c>
      <c r="R1069" s="210" t="s">
        <v>1745</v>
      </c>
      <c r="S1069" s="210" t="s">
        <v>1078</v>
      </c>
      <c r="T1069" s="210" t="s">
        <v>349</v>
      </c>
      <c r="U1069" s="210" t="s">
        <v>1114</v>
      </c>
      <c r="V1069" s="210" t="s">
        <v>25</v>
      </c>
      <c r="W1069" s="211" t="s">
        <v>1768</v>
      </c>
      <c r="X1069" s="211">
        <v>50</v>
      </c>
      <c r="Y1069" s="211">
        <v>50</v>
      </c>
      <c r="Z1069" s="212">
        <v>30</v>
      </c>
      <c r="AA1069" s="240">
        <v>31</v>
      </c>
      <c r="AB1069" s="213">
        <v>0.01</v>
      </c>
      <c r="AC1069" s="213">
        <v>0.2</v>
      </c>
      <c r="AD1069" s="213" t="s">
        <v>1100</v>
      </c>
      <c r="AE1069" s="213">
        <v>2.6666666666666666E-3</v>
      </c>
      <c r="AF1069" s="241">
        <v>6628815.7300000004</v>
      </c>
      <c r="AG1069" s="241">
        <v>6628815.7300000004</v>
      </c>
      <c r="AH1069" s="213" t="s">
        <v>66</v>
      </c>
      <c r="AI1069" s="352" t="s">
        <v>66</v>
      </c>
      <c r="AJ1069" s="213" t="s">
        <v>66</v>
      </c>
      <c r="AK1069" s="352" t="s">
        <v>66</v>
      </c>
      <c r="AL1069" s="213" t="s">
        <v>66</v>
      </c>
      <c r="AM1069" s="352" t="s">
        <v>66</v>
      </c>
      <c r="AN1069" s="213" t="s">
        <v>66</v>
      </c>
      <c r="AO1069" s="352" t="s">
        <v>66</v>
      </c>
      <c r="AP1069" s="213" t="s">
        <v>66</v>
      </c>
      <c r="AQ1069" s="219" t="s">
        <v>66</v>
      </c>
      <c r="AR1069" s="213" t="s">
        <v>1824</v>
      </c>
      <c r="AV1069" s="343"/>
      <c r="AW1069" s="328"/>
      <c r="AX1069" s="329"/>
      <c r="AY1069" s="328"/>
      <c r="AZ1069" s="328"/>
      <c r="BA1069" s="330"/>
      <c r="BB1069" s="328"/>
      <c r="BC1069" s="328"/>
      <c r="BD1069" s="328"/>
      <c r="BE1069" s="330"/>
      <c r="BF1069" s="330"/>
      <c r="BG1069" s="344"/>
      <c r="BH1069" s="330"/>
      <c r="BI1069" s="330"/>
      <c r="BJ1069" s="330"/>
      <c r="BK1069" s="330"/>
      <c r="BL1069" s="330"/>
      <c r="BM1069" s="330"/>
      <c r="BN1069" s="330"/>
      <c r="BO1069" s="330"/>
      <c r="BP1069" s="331"/>
      <c r="BQ1069" s="332"/>
      <c r="BR1069" s="333"/>
    </row>
    <row r="1070" spans="2:70" ht="15.75" customHeight="1">
      <c r="B1070" s="216" t="s">
        <v>685</v>
      </c>
      <c r="C1070" s="212">
        <v>3500660</v>
      </c>
      <c r="D1070" s="223">
        <v>36492413000188</v>
      </c>
      <c r="E1070" s="217" t="s">
        <v>28</v>
      </c>
      <c r="F1070" s="217" t="s">
        <v>950</v>
      </c>
      <c r="G1070" s="217"/>
      <c r="H1070" s="218"/>
      <c r="I1070" s="217" t="s">
        <v>66</v>
      </c>
      <c r="J1070" s="217" t="s">
        <v>66</v>
      </c>
      <c r="K1070" s="218" t="s">
        <v>951</v>
      </c>
      <c r="L1070" s="212" t="s">
        <v>87</v>
      </c>
      <c r="M1070" s="250"/>
      <c r="N1070" s="239">
        <v>43938</v>
      </c>
      <c r="O1070" s="210" t="s">
        <v>686</v>
      </c>
      <c r="P1070" s="210" t="s">
        <v>1075</v>
      </c>
      <c r="Q1070" s="210" t="s">
        <v>1076</v>
      </c>
      <c r="R1070" s="210" t="s">
        <v>1084</v>
      </c>
      <c r="S1070" s="210" t="s">
        <v>1078</v>
      </c>
      <c r="T1070" s="210" t="s">
        <v>1079</v>
      </c>
      <c r="U1070" s="210" t="s">
        <v>950</v>
      </c>
      <c r="V1070" s="210" t="s">
        <v>1080</v>
      </c>
      <c r="W1070" s="211" t="s">
        <v>1007</v>
      </c>
      <c r="X1070" s="211">
        <v>1000</v>
      </c>
      <c r="Y1070" s="211">
        <v>500</v>
      </c>
      <c r="Z1070" s="212">
        <v>0</v>
      </c>
      <c r="AA1070" s="240">
        <v>3</v>
      </c>
      <c r="AB1070" s="213">
        <v>1.4999999999999999E-2</v>
      </c>
      <c r="AC1070" s="213">
        <v>0.1</v>
      </c>
      <c r="AD1070" s="213" t="s">
        <v>113</v>
      </c>
      <c r="AE1070" s="213">
        <v>2.9999999999999996E-3</v>
      </c>
      <c r="AF1070" s="241">
        <v>140892914.06999999</v>
      </c>
      <c r="AG1070" s="241">
        <v>140892914.06999999</v>
      </c>
      <c r="AH1070" s="213">
        <v>-0.1159</v>
      </c>
      <c r="AI1070" s="352">
        <v>-1.7854000000000001</v>
      </c>
      <c r="AJ1070" s="213">
        <v>-0.26840000000000003</v>
      </c>
      <c r="AK1070" s="352">
        <v>-2.8523000000000001</v>
      </c>
      <c r="AL1070" s="213">
        <v>-0.1777</v>
      </c>
      <c r="AM1070" s="352">
        <v>-1.4708000000000001</v>
      </c>
      <c r="AN1070" s="213" t="s">
        <v>66</v>
      </c>
      <c r="AO1070" s="352" t="s">
        <v>66</v>
      </c>
      <c r="AP1070" s="213">
        <v>0.2026</v>
      </c>
      <c r="AQ1070" s="219">
        <v>-1.8836774831049699</v>
      </c>
      <c r="AR1070" s="213" t="s">
        <v>1827</v>
      </c>
      <c r="AU1070" s="343"/>
      <c r="AV1070" s="343"/>
      <c r="AW1070" s="328"/>
      <c r="AX1070" s="329"/>
      <c r="AY1070" s="328"/>
      <c r="AZ1070" s="328"/>
      <c r="BA1070" s="330"/>
      <c r="BB1070" s="328"/>
      <c r="BC1070" s="328"/>
      <c r="BD1070" s="328"/>
      <c r="BE1070" s="330"/>
      <c r="BF1070" s="330"/>
      <c r="BG1070" s="344"/>
      <c r="BH1070" s="383"/>
      <c r="BI1070" s="330"/>
      <c r="BJ1070" s="330"/>
      <c r="BK1070" s="330"/>
      <c r="BL1070" s="330"/>
      <c r="BM1070" s="330"/>
      <c r="BN1070" s="330"/>
      <c r="BO1070" s="330"/>
      <c r="BP1070" s="331"/>
      <c r="BQ1070" s="332"/>
      <c r="BR1070" s="333"/>
    </row>
    <row r="1071" spans="2:70" ht="15.75" customHeight="1">
      <c r="B1071" s="216" t="s">
        <v>687</v>
      </c>
      <c r="C1071" s="212">
        <v>3500563</v>
      </c>
      <c r="D1071" s="223">
        <v>31951995000108</v>
      </c>
      <c r="E1071" s="217" t="s">
        <v>25</v>
      </c>
      <c r="F1071" s="217" t="s">
        <v>958</v>
      </c>
      <c r="G1071" s="217" t="s">
        <v>962</v>
      </c>
      <c r="H1071" s="218" t="s">
        <v>66</v>
      </c>
      <c r="I1071" s="217" t="s">
        <v>1841</v>
      </c>
      <c r="J1071" s="217" t="s">
        <v>66</v>
      </c>
      <c r="K1071" s="218"/>
      <c r="L1071" s="212" t="s">
        <v>87</v>
      </c>
      <c r="M1071" s="250"/>
      <c r="N1071" s="239">
        <v>43437</v>
      </c>
      <c r="O1071" s="210" t="s">
        <v>688</v>
      </c>
      <c r="P1071" s="210" t="s">
        <v>1075</v>
      </c>
      <c r="Q1071" s="210" t="s">
        <v>1076</v>
      </c>
      <c r="R1071" s="210" t="s">
        <v>1084</v>
      </c>
      <c r="S1071" s="210" t="s">
        <v>1078</v>
      </c>
      <c r="T1071" s="210" t="s">
        <v>1082</v>
      </c>
      <c r="U1071" s="210" t="s">
        <v>958</v>
      </c>
      <c r="V1071" s="210" t="s">
        <v>25</v>
      </c>
      <c r="W1071" s="211" t="s">
        <v>1012</v>
      </c>
      <c r="X1071" s="211">
        <v>1000</v>
      </c>
      <c r="Y1071" s="211">
        <v>1000</v>
      </c>
      <c r="Z1071" s="212">
        <v>1000</v>
      </c>
      <c r="AA1071" s="240">
        <v>3</v>
      </c>
      <c r="AB1071" s="213">
        <v>0.02</v>
      </c>
      <c r="AC1071" s="213">
        <v>0.2</v>
      </c>
      <c r="AD1071" s="213" t="s">
        <v>113</v>
      </c>
      <c r="AE1071" s="213">
        <v>2.6666666666666666E-3</v>
      </c>
      <c r="AF1071" s="241">
        <v>39338863.869999997</v>
      </c>
      <c r="AG1071" s="241">
        <v>39338863.869999997</v>
      </c>
      <c r="AH1071" s="213">
        <v>2.3E-2</v>
      </c>
      <c r="AI1071" s="352">
        <v>0.35439999999999999</v>
      </c>
      <c r="AJ1071" s="213">
        <v>3.1699999999999999E-2</v>
      </c>
      <c r="AK1071" s="352">
        <v>0.33729999999999999</v>
      </c>
      <c r="AL1071" s="213">
        <v>3.7499999999999999E-2</v>
      </c>
      <c r="AM1071" s="352">
        <v>0.31030000000000002</v>
      </c>
      <c r="AN1071" s="213">
        <v>-1.95E-2</v>
      </c>
      <c r="AO1071" s="352">
        <v>-0.11550000000000001</v>
      </c>
      <c r="AP1071" s="213">
        <v>3.5200000000000002E-2</v>
      </c>
      <c r="AQ1071" s="219">
        <v>-1.6499478528118192</v>
      </c>
      <c r="AR1071" s="213" t="s">
        <v>1827</v>
      </c>
      <c r="AV1071" s="343"/>
      <c r="AW1071" s="328"/>
      <c r="AX1071" s="329"/>
      <c r="AY1071" s="328"/>
      <c r="AZ1071" s="328"/>
      <c r="BA1071" s="330"/>
      <c r="BB1071" s="328"/>
      <c r="BC1071" s="328"/>
      <c r="BD1071" s="328"/>
      <c r="BE1071" s="330"/>
      <c r="BF1071" s="330"/>
      <c r="BG1071" s="344"/>
      <c r="BH1071" s="330"/>
      <c r="BI1071" s="330"/>
      <c r="BJ1071" s="330"/>
      <c r="BK1071" s="330"/>
      <c r="BL1071" s="330"/>
      <c r="BM1071" s="330"/>
      <c r="BN1071" s="330"/>
      <c r="BO1071" s="330"/>
      <c r="BP1071" s="331"/>
      <c r="BQ1071" s="332"/>
      <c r="BR1071" s="333"/>
    </row>
    <row r="1072" spans="2:70" ht="15.75" customHeight="1">
      <c r="B1072" s="216" t="s">
        <v>689</v>
      </c>
      <c r="C1072" s="212">
        <v>3500568</v>
      </c>
      <c r="D1072" s="223">
        <v>31907986000101</v>
      </c>
      <c r="E1072" s="217" t="s">
        <v>28</v>
      </c>
      <c r="F1072" s="217" t="s">
        <v>950</v>
      </c>
      <c r="G1072" s="217"/>
      <c r="H1072" s="218"/>
      <c r="I1072" s="217" t="s">
        <v>66</v>
      </c>
      <c r="J1072" s="217" t="s">
        <v>66</v>
      </c>
      <c r="K1072" s="218" t="s">
        <v>951</v>
      </c>
      <c r="L1072" s="212" t="s">
        <v>87</v>
      </c>
      <c r="M1072" s="250"/>
      <c r="N1072" s="239">
        <v>43437</v>
      </c>
      <c r="O1072" s="210" t="s">
        <v>688</v>
      </c>
      <c r="P1072" s="210" t="s">
        <v>1075</v>
      </c>
      <c r="Q1072" s="210" t="s">
        <v>1076</v>
      </c>
      <c r="R1072" s="210" t="s">
        <v>1084</v>
      </c>
      <c r="S1072" s="210" t="s">
        <v>1078</v>
      </c>
      <c r="T1072" s="210" t="s">
        <v>1079</v>
      </c>
      <c r="U1072" s="210" t="s">
        <v>950</v>
      </c>
      <c r="V1072" s="210" t="s">
        <v>1080</v>
      </c>
      <c r="W1072" s="211" t="s">
        <v>1007</v>
      </c>
      <c r="X1072" s="211">
        <v>1000</v>
      </c>
      <c r="Y1072" s="211">
        <v>1000</v>
      </c>
      <c r="Z1072" s="212">
        <v>1000</v>
      </c>
      <c r="AA1072" s="240">
        <v>3</v>
      </c>
      <c r="AB1072" s="213">
        <v>0.02</v>
      </c>
      <c r="AC1072" s="213">
        <v>0.2</v>
      </c>
      <c r="AD1072" s="213" t="s">
        <v>113</v>
      </c>
      <c r="AE1072" s="213">
        <v>2.6666666666666666E-3</v>
      </c>
      <c r="AF1072" s="241">
        <v>3000655.16</v>
      </c>
      <c r="AG1072" s="241">
        <v>3000655.16</v>
      </c>
      <c r="AH1072" s="213">
        <v>-0.20219999999999999</v>
      </c>
      <c r="AI1072" s="352">
        <v>-3.1139000000000001</v>
      </c>
      <c r="AJ1072" s="213">
        <v>-0.34599999999999997</v>
      </c>
      <c r="AK1072" s="352">
        <v>-3.6774</v>
      </c>
      <c r="AL1072" s="213">
        <v>-0.2407</v>
      </c>
      <c r="AM1072" s="352">
        <v>-1.9926999999999999</v>
      </c>
      <c r="AN1072" s="213">
        <v>-0.24460000000000001</v>
      </c>
      <c r="AO1072" s="352">
        <v>-1.4517</v>
      </c>
      <c r="AP1072" s="213">
        <v>0.28470000000000001</v>
      </c>
      <c r="AQ1072" s="219">
        <v>-1.6637458854638865</v>
      </c>
      <c r="AR1072" s="213" t="s">
        <v>1827</v>
      </c>
      <c r="AV1072" s="343"/>
      <c r="AW1072" s="328"/>
      <c r="AX1072" s="329"/>
      <c r="AY1072" s="328"/>
      <c r="AZ1072" s="328"/>
      <c r="BA1072" s="330"/>
      <c r="BB1072" s="328"/>
      <c r="BC1072" s="328"/>
      <c r="BD1072" s="328"/>
      <c r="BE1072" s="330"/>
      <c r="BF1072" s="330"/>
      <c r="BG1072" s="344"/>
      <c r="BH1072" s="330"/>
      <c r="BI1072" s="330"/>
      <c r="BJ1072" s="330"/>
      <c r="BK1072" s="330"/>
      <c r="BL1072" s="330"/>
      <c r="BM1072" s="330"/>
      <c r="BN1072" s="330"/>
      <c r="BO1072" s="330"/>
      <c r="BP1072" s="331"/>
      <c r="BQ1072" s="332"/>
      <c r="BR1072" s="333"/>
    </row>
    <row r="1073" spans="2:70" ht="15.75" customHeight="1">
      <c r="B1073" s="216" t="s">
        <v>1671</v>
      </c>
      <c r="C1073" s="212">
        <v>1170861</v>
      </c>
      <c r="D1073" s="223">
        <v>5382556000103</v>
      </c>
      <c r="E1073" s="217" t="s">
        <v>28</v>
      </c>
      <c r="F1073" s="217" t="s">
        <v>950</v>
      </c>
      <c r="G1073" s="217"/>
      <c r="H1073" s="218"/>
      <c r="I1073" s="217" t="s">
        <v>66</v>
      </c>
      <c r="J1073" s="217" t="s">
        <v>66</v>
      </c>
      <c r="K1073" s="218" t="s">
        <v>951</v>
      </c>
      <c r="L1073" s="212" t="s">
        <v>87</v>
      </c>
      <c r="M1073" s="250"/>
      <c r="N1073" s="239">
        <v>38538</v>
      </c>
      <c r="O1073" s="210" t="s">
        <v>627</v>
      </c>
      <c r="P1073" s="210" t="s">
        <v>1075</v>
      </c>
      <c r="Q1073" s="210" t="s">
        <v>1076</v>
      </c>
      <c r="R1073" s="210" t="s">
        <v>1084</v>
      </c>
      <c r="S1073" s="210" t="s">
        <v>1078</v>
      </c>
      <c r="T1073" s="210" t="s">
        <v>1079</v>
      </c>
      <c r="U1073" s="210" t="s">
        <v>950</v>
      </c>
      <c r="V1073" s="210" t="s">
        <v>1080</v>
      </c>
      <c r="W1073" s="211" t="s">
        <v>1007</v>
      </c>
      <c r="X1073" s="211">
        <v>1000</v>
      </c>
      <c r="Y1073" s="211">
        <v>100</v>
      </c>
      <c r="Z1073" s="212">
        <v>100</v>
      </c>
      <c r="AA1073" s="240">
        <v>32</v>
      </c>
      <c r="AB1073" s="213">
        <v>0.02</v>
      </c>
      <c r="AC1073" s="213">
        <v>0.2</v>
      </c>
      <c r="AD1073" s="213" t="s">
        <v>1014</v>
      </c>
      <c r="AE1073" s="213">
        <v>4.0000000000000001E-3</v>
      </c>
      <c r="AF1073" s="241">
        <v>20342172.289999999</v>
      </c>
      <c r="AG1073" s="241">
        <v>20342172.289999999</v>
      </c>
      <c r="AH1073" s="213">
        <v>-0.189</v>
      </c>
      <c r="AI1073" s="352">
        <v>-2.9114</v>
      </c>
      <c r="AJ1073" s="213">
        <v>-0.4002</v>
      </c>
      <c r="AK1073" s="352">
        <v>-4.2535999999999996</v>
      </c>
      <c r="AL1073" s="213">
        <v>-0.32100000000000001</v>
      </c>
      <c r="AM1073" s="352">
        <v>-2.657</v>
      </c>
      <c r="AN1073" s="213">
        <v>-0.22339999999999999</v>
      </c>
      <c r="AO1073" s="352">
        <v>-1.3254999999999999</v>
      </c>
      <c r="AP1073" s="213">
        <v>0.32650000000000001</v>
      </c>
      <c r="AQ1073" s="219">
        <v>-1.6765626464783483</v>
      </c>
      <c r="AR1073" s="213" t="s">
        <v>1827</v>
      </c>
      <c r="AV1073" s="343"/>
      <c r="AW1073" s="328"/>
      <c r="AX1073" s="329"/>
      <c r="AY1073" s="328"/>
      <c r="AZ1073" s="328"/>
      <c r="BA1073" s="330"/>
      <c r="BB1073" s="328"/>
      <c r="BC1073" s="328"/>
      <c r="BD1073" s="328"/>
      <c r="BE1073" s="330"/>
      <c r="BF1073" s="330"/>
      <c r="BG1073" s="344"/>
      <c r="BH1073" s="330"/>
      <c r="BI1073" s="330"/>
      <c r="BJ1073" s="330"/>
      <c r="BK1073" s="330"/>
      <c r="BL1073" s="330"/>
      <c r="BM1073" s="330"/>
      <c r="BN1073" s="330"/>
      <c r="BO1073" s="330"/>
      <c r="BP1073" s="331"/>
      <c r="BQ1073" s="332"/>
      <c r="BR1073" s="333"/>
    </row>
    <row r="1074" spans="2:70" ht="15.75" customHeight="1">
      <c r="B1074" s="216" t="s">
        <v>1672</v>
      </c>
      <c r="C1074" s="212">
        <v>1170853</v>
      </c>
      <c r="D1074" s="223">
        <v>31533459000184</v>
      </c>
      <c r="E1074" s="217" t="s">
        <v>25</v>
      </c>
      <c r="F1074" s="217" t="s">
        <v>958</v>
      </c>
      <c r="G1074" s="217" t="s">
        <v>962</v>
      </c>
      <c r="H1074" s="218" t="s">
        <v>66</v>
      </c>
      <c r="I1074" s="217" t="s">
        <v>1841</v>
      </c>
      <c r="J1074" s="217" t="s">
        <v>66</v>
      </c>
      <c r="K1074" s="218"/>
      <c r="L1074" s="212" t="s">
        <v>87</v>
      </c>
      <c r="M1074" s="250"/>
      <c r="N1074" s="239">
        <v>43426</v>
      </c>
      <c r="O1074" s="210" t="s">
        <v>627</v>
      </c>
      <c r="P1074" s="210" t="s">
        <v>1075</v>
      </c>
      <c r="Q1074" s="210" t="s">
        <v>1076</v>
      </c>
      <c r="R1074" s="210" t="s">
        <v>1084</v>
      </c>
      <c r="S1074" s="210" t="s">
        <v>1078</v>
      </c>
      <c r="T1074" s="210" t="s">
        <v>1082</v>
      </c>
      <c r="U1074" s="210" t="s">
        <v>1086</v>
      </c>
      <c r="V1074" s="210" t="s">
        <v>25</v>
      </c>
      <c r="W1074" s="211" t="s">
        <v>1016</v>
      </c>
      <c r="X1074" s="211">
        <v>1000</v>
      </c>
      <c r="Y1074" s="211">
        <v>1000</v>
      </c>
      <c r="Z1074" s="212">
        <v>1000</v>
      </c>
      <c r="AA1074" s="240">
        <v>2</v>
      </c>
      <c r="AB1074" s="213">
        <v>0.02</v>
      </c>
      <c r="AC1074" s="213">
        <v>0.2</v>
      </c>
      <c r="AD1074" s="213" t="s">
        <v>109</v>
      </c>
      <c r="AE1074" s="213">
        <v>4.0000000000000001E-3</v>
      </c>
      <c r="AF1074" s="241">
        <v>88985149.060000002</v>
      </c>
      <c r="AG1074" s="241">
        <v>88985149.060000002</v>
      </c>
      <c r="AH1074" s="213">
        <v>6.6299999999999998E-2</v>
      </c>
      <c r="AI1074" s="352">
        <v>1.0212000000000001</v>
      </c>
      <c r="AJ1074" s="213">
        <v>9.4700000000000006E-2</v>
      </c>
      <c r="AK1074" s="352">
        <v>1.0065</v>
      </c>
      <c r="AL1074" s="213">
        <v>0.12509999999999999</v>
      </c>
      <c r="AM1074" s="352">
        <v>1.0356000000000001</v>
      </c>
      <c r="AN1074" s="213">
        <v>0.19470000000000001</v>
      </c>
      <c r="AO1074" s="352">
        <v>1.1551</v>
      </c>
      <c r="AP1074" s="213">
        <v>8.9999999999999993E-3</v>
      </c>
      <c r="AQ1074" s="219">
        <v>6.5947799813295627E-2</v>
      </c>
      <c r="AR1074" s="213" t="s">
        <v>1827</v>
      </c>
      <c r="AV1074" s="343"/>
      <c r="AW1074" s="328"/>
      <c r="AX1074" s="329"/>
      <c r="AY1074" s="328"/>
      <c r="AZ1074" s="328"/>
      <c r="BA1074" s="330"/>
      <c r="BB1074" s="328"/>
      <c r="BC1074" s="328"/>
      <c r="BD1074" s="328"/>
      <c r="BE1074" s="330"/>
      <c r="BF1074" s="330"/>
      <c r="BG1074" s="344"/>
      <c r="BH1074" s="330"/>
      <c r="BI1074" s="330"/>
      <c r="BJ1074" s="330"/>
      <c r="BK1074" s="330"/>
      <c r="BL1074" s="330"/>
      <c r="BM1074" s="330"/>
      <c r="BN1074" s="330"/>
      <c r="BO1074" s="330"/>
      <c r="BP1074" s="331"/>
      <c r="BQ1074" s="332"/>
      <c r="BR1074" s="333"/>
    </row>
    <row r="1075" spans="2:70" ht="15.75" customHeight="1">
      <c r="B1075" s="216" t="s">
        <v>1673</v>
      </c>
      <c r="C1075" s="212">
        <v>774652</v>
      </c>
      <c r="D1075" s="223">
        <v>37504085000155</v>
      </c>
      <c r="E1075" s="217" t="s">
        <v>25</v>
      </c>
      <c r="F1075" s="217" t="s">
        <v>959</v>
      </c>
      <c r="G1075" s="217" t="s">
        <v>962</v>
      </c>
      <c r="H1075" s="218" t="s">
        <v>66</v>
      </c>
      <c r="I1075" s="217" t="s">
        <v>1842</v>
      </c>
      <c r="J1075" s="217" t="s">
        <v>66</v>
      </c>
      <c r="K1075" s="218" t="s">
        <v>954</v>
      </c>
      <c r="L1075" s="212" t="s">
        <v>88</v>
      </c>
      <c r="M1075" s="250"/>
      <c r="N1075" s="239">
        <v>44046</v>
      </c>
      <c r="O1075" s="210" t="s">
        <v>249</v>
      </c>
      <c r="P1075" s="210" t="s">
        <v>1075</v>
      </c>
      <c r="Q1075" s="210" t="s">
        <v>1076</v>
      </c>
      <c r="R1075" s="210" t="s">
        <v>1077</v>
      </c>
      <c r="S1075" s="210" t="s">
        <v>1078</v>
      </c>
      <c r="T1075" s="210" t="s">
        <v>1082</v>
      </c>
      <c r="U1075" s="210" t="s">
        <v>65</v>
      </c>
      <c r="V1075" s="210" t="s">
        <v>25</v>
      </c>
      <c r="W1075" s="211" t="s">
        <v>1028</v>
      </c>
      <c r="X1075" s="211">
        <v>5000</v>
      </c>
      <c r="Y1075" s="211">
        <v>5000</v>
      </c>
      <c r="Z1075" s="212">
        <v>5000</v>
      </c>
      <c r="AA1075" s="240">
        <v>6</v>
      </c>
      <c r="AB1075" s="213">
        <v>0.01</v>
      </c>
      <c r="AC1075" s="213">
        <v>0</v>
      </c>
      <c r="AD1075" s="213" t="s">
        <v>113</v>
      </c>
      <c r="AE1075" s="213">
        <v>6.6666666666666662E-3</v>
      </c>
      <c r="AF1075" s="241">
        <v>7172326.7000000002</v>
      </c>
      <c r="AG1075" s="241">
        <v>7172326.7000000002</v>
      </c>
      <c r="AH1075" s="213">
        <v>-0.186</v>
      </c>
      <c r="AI1075" s="352">
        <v>-2.8643000000000001</v>
      </c>
      <c r="AJ1075" s="213">
        <v>-0.11210000000000001</v>
      </c>
      <c r="AK1075" s="352">
        <v>-1.1914</v>
      </c>
      <c r="AL1075" s="213" t="s">
        <v>66</v>
      </c>
      <c r="AM1075" s="352" t="s">
        <v>66</v>
      </c>
      <c r="AN1075" s="213" t="s">
        <v>66</v>
      </c>
      <c r="AO1075" s="352" t="s">
        <v>66</v>
      </c>
      <c r="AP1075" s="213">
        <v>0.16089999999999999</v>
      </c>
      <c r="AQ1075" s="219">
        <v>-1.2177869330474285</v>
      </c>
      <c r="AR1075" s="213" t="s">
        <v>1824</v>
      </c>
      <c r="AV1075" s="343"/>
      <c r="AW1075" s="328"/>
      <c r="AX1075" s="329"/>
      <c r="AY1075" s="328"/>
      <c r="AZ1075" s="328"/>
      <c r="BA1075" s="330"/>
      <c r="BB1075" s="328"/>
      <c r="BC1075" s="328"/>
      <c r="BD1075" s="328"/>
      <c r="BE1075" s="330"/>
      <c r="BF1075" s="330"/>
      <c r="BG1075" s="344"/>
      <c r="BH1075" s="330"/>
      <c r="BI1075" s="330"/>
      <c r="BJ1075" s="330"/>
      <c r="BK1075" s="330"/>
      <c r="BL1075" s="330"/>
      <c r="BM1075" s="330"/>
      <c r="BN1075" s="330"/>
      <c r="BO1075" s="330"/>
      <c r="BP1075" s="331"/>
      <c r="BQ1075" s="332"/>
      <c r="BR1075" s="333"/>
    </row>
    <row r="1076" spans="2:70" ht="15.75" customHeight="1">
      <c r="B1076" s="216" t="s">
        <v>690</v>
      </c>
      <c r="C1076" s="212">
        <v>1166959</v>
      </c>
      <c r="D1076" s="223">
        <v>26210505000174</v>
      </c>
      <c r="E1076" s="217" t="s">
        <v>28</v>
      </c>
      <c r="F1076" s="217" t="s">
        <v>957</v>
      </c>
      <c r="G1076" s="217"/>
      <c r="H1076" s="218"/>
      <c r="I1076" s="217" t="s">
        <v>1842</v>
      </c>
      <c r="J1076" s="217" t="s">
        <v>66</v>
      </c>
      <c r="K1076" s="218" t="s">
        <v>951</v>
      </c>
      <c r="L1076" s="212" t="s">
        <v>87</v>
      </c>
      <c r="M1076" s="250"/>
      <c r="N1076" s="239">
        <v>42893</v>
      </c>
      <c r="O1076" s="210" t="s">
        <v>691</v>
      </c>
      <c r="P1076" s="210" t="s">
        <v>1083</v>
      </c>
      <c r="Q1076" s="210" t="s">
        <v>102</v>
      </c>
      <c r="R1076" s="210" t="s">
        <v>1077</v>
      </c>
      <c r="S1076" s="210" t="s">
        <v>1085</v>
      </c>
      <c r="T1076" s="210" t="s">
        <v>1079</v>
      </c>
      <c r="U1076" s="210" t="s">
        <v>957</v>
      </c>
      <c r="V1076" s="210" t="s">
        <v>25</v>
      </c>
      <c r="W1076" s="211" t="s">
        <v>1016</v>
      </c>
      <c r="X1076" s="211">
        <v>5000</v>
      </c>
      <c r="Y1076" s="211">
        <v>1000</v>
      </c>
      <c r="Z1076" s="212">
        <v>5000</v>
      </c>
      <c r="AA1076" s="240">
        <v>32</v>
      </c>
      <c r="AB1076" s="213">
        <v>1.9E-2</v>
      </c>
      <c r="AC1076" s="213">
        <v>0.2</v>
      </c>
      <c r="AD1076" s="213" t="s">
        <v>203</v>
      </c>
      <c r="AE1076" s="213">
        <v>4.7499999999999999E-3</v>
      </c>
      <c r="AF1076" s="241">
        <v>261805459.21000001</v>
      </c>
      <c r="AG1076" s="241">
        <v>261805459.21000001</v>
      </c>
      <c r="AH1076" s="213">
        <v>6.2799999999999995E-2</v>
      </c>
      <c r="AI1076" s="352">
        <v>0.96799999999999997</v>
      </c>
      <c r="AJ1076" s="213">
        <v>-0.1903</v>
      </c>
      <c r="AK1076" s="352">
        <v>-2.0228999999999999</v>
      </c>
      <c r="AL1076" s="213">
        <v>-3.6799999999999999E-2</v>
      </c>
      <c r="AM1076" s="352">
        <v>-0.3049</v>
      </c>
      <c r="AN1076" s="213">
        <v>0.28179999999999999</v>
      </c>
      <c r="AO1076" s="352">
        <v>1.6722999999999999</v>
      </c>
      <c r="AP1076" s="213">
        <v>0.21540000000000001</v>
      </c>
      <c r="AQ1076" s="219">
        <v>-1.2892150452141637</v>
      </c>
      <c r="AR1076" s="213" t="s">
        <v>1827</v>
      </c>
      <c r="AV1076" s="343"/>
      <c r="AW1076" s="328"/>
      <c r="AX1076" s="329"/>
      <c r="AY1076" s="328"/>
      <c r="AZ1076" s="328"/>
      <c r="BA1076" s="330"/>
      <c r="BB1076" s="328"/>
      <c r="BC1076" s="328"/>
      <c r="BD1076" s="328"/>
      <c r="BE1076" s="330"/>
      <c r="BF1076" s="330"/>
      <c r="BG1076" s="344"/>
      <c r="BH1076" s="330"/>
      <c r="BI1076" s="330"/>
      <c r="BJ1076" s="330"/>
      <c r="BK1076" s="330"/>
      <c r="BL1076" s="330"/>
      <c r="BM1076" s="330"/>
      <c r="BN1076" s="330"/>
      <c r="BO1076" s="330"/>
      <c r="BP1076" s="331"/>
      <c r="BQ1076" s="332"/>
      <c r="BR1076" s="333"/>
    </row>
    <row r="1077" spans="2:70" ht="15.75" customHeight="1">
      <c r="B1077" s="216" t="s">
        <v>692</v>
      </c>
      <c r="C1077" s="212">
        <v>1230710</v>
      </c>
      <c r="D1077" s="223">
        <v>26262377000102</v>
      </c>
      <c r="E1077" s="217" t="s">
        <v>25</v>
      </c>
      <c r="F1077" s="217" t="s">
        <v>959</v>
      </c>
      <c r="G1077" s="217" t="s">
        <v>960</v>
      </c>
      <c r="H1077" s="218" t="s">
        <v>66</v>
      </c>
      <c r="I1077" s="217" t="s">
        <v>1842</v>
      </c>
      <c r="J1077" s="217" t="s">
        <v>66</v>
      </c>
      <c r="K1077" s="218" t="s">
        <v>951</v>
      </c>
      <c r="L1077" s="212" t="s">
        <v>87</v>
      </c>
      <c r="M1077" s="250"/>
      <c r="N1077" s="239">
        <v>42888</v>
      </c>
      <c r="O1077" s="210" t="s">
        <v>691</v>
      </c>
      <c r="P1077" s="210" t="s">
        <v>1083</v>
      </c>
      <c r="Q1077" s="210" t="s">
        <v>102</v>
      </c>
      <c r="R1077" s="210" t="s">
        <v>1084</v>
      </c>
      <c r="S1077" s="210" t="s">
        <v>1085</v>
      </c>
      <c r="T1077" s="210" t="s">
        <v>1082</v>
      </c>
      <c r="U1077" s="210" t="s">
        <v>1086</v>
      </c>
      <c r="V1077" s="210" t="s">
        <v>25</v>
      </c>
      <c r="W1077" s="211" t="s">
        <v>1023</v>
      </c>
      <c r="X1077" s="211">
        <v>5000</v>
      </c>
      <c r="Y1077" s="211">
        <v>1000</v>
      </c>
      <c r="Z1077" s="212">
        <v>5000</v>
      </c>
      <c r="AA1077" s="240">
        <v>32</v>
      </c>
      <c r="AB1077" s="213">
        <v>1.9E-2</v>
      </c>
      <c r="AC1077" s="213">
        <v>0.2</v>
      </c>
      <c r="AD1077" s="213" t="s">
        <v>109</v>
      </c>
      <c r="AE1077" s="213">
        <v>3.8E-3</v>
      </c>
      <c r="AF1077" s="241">
        <v>100393068.73</v>
      </c>
      <c r="AG1077" s="241">
        <v>100393068.73</v>
      </c>
      <c r="AH1077" s="213">
        <v>1.38E-2</v>
      </c>
      <c r="AI1077" s="352">
        <v>0.21240000000000001</v>
      </c>
      <c r="AJ1077" s="213">
        <v>-8.3099999999999993E-2</v>
      </c>
      <c r="AK1077" s="352">
        <v>-0.8831</v>
      </c>
      <c r="AL1077" s="213">
        <v>-2.69E-2</v>
      </c>
      <c r="AM1077" s="352">
        <v>-0.22289999999999999</v>
      </c>
      <c r="AN1077" s="213">
        <v>9.9400000000000002E-2</v>
      </c>
      <c r="AO1077" s="352">
        <v>0.58989999999999998</v>
      </c>
      <c r="AP1077" s="213">
        <v>8.1199999999999994E-2</v>
      </c>
      <c r="AQ1077" s="219">
        <v>-2.1357542482625655</v>
      </c>
      <c r="AR1077" s="213" t="s">
        <v>1827</v>
      </c>
      <c r="AV1077" s="343"/>
      <c r="AW1077" s="328"/>
      <c r="AX1077" s="329"/>
      <c r="AY1077" s="328"/>
      <c r="AZ1077" s="328"/>
      <c r="BA1077" s="330"/>
      <c r="BB1077" s="328"/>
      <c r="BC1077" s="328"/>
      <c r="BD1077" s="328"/>
      <c r="BE1077" s="330"/>
      <c r="BF1077" s="330"/>
      <c r="BG1077" s="344"/>
      <c r="BH1077" s="330"/>
      <c r="BI1077" s="330"/>
      <c r="BJ1077" s="330"/>
      <c r="BK1077" s="330"/>
      <c r="BL1077" s="330"/>
      <c r="BM1077" s="330"/>
      <c r="BN1077" s="330"/>
      <c r="BO1077" s="330"/>
      <c r="BP1077" s="331"/>
      <c r="BQ1077" s="332"/>
      <c r="BR1077" s="333"/>
    </row>
    <row r="1078" spans="2:70" ht="15.75" customHeight="1">
      <c r="B1078" s="216" t="s">
        <v>693</v>
      </c>
      <c r="C1078" s="212">
        <v>1166974</v>
      </c>
      <c r="D1078" s="223">
        <v>26277600000195</v>
      </c>
      <c r="E1078" s="217" t="s">
        <v>25</v>
      </c>
      <c r="F1078" s="217" t="s">
        <v>958</v>
      </c>
      <c r="G1078" s="217" t="s">
        <v>962</v>
      </c>
      <c r="H1078" s="218" t="s">
        <v>66</v>
      </c>
      <c r="I1078" s="217" t="s">
        <v>1841</v>
      </c>
      <c r="J1078" s="217" t="s">
        <v>66</v>
      </c>
      <c r="K1078" s="218"/>
      <c r="L1078" s="212" t="s">
        <v>87</v>
      </c>
      <c r="M1078" s="250"/>
      <c r="N1078" s="239">
        <v>42888</v>
      </c>
      <c r="O1078" s="210" t="s">
        <v>691</v>
      </c>
      <c r="P1078" s="210" t="s">
        <v>1083</v>
      </c>
      <c r="Q1078" s="210" t="s">
        <v>102</v>
      </c>
      <c r="R1078" s="210" t="s">
        <v>1084</v>
      </c>
      <c r="S1078" s="210" t="s">
        <v>1078</v>
      </c>
      <c r="T1078" s="210" t="s">
        <v>1082</v>
      </c>
      <c r="U1078" s="210" t="s">
        <v>958</v>
      </c>
      <c r="V1078" s="210" t="s">
        <v>25</v>
      </c>
      <c r="W1078" s="211" t="s">
        <v>1012</v>
      </c>
      <c r="X1078" s="211">
        <v>500</v>
      </c>
      <c r="Y1078" s="211">
        <v>100</v>
      </c>
      <c r="Z1078" s="212">
        <v>500</v>
      </c>
      <c r="AA1078" s="240">
        <v>31</v>
      </c>
      <c r="AB1078" s="213">
        <v>1.9E-2</v>
      </c>
      <c r="AC1078" s="213">
        <v>0.2</v>
      </c>
      <c r="AD1078" s="213" t="s">
        <v>109</v>
      </c>
      <c r="AE1078" s="213">
        <v>3.7999999999999996E-3</v>
      </c>
      <c r="AF1078" s="241">
        <v>316340393.99000001</v>
      </c>
      <c r="AG1078" s="241">
        <v>316340393.99000001</v>
      </c>
      <c r="AH1078" s="213">
        <v>0.1085</v>
      </c>
      <c r="AI1078" s="352">
        <v>1.6718</v>
      </c>
      <c r="AJ1078" s="213">
        <v>0.13450000000000001</v>
      </c>
      <c r="AK1078" s="352">
        <v>1.4298</v>
      </c>
      <c r="AL1078" s="213">
        <v>0.189</v>
      </c>
      <c r="AM1078" s="352">
        <v>1.5647</v>
      </c>
      <c r="AN1078" s="213">
        <v>0.21829999999999999</v>
      </c>
      <c r="AO1078" s="352">
        <v>1.2954000000000001</v>
      </c>
      <c r="AP1078" s="213">
        <v>4.0099999999999997E-2</v>
      </c>
      <c r="AQ1078" s="219">
        <v>0.92468241279209118</v>
      </c>
      <c r="AR1078" s="213" t="s">
        <v>1827</v>
      </c>
      <c r="AV1078" s="343"/>
      <c r="AW1078" s="328"/>
      <c r="AX1078" s="329"/>
      <c r="AY1078" s="328"/>
      <c r="AZ1078" s="328"/>
      <c r="BA1078" s="330"/>
      <c r="BB1078" s="328"/>
      <c r="BC1078" s="328"/>
      <c r="BD1078" s="328"/>
      <c r="BE1078" s="330"/>
      <c r="BF1078" s="330"/>
      <c r="BG1078" s="344"/>
      <c r="BH1078" s="330"/>
      <c r="BI1078" s="330"/>
      <c r="BJ1078" s="330"/>
      <c r="BK1078" s="330"/>
      <c r="BL1078" s="330"/>
      <c r="BM1078" s="330"/>
      <c r="BN1078" s="330"/>
      <c r="BO1078" s="330"/>
      <c r="BP1078" s="331"/>
      <c r="BQ1078" s="332"/>
      <c r="BR1078" s="333"/>
    </row>
    <row r="1079" spans="2:70" ht="15.75" customHeight="1">
      <c r="B1079" s="216" t="s">
        <v>1674</v>
      </c>
      <c r="C1079" s="212">
        <v>2614393</v>
      </c>
      <c r="D1079" s="223">
        <v>26277595000110</v>
      </c>
      <c r="E1079" s="217" t="s">
        <v>28</v>
      </c>
      <c r="F1079" s="217" t="s">
        <v>950</v>
      </c>
      <c r="G1079" s="217"/>
      <c r="H1079" s="218"/>
      <c r="I1079" s="217" t="s">
        <v>66</v>
      </c>
      <c r="J1079" s="217" t="s">
        <v>66</v>
      </c>
      <c r="K1079" s="218" t="s">
        <v>951</v>
      </c>
      <c r="L1079" s="212" t="s">
        <v>87</v>
      </c>
      <c r="M1079" s="250"/>
      <c r="N1079" s="239">
        <v>42957</v>
      </c>
      <c r="O1079" s="210" t="s">
        <v>691</v>
      </c>
      <c r="P1079" s="210" t="s">
        <v>1083</v>
      </c>
      <c r="Q1079" s="210" t="s">
        <v>102</v>
      </c>
      <c r="R1079" s="210" t="s">
        <v>1084</v>
      </c>
      <c r="S1079" s="210" t="s">
        <v>1078</v>
      </c>
      <c r="T1079" s="210" t="s">
        <v>1079</v>
      </c>
      <c r="U1079" s="210" t="s">
        <v>950</v>
      </c>
      <c r="V1079" s="210" t="s">
        <v>1080</v>
      </c>
      <c r="W1079" s="211" t="s">
        <v>1007</v>
      </c>
      <c r="X1079" s="211">
        <v>10000</v>
      </c>
      <c r="Y1079" s="211">
        <v>5000</v>
      </c>
      <c r="Z1079" s="212">
        <v>10000</v>
      </c>
      <c r="AA1079" s="240">
        <v>32</v>
      </c>
      <c r="AB1079" s="213">
        <v>2.9000000000000001E-2</v>
      </c>
      <c r="AC1079" s="213">
        <v>0</v>
      </c>
      <c r="AD1079" s="213" t="s">
        <v>1014</v>
      </c>
      <c r="AE1079" s="213">
        <v>5.8000000000000005E-3</v>
      </c>
      <c r="AF1079" s="241">
        <v>983075301.57000005</v>
      </c>
      <c r="AG1079" s="241">
        <v>983075301.57000005</v>
      </c>
      <c r="AH1079" s="213">
        <v>8.0000000000000004E-4</v>
      </c>
      <c r="AI1079" s="352">
        <v>1.1900000000000001E-2</v>
      </c>
      <c r="AJ1079" s="213">
        <v>-0.23430000000000001</v>
      </c>
      <c r="AK1079" s="352">
        <v>-2.4900000000000002</v>
      </c>
      <c r="AL1079" s="213">
        <v>-8.9999999999999998E-4</v>
      </c>
      <c r="AM1079" s="352">
        <v>-7.1999999999999998E-3</v>
      </c>
      <c r="AN1079" s="213">
        <v>0.16320000000000001</v>
      </c>
      <c r="AO1079" s="352">
        <v>0.96840000000000004</v>
      </c>
      <c r="AP1079" s="213">
        <v>0.2447</v>
      </c>
      <c r="AQ1079" s="219">
        <v>-1.3353741446583025</v>
      </c>
      <c r="AR1079" s="213" t="s">
        <v>1827</v>
      </c>
      <c r="AV1079" s="343"/>
      <c r="AW1079" s="328"/>
      <c r="AX1079" s="329"/>
      <c r="AY1079" s="328"/>
      <c r="AZ1079" s="328"/>
      <c r="BA1079" s="330"/>
      <c r="BB1079" s="328"/>
      <c r="BC1079" s="328"/>
      <c r="BD1079" s="328"/>
      <c r="BE1079" s="330"/>
      <c r="BF1079" s="330"/>
      <c r="BG1079" s="344"/>
      <c r="BH1079" s="330"/>
      <c r="BI1079" s="330"/>
      <c r="BJ1079" s="330"/>
      <c r="BK1079" s="330"/>
      <c r="BL1079" s="330"/>
      <c r="BM1079" s="330"/>
      <c r="BN1079" s="330"/>
      <c r="BO1079" s="330"/>
      <c r="BP1079" s="331"/>
      <c r="BQ1079" s="332"/>
      <c r="BR1079" s="333"/>
    </row>
    <row r="1080" spans="2:70" ht="15.75" customHeight="1">
      <c r="B1080" s="216" t="s">
        <v>1675</v>
      </c>
      <c r="C1080" s="212">
        <v>773063</v>
      </c>
      <c r="D1080" s="223">
        <v>38971881000160</v>
      </c>
      <c r="E1080" s="217" t="s">
        <v>28</v>
      </c>
      <c r="F1080" s="217" t="s">
        <v>957</v>
      </c>
      <c r="G1080" s="217"/>
      <c r="H1080" s="218"/>
      <c r="I1080" s="217" t="s">
        <v>1842</v>
      </c>
      <c r="J1080" s="217" t="s">
        <v>66</v>
      </c>
      <c r="K1080" s="218" t="s">
        <v>951</v>
      </c>
      <c r="L1080" s="212" t="s">
        <v>87</v>
      </c>
      <c r="M1080" s="250"/>
      <c r="N1080" s="239">
        <v>44127</v>
      </c>
      <c r="O1080" s="210" t="s">
        <v>114</v>
      </c>
      <c r="P1080" s="210" t="s">
        <v>1075</v>
      </c>
      <c r="Q1080" s="210" t="s">
        <v>1076</v>
      </c>
      <c r="R1080" s="210" t="s">
        <v>1077</v>
      </c>
      <c r="S1080" s="210" t="s">
        <v>1078</v>
      </c>
      <c r="T1080" s="210" t="s">
        <v>1079</v>
      </c>
      <c r="U1080" s="210" t="s">
        <v>957</v>
      </c>
      <c r="V1080" s="210" t="s">
        <v>1080</v>
      </c>
      <c r="W1080" s="211" t="s">
        <v>1007</v>
      </c>
      <c r="X1080" s="211">
        <v>10000</v>
      </c>
      <c r="Y1080" s="211">
        <v>10000</v>
      </c>
      <c r="Z1080" s="212">
        <v>10000</v>
      </c>
      <c r="AA1080" s="240">
        <v>32</v>
      </c>
      <c r="AB1080" s="213">
        <v>1.9E-2</v>
      </c>
      <c r="AC1080" s="213">
        <v>0.2</v>
      </c>
      <c r="AD1080" s="213" t="s">
        <v>203</v>
      </c>
      <c r="AE1080" s="213">
        <v>3.7999999999999996E-3</v>
      </c>
      <c r="AF1080" s="241">
        <v>114892338.14</v>
      </c>
      <c r="AG1080" s="241">
        <v>114892338.14</v>
      </c>
      <c r="AH1080" s="213">
        <v>6.4600000000000005E-2</v>
      </c>
      <c r="AI1080" s="352">
        <v>0.99429999999999996</v>
      </c>
      <c r="AJ1080" s="213">
        <v>-0.18379999999999999</v>
      </c>
      <c r="AK1080" s="352">
        <v>-1.9539</v>
      </c>
      <c r="AL1080" s="213" t="s">
        <v>66</v>
      </c>
      <c r="AM1080" s="352" t="s">
        <v>66</v>
      </c>
      <c r="AN1080" s="213" t="s">
        <v>66</v>
      </c>
      <c r="AO1080" s="352" t="s">
        <v>66</v>
      </c>
      <c r="AP1080" s="213">
        <v>0.2097</v>
      </c>
      <c r="AQ1080" s="219">
        <v>-1.2925584071382807</v>
      </c>
      <c r="AR1080" s="213" t="s">
        <v>1827</v>
      </c>
      <c r="AV1080" s="343"/>
      <c r="AW1080" s="328"/>
      <c r="AX1080" s="329"/>
      <c r="AY1080" s="328"/>
      <c r="AZ1080" s="328"/>
      <c r="BA1080" s="330"/>
      <c r="BB1080" s="328"/>
      <c r="BC1080" s="328"/>
      <c r="BD1080" s="328"/>
      <c r="BE1080" s="330"/>
      <c r="BF1080" s="330"/>
      <c r="BG1080" s="344"/>
      <c r="BH1080" s="330"/>
      <c r="BI1080" s="330"/>
      <c r="BJ1080" s="330"/>
      <c r="BK1080" s="330"/>
      <c r="BL1080" s="330"/>
      <c r="BM1080" s="330"/>
      <c r="BN1080" s="330"/>
      <c r="BO1080" s="330"/>
      <c r="BP1080" s="331"/>
      <c r="BQ1080" s="332"/>
      <c r="BR1080" s="333"/>
    </row>
    <row r="1081" spans="2:70" ht="15.75" customHeight="1">
      <c r="B1081" s="216" t="s">
        <v>1677</v>
      </c>
      <c r="C1081" s="212">
        <v>1949575</v>
      </c>
      <c r="D1081" s="223">
        <v>26882932000107</v>
      </c>
      <c r="E1081" s="217" t="s">
        <v>25</v>
      </c>
      <c r="F1081" s="217" t="s">
        <v>958</v>
      </c>
      <c r="G1081" s="217" t="s">
        <v>962</v>
      </c>
      <c r="H1081" s="218" t="s">
        <v>66</v>
      </c>
      <c r="I1081" s="217" t="s">
        <v>1841</v>
      </c>
      <c r="J1081" s="217" t="s">
        <v>66</v>
      </c>
      <c r="K1081" s="218"/>
      <c r="L1081" s="212" t="s">
        <v>87</v>
      </c>
      <c r="M1081" s="250"/>
      <c r="N1081" s="239">
        <v>42893</v>
      </c>
      <c r="O1081" s="210" t="s">
        <v>114</v>
      </c>
      <c r="P1081" s="210" t="s">
        <v>1075</v>
      </c>
      <c r="Q1081" s="210" t="s">
        <v>1076</v>
      </c>
      <c r="R1081" s="210" t="s">
        <v>1084</v>
      </c>
      <c r="S1081" s="210" t="s">
        <v>1078</v>
      </c>
      <c r="T1081" s="210" t="s">
        <v>1082</v>
      </c>
      <c r="U1081" s="210" t="s">
        <v>958</v>
      </c>
      <c r="V1081" s="210" t="s">
        <v>25</v>
      </c>
      <c r="W1081" s="211" t="s">
        <v>1012</v>
      </c>
      <c r="X1081" s="211">
        <v>5000</v>
      </c>
      <c r="Y1081" s="211">
        <v>5000</v>
      </c>
      <c r="Z1081" s="212">
        <v>5000</v>
      </c>
      <c r="AA1081" s="240">
        <v>31</v>
      </c>
      <c r="AB1081" s="213">
        <v>1.9E-2</v>
      </c>
      <c r="AC1081" s="213">
        <v>0.2</v>
      </c>
      <c r="AD1081" s="213" t="s">
        <v>109</v>
      </c>
      <c r="AE1081" s="213">
        <v>3.7999999999999996E-3</v>
      </c>
      <c r="AF1081" s="241">
        <v>20744956.370000001</v>
      </c>
      <c r="AG1081" s="241">
        <v>20744956.370000001</v>
      </c>
      <c r="AH1081" s="213">
        <v>0.10829999999999999</v>
      </c>
      <c r="AI1081" s="352">
        <v>1.6685000000000001</v>
      </c>
      <c r="AJ1081" s="213">
        <v>0.13420000000000001</v>
      </c>
      <c r="AK1081" s="352">
        <v>1.4259999999999999</v>
      </c>
      <c r="AL1081" s="213">
        <v>0.1867</v>
      </c>
      <c r="AM1081" s="352">
        <v>1.5452999999999999</v>
      </c>
      <c r="AN1081" s="213">
        <v>0.21479999999999999</v>
      </c>
      <c r="AO1081" s="352">
        <v>1.2745</v>
      </c>
      <c r="AP1081" s="213">
        <v>3.9800000000000002E-2</v>
      </c>
      <c r="AQ1081" s="219">
        <v>0.92375932845369235</v>
      </c>
      <c r="AR1081" s="213" t="s">
        <v>1827</v>
      </c>
      <c r="AV1081" s="343"/>
      <c r="AW1081" s="328"/>
      <c r="AX1081" s="329"/>
      <c r="AY1081" s="328"/>
      <c r="AZ1081" s="328"/>
      <c r="BA1081" s="330"/>
      <c r="BB1081" s="328"/>
      <c r="BC1081" s="328"/>
      <c r="BD1081" s="328"/>
      <c r="BE1081" s="330"/>
      <c r="BF1081" s="330"/>
      <c r="BG1081" s="344"/>
      <c r="BH1081" s="330"/>
      <c r="BI1081" s="330"/>
      <c r="BJ1081" s="330"/>
      <c r="BK1081" s="330"/>
      <c r="BL1081" s="330"/>
      <c r="BM1081" s="330"/>
      <c r="BN1081" s="330"/>
      <c r="BO1081" s="330"/>
      <c r="BP1081" s="331"/>
      <c r="BQ1081" s="332"/>
      <c r="BR1081" s="333"/>
    </row>
    <row r="1082" spans="2:70" ht="15.75" customHeight="1">
      <c r="B1082" s="216" t="s">
        <v>857</v>
      </c>
      <c r="C1082" s="212">
        <v>2455220</v>
      </c>
      <c r="D1082" s="223">
        <v>43508144000166</v>
      </c>
      <c r="E1082" s="217" t="s">
        <v>25</v>
      </c>
      <c r="F1082" s="217" t="s">
        <v>958</v>
      </c>
      <c r="G1082" s="217" t="s">
        <v>962</v>
      </c>
      <c r="H1082" s="218" t="s">
        <v>66</v>
      </c>
      <c r="I1082" s="217" t="s">
        <v>1842</v>
      </c>
      <c r="J1082" s="217" t="s">
        <v>66</v>
      </c>
      <c r="K1082" s="218"/>
      <c r="L1082" s="212" t="s">
        <v>87</v>
      </c>
      <c r="M1082" s="250"/>
      <c r="N1082" s="239">
        <v>44476</v>
      </c>
      <c r="O1082" s="210" t="s">
        <v>694</v>
      </c>
      <c r="P1082" s="210" t="s">
        <v>1075</v>
      </c>
      <c r="Q1082" s="210" t="s">
        <v>1076</v>
      </c>
      <c r="R1082" s="210" t="s">
        <v>1077</v>
      </c>
      <c r="S1082" s="210" t="s">
        <v>1078</v>
      </c>
      <c r="T1082" s="210" t="s">
        <v>1082</v>
      </c>
      <c r="U1082" s="210" t="s">
        <v>958</v>
      </c>
      <c r="V1082" s="210" t="s">
        <v>25</v>
      </c>
      <c r="W1082" s="211" t="s">
        <v>1019</v>
      </c>
      <c r="X1082" s="211">
        <v>0</v>
      </c>
      <c r="Y1082" s="211">
        <v>0</v>
      </c>
      <c r="Z1082" s="212">
        <v>0</v>
      </c>
      <c r="AA1082" s="240">
        <v>61</v>
      </c>
      <c r="AB1082" s="213">
        <v>1.4999999999999999E-2</v>
      </c>
      <c r="AC1082" s="213">
        <v>0</v>
      </c>
      <c r="AD1082" s="213" t="s">
        <v>109</v>
      </c>
      <c r="AE1082" s="213" t="s">
        <v>66</v>
      </c>
      <c r="AF1082" s="241">
        <v>13824192.060000001</v>
      </c>
      <c r="AG1082" s="241">
        <v>13824192.060000001</v>
      </c>
      <c r="AH1082" s="213">
        <v>8.2600000000000007E-2</v>
      </c>
      <c r="AI1082" s="352">
        <v>1.2719</v>
      </c>
      <c r="AJ1082" s="213" t="s">
        <v>66</v>
      </c>
      <c r="AK1082" s="352" t="s">
        <v>66</v>
      </c>
      <c r="AL1082" s="213" t="s">
        <v>66</v>
      </c>
      <c r="AM1082" s="352" t="s">
        <v>66</v>
      </c>
      <c r="AN1082" s="213" t="s">
        <v>66</v>
      </c>
      <c r="AO1082" s="352" t="s">
        <v>66</v>
      </c>
      <c r="AP1082" s="213" t="s">
        <v>66</v>
      </c>
      <c r="AQ1082" s="219" t="s">
        <v>66</v>
      </c>
      <c r="AR1082" s="213" t="s">
        <v>1827</v>
      </c>
      <c r="AV1082" s="343"/>
      <c r="AW1082" s="328"/>
      <c r="AX1082" s="329"/>
      <c r="AY1082" s="328"/>
      <c r="AZ1082" s="328"/>
      <c r="BA1082" s="330"/>
      <c r="BB1082" s="328"/>
      <c r="BC1082" s="328"/>
      <c r="BD1082" s="328"/>
      <c r="BE1082" s="330"/>
      <c r="BF1082" s="330"/>
      <c r="BG1082" s="344"/>
      <c r="BH1082" s="330"/>
      <c r="BI1082" s="330"/>
      <c r="BJ1082" s="330"/>
      <c r="BK1082" s="330"/>
      <c r="BL1082" s="330"/>
      <c r="BM1082" s="330"/>
      <c r="BN1082" s="330"/>
      <c r="BO1082" s="330"/>
      <c r="BP1082" s="331"/>
      <c r="BQ1082" s="332"/>
      <c r="BR1082" s="333"/>
    </row>
    <row r="1083" spans="2:70" ht="15.75" customHeight="1">
      <c r="B1083" s="216" t="s">
        <v>695</v>
      </c>
      <c r="C1083" s="212">
        <v>548106</v>
      </c>
      <c r="D1083" s="223">
        <v>13418910000130</v>
      </c>
      <c r="E1083" s="217" t="s">
        <v>25</v>
      </c>
      <c r="F1083" s="217" t="s">
        <v>959</v>
      </c>
      <c r="G1083" s="217" t="s">
        <v>960</v>
      </c>
      <c r="H1083" s="218" t="s">
        <v>66</v>
      </c>
      <c r="I1083" s="217" t="s">
        <v>1842</v>
      </c>
      <c r="J1083" s="217" t="s">
        <v>66</v>
      </c>
      <c r="K1083" s="218" t="s">
        <v>951</v>
      </c>
      <c r="L1083" s="212" t="s">
        <v>87</v>
      </c>
      <c r="M1083" s="250"/>
      <c r="N1083" s="239">
        <v>40757</v>
      </c>
      <c r="O1083" s="210" t="s">
        <v>694</v>
      </c>
      <c r="P1083" s="210" t="s">
        <v>1075</v>
      </c>
      <c r="Q1083" s="210" t="s">
        <v>1076</v>
      </c>
      <c r="R1083" s="210" t="s">
        <v>1084</v>
      </c>
      <c r="S1083" s="210" t="s">
        <v>1078</v>
      </c>
      <c r="T1083" s="210" t="s">
        <v>1082</v>
      </c>
      <c r="U1083" s="210" t="s">
        <v>958</v>
      </c>
      <c r="V1083" s="210" t="s">
        <v>25</v>
      </c>
      <c r="W1083" s="211" t="s">
        <v>1016</v>
      </c>
      <c r="X1083" s="211">
        <v>1000</v>
      </c>
      <c r="Y1083" s="211">
        <v>500</v>
      </c>
      <c r="Z1083" s="212">
        <v>500</v>
      </c>
      <c r="AA1083" s="240">
        <v>16</v>
      </c>
      <c r="AB1083" s="213">
        <v>1.2999999999999999E-2</v>
      </c>
      <c r="AC1083" s="213">
        <v>0.2</v>
      </c>
      <c r="AD1083" s="213" t="s">
        <v>113</v>
      </c>
      <c r="AE1083" s="213">
        <v>3.0333333333333328E-3</v>
      </c>
      <c r="AF1083" s="241">
        <v>52484368.609999999</v>
      </c>
      <c r="AG1083" s="241">
        <v>52484368.609999999</v>
      </c>
      <c r="AH1083" s="213">
        <v>0.114</v>
      </c>
      <c r="AI1083" s="352">
        <v>1.7556</v>
      </c>
      <c r="AJ1083" s="213">
        <v>9.5200000000000007E-2</v>
      </c>
      <c r="AK1083" s="352">
        <v>1.012</v>
      </c>
      <c r="AL1083" s="213">
        <v>0.14069999999999999</v>
      </c>
      <c r="AM1083" s="352">
        <v>1.1644000000000001</v>
      </c>
      <c r="AN1083" s="213">
        <v>0.24740000000000001</v>
      </c>
      <c r="AO1083" s="352">
        <v>1.4683999999999999</v>
      </c>
      <c r="AP1083" s="213">
        <v>0.1389</v>
      </c>
      <c r="AQ1083" s="219">
        <v>7.6638851527263241E-2</v>
      </c>
      <c r="AR1083" s="213" t="s">
        <v>1827</v>
      </c>
      <c r="AV1083" s="343"/>
      <c r="AW1083" s="328"/>
      <c r="AX1083" s="329"/>
      <c r="AY1083" s="328"/>
      <c r="AZ1083" s="328"/>
      <c r="BA1083" s="330"/>
      <c r="BB1083" s="328"/>
      <c r="BC1083" s="328"/>
      <c r="BD1083" s="328"/>
      <c r="BE1083" s="330"/>
      <c r="BF1083" s="330"/>
      <c r="BG1083" s="344"/>
      <c r="BH1083" s="330"/>
      <c r="BI1083" s="330"/>
      <c r="BJ1083" s="330"/>
      <c r="BK1083" s="330"/>
      <c r="BL1083" s="330"/>
      <c r="BM1083" s="330"/>
      <c r="BN1083" s="330"/>
      <c r="BO1083" s="330"/>
      <c r="BP1083" s="331"/>
      <c r="BQ1083" s="332"/>
      <c r="BR1083" s="333"/>
    </row>
    <row r="1084" spans="2:70" ht="15.75" customHeight="1">
      <c r="B1084" s="216" t="s">
        <v>793</v>
      </c>
      <c r="C1084" s="212">
        <v>552341</v>
      </c>
      <c r="D1084" s="223">
        <v>41574480000181</v>
      </c>
      <c r="E1084" s="217" t="s">
        <v>19</v>
      </c>
      <c r="F1084" s="217" t="s">
        <v>963</v>
      </c>
      <c r="G1084" s="217" t="s">
        <v>1034</v>
      </c>
      <c r="H1084" s="218" t="s">
        <v>1113</v>
      </c>
      <c r="I1084" s="217" t="s">
        <v>66</v>
      </c>
      <c r="J1084" s="217" t="s">
        <v>1822</v>
      </c>
      <c r="K1084" s="218" t="s">
        <v>951</v>
      </c>
      <c r="L1084" s="212" t="s">
        <v>87</v>
      </c>
      <c r="M1084" s="250"/>
      <c r="N1084" s="239">
        <v>44343</v>
      </c>
      <c r="O1084" s="210" t="s">
        <v>694</v>
      </c>
      <c r="P1084" s="210" t="s">
        <v>1075</v>
      </c>
      <c r="Q1084" s="210" t="s">
        <v>1076</v>
      </c>
      <c r="R1084" s="210" t="s">
        <v>1099</v>
      </c>
      <c r="S1084" s="210" t="s">
        <v>1078</v>
      </c>
      <c r="T1084" s="210" t="s">
        <v>32</v>
      </c>
      <c r="U1084" s="210" t="s">
        <v>1150</v>
      </c>
      <c r="V1084" s="210" t="s">
        <v>25</v>
      </c>
      <c r="W1084" s="211" t="s">
        <v>1019</v>
      </c>
      <c r="X1084" s="211">
        <v>100000</v>
      </c>
      <c r="Y1084" s="211">
        <v>50000</v>
      </c>
      <c r="Z1084" s="212">
        <v>10000</v>
      </c>
      <c r="AA1084" s="240">
        <v>61</v>
      </c>
      <c r="AB1084" s="213">
        <v>0.01</v>
      </c>
      <c r="AC1084" s="213">
        <v>0.2</v>
      </c>
      <c r="AD1084" s="213" t="s">
        <v>109</v>
      </c>
      <c r="AE1084" s="213" t="s">
        <v>66</v>
      </c>
      <c r="AF1084" s="241">
        <v>1701790.1</v>
      </c>
      <c r="AG1084" s="241">
        <v>1701790.1</v>
      </c>
      <c r="AH1084" s="213">
        <v>-0.16819999999999999</v>
      </c>
      <c r="AI1084" s="352">
        <v>-2.5908000000000002</v>
      </c>
      <c r="AJ1084" s="213">
        <v>-0.1099</v>
      </c>
      <c r="AK1084" s="352">
        <v>-1.1682999999999999</v>
      </c>
      <c r="AL1084" s="213" t="s">
        <v>66</v>
      </c>
      <c r="AM1084" s="352" t="s">
        <v>66</v>
      </c>
      <c r="AN1084" s="213" t="s">
        <v>66</v>
      </c>
      <c r="AO1084" s="352" t="s">
        <v>66</v>
      </c>
      <c r="AP1084" s="213">
        <v>0.18190000000000001</v>
      </c>
      <c r="AQ1084" s="219">
        <v>-1.0421598177393299</v>
      </c>
      <c r="AR1084" s="213" t="s">
        <v>1827</v>
      </c>
      <c r="AV1084" s="343"/>
      <c r="AW1084" s="328"/>
      <c r="AX1084" s="329"/>
      <c r="AY1084" s="328"/>
      <c r="AZ1084" s="328"/>
      <c r="BA1084" s="330"/>
      <c r="BB1084" s="328"/>
      <c r="BC1084" s="328"/>
      <c r="BD1084" s="328"/>
      <c r="BE1084" s="330"/>
      <c r="BF1084" s="330"/>
      <c r="BG1084" s="344"/>
      <c r="BH1084" s="330"/>
      <c r="BI1084" s="330"/>
      <c r="BJ1084" s="330"/>
      <c r="BK1084" s="330"/>
      <c r="BL1084" s="330"/>
      <c r="BM1084" s="330"/>
      <c r="BN1084" s="330"/>
      <c r="BO1084" s="330"/>
      <c r="BP1084" s="331"/>
      <c r="BQ1084" s="332"/>
      <c r="BR1084" s="333"/>
    </row>
    <row r="1085" spans="2:70" ht="15.75" customHeight="1">
      <c r="B1085" s="216" t="s">
        <v>1678</v>
      </c>
      <c r="C1085" s="212">
        <v>931776</v>
      </c>
      <c r="D1085" s="223">
        <v>17439235000187</v>
      </c>
      <c r="E1085" s="217" t="s">
        <v>28</v>
      </c>
      <c r="F1085" s="217" t="s">
        <v>957</v>
      </c>
      <c r="G1085" s="217"/>
      <c r="H1085" s="218"/>
      <c r="I1085" s="217" t="s">
        <v>1842</v>
      </c>
      <c r="J1085" s="217" t="s">
        <v>66</v>
      </c>
      <c r="K1085" s="218" t="s">
        <v>951</v>
      </c>
      <c r="L1085" s="212" t="s">
        <v>87</v>
      </c>
      <c r="M1085" s="250"/>
      <c r="N1085" s="239">
        <v>41359</v>
      </c>
      <c r="O1085" s="210" t="s">
        <v>694</v>
      </c>
      <c r="P1085" s="210" t="s">
        <v>1075</v>
      </c>
      <c r="Q1085" s="210" t="s">
        <v>1076</v>
      </c>
      <c r="R1085" s="210" t="s">
        <v>1084</v>
      </c>
      <c r="S1085" s="210" t="s">
        <v>1078</v>
      </c>
      <c r="T1085" s="210" t="s">
        <v>1079</v>
      </c>
      <c r="U1085" s="210" t="s">
        <v>957</v>
      </c>
      <c r="V1085" s="210" t="s">
        <v>1080</v>
      </c>
      <c r="W1085" s="211" t="s">
        <v>1018</v>
      </c>
      <c r="X1085" s="211">
        <v>1000</v>
      </c>
      <c r="Y1085" s="211">
        <v>500</v>
      </c>
      <c r="Z1085" s="212">
        <v>500</v>
      </c>
      <c r="AA1085" s="240">
        <v>19</v>
      </c>
      <c r="AB1085" s="213">
        <v>0.02</v>
      </c>
      <c r="AC1085" s="213">
        <v>0.2</v>
      </c>
      <c r="AD1085" s="213" t="s">
        <v>1014</v>
      </c>
      <c r="AE1085" s="213">
        <v>4.6666666666666662E-3</v>
      </c>
      <c r="AF1085" s="241">
        <v>49157890.420000002</v>
      </c>
      <c r="AG1085" s="241">
        <v>49157890.420000002</v>
      </c>
      <c r="AH1085" s="213">
        <v>-2.1600000000000001E-2</v>
      </c>
      <c r="AI1085" s="352">
        <v>-0.33279999999999998</v>
      </c>
      <c r="AJ1085" s="213">
        <v>-0.23480000000000001</v>
      </c>
      <c r="AK1085" s="352">
        <v>-2.4952999999999999</v>
      </c>
      <c r="AL1085" s="213">
        <v>-5.3699999999999998E-2</v>
      </c>
      <c r="AM1085" s="352">
        <v>-0.44419999999999998</v>
      </c>
      <c r="AN1085" s="213">
        <v>0.1603</v>
      </c>
      <c r="AO1085" s="352">
        <v>0.95109999999999995</v>
      </c>
      <c r="AP1085" s="213">
        <v>0.23269999999999999</v>
      </c>
      <c r="AQ1085" s="219">
        <v>-1.4195988103339388</v>
      </c>
      <c r="AR1085" s="213" t="s">
        <v>1827</v>
      </c>
      <c r="AV1085" s="343"/>
      <c r="AW1085" s="328"/>
      <c r="AX1085" s="329"/>
      <c r="AY1085" s="328"/>
      <c r="AZ1085" s="328"/>
      <c r="BA1085" s="330"/>
      <c r="BB1085" s="328"/>
      <c r="BC1085" s="328"/>
      <c r="BD1085" s="328"/>
      <c r="BE1085" s="330"/>
      <c r="BF1085" s="330"/>
      <c r="BG1085" s="344"/>
      <c r="BH1085" s="330"/>
      <c r="BI1085" s="330"/>
      <c r="BJ1085" s="330"/>
      <c r="BK1085" s="330"/>
      <c r="BL1085" s="330"/>
      <c r="BM1085" s="330"/>
      <c r="BN1085" s="330"/>
      <c r="BO1085" s="330"/>
      <c r="BP1085" s="331"/>
      <c r="BQ1085" s="332"/>
      <c r="BR1085" s="333"/>
    </row>
    <row r="1086" spans="2:70" ht="15.75" customHeight="1">
      <c r="B1086" s="216" t="s">
        <v>858</v>
      </c>
      <c r="C1086" s="212">
        <v>1949649</v>
      </c>
      <c r="D1086" s="223">
        <v>29562681000163</v>
      </c>
      <c r="E1086" s="217" t="s">
        <v>25</v>
      </c>
      <c r="F1086" s="217" t="s">
        <v>958</v>
      </c>
      <c r="G1086" s="217" t="s">
        <v>962</v>
      </c>
      <c r="H1086" s="218" t="s">
        <v>66</v>
      </c>
      <c r="I1086" s="217" t="s">
        <v>1842</v>
      </c>
      <c r="J1086" s="217" t="s">
        <v>66</v>
      </c>
      <c r="K1086" s="218"/>
      <c r="L1086" s="212" t="s">
        <v>87</v>
      </c>
      <c r="M1086" s="250"/>
      <c r="N1086" s="239">
        <v>43392</v>
      </c>
      <c r="O1086" s="210" t="s">
        <v>694</v>
      </c>
      <c r="P1086" s="210" t="s">
        <v>1075</v>
      </c>
      <c r="Q1086" s="210" t="s">
        <v>1076</v>
      </c>
      <c r="R1086" s="210" t="s">
        <v>1084</v>
      </c>
      <c r="S1086" s="210" t="s">
        <v>1078</v>
      </c>
      <c r="T1086" s="210" t="s">
        <v>1082</v>
      </c>
      <c r="U1086" s="210" t="s">
        <v>958</v>
      </c>
      <c r="V1086" s="210" t="s">
        <v>25</v>
      </c>
      <c r="W1086" s="211" t="s">
        <v>1016</v>
      </c>
      <c r="X1086" s="211">
        <v>5000</v>
      </c>
      <c r="Y1086" s="211">
        <v>1000</v>
      </c>
      <c r="Z1086" s="212">
        <v>5000</v>
      </c>
      <c r="AA1086" s="240">
        <v>4</v>
      </c>
      <c r="AB1086" s="213">
        <v>0.02</v>
      </c>
      <c r="AC1086" s="213">
        <v>0.2</v>
      </c>
      <c r="AD1086" s="213" t="s">
        <v>113</v>
      </c>
      <c r="AE1086" s="213">
        <v>2.666E-3</v>
      </c>
      <c r="AF1086" s="241">
        <v>9707658.9199999999</v>
      </c>
      <c r="AG1086" s="241">
        <v>9707658.9199999999</v>
      </c>
      <c r="AH1086" s="213">
        <v>0.15479999999999999</v>
      </c>
      <c r="AI1086" s="352">
        <v>2.3847999999999998</v>
      </c>
      <c r="AJ1086" s="213">
        <v>0.14069999999999999</v>
      </c>
      <c r="AK1086" s="352">
        <v>1.4956</v>
      </c>
      <c r="AL1086" s="213">
        <v>0.18790000000000001</v>
      </c>
      <c r="AM1086" s="352">
        <v>1.5550999999999999</v>
      </c>
      <c r="AN1086" s="213">
        <v>0.21490000000000001</v>
      </c>
      <c r="AO1086" s="352">
        <v>1.2751999999999999</v>
      </c>
      <c r="AP1086" s="213">
        <v>8.9499999999999996E-2</v>
      </c>
      <c r="AQ1086" s="219">
        <v>0.51120175237247822</v>
      </c>
      <c r="AR1086" s="213" t="s">
        <v>1827</v>
      </c>
      <c r="AV1086" s="343"/>
      <c r="AW1086" s="328"/>
      <c r="AX1086" s="329"/>
      <c r="AY1086" s="328"/>
      <c r="AZ1086" s="328"/>
      <c r="BA1086" s="330"/>
      <c r="BB1086" s="328"/>
      <c r="BC1086" s="328"/>
      <c r="BD1086" s="328"/>
      <c r="BE1086" s="330"/>
      <c r="BF1086" s="330"/>
      <c r="BG1086" s="344"/>
      <c r="BH1086" s="330"/>
      <c r="BI1086" s="330"/>
      <c r="BJ1086" s="330"/>
      <c r="BK1086" s="330"/>
      <c r="BL1086" s="330"/>
      <c r="BM1086" s="330"/>
      <c r="BN1086" s="330"/>
      <c r="BO1086" s="330"/>
      <c r="BP1086" s="331"/>
      <c r="BQ1086" s="332"/>
      <c r="BR1086" s="333"/>
    </row>
    <row r="1087" spans="2:70" ht="15.75" customHeight="1">
      <c r="B1087" s="216" t="s">
        <v>1679</v>
      </c>
      <c r="C1087" s="212">
        <v>572076</v>
      </c>
      <c r="D1087" s="223">
        <v>31188723000190</v>
      </c>
      <c r="E1087" s="217" t="s">
        <v>28</v>
      </c>
      <c r="F1087" s="217" t="s">
        <v>950</v>
      </c>
      <c r="G1087" s="217"/>
      <c r="H1087" s="218"/>
      <c r="I1087" s="217" t="s">
        <v>66</v>
      </c>
      <c r="J1087" s="217" t="s">
        <v>66</v>
      </c>
      <c r="K1087" s="218" t="s">
        <v>951</v>
      </c>
      <c r="L1087" s="212" t="s">
        <v>87</v>
      </c>
      <c r="M1087" s="250"/>
      <c r="N1087" s="239">
        <v>43402</v>
      </c>
      <c r="O1087" s="210" t="s">
        <v>299</v>
      </c>
      <c r="P1087" s="210" t="s">
        <v>1225</v>
      </c>
      <c r="Q1087" s="210" t="s">
        <v>1089</v>
      </c>
      <c r="R1087" s="210" t="s">
        <v>1084</v>
      </c>
      <c r="S1087" s="210" t="s">
        <v>1078</v>
      </c>
      <c r="T1087" s="210" t="s">
        <v>1079</v>
      </c>
      <c r="U1087" s="210" t="s">
        <v>950</v>
      </c>
      <c r="V1087" s="210" t="s">
        <v>1080</v>
      </c>
      <c r="W1087" s="211" t="s">
        <v>1007</v>
      </c>
      <c r="X1087" s="211">
        <v>10000</v>
      </c>
      <c r="Y1087" s="211">
        <v>3000</v>
      </c>
      <c r="Z1087" s="212">
        <v>5000</v>
      </c>
      <c r="AA1087" s="240">
        <v>60</v>
      </c>
      <c r="AB1087" s="213">
        <v>9.7999999999999997E-3</v>
      </c>
      <c r="AC1087" s="213">
        <v>0.3</v>
      </c>
      <c r="AD1087" s="213" t="s">
        <v>1014</v>
      </c>
      <c r="AE1087" s="213">
        <v>1.9599999999999999E-3</v>
      </c>
      <c r="AF1087" s="241">
        <v>55880449.960000001</v>
      </c>
      <c r="AG1087" s="241">
        <v>55880449.960000001</v>
      </c>
      <c r="AH1087" s="213">
        <v>-6.7299999999999999E-2</v>
      </c>
      <c r="AI1087" s="352">
        <v>-1.0370999999999999</v>
      </c>
      <c r="AJ1087" s="213">
        <v>-0.43030000000000002</v>
      </c>
      <c r="AK1087" s="352">
        <v>-4.5735999999999999</v>
      </c>
      <c r="AL1087" s="213">
        <v>-0.32079999999999997</v>
      </c>
      <c r="AM1087" s="352">
        <v>-2.6556000000000002</v>
      </c>
      <c r="AN1087" s="213">
        <v>6.6400000000000001E-2</v>
      </c>
      <c r="AO1087" s="352">
        <v>0.39410000000000001</v>
      </c>
      <c r="AP1087" s="213">
        <v>0.39979999999999999</v>
      </c>
      <c r="AQ1087" s="219">
        <v>-1.4299847282824958</v>
      </c>
      <c r="AR1087" s="213" t="s">
        <v>1827</v>
      </c>
      <c r="AV1087" s="343"/>
      <c r="AW1087" s="328"/>
      <c r="AX1087" s="329"/>
      <c r="AY1087" s="328"/>
      <c r="AZ1087" s="328"/>
      <c r="BA1087" s="330"/>
      <c r="BB1087" s="328"/>
      <c r="BC1087" s="328"/>
      <c r="BD1087" s="328"/>
      <c r="BE1087" s="330"/>
      <c r="BF1087" s="330"/>
      <c r="BG1087" s="344"/>
      <c r="BH1087" s="330"/>
      <c r="BI1087" s="330"/>
      <c r="BJ1087" s="330"/>
      <c r="BK1087" s="330"/>
      <c r="BL1087" s="330"/>
      <c r="BM1087" s="330"/>
      <c r="BN1087" s="330"/>
      <c r="BO1087" s="330"/>
      <c r="BP1087" s="331"/>
      <c r="BQ1087" s="332"/>
      <c r="BR1087" s="333"/>
    </row>
    <row r="1088" spans="2:70" ht="15.75" customHeight="1">
      <c r="B1088" s="216" t="s">
        <v>696</v>
      </c>
      <c r="C1088" s="212">
        <v>2519581</v>
      </c>
      <c r="D1088" s="223">
        <v>26343648000154</v>
      </c>
      <c r="E1088" s="217" t="s">
        <v>25</v>
      </c>
      <c r="F1088" s="217" t="s">
        <v>958</v>
      </c>
      <c r="G1088" s="217" t="s">
        <v>962</v>
      </c>
      <c r="H1088" s="218" t="s">
        <v>66</v>
      </c>
      <c r="I1088" s="217" t="s">
        <v>1259</v>
      </c>
      <c r="J1088" s="217" t="s">
        <v>66</v>
      </c>
      <c r="K1088" s="218"/>
      <c r="L1088" s="212" t="s">
        <v>87</v>
      </c>
      <c r="M1088" s="250"/>
      <c r="N1088" s="239">
        <v>42720</v>
      </c>
      <c r="O1088" s="210" t="s">
        <v>697</v>
      </c>
      <c r="P1088" s="210" t="s">
        <v>1075</v>
      </c>
      <c r="Q1088" s="210" t="s">
        <v>1076</v>
      </c>
      <c r="R1088" s="210" t="s">
        <v>1077</v>
      </c>
      <c r="S1088" s="210" t="s">
        <v>1078</v>
      </c>
      <c r="T1088" s="210" t="s">
        <v>1082</v>
      </c>
      <c r="U1088" s="210" t="s">
        <v>958</v>
      </c>
      <c r="V1088" s="210" t="s">
        <v>25</v>
      </c>
      <c r="W1088" s="211" t="s">
        <v>1016</v>
      </c>
      <c r="X1088" s="211">
        <v>25000</v>
      </c>
      <c r="Y1088" s="211">
        <v>5000</v>
      </c>
      <c r="Z1088" s="212">
        <v>25000</v>
      </c>
      <c r="AA1088" s="240">
        <v>30</v>
      </c>
      <c r="AB1088" s="213">
        <v>7.4999999999999997E-3</v>
      </c>
      <c r="AC1088" s="213">
        <v>0</v>
      </c>
      <c r="AD1088" s="213" t="s">
        <v>113</v>
      </c>
      <c r="AE1088" s="213">
        <v>1.2499999999999998E-3</v>
      </c>
      <c r="AF1088" s="241">
        <v>19297191.350000001</v>
      </c>
      <c r="AG1088" s="241">
        <v>19297191.350000001</v>
      </c>
      <c r="AH1088" s="213">
        <v>3.4700000000000002E-2</v>
      </c>
      <c r="AI1088" s="352">
        <v>0.53490000000000004</v>
      </c>
      <c r="AJ1088" s="213">
        <v>-1.04E-2</v>
      </c>
      <c r="AK1088" s="352">
        <v>-0.11020000000000001</v>
      </c>
      <c r="AL1088" s="213">
        <v>6.1199999999999997E-2</v>
      </c>
      <c r="AM1088" s="352">
        <v>0.50670000000000004</v>
      </c>
      <c r="AN1088" s="213">
        <v>0.12770000000000001</v>
      </c>
      <c r="AO1088" s="352">
        <v>0.75760000000000005</v>
      </c>
      <c r="AP1088" s="213">
        <v>6.3399999999999998E-2</v>
      </c>
      <c r="AQ1088" s="219">
        <v>-1.5522691182522199</v>
      </c>
      <c r="AR1088" s="213" t="s">
        <v>1827</v>
      </c>
      <c r="AV1088" s="343"/>
      <c r="AW1088" s="328"/>
      <c r="AX1088" s="329"/>
      <c r="AY1088" s="328"/>
      <c r="AZ1088" s="328"/>
      <c r="BA1088" s="330"/>
      <c r="BB1088" s="328"/>
      <c r="BC1088" s="328"/>
      <c r="BD1088" s="328"/>
      <c r="BE1088" s="330"/>
      <c r="BF1088" s="330"/>
      <c r="BG1088" s="344"/>
      <c r="BH1088" s="330"/>
      <c r="BI1088" s="330"/>
      <c r="BJ1088" s="330"/>
      <c r="BK1088" s="330"/>
      <c r="BL1088" s="330"/>
      <c r="BM1088" s="330"/>
      <c r="BN1088" s="330"/>
      <c r="BO1088" s="330"/>
      <c r="BP1088" s="331"/>
      <c r="BQ1088" s="332"/>
      <c r="BR1088" s="333"/>
    </row>
    <row r="1089" spans="2:70" ht="15.75" customHeight="1">
      <c r="B1089" s="216" t="s">
        <v>924</v>
      </c>
      <c r="C1089" s="212">
        <v>1326188</v>
      </c>
      <c r="D1089" s="223">
        <v>14163402000111</v>
      </c>
      <c r="E1089" s="217" t="s">
        <v>28</v>
      </c>
      <c r="F1089" s="217" t="s">
        <v>950</v>
      </c>
      <c r="G1089" s="217"/>
      <c r="H1089" s="218"/>
      <c r="I1089" s="217" t="s">
        <v>66</v>
      </c>
      <c r="J1089" s="217" t="s">
        <v>66</v>
      </c>
      <c r="K1089" s="218" t="s">
        <v>951</v>
      </c>
      <c r="L1089" s="212" t="s">
        <v>87</v>
      </c>
      <c r="M1089" s="250"/>
      <c r="N1089" s="239">
        <v>40947</v>
      </c>
      <c r="O1089" s="210" t="s">
        <v>697</v>
      </c>
      <c r="P1089" s="210" t="s">
        <v>1075</v>
      </c>
      <c r="Q1089" s="210" t="s">
        <v>1076</v>
      </c>
      <c r="R1089" s="210" t="s">
        <v>231</v>
      </c>
      <c r="S1089" s="210" t="s">
        <v>1078</v>
      </c>
      <c r="T1089" s="210" t="s">
        <v>1079</v>
      </c>
      <c r="U1089" s="210" t="s">
        <v>950</v>
      </c>
      <c r="V1089" s="210" t="s">
        <v>1080</v>
      </c>
      <c r="W1089" s="211" t="s">
        <v>1007</v>
      </c>
      <c r="X1089" s="211">
        <v>25000</v>
      </c>
      <c r="Y1089" s="211">
        <v>25000</v>
      </c>
      <c r="Z1089" s="212">
        <v>5000</v>
      </c>
      <c r="AA1089" s="240">
        <v>92</v>
      </c>
      <c r="AB1089" s="213">
        <v>8.0000000000000004E-4</v>
      </c>
      <c r="AC1089" s="213">
        <v>0</v>
      </c>
      <c r="AD1089" s="213" t="s">
        <v>1100</v>
      </c>
      <c r="AE1089" s="213">
        <v>1.3333333333333334E-4</v>
      </c>
      <c r="AF1089" s="241">
        <v>14573439.18</v>
      </c>
      <c r="AG1089" s="241">
        <v>14573439.18</v>
      </c>
      <c r="AH1089" s="213">
        <v>-0.1177</v>
      </c>
      <c r="AI1089" s="352">
        <v>-1.8128</v>
      </c>
      <c r="AJ1089" s="213">
        <v>-0.2868</v>
      </c>
      <c r="AK1089" s="352">
        <v>-3.048</v>
      </c>
      <c r="AL1089" s="213">
        <v>-8.6999999999999994E-2</v>
      </c>
      <c r="AM1089" s="352">
        <v>-0.7198</v>
      </c>
      <c r="AN1089" s="213">
        <v>8.7999999999999995E-2</v>
      </c>
      <c r="AO1089" s="352">
        <v>0.52249999999999996</v>
      </c>
      <c r="AP1089" s="213">
        <v>0.22750000000000001</v>
      </c>
      <c r="AQ1089" s="219">
        <v>-1.7666245727812711</v>
      </c>
      <c r="AR1089" s="213" t="s">
        <v>1827</v>
      </c>
      <c r="AV1089" s="343"/>
      <c r="AW1089" s="328"/>
      <c r="AX1089" s="329"/>
      <c r="AY1089" s="328"/>
      <c r="AZ1089" s="328"/>
      <c r="BA1089" s="330"/>
      <c r="BB1089" s="328"/>
      <c r="BC1089" s="328"/>
      <c r="BD1089" s="328"/>
      <c r="BE1089" s="330"/>
      <c r="BF1089" s="330"/>
      <c r="BG1089" s="344"/>
      <c r="BH1089" s="330"/>
      <c r="BI1089" s="330"/>
      <c r="BJ1089" s="330"/>
      <c r="BK1089" s="330"/>
      <c r="BL1089" s="330"/>
      <c r="BM1089" s="330"/>
      <c r="BN1089" s="330"/>
      <c r="BO1089" s="330"/>
      <c r="BP1089" s="331"/>
      <c r="BQ1089" s="332"/>
      <c r="BR1089" s="333"/>
    </row>
    <row r="1090" spans="2:70" ht="15.75" customHeight="1">
      <c r="B1090" s="216" t="s">
        <v>1680</v>
      </c>
      <c r="C1090" s="212">
        <v>4165780</v>
      </c>
      <c r="D1090" s="223">
        <v>20852221000103</v>
      </c>
      <c r="E1090" s="217" t="s">
        <v>25</v>
      </c>
      <c r="F1090" s="217" t="s">
        <v>959</v>
      </c>
      <c r="G1090" s="217" t="s">
        <v>962</v>
      </c>
      <c r="H1090" s="218" t="s">
        <v>66</v>
      </c>
      <c r="I1090" s="217" t="s">
        <v>1842</v>
      </c>
      <c r="J1090" s="217" t="s">
        <v>66</v>
      </c>
      <c r="K1090" s="218" t="s">
        <v>954</v>
      </c>
      <c r="L1090" s="212" t="s">
        <v>87</v>
      </c>
      <c r="M1090" s="250"/>
      <c r="N1090" s="239">
        <v>41961</v>
      </c>
      <c r="O1090" s="210" t="s">
        <v>697</v>
      </c>
      <c r="P1090" s="210" t="s">
        <v>1075</v>
      </c>
      <c r="Q1090" s="210" t="s">
        <v>1076</v>
      </c>
      <c r="R1090" s="210" t="s">
        <v>1099</v>
      </c>
      <c r="S1090" s="210" t="s">
        <v>1078</v>
      </c>
      <c r="T1090" s="210" t="s">
        <v>1082</v>
      </c>
      <c r="U1090" s="210" t="s">
        <v>65</v>
      </c>
      <c r="V1090" s="210" t="s">
        <v>25</v>
      </c>
      <c r="W1090" s="211" t="s">
        <v>1028</v>
      </c>
      <c r="X1090" s="211">
        <v>200000</v>
      </c>
      <c r="Y1090" s="211">
        <v>50000</v>
      </c>
      <c r="Z1090" s="212">
        <v>200000</v>
      </c>
      <c r="AA1090" s="240">
        <v>193</v>
      </c>
      <c r="AB1090" s="213">
        <v>8.0000000000000004E-4</v>
      </c>
      <c r="AC1090" s="213">
        <v>0</v>
      </c>
      <c r="AD1090" s="213" t="s">
        <v>113</v>
      </c>
      <c r="AE1090" s="213">
        <v>1.3333333333333334E-4</v>
      </c>
      <c r="AF1090" s="241">
        <v>13078209.220000001</v>
      </c>
      <c r="AG1090" s="241">
        <v>13078209.220000001</v>
      </c>
      <c r="AH1090" s="213">
        <v>-5.9200000000000003E-2</v>
      </c>
      <c r="AI1090" s="352">
        <v>-0.91220000000000001</v>
      </c>
      <c r="AJ1090" s="213">
        <v>0.28220000000000001</v>
      </c>
      <c r="AK1090" s="352">
        <v>2.9990000000000001</v>
      </c>
      <c r="AL1090" s="213">
        <v>0.56479999999999997</v>
      </c>
      <c r="AM1090" s="352">
        <v>4.6755000000000004</v>
      </c>
      <c r="AN1090" s="213">
        <v>1.0043</v>
      </c>
      <c r="AO1090" s="352">
        <v>5.9596999999999998</v>
      </c>
      <c r="AP1090" s="213">
        <v>0.2253</v>
      </c>
      <c r="AQ1090" s="219">
        <v>0.81283862628849646</v>
      </c>
      <c r="AR1090" s="213" t="s">
        <v>1827</v>
      </c>
      <c r="AV1090" s="343"/>
      <c r="AW1090" s="328"/>
      <c r="AX1090" s="329"/>
      <c r="AY1090" s="328"/>
      <c r="AZ1090" s="328"/>
      <c r="BA1090" s="330"/>
      <c r="BB1090" s="328"/>
      <c r="BC1090" s="328"/>
      <c r="BD1090" s="328"/>
      <c r="BE1090" s="330"/>
      <c r="BF1090" s="330"/>
      <c r="BG1090" s="344"/>
      <c r="BH1090" s="330"/>
      <c r="BI1090" s="330"/>
      <c r="BJ1090" s="330"/>
      <c r="BK1090" s="330"/>
      <c r="BL1090" s="330"/>
      <c r="BM1090" s="330"/>
      <c r="BN1090" s="330"/>
      <c r="BO1090" s="330"/>
      <c r="BP1090" s="331"/>
      <c r="BQ1090" s="332"/>
      <c r="BR1090" s="333"/>
    </row>
    <row r="1091" spans="2:70" ht="15.75" customHeight="1">
      <c r="B1091" s="216" t="s">
        <v>699</v>
      </c>
      <c r="C1091" s="212">
        <v>814156</v>
      </c>
      <c r="D1091" s="223">
        <v>30509221000150</v>
      </c>
      <c r="E1091" s="217" t="s">
        <v>19</v>
      </c>
      <c r="F1091" s="217" t="s">
        <v>963</v>
      </c>
      <c r="G1091" s="217" t="s">
        <v>1011</v>
      </c>
      <c r="H1091" s="218" t="s">
        <v>1113</v>
      </c>
      <c r="I1091" s="217" t="s">
        <v>66</v>
      </c>
      <c r="J1091" s="217" t="s">
        <v>1794</v>
      </c>
      <c r="K1091" s="218" t="s">
        <v>951</v>
      </c>
      <c r="L1091" s="212" t="s">
        <v>87</v>
      </c>
      <c r="M1091" s="250"/>
      <c r="N1091" s="239">
        <v>43616</v>
      </c>
      <c r="O1091" s="210" t="s">
        <v>698</v>
      </c>
      <c r="P1091" s="210" t="s">
        <v>1110</v>
      </c>
      <c r="Q1091" s="210" t="s">
        <v>1110</v>
      </c>
      <c r="R1091" s="210" t="s">
        <v>1084</v>
      </c>
      <c r="S1091" s="210" t="s">
        <v>1078</v>
      </c>
      <c r="T1091" s="210" t="s">
        <v>349</v>
      </c>
      <c r="U1091" s="210" t="s">
        <v>1078</v>
      </c>
      <c r="V1091" s="210" t="s">
        <v>19</v>
      </c>
      <c r="W1091" s="211" t="s">
        <v>1024</v>
      </c>
      <c r="X1091" s="211">
        <v>100</v>
      </c>
      <c r="Y1091" s="211">
        <v>100</v>
      </c>
      <c r="Z1091" s="212">
        <v>100</v>
      </c>
      <c r="AA1091" s="240">
        <v>0</v>
      </c>
      <c r="AB1091" s="213">
        <v>4.0000000000000001E-3</v>
      </c>
      <c r="AC1091" s="213">
        <v>0</v>
      </c>
      <c r="AD1091" s="213" t="s">
        <v>109</v>
      </c>
      <c r="AE1091" s="213">
        <v>7.9999999999999993E-4</v>
      </c>
      <c r="AF1091" s="241">
        <v>1053010731.91</v>
      </c>
      <c r="AG1091" s="241">
        <v>1053010731.91</v>
      </c>
      <c r="AH1091" s="213">
        <v>6.7199999999999996E-2</v>
      </c>
      <c r="AI1091" s="352">
        <v>1.0344</v>
      </c>
      <c r="AJ1091" s="213">
        <v>9.8599999999999993E-2</v>
      </c>
      <c r="AK1091" s="352">
        <v>1.0478000000000001</v>
      </c>
      <c r="AL1091" s="213">
        <v>0.13159999999999999</v>
      </c>
      <c r="AM1091" s="352">
        <v>1.0889</v>
      </c>
      <c r="AN1091" s="213">
        <v>0.182</v>
      </c>
      <c r="AO1091" s="352">
        <v>1.0801000000000001</v>
      </c>
      <c r="AP1091" s="213">
        <v>2.3E-3</v>
      </c>
      <c r="AQ1091" s="219">
        <v>1.7687866447835636</v>
      </c>
      <c r="AR1091" s="213" t="s">
        <v>1827</v>
      </c>
      <c r="AV1091" s="343"/>
      <c r="AW1091" s="328"/>
      <c r="AX1091" s="329"/>
      <c r="AY1091" s="328"/>
      <c r="AZ1091" s="328"/>
      <c r="BA1091" s="330"/>
      <c r="BB1091" s="328"/>
      <c r="BC1091" s="328"/>
      <c r="BD1091" s="328"/>
      <c r="BE1091" s="330"/>
      <c r="BF1091" s="330"/>
      <c r="BG1091" s="344"/>
      <c r="BH1091" s="330"/>
      <c r="BI1091" s="330"/>
      <c r="BJ1091" s="330"/>
      <c r="BK1091" s="330"/>
      <c r="BL1091" s="330"/>
      <c r="BM1091" s="330"/>
      <c r="BN1091" s="330"/>
      <c r="BO1091" s="330"/>
      <c r="BP1091" s="331"/>
      <c r="BQ1091" s="332"/>
      <c r="BR1091" s="333"/>
    </row>
    <row r="1092" spans="2:70" ht="15.75" customHeight="1">
      <c r="B1092" s="216" t="s">
        <v>1681</v>
      </c>
      <c r="C1092" s="212">
        <v>961600</v>
      </c>
      <c r="D1092" s="223">
        <v>27477408000105</v>
      </c>
      <c r="E1092" s="217" t="s">
        <v>25</v>
      </c>
      <c r="F1092" s="217" t="s">
        <v>958</v>
      </c>
      <c r="G1092" s="217" t="s">
        <v>962</v>
      </c>
      <c r="H1092" s="218" t="s">
        <v>66</v>
      </c>
      <c r="I1092" s="217" t="s">
        <v>1842</v>
      </c>
      <c r="J1092" s="217" t="s">
        <v>66</v>
      </c>
      <c r="K1092" s="218"/>
      <c r="L1092" s="212" t="s">
        <v>87</v>
      </c>
      <c r="M1092" s="250"/>
      <c r="N1092" s="239">
        <v>43250</v>
      </c>
      <c r="O1092" s="210" t="s">
        <v>698</v>
      </c>
      <c r="P1092" s="210" t="s">
        <v>1110</v>
      </c>
      <c r="Q1092" s="210" t="s">
        <v>1110</v>
      </c>
      <c r="R1092" s="210" t="s">
        <v>1084</v>
      </c>
      <c r="S1092" s="210" t="s">
        <v>1078</v>
      </c>
      <c r="T1092" s="210" t="s">
        <v>1082</v>
      </c>
      <c r="U1092" s="210" t="s">
        <v>1086</v>
      </c>
      <c r="V1092" s="210" t="s">
        <v>25</v>
      </c>
      <c r="W1092" s="211" t="s">
        <v>1016</v>
      </c>
      <c r="X1092" s="211">
        <v>100</v>
      </c>
      <c r="Y1092" s="211">
        <v>100</v>
      </c>
      <c r="Z1092" s="212">
        <v>100</v>
      </c>
      <c r="AA1092" s="240">
        <v>22</v>
      </c>
      <c r="AB1092" s="213">
        <v>8.5000000000000006E-3</v>
      </c>
      <c r="AC1092" s="213">
        <v>0.1</v>
      </c>
      <c r="AD1092" s="213" t="s">
        <v>109</v>
      </c>
      <c r="AE1092" s="213">
        <v>2.2666666666666668E-3</v>
      </c>
      <c r="AF1092" s="241">
        <v>6934529.7599999998</v>
      </c>
      <c r="AG1092" s="241">
        <v>6934529.7599999998</v>
      </c>
      <c r="AH1092" s="213">
        <v>2.9700000000000001E-2</v>
      </c>
      <c r="AI1092" s="352">
        <v>0.45750000000000002</v>
      </c>
      <c r="AJ1092" s="213">
        <v>6.7599999999999993E-2</v>
      </c>
      <c r="AK1092" s="352">
        <v>0.71889999999999998</v>
      </c>
      <c r="AL1092" s="213">
        <v>3.4099999999999998E-2</v>
      </c>
      <c r="AM1092" s="352">
        <v>0.28199999999999997</v>
      </c>
      <c r="AN1092" s="213">
        <v>8.6999999999999994E-2</v>
      </c>
      <c r="AO1092" s="352">
        <v>0.51619999999999999</v>
      </c>
      <c r="AP1092" s="213">
        <v>7.7299999999999994E-2</v>
      </c>
      <c r="AQ1092" s="219">
        <v>-0.27820798738246577</v>
      </c>
      <c r="AR1092" s="213" t="s">
        <v>1827</v>
      </c>
      <c r="AV1092" s="343"/>
      <c r="AW1092" s="328"/>
      <c r="AX1092" s="329"/>
      <c r="AY1092" s="328"/>
      <c r="AZ1092" s="328"/>
      <c r="BA1092" s="330"/>
      <c r="BB1092" s="328"/>
      <c r="BC1092" s="328"/>
      <c r="BD1092" s="328"/>
      <c r="BE1092" s="330"/>
      <c r="BF1092" s="330"/>
      <c r="BG1092" s="344"/>
      <c r="BH1092" s="330"/>
      <c r="BI1092" s="330"/>
      <c r="BJ1092" s="330"/>
      <c r="BK1092" s="330"/>
      <c r="BL1092" s="330"/>
      <c r="BM1092" s="330"/>
      <c r="BN1092" s="330"/>
      <c r="BO1092" s="330"/>
      <c r="BP1092" s="331"/>
      <c r="BQ1092" s="332"/>
      <c r="BR1092" s="333"/>
    </row>
    <row r="1093" spans="2:70" ht="15.75" customHeight="1">
      <c r="B1093" s="216" t="s">
        <v>1682</v>
      </c>
      <c r="C1093" s="212">
        <v>594476</v>
      </c>
      <c r="D1093" s="223">
        <v>28849591000195</v>
      </c>
      <c r="E1093" s="217" t="s">
        <v>19</v>
      </c>
      <c r="F1093" s="217" t="s">
        <v>964</v>
      </c>
      <c r="G1093" s="217" t="s">
        <v>1042</v>
      </c>
      <c r="H1093" s="218" t="s">
        <v>1113</v>
      </c>
      <c r="I1093" s="217" t="s">
        <v>66</v>
      </c>
      <c r="J1093" s="217"/>
      <c r="K1093" s="218" t="s">
        <v>951</v>
      </c>
      <c r="L1093" s="212" t="s">
        <v>87</v>
      </c>
      <c r="M1093" s="250"/>
      <c r="N1093" s="239">
        <v>43053</v>
      </c>
      <c r="O1093" s="210" t="s">
        <v>698</v>
      </c>
      <c r="P1093" s="210" t="s">
        <v>1110</v>
      </c>
      <c r="Q1093" s="210" t="s">
        <v>1110</v>
      </c>
      <c r="R1093" s="210" t="s">
        <v>1084</v>
      </c>
      <c r="S1093" s="210" t="s">
        <v>1078</v>
      </c>
      <c r="T1093" s="210" t="s">
        <v>349</v>
      </c>
      <c r="U1093" s="210" t="s">
        <v>964</v>
      </c>
      <c r="V1093" s="210" t="s">
        <v>25</v>
      </c>
      <c r="W1093" s="211" t="s">
        <v>1019</v>
      </c>
      <c r="X1093" s="211">
        <v>100</v>
      </c>
      <c r="Y1093" s="211">
        <v>100</v>
      </c>
      <c r="Z1093" s="212">
        <v>100</v>
      </c>
      <c r="AA1093" s="240">
        <v>46</v>
      </c>
      <c r="AB1093" s="213">
        <v>1.0999999999999999E-2</v>
      </c>
      <c r="AC1093" s="213">
        <v>0</v>
      </c>
      <c r="AD1093" s="213" t="s">
        <v>109</v>
      </c>
      <c r="AE1093" s="213">
        <v>2.9333333333333329E-3</v>
      </c>
      <c r="AF1093" s="241">
        <v>6611250.4400000004</v>
      </c>
      <c r="AG1093" s="241">
        <v>6611250.4400000004</v>
      </c>
      <c r="AH1093" s="213">
        <v>6.3E-2</v>
      </c>
      <c r="AI1093" s="352">
        <v>0.97060000000000002</v>
      </c>
      <c r="AJ1093" s="213">
        <v>9.6799999999999997E-2</v>
      </c>
      <c r="AK1093" s="352">
        <v>1.0288999999999999</v>
      </c>
      <c r="AL1093" s="213">
        <v>0.17530000000000001</v>
      </c>
      <c r="AM1093" s="352">
        <v>1.4513</v>
      </c>
      <c r="AN1093" s="213">
        <v>0.1837</v>
      </c>
      <c r="AO1093" s="352">
        <v>1.0901000000000001</v>
      </c>
      <c r="AP1093" s="213">
        <v>1.9599999999999999E-2</v>
      </c>
      <c r="AQ1093" s="219">
        <v>0.13652626169936233</v>
      </c>
      <c r="AR1093" s="213" t="s">
        <v>1827</v>
      </c>
      <c r="AV1093" s="343"/>
      <c r="AW1093" s="328"/>
      <c r="AX1093" s="329"/>
      <c r="AY1093" s="328"/>
      <c r="AZ1093" s="328"/>
      <c r="BA1093" s="330"/>
      <c r="BB1093" s="328"/>
      <c r="BC1093" s="328"/>
      <c r="BD1093" s="328"/>
      <c r="BE1093" s="330"/>
      <c r="BF1093" s="330"/>
      <c r="BG1093" s="344"/>
      <c r="BH1093" s="330"/>
      <c r="BI1093" s="330"/>
      <c r="BJ1093" s="330"/>
      <c r="BK1093" s="330"/>
      <c r="BL1093" s="330"/>
      <c r="BM1093" s="330"/>
      <c r="BN1093" s="330"/>
      <c r="BO1093" s="330"/>
      <c r="BP1093" s="331"/>
      <c r="BQ1093" s="332"/>
      <c r="BR1093" s="333"/>
    </row>
    <row r="1094" spans="2:70" ht="15.75" customHeight="1">
      <c r="B1094" s="216" t="s">
        <v>700</v>
      </c>
      <c r="C1094" s="212">
        <v>819650</v>
      </c>
      <c r="D1094" s="223">
        <v>36017289000107</v>
      </c>
      <c r="E1094" s="217" t="s">
        <v>19</v>
      </c>
      <c r="F1094" s="217" t="s">
        <v>963</v>
      </c>
      <c r="G1094" s="217" t="s">
        <v>1011</v>
      </c>
      <c r="H1094" s="218" t="s">
        <v>1113</v>
      </c>
      <c r="I1094" s="217" t="s">
        <v>66</v>
      </c>
      <c r="J1094" s="217" t="s">
        <v>66</v>
      </c>
      <c r="K1094" s="218" t="s">
        <v>951</v>
      </c>
      <c r="L1094" s="212" t="s">
        <v>87</v>
      </c>
      <c r="M1094" s="250"/>
      <c r="N1094" s="239">
        <v>44042</v>
      </c>
      <c r="O1094" s="210" t="s">
        <v>698</v>
      </c>
      <c r="P1094" s="210" t="s">
        <v>1110</v>
      </c>
      <c r="Q1094" s="210" t="s">
        <v>1110</v>
      </c>
      <c r="R1094" s="210" t="s">
        <v>1084</v>
      </c>
      <c r="S1094" s="210" t="s">
        <v>1078</v>
      </c>
      <c r="T1094" s="210" t="s">
        <v>349</v>
      </c>
      <c r="U1094" s="210" t="s">
        <v>1078</v>
      </c>
      <c r="V1094" s="210" t="s">
        <v>19</v>
      </c>
      <c r="W1094" s="211" t="s">
        <v>1024</v>
      </c>
      <c r="X1094" s="211">
        <v>100</v>
      </c>
      <c r="Y1094" s="211">
        <v>100</v>
      </c>
      <c r="Z1094" s="212">
        <v>100</v>
      </c>
      <c r="AA1094" s="240">
        <v>7</v>
      </c>
      <c r="AB1094" s="213">
        <v>4.0000000000000001E-3</v>
      </c>
      <c r="AC1094" s="213">
        <v>0</v>
      </c>
      <c r="AD1094" s="213" t="s">
        <v>109</v>
      </c>
      <c r="AE1094" s="213">
        <v>7.9999999999999993E-4</v>
      </c>
      <c r="AF1094" s="241">
        <v>375887892.14999998</v>
      </c>
      <c r="AG1094" s="241">
        <v>375887892.14999998</v>
      </c>
      <c r="AH1094" s="213">
        <v>7.2499999999999995E-2</v>
      </c>
      <c r="AI1094" s="352">
        <v>1.1165</v>
      </c>
      <c r="AJ1094" s="213">
        <v>0.1046</v>
      </c>
      <c r="AK1094" s="352">
        <v>1.1120000000000001</v>
      </c>
      <c r="AL1094" s="213" t="s">
        <v>66</v>
      </c>
      <c r="AM1094" s="352" t="s">
        <v>66</v>
      </c>
      <c r="AN1094" s="213" t="s">
        <v>66</v>
      </c>
      <c r="AO1094" s="352" t="s">
        <v>66</v>
      </c>
      <c r="AP1094" s="213">
        <v>2.8999999999999998E-3</v>
      </c>
      <c r="AQ1094" s="219">
        <v>3.3246183102711924</v>
      </c>
      <c r="AR1094" s="213" t="s">
        <v>1827</v>
      </c>
      <c r="AV1094" s="343"/>
      <c r="AW1094" s="328"/>
      <c r="AX1094" s="329"/>
      <c r="AY1094" s="328"/>
      <c r="AZ1094" s="328"/>
      <c r="BA1094" s="330"/>
      <c r="BB1094" s="328"/>
      <c r="BC1094" s="328"/>
      <c r="BD1094" s="328"/>
      <c r="BE1094" s="330"/>
      <c r="BF1094" s="330"/>
      <c r="BG1094" s="344"/>
      <c r="BH1094" s="330"/>
      <c r="BI1094" s="330"/>
      <c r="BJ1094" s="330"/>
      <c r="BK1094" s="330"/>
      <c r="BL1094" s="330"/>
      <c r="BM1094" s="330"/>
      <c r="BN1094" s="330"/>
      <c r="BO1094" s="330"/>
      <c r="BP1094" s="331"/>
      <c r="BQ1094" s="332"/>
      <c r="BR1094" s="333"/>
    </row>
    <row r="1095" spans="2:70" ht="15.75" customHeight="1">
      <c r="B1095" s="216" t="s">
        <v>1683</v>
      </c>
      <c r="C1095" s="212">
        <v>635841</v>
      </c>
      <c r="D1095" s="223">
        <v>35948858000167</v>
      </c>
      <c r="E1095" s="217" t="s">
        <v>28</v>
      </c>
      <c r="F1095" s="217" t="s">
        <v>950</v>
      </c>
      <c r="G1095" s="217"/>
      <c r="H1095" s="218"/>
      <c r="I1095" s="217" t="s">
        <v>66</v>
      </c>
      <c r="J1095" s="217" t="s">
        <v>66</v>
      </c>
      <c r="K1095" s="218" t="s">
        <v>951</v>
      </c>
      <c r="L1095" s="212" t="s">
        <v>87</v>
      </c>
      <c r="M1095" s="250"/>
      <c r="N1095" s="239">
        <v>43861</v>
      </c>
      <c r="O1095" s="210" t="s">
        <v>698</v>
      </c>
      <c r="P1095" s="210" t="s">
        <v>1075</v>
      </c>
      <c r="Q1095" s="210" t="s">
        <v>1616</v>
      </c>
      <c r="R1095" s="210" t="s">
        <v>1084</v>
      </c>
      <c r="S1095" s="210" t="s">
        <v>1078</v>
      </c>
      <c r="T1095" s="210" t="s">
        <v>1079</v>
      </c>
      <c r="U1095" s="210" t="s">
        <v>950</v>
      </c>
      <c r="V1095" s="210" t="s">
        <v>1080</v>
      </c>
      <c r="W1095" s="211" t="s">
        <v>1007</v>
      </c>
      <c r="X1095" s="211">
        <v>100</v>
      </c>
      <c r="Y1095" s="211">
        <v>100</v>
      </c>
      <c r="Z1095" s="212">
        <v>100</v>
      </c>
      <c r="AA1095" s="240">
        <v>17</v>
      </c>
      <c r="AB1095" s="213">
        <v>1.7999999999999999E-2</v>
      </c>
      <c r="AC1095" s="213">
        <v>0.2</v>
      </c>
      <c r="AD1095" s="213" t="s">
        <v>1100</v>
      </c>
      <c r="AE1095" s="213">
        <v>5.9999999999999993E-3</v>
      </c>
      <c r="AF1095" s="241">
        <v>23589277.02</v>
      </c>
      <c r="AG1095" s="241">
        <v>23589277.02</v>
      </c>
      <c r="AH1095" s="213">
        <v>-0.1024</v>
      </c>
      <c r="AI1095" s="352">
        <v>-1.5767</v>
      </c>
      <c r="AJ1095" s="213">
        <v>-0.21940000000000001</v>
      </c>
      <c r="AK1095" s="352">
        <v>-2.3321999999999998</v>
      </c>
      <c r="AL1095" s="213">
        <v>-4.8500000000000001E-2</v>
      </c>
      <c r="AM1095" s="352">
        <v>-0.40110000000000001</v>
      </c>
      <c r="AN1095" s="213" t="s">
        <v>66</v>
      </c>
      <c r="AO1095" s="352" t="s">
        <v>66</v>
      </c>
      <c r="AP1095" s="213">
        <v>0.22420000000000001</v>
      </c>
      <c r="AQ1095" s="219">
        <v>-1.3934614559057539</v>
      </c>
      <c r="AR1095" s="213" t="s">
        <v>1827</v>
      </c>
      <c r="AV1095" s="343"/>
      <c r="AW1095" s="328"/>
      <c r="AX1095" s="329"/>
      <c r="AY1095" s="328"/>
      <c r="AZ1095" s="328"/>
      <c r="BA1095" s="330"/>
      <c r="BB1095" s="328"/>
      <c r="BC1095" s="328"/>
      <c r="BD1095" s="328"/>
      <c r="BE1095" s="330"/>
      <c r="BF1095" s="330"/>
      <c r="BG1095" s="344"/>
      <c r="BH1095" s="330"/>
      <c r="BI1095" s="330"/>
      <c r="BJ1095" s="330"/>
      <c r="BK1095" s="330"/>
      <c r="BL1095" s="330"/>
      <c r="BM1095" s="330"/>
      <c r="BN1095" s="330"/>
      <c r="BO1095" s="330"/>
      <c r="BP1095" s="331"/>
      <c r="BQ1095" s="332"/>
      <c r="BR1095" s="333"/>
    </row>
    <row r="1096" spans="2:70" ht="15.75" customHeight="1">
      <c r="B1096" s="216" t="s">
        <v>1684</v>
      </c>
      <c r="C1096" s="212">
        <v>584121</v>
      </c>
      <c r="D1096" s="223">
        <v>10326625000100</v>
      </c>
      <c r="E1096" s="217" t="s">
        <v>19</v>
      </c>
      <c r="F1096" s="217" t="s">
        <v>963</v>
      </c>
      <c r="G1096" s="217" t="s">
        <v>1034</v>
      </c>
      <c r="H1096" s="218" t="s">
        <v>1113</v>
      </c>
      <c r="I1096" s="217" t="s">
        <v>66</v>
      </c>
      <c r="J1096" s="217" t="s">
        <v>1822</v>
      </c>
      <c r="K1096" s="218" t="s">
        <v>951</v>
      </c>
      <c r="L1096" s="212" t="s">
        <v>87</v>
      </c>
      <c r="M1096" s="250"/>
      <c r="N1096" s="239">
        <v>39829</v>
      </c>
      <c r="O1096" s="210" t="s">
        <v>701</v>
      </c>
      <c r="P1096" s="210" t="s">
        <v>1090</v>
      </c>
      <c r="Q1096" s="210" t="s">
        <v>1091</v>
      </c>
      <c r="R1096" s="210" t="s">
        <v>1084</v>
      </c>
      <c r="S1096" s="210" t="s">
        <v>1078</v>
      </c>
      <c r="T1096" s="210" t="s">
        <v>32</v>
      </c>
      <c r="U1096" s="210" t="s">
        <v>1150</v>
      </c>
      <c r="V1096" s="210" t="s">
        <v>19</v>
      </c>
      <c r="W1096" s="211" t="s">
        <v>1024</v>
      </c>
      <c r="X1096" s="211">
        <v>1000</v>
      </c>
      <c r="Y1096" s="211">
        <v>1000</v>
      </c>
      <c r="Z1096" s="212">
        <v>1000</v>
      </c>
      <c r="AA1096" s="240">
        <v>15</v>
      </c>
      <c r="AB1096" s="213">
        <v>5.0000000000000001E-3</v>
      </c>
      <c r="AC1096" s="213">
        <v>0.2</v>
      </c>
      <c r="AD1096" s="213" t="s">
        <v>1100</v>
      </c>
      <c r="AE1096" s="213">
        <v>1.3500000000000001E-3</v>
      </c>
      <c r="AF1096" s="241">
        <v>320316717.44</v>
      </c>
      <c r="AG1096" s="241">
        <v>320316717.44</v>
      </c>
      <c r="AH1096" s="213">
        <v>7.3499999999999996E-2</v>
      </c>
      <c r="AI1096" s="352">
        <v>1.1326000000000001</v>
      </c>
      <c r="AJ1096" s="213">
        <v>0.1103</v>
      </c>
      <c r="AK1096" s="352">
        <v>1.1719999999999999</v>
      </c>
      <c r="AL1096" s="213">
        <v>0.17519999999999999</v>
      </c>
      <c r="AM1096" s="352">
        <v>1.4502999999999999</v>
      </c>
      <c r="AN1096" s="213">
        <v>0.2001</v>
      </c>
      <c r="AO1096" s="352">
        <v>1.1872</v>
      </c>
      <c r="AP1096" s="213">
        <v>1.6999999999999999E-3</v>
      </c>
      <c r="AQ1096" s="219">
        <v>8.5378845970602217</v>
      </c>
      <c r="AR1096" s="213" t="s">
        <v>1827</v>
      </c>
      <c r="AV1096" s="343"/>
      <c r="AW1096" s="328"/>
      <c r="AX1096" s="329"/>
      <c r="AY1096" s="328"/>
      <c r="AZ1096" s="328"/>
      <c r="BA1096" s="330"/>
      <c r="BB1096" s="328"/>
      <c r="BC1096" s="328"/>
      <c r="BD1096" s="328"/>
      <c r="BE1096" s="330"/>
      <c r="BF1096" s="330"/>
      <c r="BG1096" s="344"/>
      <c r="BH1096" s="330"/>
      <c r="BI1096" s="330"/>
      <c r="BJ1096" s="330"/>
      <c r="BK1096" s="330"/>
      <c r="BL1096" s="330"/>
      <c r="BM1096" s="330"/>
      <c r="BN1096" s="330"/>
      <c r="BO1096" s="330"/>
      <c r="BP1096" s="331"/>
      <c r="BQ1096" s="332"/>
      <c r="BR1096" s="333"/>
    </row>
    <row r="1097" spans="2:70" ht="15.75" customHeight="1">
      <c r="B1097" s="216" t="s">
        <v>702</v>
      </c>
      <c r="C1097" s="212">
        <v>1180186</v>
      </c>
      <c r="D1097" s="223">
        <v>11701985000107</v>
      </c>
      <c r="E1097" s="217" t="s">
        <v>19</v>
      </c>
      <c r="F1097" s="217" t="s">
        <v>963</v>
      </c>
      <c r="G1097" s="217" t="s">
        <v>1034</v>
      </c>
      <c r="H1097" s="218" t="s">
        <v>1113</v>
      </c>
      <c r="I1097" s="217" t="s">
        <v>66</v>
      </c>
      <c r="J1097" s="217" t="s">
        <v>1822</v>
      </c>
      <c r="K1097" s="218" t="s">
        <v>951</v>
      </c>
      <c r="L1097" s="212" t="s">
        <v>87</v>
      </c>
      <c r="M1097" s="250"/>
      <c r="N1097" s="239">
        <v>40319</v>
      </c>
      <c r="O1097" s="210" t="s">
        <v>701</v>
      </c>
      <c r="P1097" s="210" t="s">
        <v>1090</v>
      </c>
      <c r="Q1097" s="210" t="s">
        <v>1091</v>
      </c>
      <c r="R1097" s="210" t="s">
        <v>1077</v>
      </c>
      <c r="S1097" s="210" t="s">
        <v>1078</v>
      </c>
      <c r="T1097" s="210" t="s">
        <v>32</v>
      </c>
      <c r="U1097" s="210" t="s">
        <v>1150</v>
      </c>
      <c r="V1097" s="210" t="s">
        <v>25</v>
      </c>
      <c r="W1097" s="211" t="s">
        <v>1035</v>
      </c>
      <c r="X1097" s="211">
        <v>1000</v>
      </c>
      <c r="Y1097" s="211">
        <v>1000</v>
      </c>
      <c r="Z1097" s="212">
        <v>1000</v>
      </c>
      <c r="AA1097" s="240">
        <v>91</v>
      </c>
      <c r="AB1097" s="213">
        <v>5.0000000000000001E-3</v>
      </c>
      <c r="AC1097" s="213">
        <v>0.2</v>
      </c>
      <c r="AD1097" s="213" t="s">
        <v>109</v>
      </c>
      <c r="AE1097" s="213">
        <v>8.0000000000000004E-4</v>
      </c>
      <c r="AF1097" s="241">
        <v>189127724.61000001</v>
      </c>
      <c r="AG1097" s="241">
        <v>189127724.61000001</v>
      </c>
      <c r="AH1097" s="213">
        <v>8.3400000000000002E-2</v>
      </c>
      <c r="AI1097" s="352">
        <v>1.2849999999999999</v>
      </c>
      <c r="AJ1097" s="213">
        <v>0.1293</v>
      </c>
      <c r="AK1097" s="352">
        <v>1.3748</v>
      </c>
      <c r="AL1097" s="213">
        <v>0.18229999999999999</v>
      </c>
      <c r="AM1097" s="352">
        <v>1.5089999999999999</v>
      </c>
      <c r="AN1097" s="213">
        <v>0.2452</v>
      </c>
      <c r="AO1097" s="352">
        <v>1.4550000000000001</v>
      </c>
      <c r="AP1097" s="213">
        <v>1.8E-3</v>
      </c>
      <c r="AQ1097" s="219">
        <v>17.197699862134712</v>
      </c>
      <c r="AR1097" s="213" t="s">
        <v>1827</v>
      </c>
      <c r="AV1097" s="343"/>
      <c r="AW1097" s="328"/>
      <c r="AX1097" s="329"/>
      <c r="AY1097" s="328"/>
      <c r="AZ1097" s="328"/>
      <c r="BA1097" s="330"/>
      <c r="BB1097" s="328"/>
      <c r="BC1097" s="328"/>
      <c r="BD1097" s="328"/>
      <c r="BE1097" s="330"/>
      <c r="BF1097" s="330"/>
      <c r="BG1097" s="344"/>
      <c r="BH1097" s="330"/>
      <c r="BI1097" s="330"/>
      <c r="BJ1097" s="330"/>
      <c r="BK1097" s="330"/>
      <c r="BL1097" s="330"/>
      <c r="BM1097" s="330"/>
      <c r="BN1097" s="330"/>
      <c r="BO1097" s="330"/>
      <c r="BP1097" s="331"/>
      <c r="BQ1097" s="332"/>
      <c r="BR1097" s="333"/>
    </row>
    <row r="1098" spans="2:70" ht="15.75" customHeight="1">
      <c r="B1098" s="216" t="s">
        <v>703</v>
      </c>
      <c r="C1098" s="212">
        <v>563911</v>
      </c>
      <c r="D1098" s="223">
        <v>23729525000168</v>
      </c>
      <c r="E1098" s="217" t="s">
        <v>19</v>
      </c>
      <c r="F1098" s="217" t="s">
        <v>963</v>
      </c>
      <c r="G1098" s="217" t="s">
        <v>1034</v>
      </c>
      <c r="H1098" s="218" t="s">
        <v>1113</v>
      </c>
      <c r="I1098" s="217" t="s">
        <v>66</v>
      </c>
      <c r="J1098" s="217" t="s">
        <v>1822</v>
      </c>
      <c r="K1098" s="218" t="s">
        <v>951</v>
      </c>
      <c r="L1098" s="212" t="s">
        <v>87</v>
      </c>
      <c r="M1098" s="250"/>
      <c r="N1098" s="239">
        <v>42552</v>
      </c>
      <c r="O1098" s="210" t="s">
        <v>701</v>
      </c>
      <c r="P1098" s="210" t="s">
        <v>1090</v>
      </c>
      <c r="Q1098" s="210" t="s">
        <v>1091</v>
      </c>
      <c r="R1098" s="210" t="s">
        <v>1077</v>
      </c>
      <c r="S1098" s="210" t="s">
        <v>1078</v>
      </c>
      <c r="T1098" s="210" t="s">
        <v>32</v>
      </c>
      <c r="U1098" s="210" t="s">
        <v>1150</v>
      </c>
      <c r="V1098" s="210" t="s">
        <v>25</v>
      </c>
      <c r="W1098" s="211" t="s">
        <v>1035</v>
      </c>
      <c r="X1098" s="211">
        <v>1000</v>
      </c>
      <c r="Y1098" s="211">
        <v>1000</v>
      </c>
      <c r="Z1098" s="212">
        <v>1000</v>
      </c>
      <c r="AA1098" s="240">
        <v>91</v>
      </c>
      <c r="AB1098" s="213">
        <v>8.0000000000000002E-3</v>
      </c>
      <c r="AC1098" s="213">
        <v>0.2</v>
      </c>
      <c r="AD1098" s="213" t="s">
        <v>109</v>
      </c>
      <c r="AE1098" s="213">
        <v>2.3999999999999998E-3</v>
      </c>
      <c r="AF1098" s="241">
        <v>73883495.709999993</v>
      </c>
      <c r="AG1098" s="241">
        <v>73883495.709999993</v>
      </c>
      <c r="AH1098" s="213">
        <v>8.1199999999999994E-2</v>
      </c>
      <c r="AI1098" s="352">
        <v>1.2508999999999999</v>
      </c>
      <c r="AJ1098" s="213">
        <v>0.12529999999999999</v>
      </c>
      <c r="AK1098" s="352">
        <v>1.3313999999999999</v>
      </c>
      <c r="AL1098" s="213">
        <v>0.17399999999999999</v>
      </c>
      <c r="AM1098" s="352">
        <v>1.4403999999999999</v>
      </c>
      <c r="AN1098" s="213">
        <v>0.2329</v>
      </c>
      <c r="AO1098" s="352">
        <v>1.3824000000000001</v>
      </c>
      <c r="AP1098" s="213">
        <v>1.8E-3</v>
      </c>
      <c r="AQ1098" s="219">
        <v>15.261679590469122</v>
      </c>
      <c r="AR1098" s="213" t="s">
        <v>1827</v>
      </c>
      <c r="AV1098" s="343"/>
      <c r="AW1098" s="328"/>
      <c r="AX1098" s="329"/>
      <c r="AY1098" s="328"/>
      <c r="AZ1098" s="328"/>
      <c r="BA1098" s="330"/>
      <c r="BB1098" s="328"/>
      <c r="BC1098" s="328"/>
      <c r="BD1098" s="328"/>
      <c r="BE1098" s="330"/>
      <c r="BF1098" s="330"/>
      <c r="BG1098" s="344"/>
      <c r="BH1098" s="330"/>
      <c r="BI1098" s="330"/>
      <c r="BJ1098" s="330"/>
      <c r="BK1098" s="330"/>
      <c r="BL1098" s="330"/>
      <c r="BM1098" s="330"/>
      <c r="BN1098" s="330"/>
      <c r="BO1098" s="330"/>
      <c r="BP1098" s="331"/>
      <c r="BQ1098" s="332"/>
      <c r="BR1098" s="333"/>
    </row>
    <row r="1099" spans="2:70" ht="15.75" customHeight="1">
      <c r="B1099" s="216" t="s">
        <v>1685</v>
      </c>
      <c r="C1099" s="212">
        <v>1187234</v>
      </c>
      <c r="D1099" s="223">
        <v>17313316000136</v>
      </c>
      <c r="E1099" s="217" t="s">
        <v>19</v>
      </c>
      <c r="F1099" s="217" t="s">
        <v>963</v>
      </c>
      <c r="G1099" s="217" t="s">
        <v>1034</v>
      </c>
      <c r="H1099" s="218" t="s">
        <v>1113</v>
      </c>
      <c r="I1099" s="217" t="s">
        <v>66</v>
      </c>
      <c r="J1099" s="217" t="s">
        <v>1822</v>
      </c>
      <c r="K1099" s="218" t="s">
        <v>951</v>
      </c>
      <c r="L1099" s="212" t="s">
        <v>87</v>
      </c>
      <c r="M1099" s="250"/>
      <c r="N1099" s="239">
        <v>41359</v>
      </c>
      <c r="O1099" s="210" t="s">
        <v>701</v>
      </c>
      <c r="P1099" s="210" t="s">
        <v>1075</v>
      </c>
      <c r="Q1099" s="210" t="s">
        <v>1076</v>
      </c>
      <c r="R1099" s="210" t="s">
        <v>1099</v>
      </c>
      <c r="S1099" s="210" t="s">
        <v>1078</v>
      </c>
      <c r="T1099" s="210" t="s">
        <v>32</v>
      </c>
      <c r="U1099" s="210" t="s">
        <v>1150</v>
      </c>
      <c r="V1099" s="210" t="s">
        <v>25</v>
      </c>
      <c r="W1099" s="211" t="s">
        <v>1016</v>
      </c>
      <c r="X1099" s="211">
        <v>10000</v>
      </c>
      <c r="Y1099" s="211">
        <v>1000</v>
      </c>
      <c r="Z1099" s="212">
        <v>0</v>
      </c>
      <c r="AA1099" s="240">
        <v>181</v>
      </c>
      <c r="AB1099" s="213">
        <v>1.15E-2</v>
      </c>
      <c r="AC1099" s="213">
        <v>0.2</v>
      </c>
      <c r="AD1099" s="213" t="s">
        <v>109</v>
      </c>
      <c r="AE1099" s="213">
        <v>3.0666666666666668E-3</v>
      </c>
      <c r="AF1099" s="241">
        <v>513463602.14999998</v>
      </c>
      <c r="AG1099" s="241">
        <v>513463602.14999998</v>
      </c>
      <c r="AH1099" s="213">
        <v>8.5999999999999993E-2</v>
      </c>
      <c r="AI1099" s="352">
        <v>1.3243</v>
      </c>
      <c r="AJ1099" s="213">
        <v>0.13320000000000001</v>
      </c>
      <c r="AK1099" s="352">
        <v>1.4153</v>
      </c>
      <c r="AL1099" s="213">
        <v>0.20319999999999999</v>
      </c>
      <c r="AM1099" s="352">
        <v>1.6822999999999999</v>
      </c>
      <c r="AN1099" s="213">
        <v>0.28710000000000002</v>
      </c>
      <c r="AO1099" s="352">
        <v>1.704</v>
      </c>
      <c r="AP1099" s="213">
        <v>3.3999999999999998E-3</v>
      </c>
      <c r="AQ1099" s="219">
        <v>10.432475011716202</v>
      </c>
      <c r="AR1099" s="213" t="s">
        <v>1827</v>
      </c>
      <c r="AV1099" s="343"/>
      <c r="AW1099" s="328"/>
      <c r="AX1099" s="329"/>
      <c r="AY1099" s="328"/>
      <c r="AZ1099" s="328"/>
      <c r="BA1099" s="330"/>
      <c r="BB1099" s="328"/>
      <c r="BC1099" s="328"/>
      <c r="BD1099" s="328"/>
      <c r="BE1099" s="330"/>
      <c r="BF1099" s="330"/>
      <c r="BG1099" s="344"/>
      <c r="BH1099" s="330"/>
      <c r="BI1099" s="330"/>
      <c r="BJ1099" s="330"/>
      <c r="BK1099" s="330"/>
      <c r="BL1099" s="330"/>
      <c r="BM1099" s="330"/>
      <c r="BN1099" s="330"/>
      <c r="BO1099" s="330"/>
      <c r="BP1099" s="331"/>
      <c r="BQ1099" s="332"/>
      <c r="BR1099" s="333"/>
    </row>
    <row r="1100" spans="2:70" ht="15.75" customHeight="1">
      <c r="B1100" s="216" t="s">
        <v>704</v>
      </c>
      <c r="C1100" s="212">
        <v>974872</v>
      </c>
      <c r="D1100" s="223">
        <v>39817321000119</v>
      </c>
      <c r="E1100" s="217" t="s">
        <v>19</v>
      </c>
      <c r="F1100" s="217" t="s">
        <v>963</v>
      </c>
      <c r="G1100" s="217" t="s">
        <v>1034</v>
      </c>
      <c r="H1100" s="218" t="s">
        <v>1113</v>
      </c>
      <c r="I1100" s="217" t="s">
        <v>66</v>
      </c>
      <c r="J1100" s="217" t="s">
        <v>1822</v>
      </c>
      <c r="K1100" s="218" t="s">
        <v>951</v>
      </c>
      <c r="L1100" s="212" t="s">
        <v>87</v>
      </c>
      <c r="M1100" s="250"/>
      <c r="N1100" s="239">
        <v>44265</v>
      </c>
      <c r="O1100" s="210" t="s">
        <v>701</v>
      </c>
      <c r="P1100" s="210" t="s">
        <v>1117</v>
      </c>
      <c r="Q1100" s="210" t="s">
        <v>1117</v>
      </c>
      <c r="R1100" s="210" t="s">
        <v>231</v>
      </c>
      <c r="S1100" s="210" t="s">
        <v>1078</v>
      </c>
      <c r="T1100" s="210" t="s">
        <v>32</v>
      </c>
      <c r="U1100" s="210" t="s">
        <v>1150</v>
      </c>
      <c r="V1100" s="210" t="s">
        <v>25</v>
      </c>
      <c r="W1100" s="211" t="s">
        <v>1028</v>
      </c>
      <c r="X1100" s="211">
        <v>1000</v>
      </c>
      <c r="Y1100" s="211">
        <v>1000</v>
      </c>
      <c r="Z1100" s="212">
        <v>0</v>
      </c>
      <c r="AA1100" s="240">
        <v>31</v>
      </c>
      <c r="AB1100" s="213">
        <v>5.4000000000000003E-3</v>
      </c>
      <c r="AC1100" s="213">
        <v>0.1</v>
      </c>
      <c r="AD1100" s="213" t="s">
        <v>1157</v>
      </c>
      <c r="AE1100" s="213" t="s">
        <v>66</v>
      </c>
      <c r="AF1100" s="241">
        <v>69650037.859999999</v>
      </c>
      <c r="AG1100" s="241">
        <v>69650037.859999999</v>
      </c>
      <c r="AH1100" s="213">
        <v>8.9399999999999993E-2</v>
      </c>
      <c r="AI1100" s="352">
        <v>1.3768</v>
      </c>
      <c r="AJ1100" s="213">
        <v>0.1429</v>
      </c>
      <c r="AK1100" s="352">
        <v>1.5185999999999999</v>
      </c>
      <c r="AL1100" s="213" t="s">
        <v>66</v>
      </c>
      <c r="AM1100" s="352" t="s">
        <v>66</v>
      </c>
      <c r="AN1100" s="213" t="s">
        <v>66</v>
      </c>
      <c r="AO1100" s="352" t="s">
        <v>66</v>
      </c>
      <c r="AP1100" s="213">
        <v>4.4000000000000003E-3</v>
      </c>
      <c r="AQ1100" s="219">
        <v>9.8698053988153038</v>
      </c>
      <c r="AR1100" s="213" t="s">
        <v>1827</v>
      </c>
      <c r="AV1100" s="343"/>
      <c r="AW1100" s="328"/>
      <c r="AX1100" s="329"/>
      <c r="AY1100" s="328"/>
      <c r="AZ1100" s="328"/>
      <c r="BA1100" s="330"/>
      <c r="BB1100" s="328"/>
      <c r="BC1100" s="328"/>
      <c r="BD1100" s="328"/>
      <c r="BE1100" s="330"/>
      <c r="BF1100" s="330"/>
      <c r="BG1100" s="344"/>
      <c r="BH1100" s="330"/>
      <c r="BI1100" s="330"/>
      <c r="BJ1100" s="330"/>
      <c r="BK1100" s="330"/>
      <c r="BL1100" s="330"/>
      <c r="BM1100" s="330"/>
      <c r="BN1100" s="330"/>
      <c r="BO1100" s="330"/>
      <c r="BP1100" s="331"/>
      <c r="BQ1100" s="332"/>
      <c r="BR1100" s="333"/>
    </row>
    <row r="1101" spans="2:70" ht="15.75" customHeight="1">
      <c r="B1101" s="216" t="s">
        <v>1686</v>
      </c>
      <c r="C1101" s="212">
        <v>532511</v>
      </c>
      <c r="D1101" s="223">
        <v>37240657000136</v>
      </c>
      <c r="E1101" s="217" t="s">
        <v>19</v>
      </c>
      <c r="F1101" s="217" t="s">
        <v>964</v>
      </c>
      <c r="G1101" s="217" t="s">
        <v>1021</v>
      </c>
      <c r="H1101" s="218" t="s">
        <v>1113</v>
      </c>
      <c r="I1101" s="217" t="s">
        <v>66</v>
      </c>
      <c r="J1101" s="217"/>
      <c r="K1101" s="218" t="s">
        <v>951</v>
      </c>
      <c r="L1101" s="212" t="s">
        <v>87</v>
      </c>
      <c r="M1101" s="250"/>
      <c r="N1101" s="239">
        <v>43999</v>
      </c>
      <c r="O1101" s="210" t="s">
        <v>706</v>
      </c>
      <c r="P1101" s="210" t="s">
        <v>1075</v>
      </c>
      <c r="Q1101" s="210" t="s">
        <v>1076</v>
      </c>
      <c r="R1101" s="210" t="s">
        <v>1084</v>
      </c>
      <c r="S1101" s="210" t="s">
        <v>1078</v>
      </c>
      <c r="T1101" s="210" t="s">
        <v>349</v>
      </c>
      <c r="U1101" s="210" t="s">
        <v>964</v>
      </c>
      <c r="V1101" s="210" t="s">
        <v>19</v>
      </c>
      <c r="W1101" s="211" t="s">
        <v>1025</v>
      </c>
      <c r="X1101" s="211">
        <v>1000</v>
      </c>
      <c r="Y1101" s="211">
        <v>100</v>
      </c>
      <c r="Z1101" s="212">
        <v>500</v>
      </c>
      <c r="AA1101" s="240">
        <v>3</v>
      </c>
      <c r="AB1101" s="213">
        <v>5.4999999999999997E-3</v>
      </c>
      <c r="AC1101" s="213">
        <v>0</v>
      </c>
      <c r="AD1101" s="213" t="s">
        <v>1425</v>
      </c>
      <c r="AE1101" s="213">
        <v>7.3333333333333323E-4</v>
      </c>
      <c r="AF1101" s="241">
        <v>28241727.559999999</v>
      </c>
      <c r="AG1101" s="241">
        <v>28241727.559999999</v>
      </c>
      <c r="AH1101" s="213">
        <v>7.3700000000000002E-2</v>
      </c>
      <c r="AI1101" s="352">
        <v>1.1347</v>
      </c>
      <c r="AJ1101" s="213">
        <v>-3.9E-2</v>
      </c>
      <c r="AK1101" s="352">
        <v>-0.41460000000000002</v>
      </c>
      <c r="AL1101" s="213">
        <v>-2.5899999999999999E-2</v>
      </c>
      <c r="AM1101" s="352">
        <v>-0.2147</v>
      </c>
      <c r="AN1101" s="213" t="s">
        <v>66</v>
      </c>
      <c r="AO1101" s="352" t="s">
        <v>66</v>
      </c>
      <c r="AP1101" s="213">
        <v>4.9099999999999998E-2</v>
      </c>
      <c r="AQ1101" s="219">
        <v>-2.6200163429620709</v>
      </c>
      <c r="AR1101" s="213" t="s">
        <v>1827</v>
      </c>
      <c r="AV1101" s="343"/>
      <c r="AW1101" s="328"/>
      <c r="AX1101" s="329"/>
      <c r="AY1101" s="328"/>
      <c r="AZ1101" s="328"/>
      <c r="BA1101" s="330"/>
      <c r="BB1101" s="328"/>
      <c r="BC1101" s="328"/>
      <c r="BD1101" s="328"/>
      <c r="BE1101" s="330"/>
      <c r="BF1101" s="330"/>
      <c r="BG1101" s="344"/>
      <c r="BH1101" s="330"/>
      <c r="BI1101" s="330"/>
      <c r="BJ1101" s="330"/>
      <c r="BK1101" s="330"/>
      <c r="BL1101" s="330"/>
      <c r="BM1101" s="330"/>
      <c r="BN1101" s="330"/>
      <c r="BO1101" s="330"/>
      <c r="BP1101" s="331"/>
      <c r="BQ1101" s="332"/>
      <c r="BR1101" s="333"/>
    </row>
    <row r="1102" spans="2:70" ht="15.75" customHeight="1">
      <c r="B1102" s="216" t="s">
        <v>1687</v>
      </c>
      <c r="C1102" s="212">
        <v>551962</v>
      </c>
      <c r="D1102" s="223">
        <v>38120906000112</v>
      </c>
      <c r="E1102" s="217" t="s">
        <v>25</v>
      </c>
      <c r="F1102" s="217" t="s">
        <v>958</v>
      </c>
      <c r="G1102" s="217" t="s">
        <v>962</v>
      </c>
      <c r="H1102" s="218" t="s">
        <v>66</v>
      </c>
      <c r="I1102" s="217" t="s">
        <v>1259</v>
      </c>
      <c r="J1102" s="217" t="s">
        <v>66</v>
      </c>
      <c r="K1102" s="218"/>
      <c r="L1102" s="212" t="s">
        <v>87</v>
      </c>
      <c r="M1102" s="250"/>
      <c r="N1102" s="239">
        <v>44146</v>
      </c>
      <c r="O1102" s="210" t="s">
        <v>706</v>
      </c>
      <c r="P1102" s="210" t="s">
        <v>1075</v>
      </c>
      <c r="Q1102" s="210" t="s">
        <v>1076</v>
      </c>
      <c r="R1102" s="210" t="s">
        <v>1084</v>
      </c>
      <c r="S1102" s="210" t="s">
        <v>1078</v>
      </c>
      <c r="T1102" s="210" t="s">
        <v>1082</v>
      </c>
      <c r="U1102" s="210" t="s">
        <v>1086</v>
      </c>
      <c r="V1102" s="210" t="s">
        <v>25</v>
      </c>
      <c r="W1102" s="211" t="s">
        <v>1016</v>
      </c>
      <c r="X1102" s="211">
        <v>1000</v>
      </c>
      <c r="Y1102" s="211">
        <v>100</v>
      </c>
      <c r="Z1102" s="212">
        <v>500</v>
      </c>
      <c r="AA1102" s="240">
        <v>31</v>
      </c>
      <c r="AB1102" s="213">
        <v>1.7500000000000002E-2</v>
      </c>
      <c r="AC1102" s="213">
        <v>0.2</v>
      </c>
      <c r="AD1102" s="213" t="s">
        <v>113</v>
      </c>
      <c r="AE1102" s="213">
        <v>3.5000000000000001E-3</v>
      </c>
      <c r="AF1102" s="241">
        <v>11247792.810000001</v>
      </c>
      <c r="AG1102" s="241">
        <v>11247792.810000001</v>
      </c>
      <c r="AH1102" s="213">
        <v>6.4600000000000005E-2</v>
      </c>
      <c r="AI1102" s="352">
        <v>0.99429999999999996</v>
      </c>
      <c r="AJ1102" s="213">
        <v>3.5299999999999998E-2</v>
      </c>
      <c r="AK1102" s="352">
        <v>0.375</v>
      </c>
      <c r="AL1102" s="213" t="s">
        <v>66</v>
      </c>
      <c r="AM1102" s="352" t="s">
        <v>66</v>
      </c>
      <c r="AN1102" s="213" t="s">
        <v>66</v>
      </c>
      <c r="AO1102" s="352" t="s">
        <v>66</v>
      </c>
      <c r="AP1102" s="213">
        <v>6.8900000000000003E-2</v>
      </c>
      <c r="AQ1102" s="219">
        <v>-0.76758421632514473</v>
      </c>
      <c r="AR1102" s="213" t="s">
        <v>1824</v>
      </c>
      <c r="AV1102" s="343"/>
      <c r="AW1102" s="328"/>
      <c r="AX1102" s="329"/>
      <c r="AY1102" s="328"/>
      <c r="AZ1102" s="328"/>
      <c r="BA1102" s="330"/>
      <c r="BB1102" s="328"/>
      <c r="BC1102" s="328"/>
      <c r="BD1102" s="328"/>
      <c r="BE1102" s="330"/>
      <c r="BF1102" s="330"/>
      <c r="BG1102" s="344"/>
      <c r="BH1102" s="330"/>
      <c r="BI1102" s="330"/>
      <c r="BJ1102" s="330"/>
      <c r="BK1102" s="330"/>
      <c r="BL1102" s="330"/>
      <c r="BM1102" s="330"/>
      <c r="BN1102" s="330"/>
      <c r="BO1102" s="330"/>
      <c r="BP1102" s="331"/>
      <c r="BQ1102" s="332"/>
      <c r="BR1102" s="333"/>
    </row>
    <row r="1103" spans="2:70" ht="15.75" customHeight="1">
      <c r="B1103" s="216" t="s">
        <v>705</v>
      </c>
      <c r="C1103" s="212">
        <v>2863695</v>
      </c>
      <c r="D1103" s="223">
        <v>37240631000198</v>
      </c>
      <c r="E1103" s="217" t="s">
        <v>19</v>
      </c>
      <c r="F1103" s="217" t="s">
        <v>963</v>
      </c>
      <c r="G1103" s="217" t="s">
        <v>1011</v>
      </c>
      <c r="H1103" s="218" t="s">
        <v>1113</v>
      </c>
      <c r="I1103" s="217" t="s">
        <v>66</v>
      </c>
      <c r="J1103" s="217" t="s">
        <v>1794</v>
      </c>
      <c r="K1103" s="218" t="s">
        <v>951</v>
      </c>
      <c r="L1103" s="212" t="s">
        <v>87</v>
      </c>
      <c r="M1103" s="250"/>
      <c r="N1103" s="239">
        <v>43999</v>
      </c>
      <c r="O1103" s="210" t="s">
        <v>706</v>
      </c>
      <c r="P1103" s="210" t="s">
        <v>1075</v>
      </c>
      <c r="Q1103" s="210" t="s">
        <v>1076</v>
      </c>
      <c r="R1103" s="210" t="s">
        <v>1084</v>
      </c>
      <c r="S1103" s="210" t="s">
        <v>1078</v>
      </c>
      <c r="T1103" s="210" t="s">
        <v>349</v>
      </c>
      <c r="U1103" s="210" t="s">
        <v>1078</v>
      </c>
      <c r="V1103" s="210" t="s">
        <v>19</v>
      </c>
      <c r="W1103" s="211" t="s">
        <v>1024</v>
      </c>
      <c r="X1103" s="211">
        <v>1000</v>
      </c>
      <c r="Y1103" s="211">
        <v>100</v>
      </c>
      <c r="Z1103" s="212">
        <v>500</v>
      </c>
      <c r="AA1103" s="240">
        <v>1</v>
      </c>
      <c r="AB1103" s="213">
        <v>5.4999999999999997E-3</v>
      </c>
      <c r="AC1103" s="213">
        <v>0</v>
      </c>
      <c r="AD1103" s="213" t="s">
        <v>109</v>
      </c>
      <c r="AE1103" s="213">
        <v>7.3333333333333323E-4</v>
      </c>
      <c r="AF1103" s="241">
        <v>26645921.73</v>
      </c>
      <c r="AG1103" s="241">
        <v>26645921.73</v>
      </c>
      <c r="AH1103" s="213">
        <v>5.9400000000000001E-2</v>
      </c>
      <c r="AI1103" s="352">
        <v>0.91479999999999995</v>
      </c>
      <c r="AJ1103" s="213">
        <v>8.2299999999999998E-2</v>
      </c>
      <c r="AK1103" s="352">
        <v>0.87450000000000006</v>
      </c>
      <c r="AL1103" s="213">
        <v>9.7799999999999998E-2</v>
      </c>
      <c r="AM1103" s="352">
        <v>0.80930000000000002</v>
      </c>
      <c r="AN1103" s="213" t="s">
        <v>66</v>
      </c>
      <c r="AO1103" s="352" t="s">
        <v>66</v>
      </c>
      <c r="AP1103" s="213">
        <v>8.3999999999999995E-3</v>
      </c>
      <c r="AQ1103" s="219">
        <v>-1.2830904289128995</v>
      </c>
      <c r="AR1103" s="213" t="s">
        <v>1827</v>
      </c>
      <c r="AV1103" s="343"/>
      <c r="AW1103" s="328"/>
      <c r="AX1103" s="329"/>
      <c r="AY1103" s="328"/>
      <c r="AZ1103" s="328"/>
      <c r="BA1103" s="330"/>
      <c r="BB1103" s="328"/>
      <c r="BC1103" s="328"/>
      <c r="BD1103" s="328"/>
      <c r="BE1103" s="330"/>
      <c r="BF1103" s="330"/>
      <c r="BG1103" s="344"/>
      <c r="BH1103" s="330"/>
      <c r="BI1103" s="330"/>
      <c r="BJ1103" s="330"/>
      <c r="BK1103" s="330"/>
      <c r="BL1103" s="330"/>
      <c r="BM1103" s="330"/>
      <c r="BN1103" s="330"/>
      <c r="BO1103" s="330"/>
      <c r="BP1103" s="331"/>
      <c r="BQ1103" s="332"/>
      <c r="BR1103" s="333"/>
    </row>
    <row r="1104" spans="2:70" ht="15.75" customHeight="1">
      <c r="B1104" s="216" t="s">
        <v>925</v>
      </c>
      <c r="C1104" s="212">
        <v>1180140</v>
      </c>
      <c r="D1104" s="223">
        <v>8940189000104</v>
      </c>
      <c r="E1104" s="217" t="s">
        <v>28</v>
      </c>
      <c r="F1104" s="217" t="s">
        <v>950</v>
      </c>
      <c r="G1104" s="217"/>
      <c r="H1104" s="218"/>
      <c r="I1104" s="217" t="s">
        <v>66</v>
      </c>
      <c r="J1104" s="217" t="s">
        <v>66</v>
      </c>
      <c r="K1104" s="218" t="s">
        <v>951</v>
      </c>
      <c r="L1104" s="212" t="s">
        <v>87</v>
      </c>
      <c r="M1104" s="250"/>
      <c r="N1104" s="239">
        <v>39328</v>
      </c>
      <c r="O1104" s="210" t="s">
        <v>707</v>
      </c>
      <c r="P1104" s="210" t="s">
        <v>1090</v>
      </c>
      <c r="Q1104" s="210" t="s">
        <v>1091</v>
      </c>
      <c r="R1104" s="210" t="s">
        <v>1077</v>
      </c>
      <c r="S1104" s="210" t="s">
        <v>1085</v>
      </c>
      <c r="T1104" s="210" t="s">
        <v>1079</v>
      </c>
      <c r="U1104" s="210" t="s">
        <v>950</v>
      </c>
      <c r="V1104" s="210" t="s">
        <v>1080</v>
      </c>
      <c r="W1104" s="211" t="s">
        <v>1007</v>
      </c>
      <c r="X1104" s="211">
        <v>100000</v>
      </c>
      <c r="Y1104" s="211">
        <v>10000</v>
      </c>
      <c r="Z1104" s="212">
        <v>100000</v>
      </c>
      <c r="AA1104" s="240">
        <v>29</v>
      </c>
      <c r="AB1104" s="213">
        <v>1.2999999999999999E-2</v>
      </c>
      <c r="AC1104" s="213">
        <v>0.2</v>
      </c>
      <c r="AD1104" s="213" t="s">
        <v>1219</v>
      </c>
      <c r="AE1104" s="213">
        <v>2.1666666666666666E-3</v>
      </c>
      <c r="AF1104" s="241">
        <v>57155455.119999997</v>
      </c>
      <c r="AG1104" s="241">
        <v>57155455.119999997</v>
      </c>
      <c r="AH1104" s="213">
        <v>-0.1734</v>
      </c>
      <c r="AI1104" s="352">
        <v>-2.6716000000000002</v>
      </c>
      <c r="AJ1104" s="213">
        <v>-0.40560000000000002</v>
      </c>
      <c r="AK1104" s="352">
        <v>-4.3113999999999999</v>
      </c>
      <c r="AL1104" s="213">
        <v>-0.29930000000000001</v>
      </c>
      <c r="AM1104" s="352">
        <v>-2.4777999999999998</v>
      </c>
      <c r="AN1104" s="213">
        <v>-0.13789999999999999</v>
      </c>
      <c r="AO1104" s="352">
        <v>-0.81820000000000004</v>
      </c>
      <c r="AP1104" s="213">
        <v>0.2555</v>
      </c>
      <c r="AQ1104" s="219">
        <v>-2.2588121014391787</v>
      </c>
      <c r="AR1104" s="213" t="s">
        <v>1827</v>
      </c>
      <c r="AV1104" s="343"/>
      <c r="AW1104" s="328"/>
      <c r="AX1104" s="329"/>
      <c r="AY1104" s="328"/>
      <c r="AZ1104" s="328"/>
      <c r="BA1104" s="330"/>
      <c r="BB1104" s="328"/>
      <c r="BC1104" s="328"/>
      <c r="BD1104" s="328"/>
      <c r="BE1104" s="330"/>
      <c r="BF1104" s="330"/>
      <c r="BG1104" s="344"/>
      <c r="BH1104" s="330"/>
      <c r="BI1104" s="330"/>
      <c r="BJ1104" s="330"/>
      <c r="BK1104" s="330"/>
      <c r="BL1104" s="330"/>
      <c r="BM1104" s="330"/>
      <c r="BN1104" s="330"/>
      <c r="BO1104" s="330"/>
      <c r="BP1104" s="331"/>
      <c r="BQ1104" s="332"/>
      <c r="BR1104" s="333"/>
    </row>
    <row r="1105" spans="2:70" ht="15.75" customHeight="1">
      <c r="B1105" s="216" t="s">
        <v>1688</v>
      </c>
      <c r="C1105" s="212">
        <v>1187738</v>
      </c>
      <c r="D1105" s="223">
        <v>36436851000129</v>
      </c>
      <c r="E1105" s="217" t="s">
        <v>28</v>
      </c>
      <c r="F1105" s="217" t="s">
        <v>950</v>
      </c>
      <c r="G1105" s="217"/>
      <c r="H1105" s="218"/>
      <c r="I1105" s="217" t="s">
        <v>66</v>
      </c>
      <c r="J1105" s="217" t="s">
        <v>66</v>
      </c>
      <c r="K1105" s="218" t="s">
        <v>951</v>
      </c>
      <c r="L1105" s="212" t="s">
        <v>87</v>
      </c>
      <c r="M1105" s="250"/>
      <c r="N1105" s="239">
        <v>43929</v>
      </c>
      <c r="O1105" s="210" t="s">
        <v>114</v>
      </c>
      <c r="P1105" s="210" t="s">
        <v>1075</v>
      </c>
      <c r="Q1105" s="210" t="s">
        <v>1076</v>
      </c>
      <c r="R1105" s="210" t="s">
        <v>1077</v>
      </c>
      <c r="S1105" s="210" t="s">
        <v>1085</v>
      </c>
      <c r="T1105" s="210" t="s">
        <v>1079</v>
      </c>
      <c r="U1105" s="210" t="s">
        <v>950</v>
      </c>
      <c r="V1105" s="210" t="s">
        <v>1080</v>
      </c>
      <c r="W1105" s="211" t="s">
        <v>1007</v>
      </c>
      <c r="X1105" s="211">
        <v>0</v>
      </c>
      <c r="Y1105" s="211">
        <v>0</v>
      </c>
      <c r="Z1105" s="212">
        <v>0</v>
      </c>
      <c r="AA1105" s="240">
        <v>90</v>
      </c>
      <c r="AB1105" s="213">
        <v>1.2999999999999999E-2</v>
      </c>
      <c r="AC1105" s="213">
        <v>0.2</v>
      </c>
      <c r="AD1105" s="213" t="s">
        <v>113</v>
      </c>
      <c r="AE1105" s="213" t="s">
        <v>66</v>
      </c>
      <c r="AF1105" s="241">
        <v>210461994.31999999</v>
      </c>
      <c r="AG1105" s="241">
        <v>210461994.31999999</v>
      </c>
      <c r="AH1105" s="213">
        <v>-0.1706</v>
      </c>
      <c r="AI1105" s="352">
        <v>-2.6276999999999999</v>
      </c>
      <c r="AJ1105" s="213">
        <v>-0.4002</v>
      </c>
      <c r="AK1105" s="352">
        <v>-4.2533000000000003</v>
      </c>
      <c r="AL1105" s="213">
        <v>-0.2949</v>
      </c>
      <c r="AM1105" s="352">
        <v>-2.4407999999999999</v>
      </c>
      <c r="AN1105" s="213" t="s">
        <v>66</v>
      </c>
      <c r="AO1105" s="352" t="s">
        <v>66</v>
      </c>
      <c r="AP1105" s="213">
        <v>0.2515</v>
      </c>
      <c r="AQ1105" s="219">
        <v>-2.2627001186912312</v>
      </c>
      <c r="AR1105" s="213" t="s">
        <v>1827</v>
      </c>
      <c r="AV1105" s="343"/>
      <c r="AW1105" s="328"/>
      <c r="AX1105" s="329"/>
      <c r="AY1105" s="328"/>
      <c r="AZ1105" s="328"/>
      <c r="BA1105" s="330"/>
      <c r="BB1105" s="328"/>
      <c r="BC1105" s="328"/>
      <c r="BD1105" s="328"/>
      <c r="BE1105" s="330"/>
      <c r="BF1105" s="330"/>
      <c r="BG1105" s="344"/>
      <c r="BH1105" s="330"/>
      <c r="BI1105" s="330"/>
      <c r="BJ1105" s="330"/>
      <c r="BK1105" s="330"/>
      <c r="BL1105" s="330"/>
      <c r="BM1105" s="330"/>
      <c r="BN1105" s="330"/>
      <c r="BO1105" s="330"/>
      <c r="BP1105" s="331"/>
      <c r="BQ1105" s="332"/>
      <c r="BR1105" s="333"/>
    </row>
    <row r="1106" spans="2:70" ht="15.75" customHeight="1">
      <c r="B1106" s="216" t="s">
        <v>1689</v>
      </c>
      <c r="C1106" s="212">
        <v>2668104</v>
      </c>
      <c r="D1106" s="223">
        <v>30397165000100</v>
      </c>
      <c r="E1106" s="217" t="s">
        <v>28</v>
      </c>
      <c r="F1106" s="217" t="s">
        <v>950</v>
      </c>
      <c r="G1106" s="217"/>
      <c r="H1106" s="218"/>
      <c r="I1106" s="217" t="s">
        <v>66</v>
      </c>
      <c r="J1106" s="217" t="s">
        <v>66</v>
      </c>
      <c r="K1106" s="218" t="s">
        <v>951</v>
      </c>
      <c r="L1106" s="212" t="s">
        <v>87</v>
      </c>
      <c r="M1106" s="250"/>
      <c r="N1106" s="239">
        <v>43935</v>
      </c>
      <c r="O1106" s="210" t="s">
        <v>708</v>
      </c>
      <c r="P1106" s="210" t="s">
        <v>1075</v>
      </c>
      <c r="Q1106" s="210" t="s">
        <v>1140</v>
      </c>
      <c r="R1106" s="210" t="s">
        <v>1084</v>
      </c>
      <c r="S1106" s="210" t="s">
        <v>1078</v>
      </c>
      <c r="T1106" s="210" t="s">
        <v>1079</v>
      </c>
      <c r="U1106" s="210" t="s">
        <v>950</v>
      </c>
      <c r="V1106" s="210" t="s">
        <v>1080</v>
      </c>
      <c r="W1106" s="211" t="s">
        <v>1018</v>
      </c>
      <c r="X1106" s="211">
        <v>5000</v>
      </c>
      <c r="Y1106" s="211">
        <v>1000</v>
      </c>
      <c r="Z1106" s="212">
        <v>3000</v>
      </c>
      <c r="AA1106" s="240">
        <v>31</v>
      </c>
      <c r="AB1106" s="213">
        <v>0.02</v>
      </c>
      <c r="AC1106" s="213">
        <v>0.2</v>
      </c>
      <c r="AD1106" s="213" t="s">
        <v>1014</v>
      </c>
      <c r="AE1106" s="213">
        <v>6.0000000000000001E-3</v>
      </c>
      <c r="AF1106" s="241">
        <v>110434621.08</v>
      </c>
      <c r="AG1106" s="241">
        <v>110434621.08</v>
      </c>
      <c r="AH1106" s="213">
        <v>-6.4199999999999993E-2</v>
      </c>
      <c r="AI1106" s="352">
        <v>-0.98909999999999998</v>
      </c>
      <c r="AJ1106" s="213">
        <v>-0.23949999999999999</v>
      </c>
      <c r="AK1106" s="352">
        <v>-2.5451999999999999</v>
      </c>
      <c r="AL1106" s="213">
        <v>-5.5399999999999998E-2</v>
      </c>
      <c r="AM1106" s="352">
        <v>-0.45889999999999997</v>
      </c>
      <c r="AN1106" s="213" t="s">
        <v>66</v>
      </c>
      <c r="AO1106" s="352" t="s">
        <v>66</v>
      </c>
      <c r="AP1106" s="213">
        <v>0.25929999999999997</v>
      </c>
      <c r="AQ1106" s="219">
        <v>-1.2724712702875178</v>
      </c>
      <c r="AR1106" s="213" t="s">
        <v>1827</v>
      </c>
      <c r="AV1106" s="343"/>
      <c r="AW1106" s="328"/>
      <c r="AX1106" s="329"/>
      <c r="AY1106" s="328"/>
      <c r="AZ1106" s="328"/>
      <c r="BA1106" s="330"/>
      <c r="BB1106" s="328"/>
      <c r="BC1106" s="328"/>
      <c r="BD1106" s="328"/>
      <c r="BE1106" s="330"/>
      <c r="BF1106" s="330"/>
      <c r="BG1106" s="344"/>
      <c r="BH1106" s="330"/>
      <c r="BI1106" s="330"/>
      <c r="BJ1106" s="330"/>
      <c r="BK1106" s="330"/>
      <c r="BL1106" s="330"/>
      <c r="BM1106" s="330"/>
      <c r="BN1106" s="330"/>
      <c r="BO1106" s="330"/>
      <c r="BP1106" s="331"/>
      <c r="BQ1106" s="332"/>
      <c r="BR1106" s="333"/>
    </row>
    <row r="1107" spans="2:70" ht="15.75" customHeight="1">
      <c r="B1107" s="216" t="s">
        <v>709</v>
      </c>
      <c r="C1107" s="212">
        <v>854618</v>
      </c>
      <c r="D1107" s="223">
        <v>10643371000145</v>
      </c>
      <c r="E1107" s="217" t="s">
        <v>28</v>
      </c>
      <c r="F1107" s="217" t="s">
        <v>950</v>
      </c>
      <c r="G1107" s="217"/>
      <c r="H1107" s="218"/>
      <c r="I1107" s="217" t="s">
        <v>66</v>
      </c>
      <c r="J1107" s="217" t="s">
        <v>66</v>
      </c>
      <c r="K1107" s="218" t="s">
        <v>951</v>
      </c>
      <c r="L1107" s="212" t="s">
        <v>87</v>
      </c>
      <c r="M1107" s="250"/>
      <c r="N1107" s="239">
        <v>40177</v>
      </c>
      <c r="O1107" s="210" t="s">
        <v>710</v>
      </c>
      <c r="P1107" s="210" t="s">
        <v>1083</v>
      </c>
      <c r="Q1107" s="210" t="s">
        <v>102</v>
      </c>
      <c r="R1107" s="210" t="s">
        <v>1077</v>
      </c>
      <c r="S1107" s="210" t="s">
        <v>1078</v>
      </c>
      <c r="T1107" s="210" t="s">
        <v>1079</v>
      </c>
      <c r="U1107" s="210" t="s">
        <v>950</v>
      </c>
      <c r="V1107" s="210" t="s">
        <v>1080</v>
      </c>
      <c r="W1107" s="211" t="s">
        <v>1007</v>
      </c>
      <c r="X1107" s="211">
        <v>20000</v>
      </c>
      <c r="Y1107" s="211">
        <v>10000</v>
      </c>
      <c r="Z1107" s="212">
        <v>20000</v>
      </c>
      <c r="AA1107" s="240">
        <v>22</v>
      </c>
      <c r="AB1107" s="213">
        <v>0.02</v>
      </c>
      <c r="AC1107" s="213">
        <v>0.2</v>
      </c>
      <c r="AD1107" s="213" t="s">
        <v>1014</v>
      </c>
      <c r="AE1107" s="213">
        <v>4.0000000000000001E-3</v>
      </c>
      <c r="AF1107" s="241">
        <v>120724017.8</v>
      </c>
      <c r="AG1107" s="241">
        <v>120724017.8</v>
      </c>
      <c r="AH1107" s="213">
        <v>1.11E-2</v>
      </c>
      <c r="AI1107" s="352">
        <v>0.1716</v>
      </c>
      <c r="AJ1107" s="213">
        <v>-9.7500000000000003E-2</v>
      </c>
      <c r="AK1107" s="352">
        <v>-1.0366</v>
      </c>
      <c r="AL1107" s="213">
        <v>0.1222</v>
      </c>
      <c r="AM1107" s="352">
        <v>1.0119</v>
      </c>
      <c r="AN1107" s="213">
        <v>0.214</v>
      </c>
      <c r="AO1107" s="352">
        <v>1.2701</v>
      </c>
      <c r="AP1107" s="213">
        <v>0.18959999999999999</v>
      </c>
      <c r="AQ1107" s="219">
        <v>-0.92071665558622851</v>
      </c>
      <c r="AR1107" s="213" t="s">
        <v>1827</v>
      </c>
      <c r="AV1107" s="343"/>
      <c r="AW1107" s="328"/>
      <c r="AX1107" s="329"/>
      <c r="AY1107" s="328"/>
      <c r="AZ1107" s="328"/>
      <c r="BA1107" s="330"/>
      <c r="BB1107" s="328"/>
      <c r="BC1107" s="328"/>
      <c r="BD1107" s="328"/>
      <c r="BE1107" s="330"/>
      <c r="BF1107" s="330"/>
      <c r="BG1107" s="344"/>
      <c r="BH1107" s="330"/>
      <c r="BI1107" s="330"/>
      <c r="BJ1107" s="330"/>
      <c r="BK1107" s="330"/>
      <c r="BL1107" s="330"/>
      <c r="BM1107" s="330"/>
      <c r="BN1107" s="330"/>
      <c r="BO1107" s="330"/>
      <c r="BP1107" s="331"/>
      <c r="BQ1107" s="332"/>
      <c r="BR1107" s="333"/>
    </row>
    <row r="1108" spans="2:70" ht="15.75" customHeight="1">
      <c r="B1108" s="216" t="s">
        <v>711</v>
      </c>
      <c r="C1108" s="212">
        <v>2034668</v>
      </c>
      <c r="D1108" s="223">
        <v>2162620000152</v>
      </c>
      <c r="E1108" s="217" t="s">
        <v>28</v>
      </c>
      <c r="F1108" s="217" t="s">
        <v>32</v>
      </c>
      <c r="G1108" s="217" t="s">
        <v>34</v>
      </c>
      <c r="H1108" s="218"/>
      <c r="I1108" s="217" t="s">
        <v>66</v>
      </c>
      <c r="J1108" s="217" t="s">
        <v>66</v>
      </c>
      <c r="K1108" s="218" t="s">
        <v>954</v>
      </c>
      <c r="L1108" s="212" t="s">
        <v>88</v>
      </c>
      <c r="M1108" s="250"/>
      <c r="N1108" s="239">
        <v>35782</v>
      </c>
      <c r="O1108" s="210" t="s">
        <v>710</v>
      </c>
      <c r="P1108" s="210" t="s">
        <v>1083</v>
      </c>
      <c r="Q1108" s="210" t="s">
        <v>102</v>
      </c>
      <c r="R1108" s="210" t="s">
        <v>1077</v>
      </c>
      <c r="S1108" s="210" t="s">
        <v>1078</v>
      </c>
      <c r="T1108" s="210" t="s">
        <v>34</v>
      </c>
      <c r="U1108" s="210" t="s">
        <v>66</v>
      </c>
      <c r="V1108" s="210" t="s">
        <v>25</v>
      </c>
      <c r="W1108" s="211" t="s">
        <v>1012</v>
      </c>
      <c r="X1108" s="211">
        <v>20000</v>
      </c>
      <c r="Y1108" s="211">
        <v>10000</v>
      </c>
      <c r="Z1108" s="212">
        <v>20000</v>
      </c>
      <c r="AA1108" s="240">
        <v>31</v>
      </c>
      <c r="AB1108" s="213">
        <v>1.95E-2</v>
      </c>
      <c r="AC1108" s="213">
        <v>0.2</v>
      </c>
      <c r="AD1108" s="213" t="s">
        <v>1281</v>
      </c>
      <c r="AE1108" s="213">
        <v>3.8999999999999998E-3</v>
      </c>
      <c r="AF1108" s="241">
        <v>83532097.510000005</v>
      </c>
      <c r="AG1108" s="241">
        <v>83532097.510000005</v>
      </c>
      <c r="AH1108" s="213">
        <v>0</v>
      </c>
      <c r="AI1108" s="352">
        <v>2.9999999999999997E-4</v>
      </c>
      <c r="AJ1108" s="213">
        <v>3.6700000000000003E-2</v>
      </c>
      <c r="AK1108" s="352">
        <v>0.3906</v>
      </c>
      <c r="AL1108" s="213">
        <v>4.2200000000000001E-2</v>
      </c>
      <c r="AM1108" s="352">
        <v>0.34960000000000002</v>
      </c>
      <c r="AN1108" s="213">
        <v>0.51880000000000004</v>
      </c>
      <c r="AO1108" s="352">
        <v>3.0785</v>
      </c>
      <c r="AP1108" s="213">
        <v>0.1633</v>
      </c>
      <c r="AQ1108" s="219">
        <v>-0.24854081246759036</v>
      </c>
      <c r="AR1108" s="213" t="s">
        <v>1827</v>
      </c>
      <c r="AV1108" s="343"/>
      <c r="AW1108" s="328"/>
      <c r="AX1108" s="329"/>
      <c r="AY1108" s="328"/>
      <c r="AZ1108" s="328"/>
      <c r="BA1108" s="330"/>
      <c r="BB1108" s="328"/>
      <c r="BC1108" s="328"/>
      <c r="BD1108" s="328"/>
      <c r="BE1108" s="330"/>
      <c r="BF1108" s="330"/>
      <c r="BG1108" s="344"/>
      <c r="BH1108" s="330"/>
      <c r="BI1108" s="330"/>
      <c r="BJ1108" s="330"/>
      <c r="BK1108" s="330"/>
      <c r="BL1108" s="330"/>
      <c r="BM1108" s="330"/>
      <c r="BN1108" s="330"/>
      <c r="BO1108" s="330"/>
      <c r="BP1108" s="331"/>
      <c r="BQ1108" s="332"/>
      <c r="BR1108" s="333"/>
    </row>
    <row r="1109" spans="2:70" ht="15.75" customHeight="1">
      <c r="B1109" s="216" t="s">
        <v>712</v>
      </c>
      <c r="C1109" s="212">
        <v>588029</v>
      </c>
      <c r="D1109" s="223">
        <v>7088369000147</v>
      </c>
      <c r="E1109" s="217" t="s">
        <v>25</v>
      </c>
      <c r="F1109" s="217" t="s">
        <v>959</v>
      </c>
      <c r="G1109" s="217" t="s">
        <v>960</v>
      </c>
      <c r="H1109" s="218" t="s">
        <v>66</v>
      </c>
      <c r="I1109" s="217" t="s">
        <v>1842</v>
      </c>
      <c r="J1109" s="217" t="s">
        <v>66</v>
      </c>
      <c r="K1109" s="218" t="s">
        <v>951</v>
      </c>
      <c r="L1109" s="212" t="s">
        <v>87</v>
      </c>
      <c r="M1109" s="250"/>
      <c r="N1109" s="239">
        <v>38317</v>
      </c>
      <c r="O1109" s="210" t="s">
        <v>710</v>
      </c>
      <c r="P1109" s="210" t="s">
        <v>1083</v>
      </c>
      <c r="Q1109" s="210" t="s">
        <v>102</v>
      </c>
      <c r="R1109" s="210" t="s">
        <v>1077</v>
      </c>
      <c r="S1109" s="210" t="s">
        <v>1078</v>
      </c>
      <c r="T1109" s="210" t="s">
        <v>1082</v>
      </c>
      <c r="U1109" s="210" t="s">
        <v>958</v>
      </c>
      <c r="V1109" s="210" t="s">
        <v>25</v>
      </c>
      <c r="W1109" s="211" t="s">
        <v>1012</v>
      </c>
      <c r="X1109" s="211">
        <v>20000</v>
      </c>
      <c r="Y1109" s="211">
        <v>10000</v>
      </c>
      <c r="Z1109" s="212">
        <v>20000</v>
      </c>
      <c r="AA1109" s="240">
        <v>31</v>
      </c>
      <c r="AB1109" s="213">
        <v>1.95E-2</v>
      </c>
      <c r="AC1109" s="213">
        <v>0.2</v>
      </c>
      <c r="AD1109" s="213" t="s">
        <v>109</v>
      </c>
      <c r="AE1109" s="213">
        <v>3.8999999999999998E-3</v>
      </c>
      <c r="AF1109" s="241">
        <v>90717499.430000007</v>
      </c>
      <c r="AG1109" s="241">
        <v>90717499.430000007</v>
      </c>
      <c r="AH1109" s="213">
        <v>0.1409</v>
      </c>
      <c r="AI1109" s="352">
        <v>2.1709000000000001</v>
      </c>
      <c r="AJ1109" s="213">
        <v>0.1024</v>
      </c>
      <c r="AK1109" s="352">
        <v>1.0885</v>
      </c>
      <c r="AL1109" s="213">
        <v>0.13730000000000001</v>
      </c>
      <c r="AM1109" s="352">
        <v>1.1364000000000001</v>
      </c>
      <c r="AN1109" s="213">
        <v>0.23930000000000001</v>
      </c>
      <c r="AO1109" s="352">
        <v>1.4201999999999999</v>
      </c>
      <c r="AP1109" s="213">
        <v>7.0800000000000002E-2</v>
      </c>
      <c r="AQ1109" s="219">
        <v>0.14235417712902182</v>
      </c>
      <c r="AR1109" s="213" t="s">
        <v>1827</v>
      </c>
      <c r="AV1109" s="343"/>
      <c r="AW1109" s="328"/>
      <c r="AX1109" s="329"/>
      <c r="AY1109" s="328"/>
      <c r="AZ1109" s="328"/>
      <c r="BA1109" s="330"/>
      <c r="BB1109" s="328"/>
      <c r="BC1109" s="328"/>
      <c r="BD1109" s="328"/>
      <c r="BE1109" s="330"/>
      <c r="BF1109" s="330"/>
      <c r="BG1109" s="344"/>
      <c r="BH1109" s="330"/>
      <c r="BI1109" s="330"/>
      <c r="BJ1109" s="330"/>
      <c r="BK1109" s="330"/>
      <c r="BL1109" s="330"/>
      <c r="BM1109" s="330"/>
      <c r="BN1109" s="330"/>
      <c r="BO1109" s="330"/>
      <c r="BP1109" s="331"/>
      <c r="BQ1109" s="332"/>
      <c r="BR1109" s="333"/>
    </row>
    <row r="1110" spans="2:70" ht="15.75" customHeight="1">
      <c r="B1110" s="216" t="s">
        <v>713</v>
      </c>
      <c r="C1110" s="212">
        <v>1907215</v>
      </c>
      <c r="D1110" s="223">
        <v>19941946000180</v>
      </c>
      <c r="E1110" s="217" t="s">
        <v>19</v>
      </c>
      <c r="F1110" s="217" t="s">
        <v>964</v>
      </c>
      <c r="G1110" s="217" t="s">
        <v>1021</v>
      </c>
      <c r="H1110" s="218" t="s">
        <v>1260</v>
      </c>
      <c r="I1110" s="217" t="s">
        <v>66</v>
      </c>
      <c r="J1110" s="217"/>
      <c r="K1110" s="218" t="s">
        <v>951</v>
      </c>
      <c r="L1110" s="212" t="s">
        <v>87</v>
      </c>
      <c r="M1110" s="250"/>
      <c r="N1110" s="239">
        <v>41913</v>
      </c>
      <c r="O1110" s="210" t="s">
        <v>710</v>
      </c>
      <c r="P1110" s="210" t="s">
        <v>1083</v>
      </c>
      <c r="Q1110" s="210" t="s">
        <v>102</v>
      </c>
      <c r="R1110" s="210" t="s">
        <v>1077</v>
      </c>
      <c r="S1110" s="210" t="s">
        <v>1078</v>
      </c>
      <c r="T1110" s="210" t="s">
        <v>349</v>
      </c>
      <c r="U1110" s="210" t="s">
        <v>964</v>
      </c>
      <c r="V1110" s="210" t="s">
        <v>25</v>
      </c>
      <c r="W1110" s="211" t="s">
        <v>1012</v>
      </c>
      <c r="X1110" s="211">
        <v>20000</v>
      </c>
      <c r="Y1110" s="211">
        <v>10000</v>
      </c>
      <c r="Z1110" s="212">
        <v>20000</v>
      </c>
      <c r="AA1110" s="240">
        <v>31</v>
      </c>
      <c r="AB1110" s="213">
        <v>0.02</v>
      </c>
      <c r="AC1110" s="213">
        <v>0.2</v>
      </c>
      <c r="AD1110" s="213" t="s">
        <v>254</v>
      </c>
      <c r="AE1110" s="213">
        <v>4.0000000000000001E-3</v>
      </c>
      <c r="AF1110" s="241">
        <v>146570317.69</v>
      </c>
      <c r="AG1110" s="241">
        <v>146570317.69</v>
      </c>
      <c r="AH1110" s="213">
        <v>8.6599999999999996E-2</v>
      </c>
      <c r="AI1110" s="352">
        <v>1.3344</v>
      </c>
      <c r="AJ1110" s="213">
        <v>6.3E-3</v>
      </c>
      <c r="AK1110" s="352">
        <v>6.6699999999999995E-2</v>
      </c>
      <c r="AL1110" s="213">
        <v>5.2200000000000003E-2</v>
      </c>
      <c r="AM1110" s="352">
        <v>0.43230000000000002</v>
      </c>
      <c r="AN1110" s="213">
        <v>0.16619999999999999</v>
      </c>
      <c r="AO1110" s="352">
        <v>0.98650000000000004</v>
      </c>
      <c r="AP1110" s="213">
        <v>0.109</v>
      </c>
      <c r="AQ1110" s="219">
        <v>-0.71313165566825476</v>
      </c>
      <c r="AR1110" s="213" t="s">
        <v>1827</v>
      </c>
      <c r="AV1110" s="343"/>
      <c r="AW1110" s="328"/>
      <c r="AX1110" s="329"/>
      <c r="AY1110" s="328"/>
      <c r="AZ1110" s="328"/>
      <c r="BA1110" s="330"/>
      <c r="BB1110" s="328"/>
      <c r="BC1110" s="328"/>
      <c r="BD1110" s="328"/>
      <c r="BE1110" s="330"/>
      <c r="BF1110" s="330"/>
      <c r="BG1110" s="344"/>
      <c r="BH1110" s="330"/>
      <c r="BI1110" s="330"/>
      <c r="BJ1110" s="330"/>
      <c r="BK1110" s="330"/>
      <c r="BL1110" s="330"/>
      <c r="BM1110" s="330"/>
      <c r="BN1110" s="330"/>
      <c r="BO1110" s="330"/>
      <c r="BP1110" s="331"/>
      <c r="BQ1110" s="332"/>
      <c r="BR1110" s="333"/>
    </row>
    <row r="1111" spans="2:70" ht="15.75" customHeight="1">
      <c r="B1111" s="216" t="s">
        <v>1690</v>
      </c>
      <c r="C1111" s="212">
        <v>933700</v>
      </c>
      <c r="D1111" s="223">
        <v>8815403000109</v>
      </c>
      <c r="E1111" s="217" t="s">
        <v>25</v>
      </c>
      <c r="F1111" s="217" t="s">
        <v>958</v>
      </c>
      <c r="G1111" s="217" t="s">
        <v>962</v>
      </c>
      <c r="H1111" s="218" t="s">
        <v>66</v>
      </c>
      <c r="I1111" s="217" t="s">
        <v>1842</v>
      </c>
      <c r="J1111" s="217" t="s">
        <v>66</v>
      </c>
      <c r="K1111" s="218"/>
      <c r="L1111" s="212" t="s">
        <v>87</v>
      </c>
      <c r="M1111" s="250"/>
      <c r="N1111" s="239">
        <v>39238</v>
      </c>
      <c r="O1111" s="210" t="s">
        <v>710</v>
      </c>
      <c r="P1111" s="210" t="s">
        <v>1083</v>
      </c>
      <c r="Q1111" s="210" t="s">
        <v>102</v>
      </c>
      <c r="R1111" s="210" t="s">
        <v>1084</v>
      </c>
      <c r="S1111" s="210" t="s">
        <v>1078</v>
      </c>
      <c r="T1111" s="210" t="s">
        <v>1082</v>
      </c>
      <c r="U1111" s="210" t="s">
        <v>958</v>
      </c>
      <c r="V1111" s="210" t="s">
        <v>25</v>
      </c>
      <c r="W1111" s="211" t="s">
        <v>1012</v>
      </c>
      <c r="X1111" s="211">
        <v>10000</v>
      </c>
      <c r="Y1111" s="211">
        <v>5000</v>
      </c>
      <c r="Z1111" s="212">
        <v>10000</v>
      </c>
      <c r="AA1111" s="240">
        <v>31</v>
      </c>
      <c r="AB1111" s="213">
        <v>1.8950000000000002E-2</v>
      </c>
      <c r="AC1111" s="213">
        <v>0.2</v>
      </c>
      <c r="AD1111" s="213" t="s">
        <v>109</v>
      </c>
      <c r="AE1111" s="213">
        <v>4.7375000000000004E-3</v>
      </c>
      <c r="AF1111" s="241">
        <v>8893901.6899999995</v>
      </c>
      <c r="AG1111" s="241">
        <v>8893901.6899999995</v>
      </c>
      <c r="AH1111" s="213">
        <v>0.13980000000000001</v>
      </c>
      <c r="AI1111" s="352">
        <v>2.1535000000000002</v>
      </c>
      <c r="AJ1111" s="213">
        <v>0.1</v>
      </c>
      <c r="AK1111" s="352">
        <v>1.0630999999999999</v>
      </c>
      <c r="AL1111" s="213">
        <v>0.15060000000000001</v>
      </c>
      <c r="AM1111" s="352">
        <v>1.2468999999999999</v>
      </c>
      <c r="AN1111" s="213">
        <v>0.1022</v>
      </c>
      <c r="AO1111" s="352">
        <v>0.60640000000000005</v>
      </c>
      <c r="AP1111" s="213">
        <v>7.3300000000000004E-2</v>
      </c>
      <c r="AQ1111" s="219">
        <v>0.11042616210829556</v>
      </c>
      <c r="AR1111" s="213" t="s">
        <v>1827</v>
      </c>
      <c r="AV1111" s="343"/>
      <c r="AW1111" s="328"/>
      <c r="AX1111" s="329"/>
      <c r="AY1111" s="328"/>
      <c r="AZ1111" s="328"/>
      <c r="BA1111" s="330"/>
      <c r="BB1111" s="328"/>
      <c r="BC1111" s="328"/>
      <c r="BD1111" s="328"/>
      <c r="BE1111" s="330"/>
      <c r="BF1111" s="330"/>
      <c r="BG1111" s="344"/>
      <c r="BH1111" s="330"/>
      <c r="BI1111" s="330"/>
      <c r="BJ1111" s="330"/>
      <c r="BK1111" s="330"/>
      <c r="BL1111" s="330"/>
      <c r="BM1111" s="330"/>
      <c r="BN1111" s="330"/>
      <c r="BO1111" s="330"/>
      <c r="BP1111" s="331"/>
      <c r="BQ1111" s="332"/>
      <c r="BR1111" s="333"/>
    </row>
    <row r="1112" spans="2:70" ht="15.75" customHeight="1">
      <c r="B1112" s="216" t="s">
        <v>714</v>
      </c>
      <c r="C1112" s="212">
        <v>790366</v>
      </c>
      <c r="D1112" s="223">
        <v>11447072000106</v>
      </c>
      <c r="E1112" s="217" t="s">
        <v>28</v>
      </c>
      <c r="F1112" s="217" t="s">
        <v>950</v>
      </c>
      <c r="G1112" s="217"/>
      <c r="H1112" s="218"/>
      <c r="I1112" s="217" t="s">
        <v>66</v>
      </c>
      <c r="J1112" s="217" t="s">
        <v>66</v>
      </c>
      <c r="K1112" s="218" t="s">
        <v>951</v>
      </c>
      <c r="L1112" s="212" t="s">
        <v>87</v>
      </c>
      <c r="M1112" s="250"/>
      <c r="N1112" s="239">
        <v>40228</v>
      </c>
      <c r="O1112" s="210" t="s">
        <v>1691</v>
      </c>
      <c r="P1112" s="210" t="s">
        <v>1075</v>
      </c>
      <c r="Q1112" s="210" t="s">
        <v>1076</v>
      </c>
      <c r="R1112" s="210" t="s">
        <v>1084</v>
      </c>
      <c r="S1112" s="210" t="s">
        <v>1078</v>
      </c>
      <c r="T1112" s="210" t="s">
        <v>1079</v>
      </c>
      <c r="U1112" s="210" t="s">
        <v>950</v>
      </c>
      <c r="V1112" s="210" t="s">
        <v>1080</v>
      </c>
      <c r="W1112" s="211" t="s">
        <v>1007</v>
      </c>
      <c r="X1112" s="211">
        <v>500</v>
      </c>
      <c r="Y1112" s="211">
        <v>500</v>
      </c>
      <c r="Z1112" s="212">
        <v>500</v>
      </c>
      <c r="AA1112" s="240">
        <v>14</v>
      </c>
      <c r="AB1112" s="213">
        <v>0.02</v>
      </c>
      <c r="AC1112" s="213">
        <v>0.2</v>
      </c>
      <c r="AD1112" s="213" t="s">
        <v>1100</v>
      </c>
      <c r="AE1112" s="213">
        <v>6.6666666666666662E-3</v>
      </c>
      <c r="AF1112" s="241">
        <v>36541952.270000003</v>
      </c>
      <c r="AG1112" s="241">
        <v>36541952.270000003</v>
      </c>
      <c r="AH1112" s="213">
        <v>-0.1115</v>
      </c>
      <c r="AI1112" s="352">
        <v>-1.7173</v>
      </c>
      <c r="AJ1112" s="213">
        <v>-0.2011</v>
      </c>
      <c r="AK1112" s="352">
        <v>-2.1379000000000001</v>
      </c>
      <c r="AL1112" s="213">
        <v>0.11749999999999999</v>
      </c>
      <c r="AM1112" s="352">
        <v>0.97289999999999999</v>
      </c>
      <c r="AN1112" s="213">
        <v>7.6499999999999999E-2</v>
      </c>
      <c r="AO1112" s="352">
        <v>0.45419999999999999</v>
      </c>
      <c r="AP1112" s="213">
        <v>0.2165</v>
      </c>
      <c r="AQ1112" s="219">
        <v>-1.3443405176227259</v>
      </c>
      <c r="AR1112" s="213" t="s">
        <v>1827</v>
      </c>
      <c r="AV1112" s="343"/>
      <c r="AW1112" s="328"/>
      <c r="AX1112" s="329"/>
      <c r="AY1112" s="328"/>
      <c r="AZ1112" s="328"/>
      <c r="BA1112" s="330"/>
      <c r="BB1112" s="328"/>
      <c r="BC1112" s="328"/>
      <c r="BD1112" s="328"/>
      <c r="BE1112" s="330"/>
      <c r="BF1112" s="330"/>
      <c r="BG1112" s="344"/>
      <c r="BH1112" s="330"/>
      <c r="BI1112" s="330"/>
      <c r="BJ1112" s="330"/>
      <c r="BK1112" s="330"/>
      <c r="BL1112" s="330"/>
      <c r="BM1112" s="330"/>
      <c r="BN1112" s="330"/>
      <c r="BO1112" s="330"/>
      <c r="BP1112" s="331"/>
      <c r="BQ1112" s="332"/>
      <c r="BR1112" s="333"/>
    </row>
    <row r="1113" spans="2:70" ht="15.75" customHeight="1">
      <c r="B1113" s="216" t="s">
        <v>1692</v>
      </c>
      <c r="C1113" s="212">
        <v>2519540</v>
      </c>
      <c r="D1113" s="223">
        <v>18679873000138</v>
      </c>
      <c r="E1113" s="217" t="s">
        <v>25</v>
      </c>
      <c r="F1113" s="217" t="s">
        <v>959</v>
      </c>
      <c r="G1113" s="217" t="s">
        <v>962</v>
      </c>
      <c r="H1113" s="218" t="s">
        <v>66</v>
      </c>
      <c r="I1113" s="217" t="s">
        <v>1842</v>
      </c>
      <c r="J1113" s="217" t="s">
        <v>66</v>
      </c>
      <c r="K1113" s="218" t="s">
        <v>954</v>
      </c>
      <c r="L1113" s="212" t="s">
        <v>87</v>
      </c>
      <c r="M1113" s="250"/>
      <c r="N1113" s="239">
        <v>41607</v>
      </c>
      <c r="O1113" s="210" t="s">
        <v>297</v>
      </c>
      <c r="P1113" s="210" t="s">
        <v>1083</v>
      </c>
      <c r="Q1113" s="210" t="s">
        <v>102</v>
      </c>
      <c r="R1113" s="210" t="s">
        <v>1430</v>
      </c>
      <c r="S1113" s="210" t="s">
        <v>1078</v>
      </c>
      <c r="T1113" s="210" t="s">
        <v>1082</v>
      </c>
      <c r="U1113" s="210" t="s">
        <v>65</v>
      </c>
      <c r="V1113" s="210" t="s">
        <v>25</v>
      </c>
      <c r="W1113" s="211" t="s">
        <v>1028</v>
      </c>
      <c r="X1113" s="211">
        <v>500000</v>
      </c>
      <c r="Y1113" s="211">
        <v>100000</v>
      </c>
      <c r="Z1113" s="212">
        <v>500000</v>
      </c>
      <c r="AA1113" s="240">
        <v>3</v>
      </c>
      <c r="AB1113" s="213">
        <v>0.02</v>
      </c>
      <c r="AC1113" s="213">
        <v>0</v>
      </c>
      <c r="AD1113" s="213" t="s">
        <v>109</v>
      </c>
      <c r="AE1113" s="213">
        <v>2.6666666666666666E-3</v>
      </c>
      <c r="AF1113" s="241">
        <v>13197392.5</v>
      </c>
      <c r="AG1113" s="241">
        <v>13197392.5</v>
      </c>
      <c r="AH1113" s="213">
        <v>-7.4999999999999997E-3</v>
      </c>
      <c r="AI1113" s="352">
        <v>-0.11559999999999999</v>
      </c>
      <c r="AJ1113" s="213">
        <v>8.4900000000000003E-2</v>
      </c>
      <c r="AK1113" s="352">
        <v>0.90200000000000002</v>
      </c>
      <c r="AL1113" s="213">
        <v>0.12820000000000001</v>
      </c>
      <c r="AM1113" s="352">
        <v>1.0609999999999999</v>
      </c>
      <c r="AN1113" s="213">
        <v>0.60460000000000003</v>
      </c>
      <c r="AO1113" s="352">
        <v>3.5876999999999999</v>
      </c>
      <c r="AP1113" s="213">
        <v>0.159</v>
      </c>
      <c r="AQ1113" s="219">
        <v>2.5773570526125153E-2</v>
      </c>
      <c r="AR1113" s="213" t="s">
        <v>1827</v>
      </c>
      <c r="AV1113" s="343"/>
      <c r="AW1113" s="328"/>
      <c r="AX1113" s="329"/>
      <c r="AY1113" s="328"/>
      <c r="AZ1113" s="328"/>
      <c r="BA1113" s="330"/>
      <c r="BB1113" s="328"/>
      <c r="BC1113" s="328"/>
      <c r="BD1113" s="328"/>
      <c r="BE1113" s="330"/>
      <c r="BF1113" s="330"/>
      <c r="BG1113" s="344"/>
      <c r="BH1113" s="330"/>
      <c r="BI1113" s="330"/>
      <c r="BJ1113" s="330"/>
      <c r="BK1113" s="330"/>
      <c r="BL1113" s="330"/>
      <c r="BM1113" s="330"/>
      <c r="BN1113" s="330"/>
      <c r="BO1113" s="330"/>
      <c r="BP1113" s="331"/>
      <c r="BQ1113" s="332"/>
      <c r="BR1113" s="333"/>
    </row>
    <row r="1114" spans="2:70" ht="15.75" customHeight="1">
      <c r="B1114" s="216" t="s">
        <v>715</v>
      </c>
      <c r="C1114" s="212">
        <v>1218977</v>
      </c>
      <c r="D1114" s="223">
        <v>23243536000133</v>
      </c>
      <c r="E1114" s="217" t="s">
        <v>28</v>
      </c>
      <c r="F1114" s="217" t="s">
        <v>957</v>
      </c>
      <c r="G1114" s="217"/>
      <c r="H1114" s="218"/>
      <c r="I1114" s="217" t="s">
        <v>1842</v>
      </c>
      <c r="J1114" s="217" t="s">
        <v>66</v>
      </c>
      <c r="K1114" s="218" t="s">
        <v>951</v>
      </c>
      <c r="L1114" s="212" t="s">
        <v>87</v>
      </c>
      <c r="M1114" s="250"/>
      <c r="N1114" s="239">
        <v>42787</v>
      </c>
      <c r="O1114" s="210" t="s">
        <v>297</v>
      </c>
      <c r="P1114" s="210" t="s">
        <v>1090</v>
      </c>
      <c r="Q1114" s="210" t="s">
        <v>1091</v>
      </c>
      <c r="R1114" s="210" t="s">
        <v>1084</v>
      </c>
      <c r="S1114" s="210" t="s">
        <v>1078</v>
      </c>
      <c r="T1114" s="210" t="s">
        <v>1079</v>
      </c>
      <c r="U1114" s="210" t="s">
        <v>957</v>
      </c>
      <c r="V1114" s="210" t="s">
        <v>1080</v>
      </c>
      <c r="W1114" s="211" t="s">
        <v>1007</v>
      </c>
      <c r="X1114" s="211">
        <v>10000</v>
      </c>
      <c r="Y1114" s="211">
        <v>5000</v>
      </c>
      <c r="Z1114" s="212">
        <v>10000</v>
      </c>
      <c r="AA1114" s="240">
        <v>31</v>
      </c>
      <c r="AB1114" s="213">
        <v>0.02</v>
      </c>
      <c r="AC1114" s="213">
        <v>0.2</v>
      </c>
      <c r="AD1114" s="213" t="s">
        <v>1014</v>
      </c>
      <c r="AE1114" s="213">
        <v>5.0000000000000001E-3</v>
      </c>
      <c r="AF1114" s="241">
        <v>185073753.41999999</v>
      </c>
      <c r="AG1114" s="241">
        <v>185073753.41999999</v>
      </c>
      <c r="AH1114" s="213">
        <v>-0.15859999999999999</v>
      </c>
      <c r="AI1114" s="352">
        <v>-2.4434999999999998</v>
      </c>
      <c r="AJ1114" s="213">
        <v>-0.34699999999999998</v>
      </c>
      <c r="AK1114" s="352">
        <v>-3.6882999999999999</v>
      </c>
      <c r="AL1114" s="213">
        <v>-0.23799999999999999</v>
      </c>
      <c r="AM1114" s="352">
        <v>-1.9697</v>
      </c>
      <c r="AN1114" s="213">
        <v>-0.1515</v>
      </c>
      <c r="AO1114" s="352">
        <v>-0.89929999999999999</v>
      </c>
      <c r="AP1114" s="213">
        <v>0.25509999999999999</v>
      </c>
      <c r="AQ1114" s="219">
        <v>-1.8949431323216219</v>
      </c>
      <c r="AR1114" s="213" t="s">
        <v>1827</v>
      </c>
      <c r="AV1114" s="343"/>
      <c r="AW1114" s="328"/>
      <c r="AX1114" s="329"/>
      <c r="AY1114" s="328"/>
      <c r="AZ1114" s="328"/>
      <c r="BA1114" s="330"/>
      <c r="BB1114" s="328"/>
      <c r="BC1114" s="328"/>
      <c r="BD1114" s="328"/>
      <c r="BE1114" s="330"/>
      <c r="BF1114" s="330"/>
      <c r="BG1114" s="344"/>
      <c r="BH1114" s="330"/>
      <c r="BI1114" s="330"/>
      <c r="BJ1114" s="330"/>
      <c r="BK1114" s="330"/>
      <c r="BL1114" s="330"/>
      <c r="BM1114" s="330"/>
      <c r="BN1114" s="330"/>
      <c r="BO1114" s="330"/>
      <c r="BP1114" s="331"/>
      <c r="BQ1114" s="332"/>
      <c r="BR1114" s="333"/>
    </row>
    <row r="1115" spans="2:70" ht="15.75" customHeight="1">
      <c r="B1115" s="216" t="s">
        <v>1693</v>
      </c>
      <c r="C1115" s="212">
        <v>820967</v>
      </c>
      <c r="D1115" s="223">
        <v>37013129000144</v>
      </c>
      <c r="E1115" s="217" t="s">
        <v>28</v>
      </c>
      <c r="F1115" s="217" t="s">
        <v>950</v>
      </c>
      <c r="G1115" s="217"/>
      <c r="H1115" s="218"/>
      <c r="I1115" s="217" t="s">
        <v>66</v>
      </c>
      <c r="J1115" s="217" t="s">
        <v>66</v>
      </c>
      <c r="K1115" s="218" t="s">
        <v>954</v>
      </c>
      <c r="L1115" s="212" t="s">
        <v>87</v>
      </c>
      <c r="M1115" s="250"/>
      <c r="N1115" s="239">
        <v>44011</v>
      </c>
      <c r="O1115" s="210" t="s">
        <v>297</v>
      </c>
      <c r="P1115" s="210" t="s">
        <v>1083</v>
      </c>
      <c r="Q1115" s="210" t="s">
        <v>102</v>
      </c>
      <c r="R1115" s="210" t="s">
        <v>1077</v>
      </c>
      <c r="S1115" s="210" t="s">
        <v>1078</v>
      </c>
      <c r="T1115" s="210" t="s">
        <v>1079</v>
      </c>
      <c r="U1115" s="210" t="s">
        <v>65</v>
      </c>
      <c r="V1115" s="210" t="s">
        <v>1080</v>
      </c>
      <c r="W1115" s="211" t="s">
        <v>1036</v>
      </c>
      <c r="X1115" s="211">
        <v>10000</v>
      </c>
      <c r="Y1115" s="211">
        <v>5000</v>
      </c>
      <c r="Z1115" s="212">
        <v>10000</v>
      </c>
      <c r="AA1115" s="240">
        <v>10</v>
      </c>
      <c r="AB1115" s="213">
        <v>1.4999999999999999E-2</v>
      </c>
      <c r="AC1115" s="213">
        <v>0.1</v>
      </c>
      <c r="AD1115" s="213" t="s">
        <v>1157</v>
      </c>
      <c r="AE1115" s="213">
        <v>2E-3</v>
      </c>
      <c r="AF1115" s="241">
        <v>134006858.73</v>
      </c>
      <c r="AG1115" s="241">
        <v>134006858.73</v>
      </c>
      <c r="AH1115" s="213">
        <v>-5.7000000000000002E-2</v>
      </c>
      <c r="AI1115" s="352">
        <v>-0.87770000000000004</v>
      </c>
      <c r="AJ1115" s="213">
        <v>-3.0800000000000001E-2</v>
      </c>
      <c r="AK1115" s="352">
        <v>-0.32729999999999998</v>
      </c>
      <c r="AL1115" s="213">
        <v>0.27710000000000001</v>
      </c>
      <c r="AM1115" s="352">
        <v>2.2932999999999999</v>
      </c>
      <c r="AN1115" s="213" t="s">
        <v>66</v>
      </c>
      <c r="AO1115" s="352" t="s">
        <v>66</v>
      </c>
      <c r="AP1115" s="213">
        <v>0.19020000000000001</v>
      </c>
      <c r="AQ1115" s="219">
        <v>-0.54224010210958717</v>
      </c>
      <c r="AR1115" s="213" t="s">
        <v>1827</v>
      </c>
      <c r="AV1115" s="343"/>
      <c r="AW1115" s="328"/>
      <c r="AX1115" s="329"/>
      <c r="AY1115" s="328"/>
      <c r="AZ1115" s="328"/>
      <c r="BA1115" s="330"/>
      <c r="BB1115" s="328"/>
      <c r="BC1115" s="328"/>
      <c r="BD1115" s="328"/>
      <c r="BE1115" s="330"/>
      <c r="BF1115" s="330"/>
      <c r="BG1115" s="344"/>
      <c r="BH1115" s="330"/>
      <c r="BI1115" s="330"/>
      <c r="BJ1115" s="330"/>
      <c r="BK1115" s="330"/>
      <c r="BL1115" s="330"/>
      <c r="BM1115" s="330"/>
      <c r="BN1115" s="330"/>
      <c r="BO1115" s="330"/>
      <c r="BP1115" s="331"/>
      <c r="BQ1115" s="332"/>
      <c r="BR1115" s="333"/>
    </row>
    <row r="1116" spans="2:70" ht="15.75" customHeight="1">
      <c r="B1116" s="216" t="s">
        <v>1694</v>
      </c>
      <c r="C1116" s="212">
        <v>820964</v>
      </c>
      <c r="D1116" s="223">
        <v>34831155000191</v>
      </c>
      <c r="E1116" s="217" t="s">
        <v>28</v>
      </c>
      <c r="F1116" s="217" t="s">
        <v>950</v>
      </c>
      <c r="G1116" s="217"/>
      <c r="H1116" s="218"/>
      <c r="I1116" s="217" t="s">
        <v>66</v>
      </c>
      <c r="J1116" s="217" t="s">
        <v>66</v>
      </c>
      <c r="K1116" s="218" t="s">
        <v>954</v>
      </c>
      <c r="L1116" s="212"/>
      <c r="M1116" s="250"/>
      <c r="N1116" s="239">
        <v>43846</v>
      </c>
      <c r="O1116" s="210" t="s">
        <v>297</v>
      </c>
      <c r="P1116" s="210" t="s">
        <v>1083</v>
      </c>
      <c r="Q1116" s="210" t="s">
        <v>102</v>
      </c>
      <c r="R1116" s="210" t="s">
        <v>1077</v>
      </c>
      <c r="S1116" s="210" t="s">
        <v>1078</v>
      </c>
      <c r="T1116" s="210" t="s">
        <v>1079</v>
      </c>
      <c r="U1116" s="210" t="s">
        <v>65</v>
      </c>
      <c r="V1116" s="210" t="s">
        <v>1080</v>
      </c>
      <c r="W1116" s="211" t="s">
        <v>1036</v>
      </c>
      <c r="X1116" s="211">
        <v>10000</v>
      </c>
      <c r="Y1116" s="211">
        <v>5000</v>
      </c>
      <c r="Z1116" s="212">
        <v>10000</v>
      </c>
      <c r="AA1116" s="240">
        <v>10</v>
      </c>
      <c r="AB1116" s="213">
        <v>1.4999999999999999E-2</v>
      </c>
      <c r="AC1116" s="213">
        <v>0.1</v>
      </c>
      <c r="AD1116" s="213" t="s">
        <v>1157</v>
      </c>
      <c r="AE1116" s="213">
        <v>2E-3</v>
      </c>
      <c r="AF1116" s="241">
        <v>191030460.12</v>
      </c>
      <c r="AG1116" s="241">
        <v>191030460.12</v>
      </c>
      <c r="AH1116" s="213">
        <v>-0.155</v>
      </c>
      <c r="AI1116" s="352">
        <v>-2.3879999999999999</v>
      </c>
      <c r="AJ1116" s="213">
        <v>-8.4699999999999998E-2</v>
      </c>
      <c r="AK1116" s="352">
        <v>-0.90029999999999999</v>
      </c>
      <c r="AL1116" s="213">
        <v>0.1704</v>
      </c>
      <c r="AM1116" s="352">
        <v>1.4103000000000001</v>
      </c>
      <c r="AN1116" s="213" t="s">
        <v>66</v>
      </c>
      <c r="AO1116" s="352" t="s">
        <v>66</v>
      </c>
      <c r="AP1116" s="213">
        <v>0.2016</v>
      </c>
      <c r="AQ1116" s="219">
        <v>-0.78482600936191338</v>
      </c>
      <c r="AR1116" s="213" t="s">
        <v>1827</v>
      </c>
      <c r="AV1116" s="343"/>
      <c r="AW1116" s="328"/>
      <c r="AX1116" s="329"/>
      <c r="AY1116" s="328"/>
      <c r="AZ1116" s="328"/>
      <c r="BA1116" s="330"/>
      <c r="BB1116" s="328"/>
      <c r="BC1116" s="328"/>
      <c r="BD1116" s="328"/>
      <c r="BE1116" s="330"/>
      <c r="BF1116" s="330"/>
      <c r="BG1116" s="344"/>
      <c r="BH1116" s="330"/>
      <c r="BI1116" s="330"/>
      <c r="BJ1116" s="330"/>
      <c r="BK1116" s="330"/>
      <c r="BL1116" s="330"/>
      <c r="BM1116" s="330"/>
      <c r="BN1116" s="330"/>
      <c r="BO1116" s="330"/>
      <c r="BP1116" s="331"/>
      <c r="BQ1116" s="332"/>
      <c r="BR1116" s="333"/>
    </row>
    <row r="1117" spans="2:70" ht="15.75" customHeight="1">
      <c r="B1117" s="216" t="s">
        <v>859</v>
      </c>
      <c r="C1117" s="212">
        <v>1530104</v>
      </c>
      <c r="D1117" s="223">
        <v>22187946000141</v>
      </c>
      <c r="E1117" s="217" t="s">
        <v>25</v>
      </c>
      <c r="F1117" s="217" t="s">
        <v>958</v>
      </c>
      <c r="G1117" s="217" t="s">
        <v>962</v>
      </c>
      <c r="H1117" s="218" t="s">
        <v>66</v>
      </c>
      <c r="I1117" s="217" t="s">
        <v>1842</v>
      </c>
      <c r="J1117" s="217" t="s">
        <v>66</v>
      </c>
      <c r="K1117" s="218"/>
      <c r="L1117" s="212" t="s">
        <v>87</v>
      </c>
      <c r="M1117" s="250"/>
      <c r="N1117" s="239">
        <v>42145</v>
      </c>
      <c r="O1117" s="210" t="s">
        <v>297</v>
      </c>
      <c r="P1117" s="210" t="s">
        <v>1083</v>
      </c>
      <c r="Q1117" s="210" t="s">
        <v>102</v>
      </c>
      <c r="R1117" s="210" t="s">
        <v>1084</v>
      </c>
      <c r="S1117" s="210" t="s">
        <v>1085</v>
      </c>
      <c r="T1117" s="210" t="s">
        <v>1082</v>
      </c>
      <c r="U1117" s="210" t="s">
        <v>958</v>
      </c>
      <c r="V1117" s="210" t="s">
        <v>25</v>
      </c>
      <c r="W1117" s="211" t="s">
        <v>1012</v>
      </c>
      <c r="X1117" s="211">
        <v>5000</v>
      </c>
      <c r="Y1117" s="211">
        <v>2000</v>
      </c>
      <c r="Z1117" s="212">
        <v>5000</v>
      </c>
      <c r="AA1117" s="240">
        <v>1</v>
      </c>
      <c r="AB1117" s="213">
        <v>1.4999999999999999E-2</v>
      </c>
      <c r="AC1117" s="213">
        <v>0.2</v>
      </c>
      <c r="AD1117" s="213" t="s">
        <v>109</v>
      </c>
      <c r="AE1117" s="213" t="s">
        <v>66</v>
      </c>
      <c r="AF1117" s="241">
        <v>1286943064.77</v>
      </c>
      <c r="AG1117" s="241">
        <v>1286943064.77</v>
      </c>
      <c r="AH1117" s="213">
        <v>9.2499999999999999E-2</v>
      </c>
      <c r="AI1117" s="352">
        <v>1.4251</v>
      </c>
      <c r="AJ1117" s="213">
        <v>5.2900000000000003E-2</v>
      </c>
      <c r="AK1117" s="352">
        <v>0.56279999999999997</v>
      </c>
      <c r="AL1117" s="213">
        <v>0.14530000000000001</v>
      </c>
      <c r="AM1117" s="352">
        <v>1.2031000000000001</v>
      </c>
      <c r="AN1117" s="213">
        <v>0.1671</v>
      </c>
      <c r="AO1117" s="352">
        <v>0.9919</v>
      </c>
      <c r="AP1117" s="213">
        <v>8.4900000000000003E-2</v>
      </c>
      <c r="AQ1117" s="219">
        <v>-0.40914792534076605</v>
      </c>
      <c r="AR1117" s="213" t="s">
        <v>1827</v>
      </c>
      <c r="AV1117" s="343"/>
      <c r="AW1117" s="328"/>
      <c r="AX1117" s="329"/>
      <c r="AY1117" s="328"/>
      <c r="AZ1117" s="328"/>
      <c r="BA1117" s="330"/>
      <c r="BB1117" s="328"/>
      <c r="BC1117" s="328"/>
      <c r="BD1117" s="328"/>
      <c r="BE1117" s="330"/>
      <c r="BF1117" s="330"/>
      <c r="BG1117" s="344"/>
      <c r="BH1117" s="330"/>
      <c r="BI1117" s="330"/>
      <c r="BJ1117" s="330"/>
      <c r="BK1117" s="330"/>
      <c r="BL1117" s="330"/>
      <c r="BM1117" s="330"/>
      <c r="BN1117" s="330"/>
      <c r="BO1117" s="330"/>
      <c r="BP1117" s="331"/>
      <c r="BQ1117" s="332"/>
      <c r="BR1117" s="333"/>
    </row>
    <row r="1118" spans="2:70" ht="15.75" customHeight="1">
      <c r="B1118" s="216" t="s">
        <v>75</v>
      </c>
      <c r="C1118" s="212">
        <v>1123314</v>
      </c>
      <c r="D1118" s="223">
        <v>40716583000176</v>
      </c>
      <c r="E1118" s="217" t="s">
        <v>25</v>
      </c>
      <c r="F1118" s="217" t="s">
        <v>958</v>
      </c>
      <c r="G1118" s="217" t="s">
        <v>962</v>
      </c>
      <c r="H1118" s="218" t="s">
        <v>66</v>
      </c>
      <c r="I1118" s="217" t="s">
        <v>1842</v>
      </c>
      <c r="J1118" s="217" t="s">
        <v>66</v>
      </c>
      <c r="K1118" s="218"/>
      <c r="L1118" s="212" t="s">
        <v>87</v>
      </c>
      <c r="M1118" s="250"/>
      <c r="N1118" s="239">
        <v>44249</v>
      </c>
      <c r="O1118" s="210" t="s">
        <v>114</v>
      </c>
      <c r="P1118" s="210" t="s">
        <v>1075</v>
      </c>
      <c r="Q1118" s="210" t="s">
        <v>1076</v>
      </c>
      <c r="R1118" s="210" t="s">
        <v>1084</v>
      </c>
      <c r="S1118" s="210" t="s">
        <v>1085</v>
      </c>
      <c r="T1118" s="210" t="s">
        <v>1082</v>
      </c>
      <c r="U1118" s="210" t="s">
        <v>958</v>
      </c>
      <c r="V1118" s="210" t="s">
        <v>25</v>
      </c>
      <c r="W1118" s="211" t="s">
        <v>1012</v>
      </c>
      <c r="X1118" s="211">
        <v>50000</v>
      </c>
      <c r="Y1118" s="211">
        <v>10000</v>
      </c>
      <c r="Z1118" s="212">
        <v>10000</v>
      </c>
      <c r="AA1118" s="240">
        <v>60</v>
      </c>
      <c r="AB1118" s="213">
        <v>0.02</v>
      </c>
      <c r="AC1118" s="213">
        <v>0.2</v>
      </c>
      <c r="AD1118" s="213" t="s">
        <v>109</v>
      </c>
      <c r="AE1118" s="213" t="s">
        <v>66</v>
      </c>
      <c r="AF1118" s="241">
        <v>151194834.68000001</v>
      </c>
      <c r="AG1118" s="241">
        <v>151194834.68000001</v>
      </c>
      <c r="AH1118" s="213">
        <v>8.6699999999999999E-2</v>
      </c>
      <c r="AI1118" s="352">
        <v>1.3358000000000001</v>
      </c>
      <c r="AJ1118" s="213">
        <v>4.6600000000000003E-2</v>
      </c>
      <c r="AK1118" s="352">
        <v>0.49559999999999998</v>
      </c>
      <c r="AL1118" s="213" t="s">
        <v>66</v>
      </c>
      <c r="AM1118" s="352" t="s">
        <v>66</v>
      </c>
      <c r="AN1118" s="213" t="s">
        <v>66</v>
      </c>
      <c r="AO1118" s="352" t="s">
        <v>66</v>
      </c>
      <c r="AP1118" s="213">
        <v>8.2199999999999995E-2</v>
      </c>
      <c r="AQ1118" s="219">
        <v>-0.4984396276580414</v>
      </c>
      <c r="AR1118" s="213" t="s">
        <v>1827</v>
      </c>
      <c r="AV1118" s="343"/>
      <c r="AW1118" s="328"/>
      <c r="AX1118" s="329"/>
      <c r="AY1118" s="328"/>
      <c r="AZ1118" s="328"/>
      <c r="BA1118" s="330"/>
      <c r="BB1118" s="328"/>
      <c r="BC1118" s="328"/>
      <c r="BD1118" s="328"/>
      <c r="BE1118" s="330"/>
      <c r="BF1118" s="330"/>
      <c r="BG1118" s="344"/>
      <c r="BH1118" s="330"/>
      <c r="BI1118" s="330"/>
      <c r="BJ1118" s="330"/>
      <c r="BK1118" s="330"/>
      <c r="BL1118" s="330"/>
      <c r="BM1118" s="330"/>
      <c r="BN1118" s="330"/>
      <c r="BO1118" s="330"/>
      <c r="BP1118" s="331"/>
      <c r="BQ1118" s="332"/>
      <c r="BR1118" s="333"/>
    </row>
    <row r="1119" spans="2:70" ht="15.75" customHeight="1">
      <c r="B1119" s="216" t="s">
        <v>1695</v>
      </c>
      <c r="C1119" s="212">
        <v>951246</v>
      </c>
      <c r="D1119" s="223">
        <v>37099014000114</v>
      </c>
      <c r="E1119" s="217" t="s">
        <v>28</v>
      </c>
      <c r="F1119" s="217" t="s">
        <v>950</v>
      </c>
      <c r="G1119" s="217"/>
      <c r="H1119" s="218"/>
      <c r="I1119" s="217" t="s">
        <v>66</v>
      </c>
      <c r="J1119" s="217" t="s">
        <v>66</v>
      </c>
      <c r="K1119" s="218" t="s">
        <v>951</v>
      </c>
      <c r="L1119" s="212" t="s">
        <v>87</v>
      </c>
      <c r="M1119" s="250"/>
      <c r="N1119" s="239">
        <v>43978</v>
      </c>
      <c r="O1119" s="210" t="s">
        <v>1696</v>
      </c>
      <c r="P1119" s="210" t="s">
        <v>1075</v>
      </c>
      <c r="Q1119" s="210" t="s">
        <v>1076</v>
      </c>
      <c r="R1119" s="210" t="s">
        <v>1084</v>
      </c>
      <c r="S1119" s="210" t="s">
        <v>1078</v>
      </c>
      <c r="T1119" s="210" t="s">
        <v>1079</v>
      </c>
      <c r="U1119" s="210" t="s">
        <v>950</v>
      </c>
      <c r="V1119" s="210" t="s">
        <v>1080</v>
      </c>
      <c r="W1119" s="211" t="s">
        <v>1018</v>
      </c>
      <c r="X1119" s="211">
        <v>5000</v>
      </c>
      <c r="Y1119" s="211">
        <v>1000</v>
      </c>
      <c r="Z1119" s="212">
        <v>1000</v>
      </c>
      <c r="AA1119" s="240">
        <v>3</v>
      </c>
      <c r="AB1119" s="213">
        <v>0.02</v>
      </c>
      <c r="AC1119" s="213">
        <v>0.2</v>
      </c>
      <c r="AD1119" s="213" t="s">
        <v>1014</v>
      </c>
      <c r="AE1119" s="213">
        <v>6.0000000000000001E-3</v>
      </c>
      <c r="AF1119" s="241">
        <v>2089331.63</v>
      </c>
      <c r="AG1119" s="241">
        <v>2089331.63</v>
      </c>
      <c r="AH1119" s="213">
        <v>-1.3599999999999999E-2</v>
      </c>
      <c r="AI1119" s="352">
        <v>-0.20910000000000001</v>
      </c>
      <c r="AJ1119" s="213">
        <v>-0.18920000000000001</v>
      </c>
      <c r="AK1119" s="352">
        <v>-2.0114999999999998</v>
      </c>
      <c r="AL1119" s="213">
        <v>-8.4500000000000006E-2</v>
      </c>
      <c r="AM1119" s="352">
        <v>-0.69910000000000005</v>
      </c>
      <c r="AN1119" s="213" t="s">
        <v>66</v>
      </c>
      <c r="AO1119" s="352" t="s">
        <v>66</v>
      </c>
      <c r="AP1119" s="213">
        <v>0.20660000000000001</v>
      </c>
      <c r="AQ1119" s="219">
        <v>-1.3471040529142939</v>
      </c>
      <c r="AR1119" s="213" t="s">
        <v>1824</v>
      </c>
      <c r="AV1119" s="343"/>
      <c r="AW1119" s="328"/>
      <c r="AX1119" s="329"/>
      <c r="AY1119" s="328"/>
      <c r="AZ1119" s="328"/>
      <c r="BA1119" s="330"/>
      <c r="BB1119" s="328"/>
      <c r="BC1119" s="328"/>
      <c r="BD1119" s="328"/>
      <c r="BE1119" s="330"/>
      <c r="BF1119" s="330"/>
      <c r="BG1119" s="344"/>
      <c r="BH1119" s="330"/>
      <c r="BI1119" s="330"/>
      <c r="BJ1119" s="330"/>
      <c r="BK1119" s="330"/>
      <c r="BL1119" s="330"/>
      <c r="BM1119" s="330"/>
      <c r="BN1119" s="330"/>
      <c r="BO1119" s="330"/>
      <c r="BP1119" s="331"/>
      <c r="BQ1119" s="332"/>
      <c r="BR1119" s="333"/>
    </row>
    <row r="1120" spans="2:70" ht="15.75" customHeight="1">
      <c r="B1120" s="216" t="s">
        <v>1697</v>
      </c>
      <c r="C1120" s="212">
        <v>551076</v>
      </c>
      <c r="D1120" s="223">
        <v>44839845000140</v>
      </c>
      <c r="E1120" s="217" t="s">
        <v>19</v>
      </c>
      <c r="F1120" s="217" t="s">
        <v>963</v>
      </c>
      <c r="G1120" s="217" t="s">
        <v>1011</v>
      </c>
      <c r="H1120" s="218" t="s">
        <v>1113</v>
      </c>
      <c r="I1120" s="217" t="s">
        <v>66</v>
      </c>
      <c r="J1120" s="217"/>
      <c r="K1120" s="218"/>
      <c r="L1120" s="212" t="s">
        <v>87</v>
      </c>
      <c r="M1120" s="250"/>
      <c r="N1120" s="239">
        <v>44634</v>
      </c>
      <c r="O1120" s="210" t="s">
        <v>1696</v>
      </c>
      <c r="P1120" s="210" t="s">
        <v>1075</v>
      </c>
      <c r="Q1120" s="210" t="s">
        <v>113</v>
      </c>
      <c r="R1120" s="210" t="s">
        <v>1084</v>
      </c>
      <c r="S1120" s="210" t="s">
        <v>1078</v>
      </c>
      <c r="T1120" s="210" t="s">
        <v>349</v>
      </c>
      <c r="U1120" s="210" t="s">
        <v>1114</v>
      </c>
      <c r="V1120" s="210" t="s">
        <v>19</v>
      </c>
      <c r="W1120" s="211" t="s">
        <v>1017</v>
      </c>
      <c r="X1120" s="211">
        <v>1000</v>
      </c>
      <c r="Y1120" s="211">
        <v>100</v>
      </c>
      <c r="Z1120" s="212">
        <v>1000</v>
      </c>
      <c r="AA1120" s="240">
        <v>1</v>
      </c>
      <c r="AB1120" s="213">
        <v>3.4999999999999901E-3</v>
      </c>
      <c r="AC1120" s="213">
        <v>0</v>
      </c>
      <c r="AD1120" s="213" t="s">
        <v>1100</v>
      </c>
      <c r="AE1120" s="213">
        <v>9.3333333333333072E-4</v>
      </c>
      <c r="AF1120" s="241">
        <v>27833589.41</v>
      </c>
      <c r="AG1120" s="241">
        <v>27833589.41</v>
      </c>
      <c r="AH1120" s="213" t="s">
        <v>66</v>
      </c>
      <c r="AI1120" s="352" t="s">
        <v>66</v>
      </c>
      <c r="AJ1120" s="213" t="s">
        <v>66</v>
      </c>
      <c r="AK1120" s="352" t="s">
        <v>66</v>
      </c>
      <c r="AL1120" s="213" t="s">
        <v>66</v>
      </c>
      <c r="AM1120" s="352" t="s">
        <v>66</v>
      </c>
      <c r="AN1120" s="213" t="s">
        <v>66</v>
      </c>
      <c r="AO1120" s="352" t="s">
        <v>66</v>
      </c>
      <c r="AP1120" s="213" t="s">
        <v>66</v>
      </c>
      <c r="AQ1120" s="219" t="s">
        <v>66</v>
      </c>
      <c r="AR1120" s="213" t="s">
        <v>1824</v>
      </c>
      <c r="AV1120" s="343"/>
      <c r="AW1120" s="328"/>
      <c r="AX1120" s="329"/>
      <c r="AY1120" s="328"/>
      <c r="AZ1120" s="328"/>
      <c r="BA1120" s="330"/>
      <c r="BB1120" s="328"/>
      <c r="BC1120" s="328"/>
      <c r="BD1120" s="328"/>
      <c r="BE1120" s="330"/>
      <c r="BF1120" s="330"/>
      <c r="BG1120" s="344"/>
      <c r="BH1120" s="330"/>
      <c r="BI1120" s="330"/>
      <c r="BJ1120" s="330"/>
      <c r="BK1120" s="330"/>
      <c r="BL1120" s="330"/>
      <c r="BM1120" s="330"/>
      <c r="BN1120" s="330"/>
      <c r="BO1120" s="330"/>
      <c r="BP1120" s="331"/>
      <c r="BQ1120" s="332"/>
      <c r="BR1120" s="333"/>
    </row>
    <row r="1121" spans="2:70" ht="15.75" customHeight="1">
      <c r="B1121" s="216" t="s">
        <v>1698</v>
      </c>
      <c r="C1121" s="212">
        <v>534518</v>
      </c>
      <c r="D1121" s="223">
        <v>36896492000192</v>
      </c>
      <c r="E1121" s="217" t="s">
        <v>28</v>
      </c>
      <c r="F1121" s="217" t="s">
        <v>950</v>
      </c>
      <c r="G1121" s="217"/>
      <c r="H1121" s="218"/>
      <c r="I1121" s="217" t="s">
        <v>66</v>
      </c>
      <c r="J1121" s="217" t="s">
        <v>66</v>
      </c>
      <c r="K1121" s="218" t="s">
        <v>951</v>
      </c>
      <c r="L1121" s="212" t="s">
        <v>87</v>
      </c>
      <c r="M1121" s="250"/>
      <c r="N1121" s="239">
        <v>44008</v>
      </c>
      <c r="O1121" s="210" t="s">
        <v>1696</v>
      </c>
      <c r="P1121" s="210" t="s">
        <v>1075</v>
      </c>
      <c r="Q1121" s="210" t="s">
        <v>1076</v>
      </c>
      <c r="R1121" s="210" t="s">
        <v>1084</v>
      </c>
      <c r="S1121" s="210" t="s">
        <v>1078</v>
      </c>
      <c r="T1121" s="210" t="s">
        <v>1079</v>
      </c>
      <c r="U1121" s="210" t="s">
        <v>950</v>
      </c>
      <c r="V1121" s="210" t="s">
        <v>1080</v>
      </c>
      <c r="W1121" s="211" t="s">
        <v>1018</v>
      </c>
      <c r="X1121" s="211">
        <v>5000</v>
      </c>
      <c r="Y1121" s="211">
        <v>1000</v>
      </c>
      <c r="Z1121" s="212">
        <v>1000</v>
      </c>
      <c r="AA1121" s="240">
        <v>32</v>
      </c>
      <c r="AB1121" s="213">
        <v>0.01</v>
      </c>
      <c r="AC1121" s="213">
        <v>0.1</v>
      </c>
      <c r="AD1121" s="213" t="s">
        <v>113</v>
      </c>
      <c r="AE1121" s="213">
        <v>3.0000000000000001E-3</v>
      </c>
      <c r="AF1121" s="241">
        <v>8116218.5899999999</v>
      </c>
      <c r="AG1121" s="241">
        <v>8116218.5899999999</v>
      </c>
      <c r="AH1121" s="213">
        <v>-3.2399999999999998E-2</v>
      </c>
      <c r="AI1121" s="352">
        <v>-0.4995</v>
      </c>
      <c r="AJ1121" s="213">
        <v>-0.25690000000000002</v>
      </c>
      <c r="AK1121" s="352">
        <v>-2.7302</v>
      </c>
      <c r="AL1121" s="213">
        <v>-0.17019999999999999</v>
      </c>
      <c r="AM1121" s="352">
        <v>-1.4092</v>
      </c>
      <c r="AN1121" s="213" t="s">
        <v>66</v>
      </c>
      <c r="AO1121" s="352" t="s">
        <v>66</v>
      </c>
      <c r="AP1121" s="213">
        <v>0.2089</v>
      </c>
      <c r="AQ1121" s="219">
        <v>-1.746194547125266</v>
      </c>
      <c r="AR1121" s="213" t="s">
        <v>1824</v>
      </c>
      <c r="AV1121" s="343"/>
      <c r="AW1121" s="328"/>
      <c r="AX1121" s="329"/>
      <c r="AY1121" s="328"/>
      <c r="AZ1121" s="328"/>
      <c r="BA1121" s="330"/>
      <c r="BB1121" s="328"/>
      <c r="BC1121" s="328"/>
      <c r="BD1121" s="328"/>
      <c r="BE1121" s="330"/>
      <c r="BF1121" s="330"/>
      <c r="BG1121" s="344"/>
      <c r="BH1121" s="330"/>
      <c r="BI1121" s="330"/>
      <c r="BJ1121" s="330"/>
      <c r="BK1121" s="330"/>
      <c r="BL1121" s="330"/>
      <c r="BM1121" s="330"/>
      <c r="BN1121" s="330"/>
      <c r="BO1121" s="330"/>
      <c r="BP1121" s="331"/>
      <c r="BQ1121" s="332"/>
      <c r="BR1121" s="333"/>
    </row>
    <row r="1122" spans="2:70" ht="15.75" customHeight="1">
      <c r="B1122" s="216" t="s">
        <v>717</v>
      </c>
      <c r="C1122" s="212">
        <v>535520</v>
      </c>
      <c r="D1122" s="223">
        <v>29574952000109</v>
      </c>
      <c r="E1122" s="217" t="s">
        <v>28</v>
      </c>
      <c r="F1122" s="217" t="s">
        <v>957</v>
      </c>
      <c r="G1122" s="217"/>
      <c r="H1122" s="218"/>
      <c r="I1122" s="217" t="s">
        <v>1842</v>
      </c>
      <c r="J1122" s="217" t="s">
        <v>66</v>
      </c>
      <c r="K1122" s="218" t="s">
        <v>951</v>
      </c>
      <c r="L1122" s="212" t="s">
        <v>87</v>
      </c>
      <c r="M1122" s="250"/>
      <c r="N1122" s="239">
        <v>43165</v>
      </c>
      <c r="O1122" s="210" t="s">
        <v>716</v>
      </c>
      <c r="P1122" s="210" t="s">
        <v>1090</v>
      </c>
      <c r="Q1122" s="210" t="s">
        <v>1091</v>
      </c>
      <c r="R1122" s="210" t="s">
        <v>1084</v>
      </c>
      <c r="S1122" s="210" t="s">
        <v>1078</v>
      </c>
      <c r="T1122" s="210" t="s">
        <v>1079</v>
      </c>
      <c r="U1122" s="210" t="s">
        <v>957</v>
      </c>
      <c r="V1122" s="210" t="s">
        <v>25</v>
      </c>
      <c r="W1122" s="211" t="s">
        <v>1023</v>
      </c>
      <c r="X1122" s="211">
        <v>500</v>
      </c>
      <c r="Y1122" s="211">
        <v>100</v>
      </c>
      <c r="Z1122" s="212">
        <v>500</v>
      </c>
      <c r="AA1122" s="240">
        <v>10</v>
      </c>
      <c r="AB1122" s="213">
        <v>0.02</v>
      </c>
      <c r="AC1122" s="213">
        <v>0.2</v>
      </c>
      <c r="AD1122" s="213" t="s">
        <v>1100</v>
      </c>
      <c r="AE1122" s="213">
        <v>3.3333333333333331E-3</v>
      </c>
      <c r="AF1122" s="241">
        <v>89838186.549999997</v>
      </c>
      <c r="AG1122" s="241">
        <v>89838186.549999997</v>
      </c>
      <c r="AH1122" s="213">
        <v>-0.1298</v>
      </c>
      <c r="AI1122" s="352">
        <v>-1.9991000000000001</v>
      </c>
      <c r="AJ1122" s="213">
        <v>-0.3165</v>
      </c>
      <c r="AK1122" s="352">
        <v>-3.3639999999999999</v>
      </c>
      <c r="AL1122" s="213">
        <v>-0.15129999999999999</v>
      </c>
      <c r="AM1122" s="352">
        <v>-1.252</v>
      </c>
      <c r="AN1122" s="213">
        <v>0.30209999999999998</v>
      </c>
      <c r="AO1122" s="352">
        <v>1.7927</v>
      </c>
      <c r="AP1122" s="213">
        <v>0.35630000000000001</v>
      </c>
      <c r="AQ1122" s="219">
        <v>-1.1423620149814064</v>
      </c>
      <c r="AR1122" s="213" t="s">
        <v>1827</v>
      </c>
      <c r="AV1122" s="343"/>
      <c r="AW1122" s="328"/>
      <c r="AX1122" s="329"/>
      <c r="AY1122" s="328"/>
      <c r="AZ1122" s="328"/>
      <c r="BA1122" s="330"/>
      <c r="BB1122" s="328"/>
      <c r="BC1122" s="328"/>
      <c r="BD1122" s="328"/>
      <c r="BE1122" s="330"/>
      <c r="BF1122" s="330"/>
      <c r="BG1122" s="344"/>
      <c r="BH1122" s="330"/>
      <c r="BI1122" s="330"/>
      <c r="BJ1122" s="330"/>
      <c r="BK1122" s="330"/>
      <c r="BL1122" s="330"/>
      <c r="BM1122" s="330"/>
      <c r="BN1122" s="330"/>
      <c r="BO1122" s="330"/>
      <c r="BP1122" s="331"/>
      <c r="BQ1122" s="332"/>
      <c r="BR1122" s="333"/>
    </row>
    <row r="1123" spans="2:70" ht="15.75" customHeight="1">
      <c r="B1123" s="216" t="s">
        <v>926</v>
      </c>
      <c r="C1123" s="212">
        <v>836501</v>
      </c>
      <c r="D1123" s="223">
        <v>37829310000123</v>
      </c>
      <c r="E1123" s="217" t="s">
        <v>28</v>
      </c>
      <c r="F1123" s="217" t="s">
        <v>950</v>
      </c>
      <c r="G1123" s="217"/>
      <c r="H1123" s="218"/>
      <c r="I1123" s="217" t="s">
        <v>66</v>
      </c>
      <c r="J1123" s="217" t="s">
        <v>66</v>
      </c>
      <c r="K1123" s="218" t="s">
        <v>951</v>
      </c>
      <c r="L1123" s="212" t="s">
        <v>87</v>
      </c>
      <c r="M1123" s="250"/>
      <c r="N1123" s="239">
        <v>44089</v>
      </c>
      <c r="O1123" s="210" t="s">
        <v>716</v>
      </c>
      <c r="P1123" s="210" t="s">
        <v>1090</v>
      </c>
      <c r="Q1123" s="210" t="s">
        <v>1091</v>
      </c>
      <c r="R1123" s="210" t="s">
        <v>1077</v>
      </c>
      <c r="S1123" s="210" t="s">
        <v>1078</v>
      </c>
      <c r="T1123" s="210" t="s">
        <v>1079</v>
      </c>
      <c r="U1123" s="210" t="s">
        <v>950</v>
      </c>
      <c r="V1123" s="210" t="s">
        <v>1080</v>
      </c>
      <c r="W1123" s="211" t="s">
        <v>1007</v>
      </c>
      <c r="X1123" s="211">
        <v>500</v>
      </c>
      <c r="Y1123" s="211">
        <v>100</v>
      </c>
      <c r="Z1123" s="212">
        <v>500</v>
      </c>
      <c r="AA1123" s="240">
        <v>15</v>
      </c>
      <c r="AB1123" s="213">
        <v>0.02</v>
      </c>
      <c r="AC1123" s="213">
        <v>0.2</v>
      </c>
      <c r="AD1123" s="213" t="s">
        <v>113</v>
      </c>
      <c r="AE1123" s="213">
        <v>4.0000000000000001E-3</v>
      </c>
      <c r="AF1123" s="241">
        <v>10280807.560000001</v>
      </c>
      <c r="AG1123" s="241">
        <v>10280807.560000001</v>
      </c>
      <c r="AH1123" s="213">
        <v>-2.7799999999999998E-2</v>
      </c>
      <c r="AI1123" s="352">
        <v>-0.42799999999999999</v>
      </c>
      <c r="AJ1123" s="213">
        <v>-0.20180000000000001</v>
      </c>
      <c r="AK1123" s="352">
        <v>-2.1444999999999999</v>
      </c>
      <c r="AL1123" s="213" t="s">
        <v>66</v>
      </c>
      <c r="AM1123" s="352" t="s">
        <v>66</v>
      </c>
      <c r="AN1123" s="213" t="s">
        <v>66</v>
      </c>
      <c r="AO1123" s="352" t="s">
        <v>66</v>
      </c>
      <c r="AP1123" s="213">
        <v>0.4078</v>
      </c>
      <c r="AQ1123" s="219">
        <v>-0.56989085993119037</v>
      </c>
      <c r="AR1123" s="213" t="s">
        <v>1827</v>
      </c>
      <c r="AV1123" s="343"/>
      <c r="AW1123" s="328"/>
      <c r="AX1123" s="329"/>
      <c r="AY1123" s="328"/>
      <c r="AZ1123" s="328"/>
      <c r="BA1123" s="330"/>
      <c r="BB1123" s="328"/>
      <c r="BC1123" s="328"/>
      <c r="BD1123" s="328"/>
      <c r="BE1123" s="330"/>
      <c r="BF1123" s="330"/>
      <c r="BG1123" s="344"/>
      <c r="BH1123" s="330"/>
      <c r="BI1123" s="330"/>
      <c r="BJ1123" s="330"/>
      <c r="BK1123" s="330"/>
      <c r="BL1123" s="330"/>
      <c r="BM1123" s="330"/>
      <c r="BN1123" s="330"/>
      <c r="BO1123" s="330"/>
      <c r="BP1123" s="331"/>
      <c r="BQ1123" s="332"/>
      <c r="BR1123" s="333"/>
    </row>
    <row r="1124" spans="2:70" ht="15.75" customHeight="1">
      <c r="B1124" s="216" t="s">
        <v>1699</v>
      </c>
      <c r="C1124" s="212">
        <v>1754592</v>
      </c>
      <c r="D1124" s="223">
        <v>31132367000192</v>
      </c>
      <c r="E1124" s="217" t="s">
        <v>28</v>
      </c>
      <c r="F1124" s="217" t="s">
        <v>950</v>
      </c>
      <c r="G1124" s="217"/>
      <c r="H1124" s="218"/>
      <c r="I1124" s="217" t="s">
        <v>66</v>
      </c>
      <c r="J1124" s="217" t="s">
        <v>66</v>
      </c>
      <c r="K1124" s="218" t="s">
        <v>951</v>
      </c>
      <c r="L1124" s="212" t="s">
        <v>87</v>
      </c>
      <c r="M1124" s="250"/>
      <c r="N1124" s="239">
        <v>43479</v>
      </c>
      <c r="O1124" s="210" t="s">
        <v>716</v>
      </c>
      <c r="P1124" s="210" t="s">
        <v>1090</v>
      </c>
      <c r="Q1124" s="210" t="s">
        <v>1091</v>
      </c>
      <c r="R1124" s="210" t="s">
        <v>1084</v>
      </c>
      <c r="S1124" s="210" t="s">
        <v>1078</v>
      </c>
      <c r="T1124" s="210" t="s">
        <v>1079</v>
      </c>
      <c r="U1124" s="210" t="s">
        <v>950</v>
      </c>
      <c r="V1124" s="210" t="s">
        <v>1080</v>
      </c>
      <c r="W1124" s="211" t="s">
        <v>1007</v>
      </c>
      <c r="X1124" s="211">
        <v>500</v>
      </c>
      <c r="Y1124" s="211">
        <v>100</v>
      </c>
      <c r="Z1124" s="212">
        <v>500</v>
      </c>
      <c r="AA1124" s="240">
        <v>14</v>
      </c>
      <c r="AB1124" s="213">
        <v>0.02</v>
      </c>
      <c r="AC1124" s="213">
        <v>0.2</v>
      </c>
      <c r="AD1124" s="213" t="s">
        <v>1100</v>
      </c>
      <c r="AE1124" s="213">
        <v>3.3333333333333331E-3</v>
      </c>
      <c r="AF1124" s="241">
        <v>25185395.550000001</v>
      </c>
      <c r="AG1124" s="241">
        <v>25185395.550000001</v>
      </c>
      <c r="AH1124" s="213">
        <v>-0.11210000000000001</v>
      </c>
      <c r="AI1124" s="352">
        <v>-1.7270000000000001</v>
      </c>
      <c r="AJ1124" s="213">
        <v>-0.2792</v>
      </c>
      <c r="AK1124" s="352">
        <v>-2.9670999999999998</v>
      </c>
      <c r="AL1124" s="213">
        <v>-7.2599999999999998E-2</v>
      </c>
      <c r="AM1124" s="352">
        <v>-0.60109999999999997</v>
      </c>
      <c r="AN1124" s="213">
        <v>8.7099999999999997E-2</v>
      </c>
      <c r="AO1124" s="352">
        <v>0.51659999999999995</v>
      </c>
      <c r="AP1124" s="213">
        <v>0.2928</v>
      </c>
      <c r="AQ1124" s="219">
        <v>-1.2786225415893895</v>
      </c>
      <c r="AR1124" s="213" t="s">
        <v>1824</v>
      </c>
      <c r="AU1124" s="343"/>
      <c r="AV1124" s="343"/>
      <c r="AW1124" s="328"/>
      <c r="AX1124" s="329"/>
      <c r="AY1124" s="328"/>
      <c r="AZ1124" s="328"/>
      <c r="BA1124" s="330"/>
      <c r="BB1124" s="328"/>
      <c r="BC1124" s="328"/>
      <c r="BD1124" s="328"/>
      <c r="BE1124" s="330"/>
      <c r="BF1124" s="330"/>
      <c r="BG1124" s="344"/>
      <c r="BH1124" s="383"/>
      <c r="BI1124" s="330"/>
      <c r="BJ1124" s="330"/>
      <c r="BK1124" s="330"/>
      <c r="BL1124" s="330"/>
      <c r="BM1124" s="330"/>
      <c r="BN1124" s="330"/>
      <c r="BO1124" s="330"/>
      <c r="BP1124" s="331"/>
      <c r="BQ1124" s="332"/>
      <c r="BR1124" s="333"/>
    </row>
    <row r="1125" spans="2:70" ht="15.75" customHeight="1">
      <c r="B1125" s="216" t="s">
        <v>93</v>
      </c>
      <c r="C1125" s="212">
        <v>1122830</v>
      </c>
      <c r="D1125" s="223">
        <v>18832847000106</v>
      </c>
      <c r="E1125" s="217" t="s">
        <v>28</v>
      </c>
      <c r="F1125" s="217" t="s">
        <v>957</v>
      </c>
      <c r="G1125" s="217"/>
      <c r="H1125" s="218"/>
      <c r="I1125" s="217" t="s">
        <v>1842</v>
      </c>
      <c r="J1125" s="217" t="s">
        <v>66</v>
      </c>
      <c r="K1125" s="218" t="s">
        <v>951</v>
      </c>
      <c r="L1125" s="212" t="s">
        <v>87</v>
      </c>
      <c r="M1125" s="250"/>
      <c r="N1125" s="239">
        <v>41575</v>
      </c>
      <c r="O1125" s="210" t="s">
        <v>716</v>
      </c>
      <c r="P1125" s="210" t="s">
        <v>1090</v>
      </c>
      <c r="Q1125" s="210" t="s">
        <v>1091</v>
      </c>
      <c r="R1125" s="210" t="s">
        <v>1084</v>
      </c>
      <c r="S1125" s="210" t="s">
        <v>1085</v>
      </c>
      <c r="T1125" s="210" t="s">
        <v>1079</v>
      </c>
      <c r="U1125" s="210" t="s">
        <v>957</v>
      </c>
      <c r="V1125" s="210" t="s">
        <v>25</v>
      </c>
      <c r="W1125" s="211" t="s">
        <v>1023</v>
      </c>
      <c r="X1125" s="211">
        <v>500000</v>
      </c>
      <c r="Y1125" s="211">
        <v>1000</v>
      </c>
      <c r="Z1125" s="212">
        <v>5000</v>
      </c>
      <c r="AA1125" s="240">
        <v>20</v>
      </c>
      <c r="AB1125" s="213">
        <v>0.02</v>
      </c>
      <c r="AC1125" s="213">
        <v>0.2</v>
      </c>
      <c r="AD1125" s="213" t="s">
        <v>113</v>
      </c>
      <c r="AE1125" s="213">
        <v>3.3333333333333331E-3</v>
      </c>
      <c r="AF1125" s="241">
        <v>150233286.91</v>
      </c>
      <c r="AG1125" s="241">
        <v>150233286.91</v>
      </c>
      <c r="AH1125" s="213">
        <v>-0.28839999999999999</v>
      </c>
      <c r="AI1125" s="352">
        <v>-4.4419000000000004</v>
      </c>
      <c r="AJ1125" s="213">
        <v>-0.59130000000000005</v>
      </c>
      <c r="AK1125" s="352">
        <v>-6.2845000000000004</v>
      </c>
      <c r="AL1125" s="213">
        <v>-0.50509999999999999</v>
      </c>
      <c r="AM1125" s="352">
        <v>-4.1811999999999996</v>
      </c>
      <c r="AN1125" s="213">
        <v>2.53E-2</v>
      </c>
      <c r="AO1125" s="352">
        <v>0.15040000000000001</v>
      </c>
      <c r="AP1125" s="213">
        <v>0.63980000000000004</v>
      </c>
      <c r="AQ1125" s="219">
        <v>-1.2186192421893178</v>
      </c>
      <c r="AR1125" s="213" t="s">
        <v>1827</v>
      </c>
      <c r="AU1125" s="343"/>
      <c r="AV1125" s="343"/>
      <c r="AW1125" s="328"/>
      <c r="AX1125" s="329"/>
      <c r="AY1125" s="328"/>
      <c r="AZ1125" s="328"/>
      <c r="BA1125" s="330"/>
      <c r="BB1125" s="328"/>
      <c r="BC1125" s="328"/>
      <c r="BD1125" s="328"/>
      <c r="BE1125" s="330"/>
      <c r="BF1125" s="330"/>
      <c r="BG1125" s="344"/>
      <c r="BH1125" s="383"/>
      <c r="BI1125" s="330"/>
      <c r="BJ1125" s="330"/>
      <c r="BK1125" s="330"/>
      <c r="BL1125" s="330"/>
      <c r="BM1125" s="330"/>
      <c r="BN1125" s="330"/>
      <c r="BO1125" s="330"/>
      <c r="BP1125" s="331"/>
      <c r="BQ1125" s="332"/>
      <c r="BR1125" s="333"/>
    </row>
    <row r="1126" spans="2:70" ht="15.75" customHeight="1">
      <c r="B1126" s="216" t="s">
        <v>718</v>
      </c>
      <c r="C1126" s="212">
        <v>1164711</v>
      </c>
      <c r="D1126" s="223">
        <v>30887013000195</v>
      </c>
      <c r="E1126" s="217" t="s">
        <v>25</v>
      </c>
      <c r="F1126" s="217" t="s">
        <v>958</v>
      </c>
      <c r="G1126" s="217" t="s">
        <v>962</v>
      </c>
      <c r="H1126" s="218" t="s">
        <v>66</v>
      </c>
      <c r="I1126" s="217" t="s">
        <v>1842</v>
      </c>
      <c r="J1126" s="217" t="s">
        <v>66</v>
      </c>
      <c r="K1126" s="218"/>
      <c r="L1126" s="212" t="s">
        <v>87</v>
      </c>
      <c r="M1126" s="250"/>
      <c r="N1126" s="239">
        <v>43339</v>
      </c>
      <c r="O1126" s="210" t="s">
        <v>716</v>
      </c>
      <c r="P1126" s="210" t="s">
        <v>1090</v>
      </c>
      <c r="Q1126" s="210" t="s">
        <v>1091</v>
      </c>
      <c r="R1126" s="210" t="s">
        <v>1084</v>
      </c>
      <c r="S1126" s="210" t="s">
        <v>1078</v>
      </c>
      <c r="T1126" s="210" t="s">
        <v>1082</v>
      </c>
      <c r="U1126" s="210" t="s">
        <v>958</v>
      </c>
      <c r="V1126" s="210" t="s">
        <v>25</v>
      </c>
      <c r="W1126" s="211" t="s">
        <v>1012</v>
      </c>
      <c r="X1126" s="211">
        <v>500</v>
      </c>
      <c r="Y1126" s="211">
        <v>100</v>
      </c>
      <c r="Z1126" s="212">
        <v>500</v>
      </c>
      <c r="AA1126" s="240">
        <v>1</v>
      </c>
      <c r="AB1126" s="213">
        <v>0.01</v>
      </c>
      <c r="AC1126" s="213">
        <v>0.15</v>
      </c>
      <c r="AD1126" s="213" t="s">
        <v>109</v>
      </c>
      <c r="AE1126" s="213">
        <v>2E-3</v>
      </c>
      <c r="AF1126" s="241">
        <v>23530957.91</v>
      </c>
      <c r="AG1126" s="241">
        <v>23530957.91</v>
      </c>
      <c r="AH1126" s="213">
        <v>-0.25779999999999997</v>
      </c>
      <c r="AI1126" s="352">
        <v>-3.9714</v>
      </c>
      <c r="AJ1126" s="213">
        <v>-0.47970000000000002</v>
      </c>
      <c r="AK1126" s="352">
        <v>-5.0984999999999996</v>
      </c>
      <c r="AL1126" s="213">
        <v>-0.49890000000000001</v>
      </c>
      <c r="AM1126" s="352">
        <v>-4.1296999999999997</v>
      </c>
      <c r="AN1126" s="213">
        <v>-0.35949999999999999</v>
      </c>
      <c r="AO1126" s="352">
        <v>-2.1335999999999999</v>
      </c>
      <c r="AP1126" s="213">
        <v>0.51880000000000004</v>
      </c>
      <c r="AQ1126" s="219">
        <v>-1.169346970192668</v>
      </c>
      <c r="AR1126" s="213" t="s">
        <v>1827</v>
      </c>
      <c r="AV1126" s="343"/>
      <c r="AW1126" s="328"/>
      <c r="AX1126" s="329"/>
      <c r="AY1126" s="328"/>
      <c r="AZ1126" s="328"/>
      <c r="BA1126" s="330"/>
      <c r="BB1126" s="328"/>
      <c r="BC1126" s="328"/>
      <c r="BD1126" s="328"/>
      <c r="BE1126" s="330"/>
      <c r="BF1126" s="330"/>
      <c r="BG1126" s="344"/>
      <c r="BH1126" s="330"/>
      <c r="BI1126" s="330"/>
      <c r="BJ1126" s="330"/>
      <c r="BK1126" s="330"/>
      <c r="BL1126" s="330"/>
      <c r="BM1126" s="330"/>
      <c r="BN1126" s="330"/>
      <c r="BO1126" s="330"/>
      <c r="BP1126" s="331"/>
      <c r="BQ1126" s="332"/>
      <c r="BR1126" s="333"/>
    </row>
    <row r="1127" spans="2:70" ht="15.75" customHeight="1">
      <c r="B1127" s="216" t="s">
        <v>719</v>
      </c>
      <c r="C1127" s="212">
        <v>1122844</v>
      </c>
      <c r="D1127" s="223">
        <v>24572582000149</v>
      </c>
      <c r="E1127" s="217" t="s">
        <v>25</v>
      </c>
      <c r="F1127" s="217" t="s">
        <v>958</v>
      </c>
      <c r="G1127" s="217" t="s">
        <v>962</v>
      </c>
      <c r="H1127" s="218" t="s">
        <v>66</v>
      </c>
      <c r="I1127" s="217" t="s">
        <v>1841</v>
      </c>
      <c r="J1127" s="217" t="s">
        <v>66</v>
      </c>
      <c r="K1127" s="218"/>
      <c r="L1127" s="212" t="s">
        <v>87</v>
      </c>
      <c r="M1127" s="250"/>
      <c r="N1127" s="239">
        <v>42590</v>
      </c>
      <c r="O1127" s="210" t="s">
        <v>720</v>
      </c>
      <c r="P1127" s="210" t="s">
        <v>1088</v>
      </c>
      <c r="Q1127" s="210" t="s">
        <v>1089</v>
      </c>
      <c r="R1127" s="210" t="s">
        <v>1084</v>
      </c>
      <c r="S1127" s="210" t="s">
        <v>1078</v>
      </c>
      <c r="T1127" s="210" t="s">
        <v>1082</v>
      </c>
      <c r="U1127" s="210" t="s">
        <v>958</v>
      </c>
      <c r="V1127" s="210" t="s">
        <v>25</v>
      </c>
      <c r="W1127" s="211" t="s">
        <v>1016</v>
      </c>
      <c r="X1127" s="211">
        <v>1000</v>
      </c>
      <c r="Y1127" s="211">
        <v>500</v>
      </c>
      <c r="Z1127" s="212">
        <v>1000</v>
      </c>
      <c r="AA1127" s="240">
        <v>31</v>
      </c>
      <c r="AB1127" s="213">
        <v>1.9199999999999998E-2</v>
      </c>
      <c r="AC1127" s="213">
        <v>0.2</v>
      </c>
      <c r="AD1127" s="213" t="s">
        <v>109</v>
      </c>
      <c r="AE1127" s="213">
        <v>5.1840000000000002E-3</v>
      </c>
      <c r="AF1127" s="241">
        <v>379957138.05000001</v>
      </c>
      <c r="AG1127" s="241">
        <v>379957138.05000001</v>
      </c>
      <c r="AH1127" s="213">
        <v>5.79E-2</v>
      </c>
      <c r="AI1127" s="352">
        <v>0.89149999999999996</v>
      </c>
      <c r="AJ1127" s="213">
        <v>2.7900000000000001E-2</v>
      </c>
      <c r="AK1127" s="352">
        <v>0.29699999999999999</v>
      </c>
      <c r="AL1127" s="213">
        <v>3.3E-3</v>
      </c>
      <c r="AM1127" s="352">
        <v>2.7099999999999999E-2</v>
      </c>
      <c r="AN1127" s="213">
        <v>0.14749999999999999</v>
      </c>
      <c r="AO1127" s="352">
        <v>0.87529999999999997</v>
      </c>
      <c r="AP1127" s="213">
        <v>4.3099999999999999E-2</v>
      </c>
      <c r="AQ1127" s="219">
        <v>-1.4261622938148801</v>
      </c>
      <c r="AR1127" s="213" t="s">
        <v>1827</v>
      </c>
      <c r="AU1127" s="343"/>
      <c r="AV1127" s="343"/>
      <c r="AW1127" s="328"/>
      <c r="AX1127" s="329"/>
      <c r="AY1127" s="328"/>
      <c r="AZ1127" s="328"/>
      <c r="BA1127" s="330"/>
      <c r="BB1127" s="328"/>
      <c r="BC1127" s="328"/>
      <c r="BD1127" s="328"/>
      <c r="BE1127" s="330"/>
      <c r="BF1127" s="330"/>
      <c r="BG1127" s="344"/>
      <c r="BH1127" s="383"/>
      <c r="BI1127" s="330"/>
      <c r="BJ1127" s="330"/>
      <c r="BK1127" s="330"/>
      <c r="BL1127" s="330"/>
      <c r="BM1127" s="330"/>
      <c r="BN1127" s="330"/>
      <c r="BO1127" s="330"/>
      <c r="BP1127" s="331"/>
      <c r="BQ1127" s="332"/>
      <c r="BR1127" s="333"/>
    </row>
    <row r="1128" spans="2:70" ht="15.75" customHeight="1">
      <c r="B1128" s="216" t="s">
        <v>1700</v>
      </c>
      <c r="C1128" s="212">
        <v>2628649</v>
      </c>
      <c r="D1128" s="223">
        <v>35002827000119</v>
      </c>
      <c r="E1128" s="217" t="s">
        <v>25</v>
      </c>
      <c r="F1128" s="217" t="s">
        <v>958</v>
      </c>
      <c r="G1128" s="217" t="s">
        <v>962</v>
      </c>
      <c r="H1128" s="218" t="s">
        <v>66</v>
      </c>
      <c r="I1128" s="217" t="s">
        <v>1841</v>
      </c>
      <c r="J1128" s="217" t="s">
        <v>66</v>
      </c>
      <c r="K1128" s="218"/>
      <c r="L1128" s="212" t="s">
        <v>87</v>
      </c>
      <c r="M1128" s="250"/>
      <c r="N1128" s="239">
        <v>43782</v>
      </c>
      <c r="O1128" s="210" t="s">
        <v>720</v>
      </c>
      <c r="P1128" s="210" t="s">
        <v>1075</v>
      </c>
      <c r="Q1128" s="210" t="s">
        <v>1076</v>
      </c>
      <c r="R1128" s="210" t="s">
        <v>1084</v>
      </c>
      <c r="S1128" s="210" t="s">
        <v>1078</v>
      </c>
      <c r="T1128" s="210" t="s">
        <v>1082</v>
      </c>
      <c r="U1128" s="210" t="s">
        <v>958</v>
      </c>
      <c r="V1128" s="210" t="s">
        <v>25</v>
      </c>
      <c r="W1128" s="211" t="s">
        <v>1012</v>
      </c>
      <c r="X1128" s="211">
        <v>1000</v>
      </c>
      <c r="Y1128" s="211">
        <v>1000</v>
      </c>
      <c r="Z1128" s="212">
        <v>1000</v>
      </c>
      <c r="AA1128" s="240">
        <v>10</v>
      </c>
      <c r="AB1128" s="213">
        <v>0.01</v>
      </c>
      <c r="AC1128" s="213">
        <v>0</v>
      </c>
      <c r="AD1128" s="213" t="s">
        <v>113</v>
      </c>
      <c r="AE1128" s="213">
        <v>2E-3</v>
      </c>
      <c r="AF1128" s="241">
        <v>2008286.45</v>
      </c>
      <c r="AG1128" s="241">
        <v>2008286.45</v>
      </c>
      <c r="AH1128" s="213">
        <v>7.0699999999999999E-2</v>
      </c>
      <c r="AI1128" s="352">
        <v>1.0894999999999999</v>
      </c>
      <c r="AJ1128" s="213">
        <v>6.5799999999999997E-2</v>
      </c>
      <c r="AK1128" s="352">
        <v>0.69969999999999999</v>
      </c>
      <c r="AL1128" s="213">
        <v>0.1016</v>
      </c>
      <c r="AM1128" s="352">
        <v>0.84099999999999997</v>
      </c>
      <c r="AN1128" s="213" t="s">
        <v>66</v>
      </c>
      <c r="AO1128" s="352" t="s">
        <v>66</v>
      </c>
      <c r="AP1128" s="213">
        <v>3.2199999999999999E-2</v>
      </c>
      <c r="AQ1128" s="219">
        <v>-0.79607988720013922</v>
      </c>
      <c r="AR1128" s="213" t="s">
        <v>1827</v>
      </c>
      <c r="AU1128" s="343"/>
      <c r="AV1128" s="343"/>
      <c r="AW1128" s="328"/>
      <c r="AX1128" s="329"/>
      <c r="AY1128" s="328"/>
      <c r="AZ1128" s="328"/>
      <c r="BA1128" s="330"/>
      <c r="BB1128" s="328"/>
      <c r="BC1128" s="328"/>
      <c r="BD1128" s="328"/>
      <c r="BE1128" s="330"/>
      <c r="BF1128" s="330"/>
      <c r="BG1128" s="344"/>
      <c r="BH1128" s="383"/>
      <c r="BI1128" s="330"/>
      <c r="BJ1128" s="330"/>
      <c r="BK1128" s="330"/>
      <c r="BL1128" s="330"/>
      <c r="BM1128" s="330"/>
      <c r="BN1128" s="330"/>
      <c r="BO1128" s="330"/>
      <c r="BP1128" s="331"/>
      <c r="BQ1128" s="332"/>
      <c r="BR1128" s="333"/>
    </row>
    <row r="1129" spans="2:70" ht="15.75" customHeight="1">
      <c r="B1129" s="216" t="s">
        <v>1701</v>
      </c>
      <c r="C1129" s="212">
        <v>1168680</v>
      </c>
      <c r="D1129" s="223">
        <v>19587174000120</v>
      </c>
      <c r="E1129" s="217" t="s">
        <v>28</v>
      </c>
      <c r="F1129" s="217" t="s">
        <v>950</v>
      </c>
      <c r="G1129" s="217"/>
      <c r="H1129" s="218"/>
      <c r="I1129" s="217" t="s">
        <v>66</v>
      </c>
      <c r="J1129" s="217" t="s">
        <v>66</v>
      </c>
      <c r="K1129" s="218" t="s">
        <v>954</v>
      </c>
      <c r="L1129" s="212"/>
      <c r="M1129" s="250"/>
      <c r="N1129" s="239">
        <v>41729</v>
      </c>
      <c r="O1129" s="210" t="s">
        <v>720</v>
      </c>
      <c r="P1129" s="210" t="s">
        <v>1088</v>
      </c>
      <c r="Q1129" s="210" t="s">
        <v>1089</v>
      </c>
      <c r="R1129" s="210" t="s">
        <v>1077</v>
      </c>
      <c r="S1129" s="210" t="s">
        <v>1078</v>
      </c>
      <c r="T1129" s="210" t="s">
        <v>1079</v>
      </c>
      <c r="U1129" s="210" t="s">
        <v>65</v>
      </c>
      <c r="V1129" s="210" t="s">
        <v>25</v>
      </c>
      <c r="W1129" s="211" t="s">
        <v>1028</v>
      </c>
      <c r="X1129" s="211">
        <v>500</v>
      </c>
      <c r="Y1129" s="211">
        <v>500</v>
      </c>
      <c r="Z1129" s="212">
        <v>500</v>
      </c>
      <c r="AA1129" s="240">
        <v>32</v>
      </c>
      <c r="AB1129" s="213">
        <v>0.01</v>
      </c>
      <c r="AC1129" s="213">
        <v>0.1</v>
      </c>
      <c r="AD1129" s="213" t="s">
        <v>1157</v>
      </c>
      <c r="AE1129" s="213">
        <v>1.6666666666666666E-3</v>
      </c>
      <c r="AF1129" s="241">
        <v>132091649.70999999</v>
      </c>
      <c r="AG1129" s="241">
        <v>132091649.70999999</v>
      </c>
      <c r="AH1129" s="213">
        <v>-0.12670000000000001</v>
      </c>
      <c r="AI1129" s="352">
        <v>-1.9519</v>
      </c>
      <c r="AJ1129" s="213">
        <v>-3.3000000000000002E-2</v>
      </c>
      <c r="AK1129" s="352">
        <v>-0.35049999999999998</v>
      </c>
      <c r="AL1129" s="213">
        <v>8.14E-2</v>
      </c>
      <c r="AM1129" s="352">
        <v>0.67400000000000004</v>
      </c>
      <c r="AN1129" s="213">
        <v>0.4425</v>
      </c>
      <c r="AO1129" s="352">
        <v>2.6261000000000001</v>
      </c>
      <c r="AP1129" s="213">
        <v>0.1449</v>
      </c>
      <c r="AQ1129" s="219">
        <v>-0.77991091457765938</v>
      </c>
      <c r="AR1129" s="213" t="s">
        <v>1824</v>
      </c>
      <c r="AU1129" s="343"/>
      <c r="AV1129" s="343"/>
      <c r="AW1129" s="328"/>
      <c r="AX1129" s="329"/>
      <c r="AY1129" s="328"/>
      <c r="AZ1129" s="328"/>
      <c r="BA1129" s="330"/>
      <c r="BB1129" s="328"/>
      <c r="BC1129" s="328"/>
      <c r="BD1129" s="328"/>
      <c r="BE1129" s="330"/>
      <c r="BF1129" s="330"/>
      <c r="BG1129" s="344"/>
      <c r="BH1129" s="383"/>
      <c r="BI1129" s="330"/>
      <c r="BJ1129" s="330"/>
      <c r="BK1129" s="330"/>
      <c r="BL1129" s="330"/>
      <c r="BM1129" s="330"/>
      <c r="BN1129" s="330"/>
      <c r="BO1129" s="330"/>
      <c r="BP1129" s="331"/>
      <c r="BQ1129" s="332"/>
      <c r="BR1129" s="333"/>
    </row>
    <row r="1130" spans="2:70" ht="15.75" customHeight="1">
      <c r="B1130" s="216" t="s">
        <v>721</v>
      </c>
      <c r="C1130" s="212">
        <v>1254314</v>
      </c>
      <c r="D1130" s="223">
        <v>40226025000122</v>
      </c>
      <c r="E1130" s="217" t="s">
        <v>28</v>
      </c>
      <c r="F1130" s="217" t="s">
        <v>950</v>
      </c>
      <c r="G1130" s="217"/>
      <c r="H1130" s="218"/>
      <c r="I1130" s="217" t="s">
        <v>66</v>
      </c>
      <c r="J1130" s="217" t="s">
        <v>66</v>
      </c>
      <c r="K1130" s="218" t="s">
        <v>951</v>
      </c>
      <c r="L1130" s="212" t="s">
        <v>87</v>
      </c>
      <c r="M1130" s="250"/>
      <c r="N1130" s="239">
        <v>44308</v>
      </c>
      <c r="O1130" s="210" t="s">
        <v>720</v>
      </c>
      <c r="P1130" s="210" t="s">
        <v>1088</v>
      </c>
      <c r="Q1130" s="210" t="s">
        <v>1089</v>
      </c>
      <c r="R1130" s="210" t="s">
        <v>1084</v>
      </c>
      <c r="S1130" s="210" t="s">
        <v>1078</v>
      </c>
      <c r="T1130" s="210" t="s">
        <v>1079</v>
      </c>
      <c r="U1130" s="210" t="s">
        <v>950</v>
      </c>
      <c r="V1130" s="210" t="s">
        <v>1080</v>
      </c>
      <c r="W1130" s="211" t="s">
        <v>1007</v>
      </c>
      <c r="X1130" s="211">
        <v>500</v>
      </c>
      <c r="Y1130" s="211">
        <v>500</v>
      </c>
      <c r="Z1130" s="212">
        <v>500</v>
      </c>
      <c r="AA1130" s="240">
        <v>32</v>
      </c>
      <c r="AB1130" s="213">
        <v>1.967E-2</v>
      </c>
      <c r="AC1130" s="213">
        <v>0.2</v>
      </c>
      <c r="AD1130" s="213" t="s">
        <v>1014</v>
      </c>
      <c r="AE1130" s="213">
        <v>4.9175E-3</v>
      </c>
      <c r="AF1130" s="241">
        <v>139390885.72</v>
      </c>
      <c r="AG1130" s="241">
        <v>139390885.72</v>
      </c>
      <c r="AH1130" s="213">
        <v>-5.0200000000000002E-2</v>
      </c>
      <c r="AI1130" s="352">
        <v>-0.77249999999999996</v>
      </c>
      <c r="AJ1130" s="213">
        <v>-0.20669999999999999</v>
      </c>
      <c r="AK1130" s="352">
        <v>-2.1968000000000001</v>
      </c>
      <c r="AL1130" s="213">
        <v>-6.3899999999999998E-2</v>
      </c>
      <c r="AM1130" s="352">
        <v>-0.52890000000000004</v>
      </c>
      <c r="AN1130" s="213">
        <v>4.5600000000000002E-2</v>
      </c>
      <c r="AO1130" s="352">
        <v>0.2707</v>
      </c>
      <c r="AP1130" s="213">
        <v>0.21790000000000001</v>
      </c>
      <c r="AQ1130" s="219">
        <v>-1.3661429264081024</v>
      </c>
      <c r="AR1130" s="213" t="s">
        <v>1827</v>
      </c>
      <c r="AV1130" s="343"/>
      <c r="AW1130" s="328"/>
      <c r="AX1130" s="329"/>
      <c r="AY1130" s="328"/>
      <c r="AZ1130" s="328"/>
      <c r="BA1130" s="330"/>
      <c r="BB1130" s="328"/>
      <c r="BC1130" s="328"/>
      <c r="BD1130" s="328"/>
      <c r="BE1130" s="330"/>
      <c r="BF1130" s="330"/>
      <c r="BG1130" s="344"/>
      <c r="BH1130" s="330"/>
      <c r="BI1130" s="330"/>
      <c r="BJ1130" s="330"/>
      <c r="BK1130" s="330"/>
      <c r="BL1130" s="330"/>
      <c r="BM1130" s="330"/>
      <c r="BN1130" s="330"/>
      <c r="BO1130" s="330"/>
      <c r="BP1130" s="331"/>
      <c r="BQ1130" s="332"/>
      <c r="BR1130" s="333"/>
    </row>
    <row r="1131" spans="2:70" ht="15.75" customHeight="1">
      <c r="B1131" s="216" t="s">
        <v>722</v>
      </c>
      <c r="C1131" s="212">
        <v>538742</v>
      </c>
      <c r="D1131" s="223">
        <v>12440825000106</v>
      </c>
      <c r="E1131" s="217" t="s">
        <v>25</v>
      </c>
      <c r="F1131" s="217" t="s">
        <v>958</v>
      </c>
      <c r="G1131" s="217" t="s">
        <v>962</v>
      </c>
      <c r="H1131" s="218" t="s">
        <v>66</v>
      </c>
      <c r="I1131" s="217" t="s">
        <v>1841</v>
      </c>
      <c r="J1131" s="217" t="s">
        <v>66</v>
      </c>
      <c r="K1131" s="218"/>
      <c r="L1131" s="212" t="s">
        <v>87</v>
      </c>
      <c r="M1131" s="250"/>
      <c r="N1131" s="239">
        <v>40633</v>
      </c>
      <c r="O1131" s="210" t="s">
        <v>720</v>
      </c>
      <c r="P1131" s="210" t="s">
        <v>1088</v>
      </c>
      <c r="Q1131" s="210" t="s">
        <v>1089</v>
      </c>
      <c r="R1131" s="210" t="s">
        <v>1084</v>
      </c>
      <c r="S1131" s="210" t="s">
        <v>1078</v>
      </c>
      <c r="T1131" s="210" t="s">
        <v>1082</v>
      </c>
      <c r="U1131" s="210" t="s">
        <v>958</v>
      </c>
      <c r="V1131" s="210" t="s">
        <v>25</v>
      </c>
      <c r="W1131" s="211" t="s">
        <v>1037</v>
      </c>
      <c r="X1131" s="211">
        <v>500</v>
      </c>
      <c r="Y1131" s="211">
        <v>0</v>
      </c>
      <c r="Z1131" s="212">
        <v>500</v>
      </c>
      <c r="AA1131" s="240">
        <v>1</v>
      </c>
      <c r="AB1131" s="213">
        <v>9.5999999999999992E-3</v>
      </c>
      <c r="AC1131" s="213">
        <v>0.2</v>
      </c>
      <c r="AD1131" s="213" t="s">
        <v>109</v>
      </c>
      <c r="AE1131" s="213">
        <v>1.9199999999999996E-3</v>
      </c>
      <c r="AF1131" s="241">
        <v>515115765.02999997</v>
      </c>
      <c r="AG1131" s="241">
        <v>515115765.02999997</v>
      </c>
      <c r="AH1131" s="213">
        <v>6.2899999999999998E-2</v>
      </c>
      <c r="AI1131" s="352">
        <v>0.96919999999999995</v>
      </c>
      <c r="AJ1131" s="213">
        <v>8.5699999999999998E-2</v>
      </c>
      <c r="AK1131" s="352">
        <v>0.91120000000000001</v>
      </c>
      <c r="AL1131" s="213">
        <v>9.5500000000000002E-2</v>
      </c>
      <c r="AM1131" s="352">
        <v>0.79020000000000001</v>
      </c>
      <c r="AN1131" s="213">
        <v>0.15720000000000001</v>
      </c>
      <c r="AO1131" s="352">
        <v>0.93310000000000004</v>
      </c>
      <c r="AP1131" s="213">
        <v>6.8999999999999999E-3</v>
      </c>
      <c r="AQ1131" s="219">
        <v>-1.1025013827007115</v>
      </c>
      <c r="AR1131" s="213" t="s">
        <v>1824</v>
      </c>
      <c r="AV1131" s="343"/>
      <c r="AW1131" s="328"/>
      <c r="AX1131" s="329"/>
      <c r="AY1131" s="328"/>
      <c r="AZ1131" s="328"/>
      <c r="BA1131" s="330"/>
      <c r="BB1131" s="328"/>
      <c r="BC1131" s="328"/>
      <c r="BD1131" s="328"/>
      <c r="BE1131" s="330"/>
      <c r="BF1131" s="330"/>
      <c r="BG1131" s="344"/>
      <c r="BH1131" s="330"/>
      <c r="BI1131" s="330"/>
      <c r="BJ1131" s="330"/>
      <c r="BK1131" s="330"/>
      <c r="BL1131" s="330"/>
      <c r="BM1131" s="330"/>
      <c r="BN1131" s="330"/>
      <c r="BO1131" s="330"/>
      <c r="BP1131" s="331"/>
      <c r="BQ1131" s="332"/>
      <c r="BR1131" s="333"/>
    </row>
    <row r="1132" spans="2:70" ht="15.75" customHeight="1">
      <c r="B1132" s="216" t="s">
        <v>1702</v>
      </c>
      <c r="C1132" s="212">
        <v>538733</v>
      </c>
      <c r="D1132" s="223">
        <v>12287682000144</v>
      </c>
      <c r="E1132" s="217" t="s">
        <v>28</v>
      </c>
      <c r="F1132" s="217" t="s">
        <v>950</v>
      </c>
      <c r="G1132" s="217"/>
      <c r="H1132" s="218"/>
      <c r="I1132" s="217" t="s">
        <v>66</v>
      </c>
      <c r="J1132" s="217" t="s">
        <v>66</v>
      </c>
      <c r="K1132" s="218" t="s">
        <v>951</v>
      </c>
      <c r="L1132" s="212" t="s">
        <v>87</v>
      </c>
      <c r="M1132" s="250"/>
      <c r="N1132" s="239">
        <v>40633</v>
      </c>
      <c r="O1132" s="210" t="s">
        <v>720</v>
      </c>
      <c r="P1132" s="210" t="s">
        <v>1088</v>
      </c>
      <c r="Q1132" s="210" t="s">
        <v>1089</v>
      </c>
      <c r="R1132" s="210" t="s">
        <v>1084</v>
      </c>
      <c r="S1132" s="210" t="s">
        <v>1078</v>
      </c>
      <c r="T1132" s="210" t="s">
        <v>1079</v>
      </c>
      <c r="U1132" s="210" t="s">
        <v>950</v>
      </c>
      <c r="V1132" s="210" t="s">
        <v>1080</v>
      </c>
      <c r="W1132" s="211" t="s">
        <v>1015</v>
      </c>
      <c r="X1132" s="211">
        <v>500</v>
      </c>
      <c r="Y1132" s="211">
        <v>500</v>
      </c>
      <c r="Z1132" s="212">
        <v>500</v>
      </c>
      <c r="AA1132" s="240">
        <v>14</v>
      </c>
      <c r="AB1132" s="213">
        <v>2.9669999999999998E-2</v>
      </c>
      <c r="AC1132" s="213">
        <v>0</v>
      </c>
      <c r="AD1132" s="213" t="s">
        <v>1157</v>
      </c>
      <c r="AE1132" s="213">
        <v>7.4174999999999996E-3</v>
      </c>
      <c r="AF1132" s="241">
        <v>83127606.549999997</v>
      </c>
      <c r="AG1132" s="241">
        <v>83127606.549999997</v>
      </c>
      <c r="AH1132" s="213">
        <v>2.8899999999999999E-2</v>
      </c>
      <c r="AI1132" s="352">
        <v>0.44469999999999998</v>
      </c>
      <c r="AJ1132" s="213">
        <v>-0.1168</v>
      </c>
      <c r="AK1132" s="352">
        <v>-1.2411000000000001</v>
      </c>
      <c r="AL1132" s="213">
        <v>3.27E-2</v>
      </c>
      <c r="AM1132" s="352">
        <v>0.27100000000000002</v>
      </c>
      <c r="AN1132" s="213">
        <v>8.8900000000000007E-2</v>
      </c>
      <c r="AO1132" s="352">
        <v>0.52759999999999996</v>
      </c>
      <c r="AP1132" s="213">
        <v>0.18759999999999999</v>
      </c>
      <c r="AQ1132" s="219">
        <v>-1.0472616459378228</v>
      </c>
      <c r="AR1132" s="213" t="s">
        <v>1827</v>
      </c>
      <c r="AV1132" s="343"/>
      <c r="AW1132" s="328"/>
      <c r="AX1132" s="329"/>
      <c r="AY1132" s="328"/>
      <c r="AZ1132" s="328"/>
      <c r="BA1132" s="330"/>
      <c r="BB1132" s="328"/>
      <c r="BC1132" s="328"/>
      <c r="BD1132" s="328"/>
      <c r="BE1132" s="330"/>
      <c r="BF1132" s="330"/>
      <c r="BG1132" s="344"/>
      <c r="BH1132" s="330"/>
      <c r="BI1132" s="330"/>
      <c r="BJ1132" s="330"/>
      <c r="BK1132" s="330"/>
      <c r="BL1132" s="330"/>
      <c r="BM1132" s="330"/>
      <c r="BN1132" s="330"/>
      <c r="BO1132" s="330"/>
      <c r="BP1132" s="331"/>
      <c r="BQ1132" s="332"/>
      <c r="BR1132" s="333"/>
    </row>
    <row r="1133" spans="2:70" ht="15.75" customHeight="1">
      <c r="B1133" s="216" t="s">
        <v>1703</v>
      </c>
      <c r="C1133" s="212">
        <v>538729</v>
      </c>
      <c r="D1133" s="223">
        <v>35636909000115</v>
      </c>
      <c r="E1133" s="217" t="s">
        <v>28</v>
      </c>
      <c r="F1133" s="217" t="s">
        <v>957</v>
      </c>
      <c r="G1133" s="217"/>
      <c r="H1133" s="218"/>
      <c r="I1133" s="217" t="s">
        <v>1259</v>
      </c>
      <c r="J1133" s="217" t="s">
        <v>66</v>
      </c>
      <c r="K1133" s="218" t="s">
        <v>951</v>
      </c>
      <c r="L1133" s="212" t="s">
        <v>87</v>
      </c>
      <c r="M1133" s="250"/>
      <c r="N1133" s="239">
        <v>43826</v>
      </c>
      <c r="O1133" s="210" t="s">
        <v>720</v>
      </c>
      <c r="P1133" s="210" t="s">
        <v>1088</v>
      </c>
      <c r="Q1133" s="210" t="s">
        <v>1089</v>
      </c>
      <c r="R1133" s="210" t="s">
        <v>1084</v>
      </c>
      <c r="S1133" s="210" t="s">
        <v>1078</v>
      </c>
      <c r="T1133" s="210" t="s">
        <v>1079</v>
      </c>
      <c r="U1133" s="210" t="s">
        <v>957</v>
      </c>
      <c r="V1133" s="210" t="s">
        <v>25</v>
      </c>
      <c r="W1133" s="211" t="s">
        <v>1016</v>
      </c>
      <c r="X1133" s="211">
        <v>500</v>
      </c>
      <c r="Y1133" s="211">
        <v>500</v>
      </c>
      <c r="Z1133" s="212">
        <v>500</v>
      </c>
      <c r="AA1133" s="240">
        <v>32</v>
      </c>
      <c r="AB1133" s="213">
        <v>1.9199999999999998E-2</v>
      </c>
      <c r="AC1133" s="213">
        <v>0.2</v>
      </c>
      <c r="AD1133" s="213" t="s">
        <v>1157</v>
      </c>
      <c r="AE1133" s="213">
        <v>3.8399999999999992E-3</v>
      </c>
      <c r="AF1133" s="241">
        <v>243642658.94</v>
      </c>
      <c r="AG1133" s="241">
        <v>243642658.94</v>
      </c>
      <c r="AH1133" s="213">
        <v>4.0000000000000001E-3</v>
      </c>
      <c r="AI1133" s="352">
        <v>6.13E-2</v>
      </c>
      <c r="AJ1133" s="213">
        <v>-8.6199999999999999E-2</v>
      </c>
      <c r="AK1133" s="352">
        <v>-0.91590000000000005</v>
      </c>
      <c r="AL1133" s="213">
        <v>0.3039</v>
      </c>
      <c r="AM1133" s="352">
        <v>2.5152000000000001</v>
      </c>
      <c r="AN1133" s="213" t="s">
        <v>66</v>
      </c>
      <c r="AO1133" s="352" t="s">
        <v>66</v>
      </c>
      <c r="AP1133" s="213">
        <v>0.16700000000000001</v>
      </c>
      <c r="AQ1133" s="219">
        <v>-0.99457203852688814</v>
      </c>
      <c r="AR1133" s="213" t="s">
        <v>1827</v>
      </c>
      <c r="AV1133" s="343"/>
      <c r="AW1133" s="328"/>
      <c r="AX1133" s="329"/>
      <c r="AY1133" s="328"/>
      <c r="AZ1133" s="328"/>
      <c r="BA1133" s="330"/>
      <c r="BB1133" s="328"/>
      <c r="BC1133" s="328"/>
      <c r="BD1133" s="328"/>
      <c r="BE1133" s="330"/>
      <c r="BF1133" s="330"/>
      <c r="BG1133" s="344"/>
      <c r="BH1133" s="330"/>
      <c r="BI1133" s="330"/>
      <c r="BJ1133" s="330"/>
      <c r="BK1133" s="330"/>
      <c r="BL1133" s="330"/>
      <c r="BM1133" s="330"/>
      <c r="BN1133" s="330"/>
      <c r="BO1133" s="330"/>
      <c r="BP1133" s="331"/>
      <c r="BQ1133" s="332"/>
      <c r="BR1133" s="333"/>
    </row>
    <row r="1134" spans="2:70" ht="15.75" customHeight="1">
      <c r="B1134" s="216" t="s">
        <v>724</v>
      </c>
      <c r="C1134" s="212">
        <v>581089</v>
      </c>
      <c r="D1134" s="223">
        <v>30593403000152</v>
      </c>
      <c r="E1134" s="217" t="s">
        <v>28</v>
      </c>
      <c r="F1134" s="217" t="s">
        <v>950</v>
      </c>
      <c r="G1134" s="217" t="s">
        <v>1038</v>
      </c>
      <c r="H1134" s="218"/>
      <c r="I1134" s="217" t="s">
        <v>66</v>
      </c>
      <c r="J1134" s="217" t="s">
        <v>66</v>
      </c>
      <c r="K1134" s="218" t="s">
        <v>951</v>
      </c>
      <c r="L1134" s="212" t="s">
        <v>87</v>
      </c>
      <c r="M1134" s="250"/>
      <c r="N1134" s="239">
        <v>43461</v>
      </c>
      <c r="O1134" s="210" t="s">
        <v>723</v>
      </c>
      <c r="P1134" s="210" t="s">
        <v>1083</v>
      </c>
      <c r="Q1134" s="210" t="s">
        <v>102</v>
      </c>
      <c r="R1134" s="210" t="s">
        <v>1084</v>
      </c>
      <c r="S1134" s="210" t="s">
        <v>1078</v>
      </c>
      <c r="T1134" s="210" t="s">
        <v>1079</v>
      </c>
      <c r="U1134" s="210" t="s">
        <v>950</v>
      </c>
      <c r="V1134" s="210" t="s">
        <v>1080</v>
      </c>
      <c r="W1134" s="211" t="s">
        <v>1007</v>
      </c>
      <c r="X1134" s="211">
        <v>1000</v>
      </c>
      <c r="Y1134" s="211">
        <v>1000</v>
      </c>
      <c r="Z1134" s="212">
        <v>1000</v>
      </c>
      <c r="AA1134" s="240">
        <v>16</v>
      </c>
      <c r="AB1134" s="213">
        <v>1.9E-2</v>
      </c>
      <c r="AC1134" s="213">
        <v>0.2</v>
      </c>
      <c r="AD1134" s="213" t="s">
        <v>1014</v>
      </c>
      <c r="AE1134" s="213">
        <v>4.7499999999999999E-3</v>
      </c>
      <c r="AF1134" s="241">
        <v>165885744.72</v>
      </c>
      <c r="AG1134" s="241">
        <v>165885744.72</v>
      </c>
      <c r="AH1134" s="213">
        <v>-1.1599999999999999E-2</v>
      </c>
      <c r="AI1134" s="352">
        <v>-0.17860000000000001</v>
      </c>
      <c r="AJ1134" s="213">
        <v>-0.12720000000000001</v>
      </c>
      <c r="AK1134" s="352">
        <v>-1.3513999999999999</v>
      </c>
      <c r="AL1134" s="213">
        <v>0.11360000000000001</v>
      </c>
      <c r="AM1134" s="352">
        <v>0.94030000000000002</v>
      </c>
      <c r="AN1134" s="213">
        <v>0.1694</v>
      </c>
      <c r="AO1134" s="352">
        <v>1.0053000000000001</v>
      </c>
      <c r="AP1134" s="213">
        <v>0.18090000000000001</v>
      </c>
      <c r="AQ1134" s="219">
        <v>-1.1585501898711454</v>
      </c>
      <c r="AR1134" s="213" t="s">
        <v>1827</v>
      </c>
      <c r="AV1134" s="343"/>
      <c r="AW1134" s="328"/>
      <c r="AX1134" s="329"/>
      <c r="AY1134" s="328"/>
      <c r="AZ1134" s="328"/>
      <c r="BA1134" s="330"/>
      <c r="BB1134" s="328"/>
      <c r="BC1134" s="328"/>
      <c r="BD1134" s="328"/>
      <c r="BE1134" s="330"/>
      <c r="BF1134" s="330"/>
      <c r="BG1134" s="344"/>
      <c r="BH1134" s="330"/>
      <c r="BI1134" s="330"/>
      <c r="BJ1134" s="330"/>
      <c r="BK1134" s="330"/>
      <c r="BL1134" s="330"/>
      <c r="BM1134" s="330"/>
      <c r="BN1134" s="330"/>
      <c r="BO1134" s="330"/>
      <c r="BP1134" s="331"/>
      <c r="BQ1134" s="332"/>
      <c r="BR1134" s="333"/>
    </row>
    <row r="1135" spans="2:70" ht="15.75" customHeight="1">
      <c r="B1135" s="216" t="s">
        <v>95</v>
      </c>
      <c r="C1135" s="212">
        <v>1027915</v>
      </c>
      <c r="D1135" s="223">
        <v>21329166000126</v>
      </c>
      <c r="E1135" s="217" t="s">
        <v>28</v>
      </c>
      <c r="F1135" s="217" t="s">
        <v>950</v>
      </c>
      <c r="G1135" s="217"/>
      <c r="H1135" s="218"/>
      <c r="I1135" s="217" t="s">
        <v>66</v>
      </c>
      <c r="J1135" s="217" t="s">
        <v>66</v>
      </c>
      <c r="K1135" s="218" t="s">
        <v>951</v>
      </c>
      <c r="L1135" s="212" t="s">
        <v>87</v>
      </c>
      <c r="M1135" s="250"/>
      <c r="N1135" s="239">
        <v>42003</v>
      </c>
      <c r="O1135" s="210" t="s">
        <v>726</v>
      </c>
      <c r="P1135" s="210" t="s">
        <v>1075</v>
      </c>
      <c r="Q1135" s="210" t="s">
        <v>1076</v>
      </c>
      <c r="R1135" s="210" t="s">
        <v>1084</v>
      </c>
      <c r="S1135" s="210" t="s">
        <v>1078</v>
      </c>
      <c r="T1135" s="210" t="s">
        <v>1079</v>
      </c>
      <c r="U1135" s="210" t="s">
        <v>950</v>
      </c>
      <c r="V1135" s="210" t="s">
        <v>1080</v>
      </c>
      <c r="W1135" s="211" t="s">
        <v>1007</v>
      </c>
      <c r="X1135" s="211">
        <v>5000</v>
      </c>
      <c r="Y1135" s="211">
        <v>2000</v>
      </c>
      <c r="Z1135" s="212">
        <v>3000</v>
      </c>
      <c r="AA1135" s="240">
        <v>17</v>
      </c>
      <c r="AB1135" s="213">
        <v>0.02</v>
      </c>
      <c r="AC1135" s="213">
        <v>0.2</v>
      </c>
      <c r="AD1135" s="213" t="s">
        <v>1170</v>
      </c>
      <c r="AE1135" s="213">
        <v>5.3340000000000002E-3</v>
      </c>
      <c r="AF1135" s="241">
        <v>453854552.05000001</v>
      </c>
      <c r="AG1135" s="241">
        <v>453854552.05000001</v>
      </c>
      <c r="AH1135" s="213">
        <v>-5.7599999999999998E-2</v>
      </c>
      <c r="AI1135" s="352">
        <v>-0.88780000000000003</v>
      </c>
      <c r="AJ1135" s="213">
        <v>-0.29089999999999999</v>
      </c>
      <c r="AK1135" s="352">
        <v>-3.0914999999999999</v>
      </c>
      <c r="AL1135" s="213">
        <v>-0.13819999999999999</v>
      </c>
      <c r="AM1135" s="352">
        <v>-1.1442000000000001</v>
      </c>
      <c r="AN1135" s="213">
        <v>-3.6400000000000002E-2</v>
      </c>
      <c r="AO1135" s="352">
        <v>-0.21590000000000001</v>
      </c>
      <c r="AP1135" s="213">
        <v>0.29530000000000001</v>
      </c>
      <c r="AQ1135" s="219">
        <v>-1.3203655752012178</v>
      </c>
      <c r="AR1135" s="213" t="s">
        <v>1824</v>
      </c>
      <c r="AV1135" s="343"/>
      <c r="AW1135" s="328"/>
      <c r="AX1135" s="329"/>
      <c r="AY1135" s="328"/>
      <c r="AZ1135" s="328"/>
      <c r="BA1135" s="330"/>
      <c r="BB1135" s="328"/>
      <c r="BC1135" s="328"/>
      <c r="BD1135" s="328"/>
      <c r="BE1135" s="330"/>
      <c r="BF1135" s="330"/>
      <c r="BG1135" s="344"/>
      <c r="BH1135" s="330"/>
      <c r="BI1135" s="330"/>
      <c r="BJ1135" s="330"/>
      <c r="BK1135" s="330"/>
      <c r="BL1135" s="330"/>
      <c r="BM1135" s="330"/>
      <c r="BN1135" s="330"/>
      <c r="BO1135" s="330"/>
      <c r="BP1135" s="331"/>
      <c r="BQ1135" s="332"/>
      <c r="BR1135" s="333"/>
    </row>
    <row r="1136" spans="2:70" ht="15.75" customHeight="1">
      <c r="B1136" s="216" t="s">
        <v>91</v>
      </c>
      <c r="C1136" s="212">
        <v>1142160</v>
      </c>
      <c r="D1136" s="223">
        <v>30057258000195</v>
      </c>
      <c r="E1136" s="217" t="s">
        <v>25</v>
      </c>
      <c r="F1136" s="217" t="s">
        <v>959</v>
      </c>
      <c r="G1136" s="217" t="s">
        <v>960</v>
      </c>
      <c r="H1136" s="218" t="s">
        <v>66</v>
      </c>
      <c r="I1136" s="217" t="s">
        <v>1842</v>
      </c>
      <c r="J1136" s="217" t="s">
        <v>66</v>
      </c>
      <c r="K1136" s="218" t="s">
        <v>951</v>
      </c>
      <c r="L1136" s="212" t="s">
        <v>87</v>
      </c>
      <c r="M1136" s="250"/>
      <c r="N1136" s="239">
        <v>43228</v>
      </c>
      <c r="O1136" s="210" t="s">
        <v>726</v>
      </c>
      <c r="P1136" s="210" t="s">
        <v>1075</v>
      </c>
      <c r="Q1136" s="210" t="s">
        <v>1076</v>
      </c>
      <c r="R1136" s="210" t="s">
        <v>1084</v>
      </c>
      <c r="S1136" s="210" t="s">
        <v>1085</v>
      </c>
      <c r="T1136" s="210" t="s">
        <v>1082</v>
      </c>
      <c r="U1136" s="210" t="s">
        <v>958</v>
      </c>
      <c r="V1136" s="210" t="s">
        <v>25</v>
      </c>
      <c r="W1136" s="211" t="s">
        <v>1016</v>
      </c>
      <c r="X1136" s="211">
        <v>5000</v>
      </c>
      <c r="Y1136" s="211">
        <v>2000</v>
      </c>
      <c r="Z1136" s="212">
        <v>3000</v>
      </c>
      <c r="AA1136" s="240">
        <v>16</v>
      </c>
      <c r="AB1136" s="213">
        <v>0.02</v>
      </c>
      <c r="AC1136" s="213">
        <v>0.2</v>
      </c>
      <c r="AD1136" s="213" t="s">
        <v>109</v>
      </c>
      <c r="AE1136" s="213">
        <v>6.6000000000000008E-3</v>
      </c>
      <c r="AF1136" s="241">
        <v>1106401695.3800001</v>
      </c>
      <c r="AG1136" s="241">
        <v>1106401695.3800001</v>
      </c>
      <c r="AH1136" s="213">
        <v>0.20960000000000001</v>
      </c>
      <c r="AI1136" s="352">
        <v>3.2284999999999999</v>
      </c>
      <c r="AJ1136" s="213">
        <v>0.26269999999999999</v>
      </c>
      <c r="AK1136" s="352">
        <v>2.7917000000000001</v>
      </c>
      <c r="AL1136" s="213">
        <v>0.39660000000000001</v>
      </c>
      <c r="AM1136" s="352">
        <v>3.2831000000000001</v>
      </c>
      <c r="AN1136" s="213">
        <v>0.5746</v>
      </c>
      <c r="AO1136" s="352">
        <v>3.4095</v>
      </c>
      <c r="AP1136" s="213">
        <v>8.72E-2</v>
      </c>
      <c r="AQ1136" s="219">
        <v>1.687329063146205</v>
      </c>
      <c r="AR1136" s="213" t="s">
        <v>1827</v>
      </c>
      <c r="AV1136" s="343"/>
      <c r="AW1136" s="328"/>
      <c r="AX1136" s="329"/>
      <c r="AY1136" s="328"/>
      <c r="AZ1136" s="328"/>
      <c r="BA1136" s="330"/>
      <c r="BB1136" s="328"/>
      <c r="BC1136" s="328"/>
      <c r="BD1136" s="328"/>
      <c r="BE1136" s="330"/>
      <c r="BF1136" s="330"/>
      <c r="BG1136" s="344"/>
      <c r="BH1136" s="330"/>
      <c r="BI1136" s="330"/>
      <c r="BJ1136" s="330"/>
      <c r="BK1136" s="330"/>
      <c r="BL1136" s="330"/>
      <c r="BM1136" s="330"/>
      <c r="BN1136" s="330"/>
      <c r="BO1136" s="330"/>
      <c r="BP1136" s="331"/>
      <c r="BQ1136" s="332"/>
      <c r="BR1136" s="333"/>
    </row>
    <row r="1137" spans="2:70" ht="15.75" customHeight="1">
      <c r="B1137" s="216" t="s">
        <v>94</v>
      </c>
      <c r="C1137" s="212">
        <v>2591373</v>
      </c>
      <c r="D1137" s="223">
        <v>30773631000104</v>
      </c>
      <c r="E1137" s="217" t="s">
        <v>28</v>
      </c>
      <c r="F1137" s="217" t="s">
        <v>957</v>
      </c>
      <c r="G1137" s="217"/>
      <c r="H1137" s="218"/>
      <c r="I1137" s="217" t="s">
        <v>1842</v>
      </c>
      <c r="J1137" s="217" t="s">
        <v>66</v>
      </c>
      <c r="K1137" s="218" t="s">
        <v>951</v>
      </c>
      <c r="L1137" s="212" t="s">
        <v>87</v>
      </c>
      <c r="M1137" s="250"/>
      <c r="N1137" s="239">
        <v>43399</v>
      </c>
      <c r="O1137" s="210" t="s">
        <v>726</v>
      </c>
      <c r="P1137" s="210" t="s">
        <v>1075</v>
      </c>
      <c r="Q1137" s="210" t="s">
        <v>1091</v>
      </c>
      <c r="R1137" s="210" t="s">
        <v>1084</v>
      </c>
      <c r="S1137" s="210" t="s">
        <v>1078</v>
      </c>
      <c r="T1137" s="210" t="s">
        <v>1079</v>
      </c>
      <c r="U1137" s="210" t="s">
        <v>957</v>
      </c>
      <c r="V1137" s="210" t="s">
        <v>25</v>
      </c>
      <c r="W1137" s="211" t="s">
        <v>1016</v>
      </c>
      <c r="X1137" s="211">
        <v>2000</v>
      </c>
      <c r="Y1137" s="211">
        <v>2000</v>
      </c>
      <c r="Z1137" s="212">
        <v>2000</v>
      </c>
      <c r="AA1137" s="240">
        <v>32</v>
      </c>
      <c r="AB1137" s="213">
        <v>0.02</v>
      </c>
      <c r="AC1137" s="213">
        <v>0.2</v>
      </c>
      <c r="AD1137" s="213" t="s">
        <v>113</v>
      </c>
      <c r="AE1137" s="213">
        <v>3.3333333333333331E-3</v>
      </c>
      <c r="AF1137" s="241">
        <v>35946211.210000001</v>
      </c>
      <c r="AG1137" s="241">
        <v>35946211.210000001</v>
      </c>
      <c r="AH1137" s="213">
        <v>5.9999999999999995E-4</v>
      </c>
      <c r="AI1137" s="352">
        <v>9.7999999999999997E-3</v>
      </c>
      <c r="AJ1137" s="213">
        <v>-0.2482</v>
      </c>
      <c r="AK1137" s="352">
        <v>-2.6379999999999999</v>
      </c>
      <c r="AL1137" s="213">
        <v>-4.2599999999999999E-2</v>
      </c>
      <c r="AM1137" s="352">
        <v>-0.3528</v>
      </c>
      <c r="AN1137" s="213">
        <v>0.19320000000000001</v>
      </c>
      <c r="AO1137" s="352">
        <v>1.1464000000000001</v>
      </c>
      <c r="AP1137" s="213">
        <v>0.30559999999999998</v>
      </c>
      <c r="AQ1137" s="219">
        <v>-1.0755246894465613</v>
      </c>
      <c r="AR1137" s="213" t="s">
        <v>1827</v>
      </c>
      <c r="AV1137" s="343"/>
      <c r="AW1137" s="328"/>
      <c r="AX1137" s="329"/>
      <c r="AY1137" s="328"/>
      <c r="AZ1137" s="328"/>
      <c r="BA1137" s="330"/>
      <c r="BB1137" s="328"/>
      <c r="BC1137" s="328"/>
      <c r="BD1137" s="328"/>
      <c r="BE1137" s="330"/>
      <c r="BF1137" s="330"/>
      <c r="BG1137" s="344"/>
      <c r="BH1137" s="330"/>
      <c r="BI1137" s="330"/>
      <c r="BJ1137" s="330"/>
      <c r="BK1137" s="330"/>
      <c r="BL1137" s="330"/>
      <c r="BM1137" s="330"/>
      <c r="BN1137" s="330"/>
      <c r="BO1137" s="330"/>
      <c r="BP1137" s="331"/>
      <c r="BQ1137" s="332"/>
      <c r="BR1137" s="333"/>
    </row>
    <row r="1138" spans="2:70" ht="15.75" customHeight="1">
      <c r="B1138" s="216" t="s">
        <v>92</v>
      </c>
      <c r="C1138" s="212">
        <v>2852955</v>
      </c>
      <c r="D1138" s="223">
        <v>21646715000196</v>
      </c>
      <c r="E1138" s="217" t="s">
        <v>25</v>
      </c>
      <c r="F1138" s="217" t="s">
        <v>958</v>
      </c>
      <c r="G1138" s="217" t="s">
        <v>962</v>
      </c>
      <c r="H1138" s="218" t="s">
        <v>66</v>
      </c>
      <c r="I1138" s="217" t="s">
        <v>1842</v>
      </c>
      <c r="J1138" s="217" t="s">
        <v>66</v>
      </c>
      <c r="K1138" s="218"/>
      <c r="L1138" s="212" t="s">
        <v>87</v>
      </c>
      <c r="M1138" s="250"/>
      <c r="N1138" s="239">
        <v>42034</v>
      </c>
      <c r="O1138" s="210" t="s">
        <v>726</v>
      </c>
      <c r="P1138" s="210" t="s">
        <v>1075</v>
      </c>
      <c r="Q1138" s="210" t="s">
        <v>1076</v>
      </c>
      <c r="R1138" s="210" t="s">
        <v>1077</v>
      </c>
      <c r="S1138" s="210" t="s">
        <v>1085</v>
      </c>
      <c r="T1138" s="210" t="s">
        <v>1082</v>
      </c>
      <c r="U1138" s="210" t="s">
        <v>958</v>
      </c>
      <c r="V1138" s="210" t="s">
        <v>25</v>
      </c>
      <c r="W1138" s="211" t="s">
        <v>1016</v>
      </c>
      <c r="X1138" s="211">
        <v>5000</v>
      </c>
      <c r="Y1138" s="211">
        <v>2000</v>
      </c>
      <c r="Z1138" s="212">
        <v>2000</v>
      </c>
      <c r="AA1138" s="240">
        <v>16</v>
      </c>
      <c r="AB1138" s="213">
        <v>0.02</v>
      </c>
      <c r="AC1138" s="213">
        <v>0.2</v>
      </c>
      <c r="AD1138" s="213" t="s">
        <v>109</v>
      </c>
      <c r="AE1138" s="213">
        <v>5.3333333333333332E-3</v>
      </c>
      <c r="AF1138" s="241">
        <v>1102368947.8299999</v>
      </c>
      <c r="AG1138" s="241">
        <v>1102368947.8299999</v>
      </c>
      <c r="AH1138" s="213">
        <v>0.53839999999999999</v>
      </c>
      <c r="AI1138" s="352">
        <v>8.2932000000000006</v>
      </c>
      <c r="AJ1138" s="213">
        <v>0.67069999999999996</v>
      </c>
      <c r="AK1138" s="352">
        <v>7.1283000000000003</v>
      </c>
      <c r="AL1138" s="213">
        <v>1.1942999999999999</v>
      </c>
      <c r="AM1138" s="352">
        <v>9.8863000000000003</v>
      </c>
      <c r="AN1138" s="213">
        <v>1.8963000000000001</v>
      </c>
      <c r="AO1138" s="352">
        <v>11.2531</v>
      </c>
      <c r="AP1138" s="213">
        <v>0.25640000000000002</v>
      </c>
      <c r="AQ1138" s="219">
        <v>1.7809057412820113</v>
      </c>
      <c r="AR1138" s="213" t="s">
        <v>1827</v>
      </c>
      <c r="AV1138" s="343"/>
      <c r="AW1138" s="328"/>
      <c r="AX1138" s="329"/>
      <c r="AY1138" s="328"/>
      <c r="AZ1138" s="328"/>
      <c r="BA1138" s="330"/>
      <c r="BB1138" s="328"/>
      <c r="BC1138" s="328"/>
      <c r="BD1138" s="328"/>
      <c r="BE1138" s="330"/>
      <c r="BF1138" s="330"/>
      <c r="BG1138" s="344"/>
      <c r="BH1138" s="330"/>
      <c r="BI1138" s="330"/>
      <c r="BJ1138" s="330"/>
      <c r="BK1138" s="330"/>
      <c r="BL1138" s="330"/>
      <c r="BM1138" s="330"/>
      <c r="BN1138" s="330"/>
      <c r="BO1138" s="330"/>
      <c r="BP1138" s="331"/>
      <c r="BQ1138" s="332"/>
      <c r="BR1138" s="333"/>
    </row>
    <row r="1139" spans="2:70" ht="15.75" customHeight="1">
      <c r="B1139" s="216" t="s">
        <v>727</v>
      </c>
      <c r="C1139" s="212">
        <v>3095496</v>
      </c>
      <c r="D1139" s="223">
        <v>35779895000199</v>
      </c>
      <c r="E1139" s="217" t="s">
        <v>28</v>
      </c>
      <c r="F1139" s="217" t="s">
        <v>957</v>
      </c>
      <c r="G1139" s="217"/>
      <c r="H1139" s="218"/>
      <c r="I1139" s="217" t="s">
        <v>1842</v>
      </c>
      <c r="J1139" s="217" t="s">
        <v>66</v>
      </c>
      <c r="K1139" s="218" t="s">
        <v>951</v>
      </c>
      <c r="L1139" s="212" t="s">
        <v>87</v>
      </c>
      <c r="M1139" s="250"/>
      <c r="N1139" s="239">
        <v>43900</v>
      </c>
      <c r="O1139" s="210" t="s">
        <v>728</v>
      </c>
      <c r="P1139" s="210" t="s">
        <v>1110</v>
      </c>
      <c r="Q1139" s="210" t="s">
        <v>1110</v>
      </c>
      <c r="R1139" s="210" t="s">
        <v>1084</v>
      </c>
      <c r="S1139" s="210" t="s">
        <v>1078</v>
      </c>
      <c r="T1139" s="210" t="s">
        <v>1079</v>
      </c>
      <c r="U1139" s="210" t="s">
        <v>957</v>
      </c>
      <c r="V1139" s="210" t="s">
        <v>25</v>
      </c>
      <c r="W1139" s="211" t="s">
        <v>1016</v>
      </c>
      <c r="X1139" s="211">
        <v>500</v>
      </c>
      <c r="Y1139" s="211">
        <v>100</v>
      </c>
      <c r="Z1139" s="212">
        <v>500</v>
      </c>
      <c r="AA1139" s="240">
        <v>32</v>
      </c>
      <c r="AB1139" s="213">
        <v>0.02</v>
      </c>
      <c r="AC1139" s="213">
        <v>0.2</v>
      </c>
      <c r="AD1139" s="213" t="s">
        <v>109</v>
      </c>
      <c r="AE1139" s="213">
        <v>4.0000000000000001E-3</v>
      </c>
      <c r="AF1139" s="241">
        <v>17515001.949999999</v>
      </c>
      <c r="AG1139" s="241">
        <v>17515001.949999999</v>
      </c>
      <c r="AH1139" s="213">
        <v>1.8700000000000001E-2</v>
      </c>
      <c r="AI1139" s="352">
        <v>0.28860000000000002</v>
      </c>
      <c r="AJ1139" s="213">
        <v>-7.8899999999999998E-2</v>
      </c>
      <c r="AK1139" s="352">
        <v>-0.8387</v>
      </c>
      <c r="AL1139" s="213">
        <v>8.0399999999999999E-2</v>
      </c>
      <c r="AM1139" s="352">
        <v>0.66559999999999997</v>
      </c>
      <c r="AN1139" s="213" t="s">
        <v>66</v>
      </c>
      <c r="AO1139" s="352" t="s">
        <v>66</v>
      </c>
      <c r="AP1139" s="213">
        <v>0.20019999999999999</v>
      </c>
      <c r="AQ1139" s="219">
        <v>-0.75998429304599757</v>
      </c>
      <c r="AR1139" s="213" t="s">
        <v>1827</v>
      </c>
      <c r="AV1139" s="343"/>
      <c r="AW1139" s="328"/>
      <c r="AX1139" s="329"/>
      <c r="AY1139" s="328"/>
      <c r="AZ1139" s="328"/>
      <c r="BA1139" s="330"/>
      <c r="BB1139" s="328"/>
      <c r="BC1139" s="328"/>
      <c r="BD1139" s="328"/>
      <c r="BE1139" s="330"/>
      <c r="BF1139" s="330"/>
      <c r="BG1139" s="344"/>
      <c r="BH1139" s="330"/>
      <c r="BI1139" s="330"/>
      <c r="BJ1139" s="330"/>
      <c r="BK1139" s="330"/>
      <c r="BL1139" s="330"/>
      <c r="BM1139" s="330"/>
      <c r="BN1139" s="330"/>
      <c r="BO1139" s="330"/>
      <c r="BP1139" s="331"/>
      <c r="BQ1139" s="332"/>
      <c r="BR1139" s="333"/>
    </row>
    <row r="1140" spans="2:70" ht="15.75" customHeight="1">
      <c r="B1140" s="216" t="s">
        <v>1704</v>
      </c>
      <c r="C1140" s="212">
        <v>3702888</v>
      </c>
      <c r="D1140" s="223">
        <v>44515852000197</v>
      </c>
      <c r="E1140" s="217" t="s">
        <v>28</v>
      </c>
      <c r="F1140" s="217" t="s">
        <v>950</v>
      </c>
      <c r="G1140" s="217"/>
      <c r="H1140" s="218"/>
      <c r="I1140" s="217" t="s">
        <v>66</v>
      </c>
      <c r="J1140" s="217" t="s">
        <v>66</v>
      </c>
      <c r="K1140" s="218" t="s">
        <v>951</v>
      </c>
      <c r="L1140" s="212" t="s">
        <v>87</v>
      </c>
      <c r="M1140" s="250"/>
      <c r="N1140" s="239">
        <v>44592</v>
      </c>
      <c r="O1140" s="210" t="s">
        <v>802</v>
      </c>
      <c r="P1140" s="210" t="s">
        <v>1075</v>
      </c>
      <c r="Q1140" s="210" t="s">
        <v>1076</v>
      </c>
      <c r="R1140" s="210" t="s">
        <v>1084</v>
      </c>
      <c r="S1140" s="210" t="s">
        <v>1078</v>
      </c>
      <c r="T1140" s="210" t="s">
        <v>1079</v>
      </c>
      <c r="U1140" s="210" t="s">
        <v>950</v>
      </c>
      <c r="V1140" s="210" t="s">
        <v>1080</v>
      </c>
      <c r="W1140" s="211" t="s">
        <v>1007</v>
      </c>
      <c r="X1140" s="211">
        <v>1000</v>
      </c>
      <c r="Y1140" s="211">
        <v>100</v>
      </c>
      <c r="Z1140" s="212">
        <v>100</v>
      </c>
      <c r="AA1140" s="240">
        <v>62</v>
      </c>
      <c r="AB1140" s="213">
        <v>1.4999999999999999E-2</v>
      </c>
      <c r="AC1140" s="213">
        <v>0.2</v>
      </c>
      <c r="AD1140" s="213" t="s">
        <v>1100</v>
      </c>
      <c r="AE1140" s="213">
        <v>6.6674999999999998E-3</v>
      </c>
      <c r="AF1140" s="241">
        <v>12849434.619999999</v>
      </c>
      <c r="AG1140" s="241">
        <v>12849434.619999999</v>
      </c>
      <c r="AH1140" s="213" t="s">
        <v>66</v>
      </c>
      <c r="AI1140" s="352" t="s">
        <v>66</v>
      </c>
      <c r="AJ1140" s="213" t="s">
        <v>66</v>
      </c>
      <c r="AK1140" s="352" t="s">
        <v>66</v>
      </c>
      <c r="AL1140" s="213" t="s">
        <v>66</v>
      </c>
      <c r="AM1140" s="352" t="s">
        <v>66</v>
      </c>
      <c r="AN1140" s="213" t="s">
        <v>66</v>
      </c>
      <c r="AO1140" s="352" t="s">
        <v>66</v>
      </c>
      <c r="AP1140" s="213" t="s">
        <v>66</v>
      </c>
      <c r="AQ1140" s="219" t="s">
        <v>66</v>
      </c>
      <c r="AR1140" s="213" t="s">
        <v>1827</v>
      </c>
      <c r="AV1140" s="343"/>
      <c r="AW1140" s="328"/>
      <c r="AX1140" s="329"/>
      <c r="AY1140" s="328"/>
      <c r="AZ1140" s="328"/>
      <c r="BA1140" s="330"/>
      <c r="BB1140" s="328"/>
      <c r="BC1140" s="328"/>
      <c r="BD1140" s="328"/>
      <c r="BE1140" s="330"/>
      <c r="BF1140" s="330"/>
      <c r="BG1140" s="344"/>
      <c r="BH1140" s="330"/>
      <c r="BI1140" s="330"/>
      <c r="BJ1140" s="330"/>
      <c r="BK1140" s="330"/>
      <c r="BL1140" s="330"/>
      <c r="BM1140" s="330"/>
      <c r="BN1140" s="330"/>
      <c r="BO1140" s="330"/>
      <c r="BP1140" s="331"/>
      <c r="BQ1140" s="332"/>
      <c r="BR1140" s="333"/>
    </row>
    <row r="1141" spans="2:70" ht="15.75" customHeight="1">
      <c r="B1141" s="216" t="s">
        <v>801</v>
      </c>
      <c r="C1141" s="212">
        <v>3095495</v>
      </c>
      <c r="D1141" s="223">
        <v>42190534000178</v>
      </c>
      <c r="E1141" s="217" t="s">
        <v>28</v>
      </c>
      <c r="F1141" s="217" t="s">
        <v>950</v>
      </c>
      <c r="G1141" s="217" t="s">
        <v>1254</v>
      </c>
      <c r="H1141" s="218"/>
      <c r="I1141" s="217" t="s">
        <v>66</v>
      </c>
      <c r="J1141" s="217" t="s">
        <v>66</v>
      </c>
      <c r="K1141" s="218" t="s">
        <v>954</v>
      </c>
      <c r="L1141" s="212" t="s">
        <v>87</v>
      </c>
      <c r="M1141" s="250"/>
      <c r="N1141" s="239">
        <v>44377</v>
      </c>
      <c r="O1141" s="210" t="s">
        <v>802</v>
      </c>
      <c r="P1141" s="210" t="s">
        <v>1075</v>
      </c>
      <c r="Q1141" s="210" t="s">
        <v>1076</v>
      </c>
      <c r="R1141" s="210" t="s">
        <v>1084</v>
      </c>
      <c r="S1141" s="210" t="s">
        <v>1078</v>
      </c>
      <c r="T1141" s="210" t="s">
        <v>32</v>
      </c>
      <c r="U1141" s="210" t="s">
        <v>1254</v>
      </c>
      <c r="V1141" s="210" t="s">
        <v>25</v>
      </c>
      <c r="W1141" s="211" t="s">
        <v>1016</v>
      </c>
      <c r="X1141" s="211">
        <v>1000</v>
      </c>
      <c r="Y1141" s="211">
        <v>100</v>
      </c>
      <c r="Z1141" s="212">
        <v>100</v>
      </c>
      <c r="AA1141" s="240">
        <v>6</v>
      </c>
      <c r="AB1141" s="213">
        <v>8.9999999999999993E-3</v>
      </c>
      <c r="AC1141" s="213">
        <v>0.1</v>
      </c>
      <c r="AD1141" s="213" t="s">
        <v>113</v>
      </c>
      <c r="AE1141" s="213">
        <v>4.0001999999999989E-3</v>
      </c>
      <c r="AF1141" s="241">
        <v>70634775.75</v>
      </c>
      <c r="AG1141" s="241">
        <v>70634775.75</v>
      </c>
      <c r="AH1141" s="213">
        <v>8.0000000000000002E-3</v>
      </c>
      <c r="AI1141" s="352">
        <v>0.123</v>
      </c>
      <c r="AJ1141" s="213">
        <v>6.3E-2</v>
      </c>
      <c r="AK1141" s="352">
        <v>0.66920000000000002</v>
      </c>
      <c r="AL1141" s="213" t="s">
        <v>66</v>
      </c>
      <c r="AM1141" s="352" t="s">
        <v>66</v>
      </c>
      <c r="AN1141" s="213" t="s">
        <v>66</v>
      </c>
      <c r="AO1141" s="352" t="s">
        <v>66</v>
      </c>
      <c r="AP1141" s="213">
        <v>0.1414</v>
      </c>
      <c r="AQ1141" s="219">
        <v>-0.13355423289047416</v>
      </c>
      <c r="AR1141" s="213" t="s">
        <v>1827</v>
      </c>
      <c r="AV1141" s="343"/>
      <c r="AW1141" s="328"/>
      <c r="AX1141" s="329"/>
      <c r="AY1141" s="328"/>
      <c r="AZ1141" s="328"/>
      <c r="BA1141" s="330"/>
      <c r="BB1141" s="328"/>
      <c r="BC1141" s="328"/>
      <c r="BD1141" s="328"/>
      <c r="BE1141" s="330"/>
      <c r="BF1141" s="330"/>
      <c r="BG1141" s="344"/>
      <c r="BH1141" s="330"/>
      <c r="BI1141" s="330"/>
      <c r="BJ1141" s="330"/>
      <c r="BK1141" s="330"/>
      <c r="BL1141" s="330"/>
      <c r="BM1141" s="330"/>
      <c r="BN1141" s="330"/>
      <c r="BO1141" s="330"/>
      <c r="BP1141" s="331"/>
      <c r="BQ1141" s="332"/>
      <c r="BR1141" s="333"/>
    </row>
    <row r="1142" spans="2:70" ht="15.75" customHeight="1">
      <c r="B1142" s="216" t="s">
        <v>803</v>
      </c>
      <c r="C1142" s="212">
        <v>776069</v>
      </c>
      <c r="D1142" s="223">
        <v>42480017000133</v>
      </c>
      <c r="E1142" s="217" t="s">
        <v>28</v>
      </c>
      <c r="F1142" s="217" t="s">
        <v>950</v>
      </c>
      <c r="G1142" s="217" t="s">
        <v>1254</v>
      </c>
      <c r="H1142" s="218"/>
      <c r="I1142" s="217" t="s">
        <v>66</v>
      </c>
      <c r="J1142" s="217" t="s">
        <v>66</v>
      </c>
      <c r="K1142" s="218" t="s">
        <v>954</v>
      </c>
      <c r="L1142" s="212" t="s">
        <v>87</v>
      </c>
      <c r="M1142" s="250"/>
      <c r="N1142" s="239">
        <v>44397</v>
      </c>
      <c r="O1142" s="210" t="s">
        <v>802</v>
      </c>
      <c r="P1142" s="210" t="s">
        <v>1075</v>
      </c>
      <c r="Q1142" s="210" t="s">
        <v>1076</v>
      </c>
      <c r="R1142" s="210" t="s">
        <v>1084</v>
      </c>
      <c r="S1142" s="210" t="s">
        <v>1078</v>
      </c>
      <c r="T1142" s="210" t="s">
        <v>32</v>
      </c>
      <c r="U1142" s="210" t="s">
        <v>1254</v>
      </c>
      <c r="V1142" s="210" t="s">
        <v>1080</v>
      </c>
      <c r="W1142" s="211" t="s">
        <v>1007</v>
      </c>
      <c r="X1142" s="211">
        <v>100</v>
      </c>
      <c r="Y1142" s="211">
        <v>100</v>
      </c>
      <c r="Z1142" s="212">
        <v>100</v>
      </c>
      <c r="AA1142" s="240">
        <v>7</v>
      </c>
      <c r="AB1142" s="213">
        <v>8.9999999999999993E-3</v>
      </c>
      <c r="AC1142" s="213">
        <v>0.1</v>
      </c>
      <c r="AD1142" s="213" t="s">
        <v>113</v>
      </c>
      <c r="AE1142" s="213">
        <v>4.0004999999999997E-3</v>
      </c>
      <c r="AF1142" s="241">
        <v>3626273.11</v>
      </c>
      <c r="AG1142" s="241">
        <v>3626273.11</v>
      </c>
      <c r="AH1142" s="213">
        <v>-0.21840000000000001</v>
      </c>
      <c r="AI1142" s="352">
        <v>-3.3637000000000001</v>
      </c>
      <c r="AJ1142" s="213">
        <v>-9.9500000000000005E-2</v>
      </c>
      <c r="AK1142" s="352">
        <v>-1.0572999999999999</v>
      </c>
      <c r="AL1142" s="213" t="s">
        <v>66</v>
      </c>
      <c r="AM1142" s="352" t="s">
        <v>66</v>
      </c>
      <c r="AN1142" s="213" t="s">
        <v>66</v>
      </c>
      <c r="AO1142" s="352" t="s">
        <v>66</v>
      </c>
      <c r="AP1142" s="213">
        <v>0.23599999999999999</v>
      </c>
      <c r="AQ1142" s="219">
        <v>-0.70764468135354663</v>
      </c>
      <c r="AR1142" s="213" t="s">
        <v>1827</v>
      </c>
      <c r="AU1142" s="343"/>
      <c r="AV1142" s="343"/>
      <c r="AW1142" s="328"/>
      <c r="AX1142" s="329"/>
      <c r="AY1142" s="328"/>
      <c r="AZ1142" s="328"/>
      <c r="BA1142" s="330"/>
      <c r="BB1142" s="328"/>
      <c r="BC1142" s="328"/>
      <c r="BD1142" s="328"/>
      <c r="BE1142" s="330"/>
      <c r="BF1142" s="330"/>
      <c r="BG1142" s="344"/>
      <c r="BH1142" s="383"/>
      <c r="BI1142" s="330"/>
      <c r="BJ1142" s="330"/>
      <c r="BK1142" s="330"/>
      <c r="BL1142" s="330"/>
      <c r="BM1142" s="330"/>
      <c r="BN1142" s="330"/>
      <c r="BO1142" s="330"/>
      <c r="BP1142" s="331"/>
      <c r="BQ1142" s="332"/>
      <c r="BR1142" s="333"/>
    </row>
    <row r="1143" spans="2:70" ht="15.75" customHeight="1">
      <c r="B1143" s="216" t="s">
        <v>929</v>
      </c>
      <c r="C1143" s="212">
        <v>1994823</v>
      </c>
      <c r="D1143" s="223">
        <v>43140576000167</v>
      </c>
      <c r="E1143" s="217" t="s">
        <v>28</v>
      </c>
      <c r="F1143" s="217" t="s">
        <v>950</v>
      </c>
      <c r="G1143" s="217"/>
      <c r="H1143" s="218" t="s">
        <v>1260</v>
      </c>
      <c r="I1143" s="217" t="s">
        <v>66</v>
      </c>
      <c r="J1143" s="217" t="s">
        <v>66</v>
      </c>
      <c r="K1143" s="218" t="s">
        <v>954</v>
      </c>
      <c r="L1143" s="212"/>
      <c r="M1143" s="250"/>
      <c r="N1143" s="239">
        <v>44439</v>
      </c>
      <c r="O1143" s="210" t="s">
        <v>802</v>
      </c>
      <c r="P1143" s="210" t="s">
        <v>1075</v>
      </c>
      <c r="Q1143" s="210" t="s">
        <v>1076</v>
      </c>
      <c r="R1143" s="210" t="s">
        <v>1084</v>
      </c>
      <c r="S1143" s="210" t="s">
        <v>1078</v>
      </c>
      <c r="T1143" s="210" t="s">
        <v>1079</v>
      </c>
      <c r="U1143" s="210" t="s">
        <v>65</v>
      </c>
      <c r="V1143" s="210" t="s">
        <v>1080</v>
      </c>
      <c r="W1143" s="211" t="s">
        <v>1044</v>
      </c>
      <c r="X1143" s="211">
        <v>100</v>
      </c>
      <c r="Y1143" s="211">
        <v>100</v>
      </c>
      <c r="Z1143" s="212">
        <v>100</v>
      </c>
      <c r="AA1143" s="240">
        <v>12</v>
      </c>
      <c r="AB1143" s="213">
        <v>8.9999999999999993E-3</v>
      </c>
      <c r="AC1143" s="213">
        <v>0.1</v>
      </c>
      <c r="AD1143" s="213" t="s">
        <v>113</v>
      </c>
      <c r="AE1143" s="213">
        <v>4.0004999999999997E-3</v>
      </c>
      <c r="AF1143" s="241">
        <v>2041226.26</v>
      </c>
      <c r="AG1143" s="241">
        <v>2041226.26</v>
      </c>
      <c r="AH1143" s="213">
        <v>-0.19819999999999999</v>
      </c>
      <c r="AI1143" s="352">
        <v>-3.0531999999999999</v>
      </c>
      <c r="AJ1143" s="213" t="s">
        <v>66</v>
      </c>
      <c r="AK1143" s="352" t="s">
        <v>66</v>
      </c>
      <c r="AL1143" s="213" t="s">
        <v>66</v>
      </c>
      <c r="AM1143" s="352" t="s">
        <v>66</v>
      </c>
      <c r="AN1143" s="213" t="s">
        <v>66</v>
      </c>
      <c r="AO1143" s="352" t="s">
        <v>66</v>
      </c>
      <c r="AP1143" s="213" t="s">
        <v>66</v>
      </c>
      <c r="AQ1143" s="219" t="s">
        <v>66</v>
      </c>
      <c r="AR1143" s="213" t="s">
        <v>1827</v>
      </c>
      <c r="AV1143" s="343"/>
      <c r="AW1143" s="328"/>
      <c r="AX1143" s="329"/>
      <c r="AY1143" s="328"/>
      <c r="AZ1143" s="328"/>
      <c r="BA1143" s="330"/>
      <c r="BB1143" s="328"/>
      <c r="BC1143" s="328"/>
      <c r="BD1143" s="328"/>
      <c r="BE1143" s="330"/>
      <c r="BF1143" s="330"/>
      <c r="BG1143" s="344"/>
      <c r="BH1143" s="330"/>
      <c r="BI1143" s="330"/>
      <c r="BJ1143" s="330"/>
      <c r="BK1143" s="330"/>
      <c r="BL1143" s="330"/>
      <c r="BM1143" s="330"/>
      <c r="BN1143" s="330"/>
      <c r="BO1143" s="330"/>
      <c r="BP1143" s="331"/>
      <c r="BQ1143" s="332"/>
      <c r="BR1143" s="333"/>
    </row>
    <row r="1144" spans="2:70" ht="15.75" customHeight="1">
      <c r="B1144" s="216" t="s">
        <v>804</v>
      </c>
      <c r="C1144" s="212">
        <v>776073</v>
      </c>
      <c r="D1144" s="223">
        <v>42730566000119</v>
      </c>
      <c r="E1144" s="217" t="s">
        <v>28</v>
      </c>
      <c r="F1144" s="217" t="s">
        <v>950</v>
      </c>
      <c r="G1144" s="217" t="s">
        <v>1254</v>
      </c>
      <c r="H1144" s="218"/>
      <c r="I1144" s="217" t="s">
        <v>66</v>
      </c>
      <c r="J1144" s="217" t="s">
        <v>66</v>
      </c>
      <c r="K1144" s="218" t="s">
        <v>954</v>
      </c>
      <c r="L1144" s="212" t="s">
        <v>87</v>
      </c>
      <c r="M1144" s="250"/>
      <c r="N1144" s="239">
        <v>44407</v>
      </c>
      <c r="O1144" s="210" t="s">
        <v>802</v>
      </c>
      <c r="P1144" s="210" t="s">
        <v>1075</v>
      </c>
      <c r="Q1144" s="210" t="s">
        <v>1076</v>
      </c>
      <c r="R1144" s="210" t="s">
        <v>1084</v>
      </c>
      <c r="S1144" s="210" t="s">
        <v>1078</v>
      </c>
      <c r="T1144" s="210" t="s">
        <v>32</v>
      </c>
      <c r="U1144" s="210" t="s">
        <v>1254</v>
      </c>
      <c r="V1144" s="210" t="s">
        <v>1080</v>
      </c>
      <c r="W1144" s="211" t="s">
        <v>1044</v>
      </c>
      <c r="X1144" s="211">
        <v>100</v>
      </c>
      <c r="Y1144" s="211">
        <v>100</v>
      </c>
      <c r="Z1144" s="212">
        <v>100</v>
      </c>
      <c r="AA1144" s="240">
        <v>12</v>
      </c>
      <c r="AB1144" s="213">
        <v>8.9999999999999993E-3</v>
      </c>
      <c r="AC1144" s="213">
        <v>0.1</v>
      </c>
      <c r="AD1144" s="213" t="s">
        <v>1100</v>
      </c>
      <c r="AE1144" s="213">
        <v>4.0004999999999997E-3</v>
      </c>
      <c r="AF1144" s="241">
        <v>2976227.12</v>
      </c>
      <c r="AG1144" s="241">
        <v>2976227.12</v>
      </c>
      <c r="AH1144" s="213">
        <v>-0.39379999999999998</v>
      </c>
      <c r="AI1144" s="352">
        <v>-6.0652999999999997</v>
      </c>
      <c r="AJ1144" s="213" t="s">
        <v>66</v>
      </c>
      <c r="AK1144" s="352" t="s">
        <v>66</v>
      </c>
      <c r="AL1144" s="213" t="s">
        <v>66</v>
      </c>
      <c r="AM1144" s="352" t="s">
        <v>66</v>
      </c>
      <c r="AN1144" s="213" t="s">
        <v>66</v>
      </c>
      <c r="AO1144" s="352" t="s">
        <v>66</v>
      </c>
      <c r="AP1144" s="213" t="s">
        <v>66</v>
      </c>
      <c r="AQ1144" s="219" t="s">
        <v>66</v>
      </c>
      <c r="AR1144" s="213" t="s">
        <v>1827</v>
      </c>
      <c r="AV1144" s="343"/>
      <c r="AW1144" s="328"/>
      <c r="AX1144" s="329"/>
      <c r="AY1144" s="328"/>
      <c r="AZ1144" s="328"/>
      <c r="BA1144" s="330"/>
      <c r="BB1144" s="328"/>
      <c r="BC1144" s="328"/>
      <c r="BD1144" s="328"/>
      <c r="BE1144" s="330"/>
      <c r="BF1144" s="330"/>
      <c r="BG1144" s="344"/>
      <c r="BH1144" s="330"/>
      <c r="BI1144" s="330"/>
      <c r="BJ1144" s="330"/>
      <c r="BK1144" s="330"/>
      <c r="BL1144" s="330"/>
      <c r="BM1144" s="330"/>
      <c r="BN1144" s="330"/>
      <c r="BO1144" s="330"/>
      <c r="BP1144" s="331"/>
      <c r="BQ1144" s="332"/>
      <c r="BR1144" s="333"/>
    </row>
    <row r="1145" spans="2:70" ht="15.75" customHeight="1">
      <c r="B1145" s="216" t="s">
        <v>805</v>
      </c>
      <c r="C1145" s="212">
        <v>776064</v>
      </c>
      <c r="D1145" s="223">
        <v>34218661000100</v>
      </c>
      <c r="E1145" s="217" t="s">
        <v>28</v>
      </c>
      <c r="F1145" s="217" t="s">
        <v>950</v>
      </c>
      <c r="G1145" s="217" t="s">
        <v>1254</v>
      </c>
      <c r="H1145" s="218"/>
      <c r="I1145" s="217" t="s">
        <v>66</v>
      </c>
      <c r="J1145" s="217" t="s">
        <v>66</v>
      </c>
      <c r="K1145" s="218" t="s">
        <v>954</v>
      </c>
      <c r="L1145" s="212" t="s">
        <v>87</v>
      </c>
      <c r="M1145" s="250"/>
      <c r="N1145" s="239">
        <v>43766</v>
      </c>
      <c r="O1145" s="210" t="s">
        <v>802</v>
      </c>
      <c r="P1145" s="210" t="s">
        <v>1075</v>
      </c>
      <c r="Q1145" s="210" t="s">
        <v>1076</v>
      </c>
      <c r="R1145" s="210" t="s">
        <v>1077</v>
      </c>
      <c r="S1145" s="210" t="s">
        <v>1078</v>
      </c>
      <c r="T1145" s="210" t="s">
        <v>32</v>
      </c>
      <c r="U1145" s="210" t="s">
        <v>1254</v>
      </c>
      <c r="V1145" s="210" t="s">
        <v>1080</v>
      </c>
      <c r="W1145" s="211" t="s">
        <v>1036</v>
      </c>
      <c r="X1145" s="211">
        <v>100</v>
      </c>
      <c r="Y1145" s="211">
        <v>100</v>
      </c>
      <c r="Z1145" s="212">
        <v>100</v>
      </c>
      <c r="AA1145" s="240">
        <v>32</v>
      </c>
      <c r="AB1145" s="213">
        <v>8.9999999999999993E-3</v>
      </c>
      <c r="AC1145" s="213">
        <v>0.1</v>
      </c>
      <c r="AD1145" s="213" t="s">
        <v>1100</v>
      </c>
      <c r="AE1145" s="213">
        <v>4.0001999999999989E-3</v>
      </c>
      <c r="AF1145" s="241">
        <v>46994332.640000001</v>
      </c>
      <c r="AG1145" s="241">
        <v>46994332.640000001</v>
      </c>
      <c r="AH1145" s="213">
        <v>-0.58389999999999997</v>
      </c>
      <c r="AI1145" s="352">
        <v>-8.9936000000000007</v>
      </c>
      <c r="AJ1145" s="213">
        <v>-0.6714</v>
      </c>
      <c r="AK1145" s="352">
        <v>-7.1363000000000003</v>
      </c>
      <c r="AL1145" s="213">
        <v>-0.52729999999999999</v>
      </c>
      <c r="AM1145" s="352">
        <v>-4.3648999999999996</v>
      </c>
      <c r="AN1145" s="213" t="s">
        <v>66</v>
      </c>
      <c r="AO1145" s="352" t="s">
        <v>66</v>
      </c>
      <c r="AP1145" s="213">
        <v>0.38729999999999998</v>
      </c>
      <c r="AQ1145" s="219">
        <v>-2.9068498009783941</v>
      </c>
      <c r="AR1145" s="213" t="s">
        <v>1827</v>
      </c>
      <c r="AV1145" s="343"/>
      <c r="AW1145" s="328"/>
      <c r="AX1145" s="329"/>
      <c r="AY1145" s="328"/>
      <c r="AZ1145" s="328"/>
      <c r="BA1145" s="330"/>
      <c r="BB1145" s="328"/>
      <c r="BC1145" s="328"/>
      <c r="BD1145" s="328"/>
      <c r="BE1145" s="330"/>
      <c r="BF1145" s="330"/>
      <c r="BG1145" s="344"/>
      <c r="BH1145" s="330"/>
      <c r="BI1145" s="330"/>
      <c r="BJ1145" s="330"/>
      <c r="BK1145" s="330"/>
      <c r="BL1145" s="330"/>
      <c r="BM1145" s="330"/>
      <c r="BN1145" s="330"/>
      <c r="BO1145" s="330"/>
      <c r="BP1145" s="331"/>
      <c r="BQ1145" s="332"/>
      <c r="BR1145" s="333"/>
    </row>
    <row r="1146" spans="2:70" ht="15.75" customHeight="1">
      <c r="B1146" s="216" t="s">
        <v>806</v>
      </c>
      <c r="C1146" s="212">
        <v>776082</v>
      </c>
      <c r="D1146" s="223">
        <v>34218748000187</v>
      </c>
      <c r="E1146" s="217" t="s">
        <v>28</v>
      </c>
      <c r="F1146" s="217" t="s">
        <v>950</v>
      </c>
      <c r="G1146" s="217" t="s">
        <v>1254</v>
      </c>
      <c r="H1146" s="218"/>
      <c r="I1146" s="217" t="s">
        <v>66</v>
      </c>
      <c r="J1146" s="217" t="s">
        <v>66</v>
      </c>
      <c r="K1146" s="218" t="s">
        <v>954</v>
      </c>
      <c r="L1146" s="212" t="s">
        <v>87</v>
      </c>
      <c r="M1146" s="250"/>
      <c r="N1146" s="239">
        <v>43788</v>
      </c>
      <c r="O1146" s="210" t="s">
        <v>802</v>
      </c>
      <c r="P1146" s="210" t="s">
        <v>1075</v>
      </c>
      <c r="Q1146" s="210" t="s">
        <v>1076</v>
      </c>
      <c r="R1146" s="210" t="s">
        <v>1084</v>
      </c>
      <c r="S1146" s="210" t="s">
        <v>1078</v>
      </c>
      <c r="T1146" s="210" t="s">
        <v>32</v>
      </c>
      <c r="U1146" s="210" t="s">
        <v>1254</v>
      </c>
      <c r="V1146" s="210" t="s">
        <v>25</v>
      </c>
      <c r="W1146" s="211" t="s">
        <v>1016</v>
      </c>
      <c r="X1146" s="211">
        <v>100</v>
      </c>
      <c r="Y1146" s="211">
        <v>100</v>
      </c>
      <c r="Z1146" s="212">
        <v>100</v>
      </c>
      <c r="AA1146" s="240">
        <v>12</v>
      </c>
      <c r="AB1146" s="213">
        <v>7.1999999999999998E-3</v>
      </c>
      <c r="AC1146" s="213">
        <v>0</v>
      </c>
      <c r="AD1146" s="213" t="s">
        <v>1100</v>
      </c>
      <c r="AE1146" s="213">
        <v>3.2001599999999996E-3</v>
      </c>
      <c r="AF1146" s="241">
        <v>17713904.059999999</v>
      </c>
      <c r="AG1146" s="241">
        <v>17713904.059999999</v>
      </c>
      <c r="AH1146" s="213">
        <v>-0.55810000000000004</v>
      </c>
      <c r="AI1146" s="352">
        <v>-8.5963999999999992</v>
      </c>
      <c r="AJ1146" s="213">
        <v>-0.66659999999999997</v>
      </c>
      <c r="AK1146" s="352">
        <v>-7.0848000000000004</v>
      </c>
      <c r="AL1146" s="213">
        <v>-0.65780000000000005</v>
      </c>
      <c r="AM1146" s="352">
        <v>-5.4447000000000001</v>
      </c>
      <c r="AN1146" s="213" t="s">
        <v>66</v>
      </c>
      <c r="AO1146" s="352" t="s">
        <v>66</v>
      </c>
      <c r="AP1146" s="213">
        <v>0.40250000000000002</v>
      </c>
      <c r="AQ1146" s="219">
        <v>-2.7464524326171373</v>
      </c>
      <c r="AR1146" s="213" t="s">
        <v>1827</v>
      </c>
      <c r="AV1146" s="343"/>
      <c r="AW1146" s="328"/>
      <c r="AX1146" s="329"/>
      <c r="AY1146" s="328"/>
      <c r="AZ1146" s="328"/>
      <c r="BA1146" s="330"/>
      <c r="BB1146" s="328"/>
      <c r="BC1146" s="328"/>
      <c r="BD1146" s="328"/>
      <c r="BE1146" s="330"/>
      <c r="BF1146" s="330"/>
      <c r="BG1146" s="344"/>
      <c r="BH1146" s="330"/>
      <c r="BI1146" s="330"/>
      <c r="BJ1146" s="330"/>
      <c r="BK1146" s="330"/>
      <c r="BL1146" s="330"/>
      <c r="BM1146" s="330"/>
      <c r="BN1146" s="330"/>
      <c r="BO1146" s="330"/>
      <c r="BP1146" s="331"/>
      <c r="BQ1146" s="332"/>
      <c r="BR1146" s="333"/>
    </row>
    <row r="1147" spans="2:70" ht="15.75" customHeight="1">
      <c r="B1147" s="216" t="s">
        <v>860</v>
      </c>
      <c r="C1147" s="212">
        <v>827734</v>
      </c>
      <c r="D1147" s="223">
        <v>30568854000130</v>
      </c>
      <c r="E1147" s="217" t="s">
        <v>25</v>
      </c>
      <c r="F1147" s="217" t="s">
        <v>958</v>
      </c>
      <c r="G1147" s="217" t="s">
        <v>962</v>
      </c>
      <c r="H1147" s="218" t="s">
        <v>66</v>
      </c>
      <c r="I1147" s="217" t="s">
        <v>1842</v>
      </c>
      <c r="J1147" s="217" t="s">
        <v>66</v>
      </c>
      <c r="K1147" s="218"/>
      <c r="L1147" s="212" t="s">
        <v>87</v>
      </c>
      <c r="M1147" s="250"/>
      <c r="N1147" s="239">
        <v>43644</v>
      </c>
      <c r="O1147" s="210" t="s">
        <v>802</v>
      </c>
      <c r="P1147" s="210" t="s">
        <v>1075</v>
      </c>
      <c r="Q1147" s="210" t="s">
        <v>1110</v>
      </c>
      <c r="R1147" s="210" t="s">
        <v>1084</v>
      </c>
      <c r="S1147" s="210" t="s">
        <v>1078</v>
      </c>
      <c r="T1147" s="210" t="s">
        <v>1082</v>
      </c>
      <c r="U1147" s="210" t="s">
        <v>958</v>
      </c>
      <c r="V1147" s="210" t="s">
        <v>25</v>
      </c>
      <c r="W1147" s="211" t="s">
        <v>1016</v>
      </c>
      <c r="X1147" s="211">
        <v>100</v>
      </c>
      <c r="Y1147" s="211">
        <v>100</v>
      </c>
      <c r="Z1147" s="212">
        <v>100</v>
      </c>
      <c r="AA1147" s="240">
        <v>61</v>
      </c>
      <c r="AB1147" s="213">
        <v>1.0500000000000001E-2</v>
      </c>
      <c r="AC1147" s="213">
        <v>0</v>
      </c>
      <c r="AD1147" s="213" t="s">
        <v>1100</v>
      </c>
      <c r="AE1147" s="213">
        <v>4.6672500000000004E-3</v>
      </c>
      <c r="AF1147" s="241">
        <v>765440626.22000003</v>
      </c>
      <c r="AG1147" s="241">
        <v>765440626.22000003</v>
      </c>
      <c r="AH1147" s="213">
        <v>-0.1173</v>
      </c>
      <c r="AI1147" s="352">
        <v>-1.8061</v>
      </c>
      <c r="AJ1147" s="213">
        <v>-0.20880000000000001</v>
      </c>
      <c r="AK1147" s="352">
        <v>-2.2187999999999999</v>
      </c>
      <c r="AL1147" s="213">
        <v>-0.121</v>
      </c>
      <c r="AM1147" s="352">
        <v>-1.002</v>
      </c>
      <c r="AN1147" s="213">
        <v>-8.8300000000000003E-2</v>
      </c>
      <c r="AO1147" s="352">
        <v>-0.52410000000000001</v>
      </c>
      <c r="AP1147" s="213">
        <v>0.12479999999999999</v>
      </c>
      <c r="AQ1147" s="219">
        <v>-2.5335468304419186</v>
      </c>
      <c r="AR1147" s="213" t="s">
        <v>1827</v>
      </c>
      <c r="AV1147" s="343"/>
      <c r="AW1147" s="328"/>
      <c r="AX1147" s="329"/>
      <c r="AY1147" s="328"/>
      <c r="AZ1147" s="328"/>
      <c r="BA1147" s="330"/>
      <c r="BB1147" s="328"/>
      <c r="BC1147" s="328"/>
      <c r="BD1147" s="328"/>
      <c r="BE1147" s="330"/>
      <c r="BF1147" s="330"/>
      <c r="BG1147" s="344"/>
      <c r="BH1147" s="330"/>
      <c r="BI1147" s="330"/>
      <c r="BJ1147" s="330"/>
      <c r="BK1147" s="330"/>
      <c r="BL1147" s="330"/>
      <c r="BM1147" s="330"/>
      <c r="BN1147" s="330"/>
      <c r="BO1147" s="330"/>
      <c r="BP1147" s="331"/>
      <c r="BQ1147" s="332"/>
      <c r="BR1147" s="333"/>
    </row>
    <row r="1148" spans="2:70" ht="15.75" customHeight="1">
      <c r="B1148" s="216" t="s">
        <v>808</v>
      </c>
      <c r="C1148" s="212">
        <v>1183860</v>
      </c>
      <c r="D1148" s="223">
        <v>40920230000193</v>
      </c>
      <c r="E1148" s="217" t="s">
        <v>28</v>
      </c>
      <c r="F1148" s="217" t="s">
        <v>32</v>
      </c>
      <c r="G1148" s="217" t="s">
        <v>1049</v>
      </c>
      <c r="H1148" s="218"/>
      <c r="I1148" s="217" t="s">
        <v>66</v>
      </c>
      <c r="J1148" s="217" t="s">
        <v>66</v>
      </c>
      <c r="K1148" s="218" t="s">
        <v>954</v>
      </c>
      <c r="L1148" s="212" t="s">
        <v>88</v>
      </c>
      <c r="M1148" s="250"/>
      <c r="N1148" s="239">
        <v>44341</v>
      </c>
      <c r="O1148" s="210" t="s">
        <v>802</v>
      </c>
      <c r="P1148" s="210" t="s">
        <v>1075</v>
      </c>
      <c r="Q1148" s="210" t="s">
        <v>1076</v>
      </c>
      <c r="R1148" s="210" t="s">
        <v>1084</v>
      </c>
      <c r="S1148" s="210" t="s">
        <v>1078</v>
      </c>
      <c r="T1148" s="210" t="s">
        <v>32</v>
      </c>
      <c r="U1148" s="210" t="s">
        <v>1254</v>
      </c>
      <c r="V1148" s="210" t="s">
        <v>25</v>
      </c>
      <c r="W1148" s="211" t="s">
        <v>1052</v>
      </c>
      <c r="X1148" s="211">
        <v>100</v>
      </c>
      <c r="Y1148" s="211">
        <v>100</v>
      </c>
      <c r="Z1148" s="212">
        <v>100</v>
      </c>
      <c r="AA1148" s="240">
        <v>6</v>
      </c>
      <c r="AB1148" s="213">
        <v>8.9999999999999993E-3</v>
      </c>
      <c r="AC1148" s="213">
        <v>0</v>
      </c>
      <c r="AD1148" s="213" t="s">
        <v>113</v>
      </c>
      <c r="AE1148" s="213">
        <v>4.0001999999999989E-3</v>
      </c>
      <c r="AF1148" s="241">
        <v>8013517.8200000003</v>
      </c>
      <c r="AG1148" s="241">
        <v>8013517.8200000003</v>
      </c>
      <c r="AH1148" s="213">
        <v>-0.24429999999999999</v>
      </c>
      <c r="AI1148" s="352">
        <v>-3.7637</v>
      </c>
      <c r="AJ1148" s="213">
        <v>-0.21249999999999999</v>
      </c>
      <c r="AK1148" s="352">
        <v>-2.2581000000000002</v>
      </c>
      <c r="AL1148" s="213" t="s">
        <v>66</v>
      </c>
      <c r="AM1148" s="352" t="s">
        <v>66</v>
      </c>
      <c r="AN1148" s="213" t="s">
        <v>66</v>
      </c>
      <c r="AO1148" s="352" t="s">
        <v>66</v>
      </c>
      <c r="AP1148" s="213">
        <v>0.27189999999999998</v>
      </c>
      <c r="AQ1148" s="219">
        <v>-1.0731154090010004</v>
      </c>
      <c r="AR1148" s="213" t="s">
        <v>1827</v>
      </c>
      <c r="AV1148" s="343"/>
      <c r="AW1148" s="328"/>
      <c r="AX1148" s="329"/>
      <c r="AY1148" s="328"/>
      <c r="AZ1148" s="328"/>
      <c r="BA1148" s="330"/>
      <c r="BB1148" s="328"/>
      <c r="BC1148" s="328"/>
      <c r="BD1148" s="328"/>
      <c r="BE1148" s="330"/>
      <c r="BF1148" s="330"/>
      <c r="BG1148" s="344"/>
      <c r="BH1148" s="330"/>
      <c r="BI1148" s="330"/>
      <c r="BJ1148" s="330"/>
      <c r="BK1148" s="330"/>
      <c r="BL1148" s="330"/>
      <c r="BM1148" s="330"/>
      <c r="BN1148" s="330"/>
      <c r="BO1148" s="330"/>
      <c r="BP1148" s="331"/>
      <c r="BQ1148" s="332"/>
      <c r="BR1148" s="333"/>
    </row>
    <row r="1149" spans="2:70" ht="15.75" customHeight="1">
      <c r="B1149" s="216" t="s">
        <v>1705</v>
      </c>
      <c r="C1149" s="212">
        <v>1752950</v>
      </c>
      <c r="D1149" s="223">
        <v>44209582000196</v>
      </c>
      <c r="E1149" s="217" t="s">
        <v>28</v>
      </c>
      <c r="F1149" s="217" t="s">
        <v>32</v>
      </c>
      <c r="G1149" s="217" t="s">
        <v>1051</v>
      </c>
      <c r="H1149" s="218"/>
      <c r="I1149" s="217" t="s">
        <v>66</v>
      </c>
      <c r="J1149" s="217" t="s">
        <v>66</v>
      </c>
      <c r="K1149" s="218" t="s">
        <v>954</v>
      </c>
      <c r="L1149" s="212" t="s">
        <v>88</v>
      </c>
      <c r="M1149" s="250"/>
      <c r="N1149" s="239">
        <v>44523</v>
      </c>
      <c r="O1149" s="210" t="s">
        <v>802</v>
      </c>
      <c r="P1149" s="210" t="s">
        <v>1075</v>
      </c>
      <c r="Q1149" s="210" t="s">
        <v>1076</v>
      </c>
      <c r="R1149" s="210" t="s">
        <v>1084</v>
      </c>
      <c r="S1149" s="210" t="s">
        <v>1078</v>
      </c>
      <c r="T1149" s="210" t="s">
        <v>32</v>
      </c>
      <c r="U1149" s="210" t="s">
        <v>1254</v>
      </c>
      <c r="V1149" s="210" t="s">
        <v>25</v>
      </c>
      <c r="W1149" s="211" t="s">
        <v>1019</v>
      </c>
      <c r="X1149" s="211">
        <v>1000</v>
      </c>
      <c r="Y1149" s="211">
        <v>100</v>
      </c>
      <c r="Z1149" s="212">
        <v>100</v>
      </c>
      <c r="AA1149" s="240">
        <v>7</v>
      </c>
      <c r="AB1149" s="213">
        <v>3.3999999999999998E-3</v>
      </c>
      <c r="AC1149" s="213">
        <v>0</v>
      </c>
      <c r="AD1149" s="213" t="s">
        <v>1100</v>
      </c>
      <c r="AE1149" s="213">
        <v>1.5112999999999999E-3</v>
      </c>
      <c r="AF1149" s="241">
        <v>3180907.15</v>
      </c>
      <c r="AG1149" s="241">
        <v>3180907.15</v>
      </c>
      <c r="AH1149" s="213">
        <v>-0.52790000000000004</v>
      </c>
      <c r="AI1149" s="352">
        <v>-8.1316000000000006</v>
      </c>
      <c r="AJ1149" s="213" t="s">
        <v>66</v>
      </c>
      <c r="AK1149" s="352" t="s">
        <v>66</v>
      </c>
      <c r="AL1149" s="213" t="s">
        <v>66</v>
      </c>
      <c r="AM1149" s="352" t="s">
        <v>66</v>
      </c>
      <c r="AN1149" s="213" t="s">
        <v>66</v>
      </c>
      <c r="AO1149" s="352" t="s">
        <v>66</v>
      </c>
      <c r="AP1149" s="213" t="s">
        <v>66</v>
      </c>
      <c r="AQ1149" s="219" t="s">
        <v>66</v>
      </c>
      <c r="AR1149" s="213" t="s">
        <v>1827</v>
      </c>
      <c r="AV1149" s="343"/>
      <c r="AW1149" s="328"/>
      <c r="AX1149" s="329"/>
      <c r="AY1149" s="328"/>
      <c r="AZ1149" s="328"/>
      <c r="BA1149" s="330"/>
      <c r="BB1149" s="328"/>
      <c r="BC1149" s="328"/>
      <c r="BD1149" s="328"/>
      <c r="BE1149" s="330"/>
      <c r="BF1149" s="330"/>
      <c r="BG1149" s="344"/>
      <c r="BH1149" s="330"/>
      <c r="BI1149" s="330"/>
      <c r="BJ1149" s="330"/>
      <c r="BK1149" s="330"/>
      <c r="BL1149" s="330"/>
      <c r="BM1149" s="330"/>
      <c r="BN1149" s="330"/>
      <c r="BO1149" s="330"/>
      <c r="BP1149" s="331"/>
      <c r="BQ1149" s="332"/>
      <c r="BR1149" s="333"/>
    </row>
    <row r="1150" spans="2:70" ht="15.75" customHeight="1">
      <c r="B1150" s="216" t="s">
        <v>1706</v>
      </c>
      <c r="C1150" s="212">
        <v>937092</v>
      </c>
      <c r="D1150" s="223">
        <v>41545885000191</v>
      </c>
      <c r="E1150" s="217" t="s">
        <v>28</v>
      </c>
      <c r="F1150" s="217" t="s">
        <v>32</v>
      </c>
      <c r="G1150" s="217" t="s">
        <v>1051</v>
      </c>
      <c r="H1150" s="218"/>
      <c r="I1150" s="217" t="s">
        <v>66</v>
      </c>
      <c r="J1150" s="217" t="s">
        <v>66</v>
      </c>
      <c r="K1150" s="218" t="s">
        <v>954</v>
      </c>
      <c r="L1150" s="212" t="s">
        <v>88</v>
      </c>
      <c r="M1150" s="250"/>
      <c r="N1150" s="239">
        <v>44306</v>
      </c>
      <c r="O1150" s="210" t="s">
        <v>802</v>
      </c>
      <c r="P1150" s="210" t="s">
        <v>1075</v>
      </c>
      <c r="Q1150" s="210" t="s">
        <v>1076</v>
      </c>
      <c r="R1150" s="210" t="s">
        <v>1084</v>
      </c>
      <c r="S1150" s="210" t="s">
        <v>1078</v>
      </c>
      <c r="T1150" s="210" t="s">
        <v>32</v>
      </c>
      <c r="U1150" s="210" t="s">
        <v>1254</v>
      </c>
      <c r="V1150" s="210" t="s">
        <v>25</v>
      </c>
      <c r="W1150" s="211" t="s">
        <v>1019</v>
      </c>
      <c r="X1150" s="211">
        <v>100</v>
      </c>
      <c r="Y1150" s="211">
        <v>100</v>
      </c>
      <c r="Z1150" s="212">
        <v>100</v>
      </c>
      <c r="AA1150" s="240">
        <v>7</v>
      </c>
      <c r="AB1150" s="213">
        <v>5.0000000000000001E-4</v>
      </c>
      <c r="AC1150" s="213">
        <v>0</v>
      </c>
      <c r="AD1150" s="213" t="s">
        <v>113</v>
      </c>
      <c r="AE1150" s="213">
        <v>2.2223333333333331E-4</v>
      </c>
      <c r="AF1150" s="241">
        <v>20640202.57</v>
      </c>
      <c r="AG1150" s="241">
        <v>20640202.57</v>
      </c>
      <c r="AH1150" s="213">
        <v>-0.52180000000000004</v>
      </c>
      <c r="AI1150" s="352">
        <v>-8.0376999999999992</v>
      </c>
      <c r="AJ1150" s="213">
        <v>-0.43590000000000001</v>
      </c>
      <c r="AK1150" s="352">
        <v>-4.6327999999999996</v>
      </c>
      <c r="AL1150" s="213" t="s">
        <v>66</v>
      </c>
      <c r="AM1150" s="352" t="s">
        <v>66</v>
      </c>
      <c r="AN1150" s="213" t="s">
        <v>66</v>
      </c>
      <c r="AO1150" s="352" t="s">
        <v>66</v>
      </c>
      <c r="AP1150" s="213">
        <v>0.76</v>
      </c>
      <c r="AQ1150" s="219">
        <v>-0.4892589029815953</v>
      </c>
      <c r="AR1150" s="213" t="s">
        <v>1827</v>
      </c>
      <c r="AV1150" s="343"/>
      <c r="AW1150" s="328"/>
      <c r="AX1150" s="329"/>
      <c r="AY1150" s="328"/>
      <c r="AZ1150" s="328"/>
      <c r="BA1150" s="330"/>
      <c r="BB1150" s="328"/>
      <c r="BC1150" s="328"/>
      <c r="BD1150" s="328"/>
      <c r="BE1150" s="330"/>
      <c r="BF1150" s="330"/>
      <c r="BG1150" s="344"/>
      <c r="BH1150" s="330"/>
      <c r="BI1150" s="330"/>
      <c r="BJ1150" s="330"/>
      <c r="BK1150" s="330"/>
      <c r="BL1150" s="330"/>
      <c r="BM1150" s="330"/>
      <c r="BN1150" s="330"/>
      <c r="BO1150" s="330"/>
      <c r="BP1150" s="331"/>
      <c r="BQ1150" s="332"/>
      <c r="BR1150" s="333"/>
    </row>
    <row r="1151" spans="2:70" ht="15.75" customHeight="1">
      <c r="B1151" s="216" t="s">
        <v>809</v>
      </c>
      <c r="C1151" s="212">
        <v>545870</v>
      </c>
      <c r="D1151" s="223">
        <v>43508943000132</v>
      </c>
      <c r="E1151" s="217" t="s">
        <v>28</v>
      </c>
      <c r="F1151" s="217" t="s">
        <v>32</v>
      </c>
      <c r="G1151" s="217" t="s">
        <v>1051</v>
      </c>
      <c r="H1151" s="218"/>
      <c r="I1151" s="217" t="s">
        <v>66</v>
      </c>
      <c r="J1151" s="217" t="s">
        <v>66</v>
      </c>
      <c r="K1151" s="218" t="s">
        <v>954</v>
      </c>
      <c r="L1151" s="212" t="s">
        <v>88</v>
      </c>
      <c r="M1151" s="250"/>
      <c r="N1151" s="239">
        <v>44494</v>
      </c>
      <c r="O1151" s="210" t="s">
        <v>802</v>
      </c>
      <c r="P1151" s="210" t="s">
        <v>1075</v>
      </c>
      <c r="Q1151" s="210" t="s">
        <v>1076</v>
      </c>
      <c r="R1151" s="210" t="s">
        <v>1084</v>
      </c>
      <c r="S1151" s="210" t="s">
        <v>1078</v>
      </c>
      <c r="T1151" s="210" t="s">
        <v>32</v>
      </c>
      <c r="U1151" s="210" t="s">
        <v>1254</v>
      </c>
      <c r="V1151" s="210" t="s">
        <v>25</v>
      </c>
      <c r="W1151" s="211" t="s">
        <v>1019</v>
      </c>
      <c r="X1151" s="211">
        <v>1000</v>
      </c>
      <c r="Y1151" s="211">
        <v>1000</v>
      </c>
      <c r="Z1151" s="212">
        <v>1000</v>
      </c>
      <c r="AA1151" s="240">
        <v>7</v>
      </c>
      <c r="AB1151" s="213">
        <v>5.0000000000000001E-4</v>
      </c>
      <c r="AC1151" s="213">
        <v>0</v>
      </c>
      <c r="AD1151" s="213" t="s">
        <v>1100</v>
      </c>
      <c r="AE1151" s="213">
        <v>2.2225000000000001E-4</v>
      </c>
      <c r="AF1151" s="241">
        <v>617846.19999999995</v>
      </c>
      <c r="AG1151" s="241">
        <v>617846.19999999995</v>
      </c>
      <c r="AH1151" s="213">
        <v>-0.52869999999999995</v>
      </c>
      <c r="AI1151" s="352">
        <v>-8.1434999999999995</v>
      </c>
      <c r="AJ1151" s="213" t="s">
        <v>66</v>
      </c>
      <c r="AK1151" s="352" t="s">
        <v>66</v>
      </c>
      <c r="AL1151" s="213" t="s">
        <v>66</v>
      </c>
      <c r="AM1151" s="352" t="s">
        <v>66</v>
      </c>
      <c r="AN1151" s="213" t="s">
        <v>66</v>
      </c>
      <c r="AO1151" s="352" t="s">
        <v>66</v>
      </c>
      <c r="AP1151" s="213" t="s">
        <v>66</v>
      </c>
      <c r="AQ1151" s="219" t="s">
        <v>66</v>
      </c>
      <c r="AR1151" s="213" t="s">
        <v>1827</v>
      </c>
      <c r="AV1151" s="343"/>
      <c r="AW1151" s="328"/>
      <c r="AX1151" s="329"/>
      <c r="AY1151" s="328"/>
      <c r="AZ1151" s="328"/>
      <c r="BA1151" s="330"/>
      <c r="BB1151" s="328"/>
      <c r="BC1151" s="328"/>
      <c r="BD1151" s="328"/>
      <c r="BE1151" s="330"/>
      <c r="BF1151" s="330"/>
      <c r="BG1151" s="344"/>
      <c r="BH1151" s="330"/>
      <c r="BI1151" s="330"/>
      <c r="BJ1151" s="330"/>
      <c r="BK1151" s="330"/>
      <c r="BL1151" s="330"/>
      <c r="BM1151" s="330"/>
      <c r="BN1151" s="330"/>
      <c r="BO1151" s="330"/>
      <c r="BP1151" s="331"/>
      <c r="BQ1151" s="332"/>
      <c r="BR1151" s="333"/>
    </row>
    <row r="1152" spans="2:70" ht="15.75" customHeight="1">
      <c r="B1152" s="216" t="s">
        <v>1707</v>
      </c>
      <c r="C1152" s="212">
        <v>1540050</v>
      </c>
      <c r="D1152" s="223">
        <v>43508446000134</v>
      </c>
      <c r="E1152" s="217" t="s">
        <v>28</v>
      </c>
      <c r="F1152" s="217" t="s">
        <v>32</v>
      </c>
      <c r="G1152" s="217" t="s">
        <v>1051</v>
      </c>
      <c r="H1152" s="218"/>
      <c r="I1152" s="217" t="s">
        <v>66</v>
      </c>
      <c r="J1152" s="217" t="s">
        <v>66</v>
      </c>
      <c r="K1152" s="218" t="s">
        <v>954</v>
      </c>
      <c r="L1152" s="212" t="s">
        <v>88</v>
      </c>
      <c r="M1152" s="250"/>
      <c r="N1152" s="239">
        <v>44469</v>
      </c>
      <c r="O1152" s="210" t="s">
        <v>802</v>
      </c>
      <c r="P1152" s="210" t="s">
        <v>1075</v>
      </c>
      <c r="Q1152" s="210" t="s">
        <v>1076</v>
      </c>
      <c r="R1152" s="210" t="s">
        <v>1084</v>
      </c>
      <c r="S1152" s="210" t="s">
        <v>1078</v>
      </c>
      <c r="T1152" s="210" t="s">
        <v>32</v>
      </c>
      <c r="U1152" s="210" t="s">
        <v>1254</v>
      </c>
      <c r="V1152" s="210" t="s">
        <v>25</v>
      </c>
      <c r="W1152" s="211" t="s">
        <v>1019</v>
      </c>
      <c r="X1152" s="211">
        <v>1000</v>
      </c>
      <c r="Y1152" s="211">
        <v>100</v>
      </c>
      <c r="Z1152" s="212">
        <v>100</v>
      </c>
      <c r="AA1152" s="240">
        <v>7</v>
      </c>
      <c r="AB1152" s="213">
        <v>3.3999999999999998E-3</v>
      </c>
      <c r="AC1152" s="213">
        <v>0</v>
      </c>
      <c r="AD1152" s="213" t="s">
        <v>1100</v>
      </c>
      <c r="AE1152" s="213">
        <v>1.5112999999999999E-3</v>
      </c>
      <c r="AF1152" s="241">
        <v>7396733.6200000001</v>
      </c>
      <c r="AG1152" s="241">
        <v>7396733.6200000001</v>
      </c>
      <c r="AH1152" s="213">
        <v>-0.67859999999999998</v>
      </c>
      <c r="AI1152" s="352">
        <v>-10.452400000000001</v>
      </c>
      <c r="AJ1152" s="213" t="s">
        <v>66</v>
      </c>
      <c r="AK1152" s="352" t="s">
        <v>66</v>
      </c>
      <c r="AL1152" s="213" t="s">
        <v>66</v>
      </c>
      <c r="AM1152" s="352" t="s">
        <v>66</v>
      </c>
      <c r="AN1152" s="213" t="s">
        <v>66</v>
      </c>
      <c r="AO1152" s="352" t="s">
        <v>66</v>
      </c>
      <c r="AP1152" s="213" t="s">
        <v>66</v>
      </c>
      <c r="AQ1152" s="219" t="s">
        <v>66</v>
      </c>
      <c r="AR1152" s="213" t="s">
        <v>1827</v>
      </c>
      <c r="AV1152" s="343"/>
      <c r="AW1152" s="328"/>
      <c r="AX1152" s="329"/>
      <c r="AY1152" s="328"/>
      <c r="AZ1152" s="328"/>
      <c r="BA1152" s="330"/>
      <c r="BB1152" s="328"/>
      <c r="BC1152" s="328"/>
      <c r="BD1152" s="328"/>
      <c r="BE1152" s="330"/>
      <c r="BF1152" s="330"/>
      <c r="BG1152" s="344"/>
      <c r="BH1152" s="330"/>
      <c r="BI1152" s="330"/>
      <c r="BJ1152" s="330"/>
      <c r="BK1152" s="330"/>
      <c r="BL1152" s="330"/>
      <c r="BM1152" s="330"/>
      <c r="BN1152" s="330"/>
      <c r="BO1152" s="330"/>
      <c r="BP1152" s="331"/>
      <c r="BQ1152" s="332"/>
      <c r="BR1152" s="333"/>
    </row>
    <row r="1153" spans="2:70" ht="15.75" customHeight="1">
      <c r="B1153" s="216" t="s">
        <v>1708</v>
      </c>
      <c r="C1153" s="212">
        <v>563907</v>
      </c>
      <c r="D1153" s="223">
        <v>44026806000124</v>
      </c>
      <c r="E1153" s="217" t="s">
        <v>28</v>
      </c>
      <c r="F1153" s="217" t="s">
        <v>32</v>
      </c>
      <c r="G1153" s="217" t="s">
        <v>1051</v>
      </c>
      <c r="H1153" s="218"/>
      <c r="I1153" s="217" t="s">
        <v>66</v>
      </c>
      <c r="J1153" s="217" t="s">
        <v>66</v>
      </c>
      <c r="K1153" s="218" t="s">
        <v>954</v>
      </c>
      <c r="L1153" s="212" t="s">
        <v>88</v>
      </c>
      <c r="M1153" s="250"/>
      <c r="N1153" s="239">
        <v>44530</v>
      </c>
      <c r="O1153" s="210" t="s">
        <v>802</v>
      </c>
      <c r="P1153" s="210" t="s">
        <v>1075</v>
      </c>
      <c r="Q1153" s="210" t="s">
        <v>1076</v>
      </c>
      <c r="R1153" s="210" t="s">
        <v>1084</v>
      </c>
      <c r="S1153" s="210" t="s">
        <v>1078</v>
      </c>
      <c r="T1153" s="210" t="s">
        <v>32</v>
      </c>
      <c r="U1153" s="210" t="s">
        <v>1254</v>
      </c>
      <c r="V1153" s="210" t="s">
        <v>25</v>
      </c>
      <c r="W1153" s="211" t="s">
        <v>1019</v>
      </c>
      <c r="X1153" s="211">
        <v>1000</v>
      </c>
      <c r="Y1153" s="211">
        <v>100</v>
      </c>
      <c r="Z1153" s="212">
        <v>100</v>
      </c>
      <c r="AA1153" s="240">
        <v>7</v>
      </c>
      <c r="AB1153" s="213">
        <v>3.3999999999999998E-3</v>
      </c>
      <c r="AC1153" s="213">
        <v>0</v>
      </c>
      <c r="AD1153" s="213" t="s">
        <v>1100</v>
      </c>
      <c r="AE1153" s="213">
        <v>1.5112999999999999E-3</v>
      </c>
      <c r="AF1153" s="241">
        <v>4814238.59</v>
      </c>
      <c r="AG1153" s="241">
        <v>4814238.59</v>
      </c>
      <c r="AH1153" s="213">
        <v>-0.57189999999999996</v>
      </c>
      <c r="AI1153" s="352">
        <v>-8.8085000000000004</v>
      </c>
      <c r="AJ1153" s="213" t="s">
        <v>66</v>
      </c>
      <c r="AK1153" s="352" t="s">
        <v>66</v>
      </c>
      <c r="AL1153" s="213" t="s">
        <v>66</v>
      </c>
      <c r="AM1153" s="352" t="s">
        <v>66</v>
      </c>
      <c r="AN1153" s="213" t="s">
        <v>66</v>
      </c>
      <c r="AO1153" s="352" t="s">
        <v>66</v>
      </c>
      <c r="AP1153" s="213" t="s">
        <v>66</v>
      </c>
      <c r="AQ1153" s="219" t="s">
        <v>66</v>
      </c>
      <c r="AR1153" s="213" t="s">
        <v>1827</v>
      </c>
      <c r="AV1153" s="343"/>
      <c r="AW1153" s="328"/>
      <c r="AX1153" s="329"/>
      <c r="AY1153" s="328"/>
      <c r="AZ1153" s="328"/>
      <c r="BA1153" s="330"/>
      <c r="BB1153" s="328"/>
      <c r="BC1153" s="328"/>
      <c r="BD1153" s="328"/>
      <c r="BE1153" s="330"/>
      <c r="BF1153" s="330"/>
      <c r="BG1153" s="344"/>
      <c r="BH1153" s="330"/>
      <c r="BI1153" s="330"/>
      <c r="BJ1153" s="330"/>
      <c r="BK1153" s="330"/>
      <c r="BL1153" s="330"/>
      <c r="BM1153" s="330"/>
      <c r="BN1153" s="330"/>
      <c r="BO1153" s="330"/>
      <c r="BP1153" s="331"/>
      <c r="BQ1153" s="332"/>
      <c r="BR1153" s="333"/>
    </row>
    <row r="1154" spans="2:70" ht="15.75" customHeight="1">
      <c r="B1154" s="216" t="s">
        <v>810</v>
      </c>
      <c r="C1154" s="212">
        <v>852226</v>
      </c>
      <c r="D1154" s="223">
        <v>41033759000158</v>
      </c>
      <c r="E1154" s="217" t="s">
        <v>28</v>
      </c>
      <c r="F1154" s="217" t="s">
        <v>32</v>
      </c>
      <c r="G1154" s="217" t="s">
        <v>1051</v>
      </c>
      <c r="H1154" s="218"/>
      <c r="I1154" s="217" t="s">
        <v>66</v>
      </c>
      <c r="J1154" s="217" t="s">
        <v>66</v>
      </c>
      <c r="K1154" s="218" t="s">
        <v>954</v>
      </c>
      <c r="L1154" s="212" t="s">
        <v>88</v>
      </c>
      <c r="M1154" s="250"/>
      <c r="N1154" s="239">
        <v>44286</v>
      </c>
      <c r="O1154" s="210" t="s">
        <v>802</v>
      </c>
      <c r="P1154" s="210" t="s">
        <v>1075</v>
      </c>
      <c r="Q1154" s="210" t="s">
        <v>1076</v>
      </c>
      <c r="R1154" s="210" t="s">
        <v>1077</v>
      </c>
      <c r="S1154" s="210" t="s">
        <v>1078</v>
      </c>
      <c r="T1154" s="210" t="s">
        <v>32</v>
      </c>
      <c r="U1154" s="210" t="s">
        <v>1254</v>
      </c>
      <c r="V1154" s="210" t="s">
        <v>25</v>
      </c>
      <c r="W1154" s="211" t="s">
        <v>1028</v>
      </c>
      <c r="X1154" s="211">
        <v>100</v>
      </c>
      <c r="Y1154" s="211">
        <v>100</v>
      </c>
      <c r="Z1154" s="212">
        <v>100</v>
      </c>
      <c r="AA1154" s="240">
        <v>13</v>
      </c>
      <c r="AB1154" s="213">
        <v>5.0000000000000001E-4</v>
      </c>
      <c r="AC1154" s="213">
        <v>0</v>
      </c>
      <c r="AD1154" s="213" t="s">
        <v>113</v>
      </c>
      <c r="AE1154" s="213">
        <v>2.2223333333333331E-4</v>
      </c>
      <c r="AF1154" s="241">
        <v>16848762.039999999</v>
      </c>
      <c r="AG1154" s="241">
        <v>16848762.039999999</v>
      </c>
      <c r="AH1154" s="213">
        <v>-0.60570000000000002</v>
      </c>
      <c r="AI1154" s="352">
        <v>-9.3299000000000003</v>
      </c>
      <c r="AJ1154" s="213">
        <v>-0.63060000000000005</v>
      </c>
      <c r="AK1154" s="352">
        <v>-6.7026000000000003</v>
      </c>
      <c r="AL1154" s="213" t="s">
        <v>66</v>
      </c>
      <c r="AM1154" s="352" t="s">
        <v>66</v>
      </c>
      <c r="AN1154" s="213" t="s">
        <v>66</v>
      </c>
      <c r="AO1154" s="352" t="s">
        <v>66</v>
      </c>
      <c r="AP1154" s="213">
        <v>0.7419</v>
      </c>
      <c r="AQ1154" s="219">
        <v>-1.0837417568379433</v>
      </c>
      <c r="AR1154" s="213" t="s">
        <v>1827</v>
      </c>
      <c r="AV1154" s="343"/>
      <c r="AW1154" s="328"/>
      <c r="AX1154" s="329"/>
      <c r="AY1154" s="328"/>
      <c r="AZ1154" s="328"/>
      <c r="BA1154" s="330"/>
      <c r="BB1154" s="328"/>
      <c r="BC1154" s="328"/>
      <c r="BD1154" s="328"/>
      <c r="BE1154" s="330"/>
      <c r="BF1154" s="330"/>
      <c r="BG1154" s="344"/>
      <c r="BH1154" s="330"/>
      <c r="BI1154" s="330"/>
      <c r="BJ1154" s="330"/>
      <c r="BK1154" s="330"/>
      <c r="BL1154" s="330"/>
      <c r="BM1154" s="330"/>
      <c r="BN1154" s="330"/>
      <c r="BO1154" s="330"/>
      <c r="BP1154" s="331"/>
      <c r="BQ1154" s="332"/>
      <c r="BR1154" s="333"/>
    </row>
    <row r="1155" spans="2:70" ht="15.75" customHeight="1">
      <c r="B1155" s="216" t="s">
        <v>811</v>
      </c>
      <c r="C1155" s="212">
        <v>781821</v>
      </c>
      <c r="D1155" s="223">
        <v>36380409000128</v>
      </c>
      <c r="E1155" s="217" t="s">
        <v>28</v>
      </c>
      <c r="F1155" s="217" t="s">
        <v>32</v>
      </c>
      <c r="G1155" s="217" t="s">
        <v>1051</v>
      </c>
      <c r="H1155" s="218"/>
      <c r="I1155" s="217" t="s">
        <v>66</v>
      </c>
      <c r="J1155" s="217" t="s">
        <v>66</v>
      </c>
      <c r="K1155" s="218" t="s">
        <v>954</v>
      </c>
      <c r="L1155" s="212" t="s">
        <v>88</v>
      </c>
      <c r="M1155" s="250"/>
      <c r="N1155" s="239">
        <v>43889</v>
      </c>
      <c r="O1155" s="210" t="s">
        <v>802</v>
      </c>
      <c r="P1155" s="210" t="s">
        <v>1075</v>
      </c>
      <c r="Q1155" s="210" t="s">
        <v>1076</v>
      </c>
      <c r="R1155" s="210" t="s">
        <v>1084</v>
      </c>
      <c r="S1155" s="210" t="s">
        <v>1085</v>
      </c>
      <c r="T1155" s="210" t="s">
        <v>32</v>
      </c>
      <c r="U1155" s="210" t="s">
        <v>1254</v>
      </c>
      <c r="V1155" s="210" t="s">
        <v>25</v>
      </c>
      <c r="W1155" s="211" t="s">
        <v>1016</v>
      </c>
      <c r="X1155" s="211">
        <v>100</v>
      </c>
      <c r="Y1155" s="211">
        <v>100</v>
      </c>
      <c r="Z1155" s="212">
        <v>100</v>
      </c>
      <c r="AA1155" s="240">
        <v>7</v>
      </c>
      <c r="AB1155" s="213">
        <v>5.0000000000000001E-4</v>
      </c>
      <c r="AC1155" s="213">
        <v>0</v>
      </c>
      <c r="AD1155" s="213" t="s">
        <v>113</v>
      </c>
      <c r="AE1155" s="213">
        <v>2.2225000000000001E-4</v>
      </c>
      <c r="AF1155" s="241">
        <v>48627597.859999999</v>
      </c>
      <c r="AG1155" s="241">
        <v>48627597.859999999</v>
      </c>
      <c r="AH1155" s="213">
        <v>-0.21290000000000001</v>
      </c>
      <c r="AI1155" s="352">
        <v>-3.28</v>
      </c>
      <c r="AJ1155" s="213">
        <v>-8.1199999999999994E-2</v>
      </c>
      <c r="AK1155" s="352">
        <v>-0.86319999999999997</v>
      </c>
      <c r="AL1155" s="213">
        <v>9.5100000000000004E-2</v>
      </c>
      <c r="AM1155" s="352">
        <v>0.7873</v>
      </c>
      <c r="AN1155" s="213" t="s">
        <v>66</v>
      </c>
      <c r="AO1155" s="352" t="s">
        <v>66</v>
      </c>
      <c r="AP1155" s="213">
        <v>0.16170000000000001</v>
      </c>
      <c r="AQ1155" s="219">
        <v>-0.99961588326189388</v>
      </c>
      <c r="AR1155" s="213" t="s">
        <v>1827</v>
      </c>
      <c r="AV1155" s="343"/>
      <c r="AW1155" s="328"/>
      <c r="AX1155" s="329"/>
      <c r="AY1155" s="328"/>
      <c r="AZ1155" s="328"/>
      <c r="BA1155" s="330"/>
      <c r="BB1155" s="328"/>
      <c r="BC1155" s="328"/>
      <c r="BD1155" s="328"/>
      <c r="BE1155" s="330"/>
      <c r="BF1155" s="330"/>
      <c r="BG1155" s="344"/>
      <c r="BH1155" s="330"/>
      <c r="BI1155" s="330"/>
      <c r="BJ1155" s="330"/>
      <c r="BK1155" s="330"/>
      <c r="BL1155" s="330"/>
      <c r="BM1155" s="330"/>
      <c r="BN1155" s="330"/>
      <c r="BO1155" s="330"/>
      <c r="BP1155" s="331"/>
      <c r="BQ1155" s="332"/>
      <c r="BR1155" s="333"/>
    </row>
    <row r="1156" spans="2:70" ht="15.75" customHeight="1">
      <c r="B1156" s="216" t="s">
        <v>931</v>
      </c>
      <c r="C1156" s="212">
        <v>2809802</v>
      </c>
      <c r="D1156" s="223">
        <v>43508005000132</v>
      </c>
      <c r="E1156" s="217" t="s">
        <v>28</v>
      </c>
      <c r="F1156" s="217" t="s">
        <v>32</v>
      </c>
      <c r="G1156" s="217" t="s">
        <v>1051</v>
      </c>
      <c r="H1156" s="218"/>
      <c r="I1156" s="217" t="s">
        <v>66</v>
      </c>
      <c r="J1156" s="217" t="s">
        <v>66</v>
      </c>
      <c r="K1156" s="218" t="s">
        <v>954</v>
      </c>
      <c r="L1156" s="212" t="s">
        <v>88</v>
      </c>
      <c r="M1156" s="250"/>
      <c r="N1156" s="239">
        <v>44469</v>
      </c>
      <c r="O1156" s="210" t="s">
        <v>802</v>
      </c>
      <c r="P1156" s="210" t="s">
        <v>1075</v>
      </c>
      <c r="Q1156" s="210" t="s">
        <v>1076</v>
      </c>
      <c r="R1156" s="210" t="s">
        <v>1077</v>
      </c>
      <c r="S1156" s="210" t="s">
        <v>1078</v>
      </c>
      <c r="T1156" s="210" t="s">
        <v>32</v>
      </c>
      <c r="U1156" s="210" t="s">
        <v>1254</v>
      </c>
      <c r="V1156" s="210" t="s">
        <v>25</v>
      </c>
      <c r="W1156" s="211" t="s">
        <v>1028</v>
      </c>
      <c r="X1156" s="211">
        <v>5000</v>
      </c>
      <c r="Y1156" s="211">
        <v>100</v>
      </c>
      <c r="Z1156" s="212">
        <v>100</v>
      </c>
      <c r="AA1156" s="240">
        <v>13</v>
      </c>
      <c r="AB1156" s="213">
        <v>1.4E-2</v>
      </c>
      <c r="AC1156" s="213">
        <v>0.2</v>
      </c>
      <c r="AD1156" s="213" t="s">
        <v>1100</v>
      </c>
      <c r="AE1156" s="213">
        <v>6.2230000000000002E-3</v>
      </c>
      <c r="AF1156" s="241">
        <v>10485980.59</v>
      </c>
      <c r="AG1156" s="241">
        <v>10485980.59</v>
      </c>
      <c r="AH1156" s="213">
        <v>-0.75629999999999997</v>
      </c>
      <c r="AI1156" s="352">
        <v>-11.649900000000001</v>
      </c>
      <c r="AJ1156" s="213" t="s">
        <v>66</v>
      </c>
      <c r="AK1156" s="352" t="s">
        <v>66</v>
      </c>
      <c r="AL1156" s="213" t="s">
        <v>66</v>
      </c>
      <c r="AM1156" s="352" t="s">
        <v>66</v>
      </c>
      <c r="AN1156" s="213" t="s">
        <v>66</v>
      </c>
      <c r="AO1156" s="352" t="s">
        <v>66</v>
      </c>
      <c r="AP1156" s="213" t="s">
        <v>66</v>
      </c>
      <c r="AQ1156" s="219" t="s">
        <v>66</v>
      </c>
      <c r="AR1156" s="213" t="s">
        <v>1827</v>
      </c>
      <c r="AV1156" s="343"/>
      <c r="AW1156" s="328"/>
      <c r="AX1156" s="329"/>
      <c r="AY1156" s="328"/>
      <c r="AZ1156" s="328"/>
      <c r="BA1156" s="330"/>
      <c r="BB1156" s="328"/>
      <c r="BC1156" s="328"/>
      <c r="BD1156" s="328"/>
      <c r="BE1156" s="330"/>
      <c r="BF1156" s="330"/>
      <c r="BG1156" s="344"/>
      <c r="BH1156" s="330"/>
      <c r="BI1156" s="330"/>
      <c r="BJ1156" s="330"/>
      <c r="BK1156" s="330"/>
      <c r="BL1156" s="330"/>
      <c r="BM1156" s="330"/>
      <c r="BN1156" s="330"/>
      <c r="BO1156" s="330"/>
      <c r="BP1156" s="331"/>
      <c r="BQ1156" s="332"/>
      <c r="BR1156" s="333"/>
    </row>
    <row r="1157" spans="2:70" ht="15.75" customHeight="1">
      <c r="B1157" s="216" t="s">
        <v>1709</v>
      </c>
      <c r="C1157" s="212">
        <v>781819</v>
      </c>
      <c r="D1157" s="223">
        <v>43984912000158</v>
      </c>
      <c r="E1157" s="217" t="s">
        <v>28</v>
      </c>
      <c r="F1157" s="217" t="s">
        <v>32</v>
      </c>
      <c r="G1157" s="217" t="s">
        <v>1051</v>
      </c>
      <c r="H1157" s="218"/>
      <c r="I1157" s="217" t="s">
        <v>66</v>
      </c>
      <c r="J1157" s="217" t="s">
        <v>66</v>
      </c>
      <c r="K1157" s="218" t="s">
        <v>954</v>
      </c>
      <c r="L1157" s="212" t="s">
        <v>88</v>
      </c>
      <c r="M1157" s="250"/>
      <c r="N1157" s="239">
        <v>44530</v>
      </c>
      <c r="O1157" s="210" t="s">
        <v>802</v>
      </c>
      <c r="P1157" s="210" t="s">
        <v>1075</v>
      </c>
      <c r="Q1157" s="210" t="s">
        <v>113</v>
      </c>
      <c r="R1157" s="210" t="s">
        <v>1077</v>
      </c>
      <c r="S1157" s="210" t="s">
        <v>1078</v>
      </c>
      <c r="T1157" s="210" t="s">
        <v>32</v>
      </c>
      <c r="U1157" s="210" t="s">
        <v>1254</v>
      </c>
      <c r="V1157" s="210" t="s">
        <v>25</v>
      </c>
      <c r="W1157" s="211" t="s">
        <v>1028</v>
      </c>
      <c r="X1157" s="211">
        <v>5000</v>
      </c>
      <c r="Y1157" s="211">
        <v>100</v>
      </c>
      <c r="Z1157" s="212">
        <v>100</v>
      </c>
      <c r="AA1157" s="240">
        <v>13</v>
      </c>
      <c r="AB1157" s="213">
        <v>1.4E-2</v>
      </c>
      <c r="AC1157" s="213">
        <v>0.2</v>
      </c>
      <c r="AD1157" s="213" t="s">
        <v>1100</v>
      </c>
      <c r="AE1157" s="213">
        <v>6.2230000000000002E-3</v>
      </c>
      <c r="AF1157" s="241">
        <v>6806590.9699999997</v>
      </c>
      <c r="AG1157" s="241">
        <v>6806590.9699999997</v>
      </c>
      <c r="AH1157" s="213">
        <v>-0.72419999999999995</v>
      </c>
      <c r="AI1157" s="352">
        <v>-11.154999999999999</v>
      </c>
      <c r="AJ1157" s="213" t="s">
        <v>66</v>
      </c>
      <c r="AK1157" s="352" t="s">
        <v>66</v>
      </c>
      <c r="AL1157" s="213" t="s">
        <v>66</v>
      </c>
      <c r="AM1157" s="352" t="s">
        <v>66</v>
      </c>
      <c r="AN1157" s="213" t="s">
        <v>66</v>
      </c>
      <c r="AO1157" s="352" t="s">
        <v>66</v>
      </c>
      <c r="AP1157" s="213" t="s">
        <v>66</v>
      </c>
      <c r="AQ1157" s="219" t="s">
        <v>66</v>
      </c>
      <c r="AR1157" s="213" t="s">
        <v>1827</v>
      </c>
      <c r="AV1157" s="343"/>
      <c r="AW1157" s="328"/>
      <c r="AX1157" s="329"/>
      <c r="AY1157" s="328"/>
      <c r="AZ1157" s="328"/>
      <c r="BA1157" s="330"/>
      <c r="BB1157" s="328"/>
      <c r="BC1157" s="328"/>
      <c r="BD1157" s="328"/>
      <c r="BE1157" s="330"/>
      <c r="BF1157" s="330"/>
      <c r="BG1157" s="344"/>
      <c r="BH1157" s="330"/>
      <c r="BI1157" s="330"/>
      <c r="BJ1157" s="330"/>
      <c r="BK1157" s="330"/>
      <c r="BL1157" s="330"/>
      <c r="BM1157" s="330"/>
      <c r="BN1157" s="330"/>
      <c r="BO1157" s="330"/>
      <c r="BP1157" s="331"/>
      <c r="BQ1157" s="332"/>
      <c r="BR1157" s="333"/>
    </row>
    <row r="1158" spans="2:70" ht="15.75" customHeight="1">
      <c r="B1158" s="216" t="s">
        <v>812</v>
      </c>
      <c r="C1158" s="212">
        <v>4358302</v>
      </c>
      <c r="D1158" s="223">
        <v>43507873000106</v>
      </c>
      <c r="E1158" s="217" t="s">
        <v>28</v>
      </c>
      <c r="F1158" s="217" t="s">
        <v>32</v>
      </c>
      <c r="G1158" s="217" t="s">
        <v>1051</v>
      </c>
      <c r="H1158" s="218"/>
      <c r="I1158" s="217" t="s">
        <v>66</v>
      </c>
      <c r="J1158" s="217" t="s">
        <v>66</v>
      </c>
      <c r="K1158" s="218" t="s">
        <v>954</v>
      </c>
      <c r="L1158" s="212" t="s">
        <v>88</v>
      </c>
      <c r="M1158" s="250"/>
      <c r="N1158" s="239">
        <v>44494</v>
      </c>
      <c r="O1158" s="210" t="s">
        <v>802</v>
      </c>
      <c r="P1158" s="210" t="s">
        <v>1075</v>
      </c>
      <c r="Q1158" s="210" t="s">
        <v>1076</v>
      </c>
      <c r="R1158" s="210" t="s">
        <v>1077</v>
      </c>
      <c r="S1158" s="210" t="s">
        <v>1078</v>
      </c>
      <c r="T1158" s="210" t="s">
        <v>32</v>
      </c>
      <c r="U1158" s="210" t="s">
        <v>1254</v>
      </c>
      <c r="V1158" s="210" t="s">
        <v>25</v>
      </c>
      <c r="W1158" s="211" t="s">
        <v>1028</v>
      </c>
      <c r="X1158" s="211">
        <v>500</v>
      </c>
      <c r="Y1158" s="211">
        <v>500</v>
      </c>
      <c r="Z1158" s="212">
        <v>500</v>
      </c>
      <c r="AA1158" s="240">
        <v>13</v>
      </c>
      <c r="AB1158" s="213">
        <v>5.0000000000000001E-4</v>
      </c>
      <c r="AC1158" s="213">
        <v>0</v>
      </c>
      <c r="AD1158" s="213" t="s">
        <v>1100</v>
      </c>
      <c r="AE1158" s="213">
        <v>2.2225000000000001E-4</v>
      </c>
      <c r="AF1158" s="241">
        <v>695521.75</v>
      </c>
      <c r="AG1158" s="241">
        <v>695521.75</v>
      </c>
      <c r="AH1158" s="213">
        <v>-0.57199999999999995</v>
      </c>
      <c r="AI1158" s="352">
        <v>-8.8103999999999996</v>
      </c>
      <c r="AJ1158" s="213" t="s">
        <v>66</v>
      </c>
      <c r="AK1158" s="352" t="s">
        <v>66</v>
      </c>
      <c r="AL1158" s="213" t="s">
        <v>66</v>
      </c>
      <c r="AM1158" s="352" t="s">
        <v>66</v>
      </c>
      <c r="AN1158" s="213" t="s">
        <v>66</v>
      </c>
      <c r="AO1158" s="352" t="s">
        <v>66</v>
      </c>
      <c r="AP1158" s="213" t="s">
        <v>66</v>
      </c>
      <c r="AQ1158" s="219" t="s">
        <v>66</v>
      </c>
      <c r="AR1158" s="213" t="s">
        <v>1827</v>
      </c>
      <c r="AV1158" s="343"/>
      <c r="AW1158" s="328"/>
      <c r="AX1158" s="329"/>
      <c r="AY1158" s="328"/>
      <c r="AZ1158" s="328"/>
      <c r="BA1158" s="330"/>
      <c r="BB1158" s="328"/>
      <c r="BC1158" s="328"/>
      <c r="BD1158" s="328"/>
      <c r="BE1158" s="330"/>
      <c r="BF1158" s="330"/>
      <c r="BG1158" s="344"/>
      <c r="BH1158" s="330"/>
      <c r="BI1158" s="330"/>
      <c r="BJ1158" s="330"/>
      <c r="BK1158" s="330"/>
      <c r="BL1158" s="330"/>
      <c r="BM1158" s="330"/>
      <c r="BN1158" s="330"/>
      <c r="BO1158" s="330"/>
      <c r="BP1158" s="331"/>
      <c r="BQ1158" s="332"/>
      <c r="BR1158" s="333"/>
    </row>
    <row r="1159" spans="2:70" ht="15.75" customHeight="1">
      <c r="B1159" s="216" t="s">
        <v>813</v>
      </c>
      <c r="C1159" s="212">
        <v>549220</v>
      </c>
      <c r="D1159" s="223">
        <v>43095852000112</v>
      </c>
      <c r="E1159" s="217" t="s">
        <v>28</v>
      </c>
      <c r="F1159" s="217" t="s">
        <v>950</v>
      </c>
      <c r="G1159" s="217"/>
      <c r="H1159" s="218"/>
      <c r="I1159" s="217" t="s">
        <v>66</v>
      </c>
      <c r="J1159" s="217" t="s">
        <v>66</v>
      </c>
      <c r="K1159" s="218" t="s">
        <v>954</v>
      </c>
      <c r="L1159" s="212" t="s">
        <v>87</v>
      </c>
      <c r="M1159" s="250"/>
      <c r="N1159" s="239">
        <v>44425</v>
      </c>
      <c r="O1159" s="210" t="s">
        <v>802</v>
      </c>
      <c r="P1159" s="210" t="s">
        <v>1075</v>
      </c>
      <c r="Q1159" s="210" t="s">
        <v>1076</v>
      </c>
      <c r="R1159" s="210" t="s">
        <v>1084</v>
      </c>
      <c r="S1159" s="210" t="s">
        <v>1078</v>
      </c>
      <c r="T1159" s="210" t="s">
        <v>32</v>
      </c>
      <c r="U1159" s="210" t="s">
        <v>1254</v>
      </c>
      <c r="V1159" s="210" t="s">
        <v>1080</v>
      </c>
      <c r="W1159" s="211" t="s">
        <v>1044</v>
      </c>
      <c r="X1159" s="211">
        <v>100</v>
      </c>
      <c r="Y1159" s="211">
        <v>100</v>
      </c>
      <c r="Z1159" s="212">
        <v>100</v>
      </c>
      <c r="AA1159" s="240">
        <v>7</v>
      </c>
      <c r="AB1159" s="213">
        <v>8.9999999999999993E-3</v>
      </c>
      <c r="AC1159" s="213">
        <v>0.1</v>
      </c>
      <c r="AD1159" s="213" t="s">
        <v>113</v>
      </c>
      <c r="AE1159" s="213">
        <v>4.0004999999999997E-3</v>
      </c>
      <c r="AF1159" s="241">
        <v>7639832.3600000003</v>
      </c>
      <c r="AG1159" s="241">
        <v>7639832.3600000003</v>
      </c>
      <c r="AH1159" s="213">
        <v>-6.4399999999999999E-2</v>
      </c>
      <c r="AI1159" s="352">
        <v>-0.99199999999999999</v>
      </c>
      <c r="AJ1159" s="213" t="s">
        <v>66</v>
      </c>
      <c r="AK1159" s="352" t="s">
        <v>66</v>
      </c>
      <c r="AL1159" s="213" t="s">
        <v>66</v>
      </c>
      <c r="AM1159" s="352" t="s">
        <v>66</v>
      </c>
      <c r="AN1159" s="213" t="s">
        <v>66</v>
      </c>
      <c r="AO1159" s="352" t="s">
        <v>66</v>
      </c>
      <c r="AP1159" s="213" t="s">
        <v>66</v>
      </c>
      <c r="AQ1159" s="219" t="s">
        <v>66</v>
      </c>
      <c r="AR1159" s="213" t="s">
        <v>1827</v>
      </c>
      <c r="AV1159" s="343"/>
      <c r="AW1159" s="328"/>
      <c r="AX1159" s="329"/>
      <c r="AY1159" s="328"/>
      <c r="AZ1159" s="328"/>
      <c r="BA1159" s="330"/>
      <c r="BB1159" s="328"/>
      <c r="BC1159" s="328"/>
      <c r="BD1159" s="328"/>
      <c r="BE1159" s="330"/>
      <c r="BF1159" s="330"/>
      <c r="BG1159" s="344"/>
      <c r="BH1159" s="330"/>
      <c r="BI1159" s="330"/>
      <c r="BJ1159" s="330"/>
      <c r="BK1159" s="330"/>
      <c r="BL1159" s="330"/>
      <c r="BM1159" s="330"/>
      <c r="BN1159" s="330"/>
      <c r="BO1159" s="330"/>
      <c r="BP1159" s="331"/>
      <c r="BQ1159" s="332"/>
      <c r="BR1159" s="333"/>
    </row>
    <row r="1160" spans="2:70" ht="15.75" customHeight="1">
      <c r="B1160" s="216" t="s">
        <v>814</v>
      </c>
      <c r="C1160" s="212">
        <v>971226</v>
      </c>
      <c r="D1160" s="223">
        <v>42081209000177</v>
      </c>
      <c r="E1160" s="217" t="s">
        <v>28</v>
      </c>
      <c r="F1160" s="217" t="s">
        <v>950</v>
      </c>
      <c r="G1160" s="217" t="s">
        <v>1254</v>
      </c>
      <c r="H1160" s="218"/>
      <c r="I1160" s="217" t="s">
        <v>66</v>
      </c>
      <c r="J1160" s="217" t="s">
        <v>66</v>
      </c>
      <c r="K1160" s="218" t="s">
        <v>954</v>
      </c>
      <c r="L1160" s="212" t="s">
        <v>87</v>
      </c>
      <c r="M1160" s="250"/>
      <c r="N1160" s="239">
        <v>44377</v>
      </c>
      <c r="O1160" s="210" t="s">
        <v>802</v>
      </c>
      <c r="P1160" s="210" t="s">
        <v>1075</v>
      </c>
      <c r="Q1160" s="210" t="s">
        <v>1076</v>
      </c>
      <c r="R1160" s="210" t="s">
        <v>1084</v>
      </c>
      <c r="S1160" s="210" t="s">
        <v>1078</v>
      </c>
      <c r="T1160" s="210" t="s">
        <v>32</v>
      </c>
      <c r="U1160" s="210" t="s">
        <v>1254</v>
      </c>
      <c r="V1160" s="210" t="s">
        <v>25</v>
      </c>
      <c r="W1160" s="211" t="s">
        <v>1016</v>
      </c>
      <c r="X1160" s="211">
        <v>1000</v>
      </c>
      <c r="Y1160" s="211">
        <v>100</v>
      </c>
      <c r="Z1160" s="212">
        <v>100</v>
      </c>
      <c r="AA1160" s="240">
        <v>11</v>
      </c>
      <c r="AB1160" s="213">
        <v>5.0000000000000001E-4</v>
      </c>
      <c r="AC1160" s="213">
        <v>0</v>
      </c>
      <c r="AD1160" s="213" t="s">
        <v>113</v>
      </c>
      <c r="AE1160" s="213">
        <v>2.2225000000000001E-4</v>
      </c>
      <c r="AF1160" s="241">
        <v>16392923.289999999</v>
      </c>
      <c r="AG1160" s="241">
        <v>16392923.289999999</v>
      </c>
      <c r="AH1160" s="213">
        <v>2.3199999999999998E-2</v>
      </c>
      <c r="AI1160" s="352">
        <v>0.35749999999999998</v>
      </c>
      <c r="AJ1160" s="213">
        <v>0.14580000000000001</v>
      </c>
      <c r="AK1160" s="352">
        <v>1.5492999999999999</v>
      </c>
      <c r="AL1160" s="213" t="s">
        <v>66</v>
      </c>
      <c r="AM1160" s="352" t="s">
        <v>66</v>
      </c>
      <c r="AN1160" s="213" t="s">
        <v>66</v>
      </c>
      <c r="AO1160" s="352" t="s">
        <v>66</v>
      </c>
      <c r="AP1160" s="213">
        <v>0.17280000000000001</v>
      </c>
      <c r="AQ1160" s="219">
        <v>0.35335968733591278</v>
      </c>
      <c r="AR1160" s="213" t="s">
        <v>1827</v>
      </c>
      <c r="AV1160" s="343"/>
      <c r="AW1160" s="328"/>
      <c r="AX1160" s="329"/>
      <c r="AY1160" s="328"/>
      <c r="AZ1160" s="328"/>
      <c r="BA1160" s="330"/>
      <c r="BB1160" s="328"/>
      <c r="BC1160" s="328"/>
      <c r="BD1160" s="328"/>
      <c r="BE1160" s="330"/>
      <c r="BF1160" s="330"/>
      <c r="BG1160" s="344"/>
      <c r="BH1160" s="330"/>
      <c r="BI1160" s="330"/>
      <c r="BJ1160" s="330"/>
      <c r="BK1160" s="330"/>
      <c r="BL1160" s="330"/>
      <c r="BM1160" s="330"/>
      <c r="BN1160" s="330"/>
      <c r="BO1160" s="330"/>
      <c r="BP1160" s="331"/>
      <c r="BQ1160" s="332"/>
      <c r="BR1160" s="333"/>
    </row>
    <row r="1161" spans="2:70" ht="15.75" customHeight="1">
      <c r="B1161" s="216" t="s">
        <v>1710</v>
      </c>
      <c r="C1161" s="212">
        <v>1135755</v>
      </c>
      <c r="D1161" s="223">
        <v>35820605000103</v>
      </c>
      <c r="E1161" s="217" t="s">
        <v>25</v>
      </c>
      <c r="F1161" s="217" t="s">
        <v>958</v>
      </c>
      <c r="G1161" s="217" t="s">
        <v>962</v>
      </c>
      <c r="H1161" s="218" t="s">
        <v>66</v>
      </c>
      <c r="I1161" s="217" t="s">
        <v>1259</v>
      </c>
      <c r="J1161" s="217" t="s">
        <v>66</v>
      </c>
      <c r="K1161" s="218"/>
      <c r="L1161" s="212" t="s">
        <v>87</v>
      </c>
      <c r="M1161" s="250"/>
      <c r="N1161" s="239">
        <v>43943</v>
      </c>
      <c r="O1161" s="210" t="s">
        <v>802</v>
      </c>
      <c r="P1161" s="210" t="s">
        <v>1110</v>
      </c>
      <c r="Q1161" s="210" t="s">
        <v>1110</v>
      </c>
      <c r="R1161" s="210" t="s">
        <v>1084</v>
      </c>
      <c r="S1161" s="210" t="s">
        <v>1078</v>
      </c>
      <c r="T1161" s="210" t="s">
        <v>1082</v>
      </c>
      <c r="U1161" s="210" t="s">
        <v>958</v>
      </c>
      <c r="V1161" s="210" t="s">
        <v>25</v>
      </c>
      <c r="W1161" s="211" t="s">
        <v>1016</v>
      </c>
      <c r="X1161" s="211">
        <v>100</v>
      </c>
      <c r="Y1161" s="211">
        <v>100</v>
      </c>
      <c r="Z1161" s="212">
        <v>100</v>
      </c>
      <c r="AA1161" s="240">
        <v>61</v>
      </c>
      <c r="AB1161" s="213">
        <v>0</v>
      </c>
      <c r="AC1161" s="213">
        <v>0</v>
      </c>
      <c r="AD1161" s="213" t="s">
        <v>109</v>
      </c>
      <c r="AE1161" s="213">
        <v>0</v>
      </c>
      <c r="AF1161" s="241">
        <v>55064703.670000002</v>
      </c>
      <c r="AG1161" s="241">
        <v>55064703.670000002</v>
      </c>
      <c r="AH1161" s="213">
        <v>-1.47E-2</v>
      </c>
      <c r="AI1161" s="352">
        <v>-0.22620000000000001</v>
      </c>
      <c r="AJ1161" s="213">
        <v>-2.6100000000000002E-2</v>
      </c>
      <c r="AK1161" s="352">
        <v>-0.27729999999999999</v>
      </c>
      <c r="AL1161" s="213">
        <v>8.1100000000000005E-2</v>
      </c>
      <c r="AM1161" s="352">
        <v>0.67159999999999997</v>
      </c>
      <c r="AN1161" s="213" t="s">
        <v>66</v>
      </c>
      <c r="AO1161" s="352" t="s">
        <v>66</v>
      </c>
      <c r="AP1161" s="213">
        <v>5.21E-2</v>
      </c>
      <c r="AQ1161" s="219">
        <v>-2.2061353206541261</v>
      </c>
      <c r="AR1161" s="213" t="s">
        <v>1827</v>
      </c>
      <c r="AV1161" s="343"/>
      <c r="AW1161" s="328"/>
      <c r="AX1161" s="329"/>
      <c r="AY1161" s="328"/>
      <c r="AZ1161" s="328"/>
      <c r="BA1161" s="330"/>
      <c r="BB1161" s="328"/>
      <c r="BC1161" s="328"/>
      <c r="BD1161" s="328"/>
      <c r="BE1161" s="330"/>
      <c r="BF1161" s="330"/>
      <c r="BG1161" s="344"/>
      <c r="BH1161" s="330"/>
      <c r="BI1161" s="330"/>
      <c r="BJ1161" s="330"/>
      <c r="BK1161" s="330"/>
      <c r="BL1161" s="330"/>
      <c r="BM1161" s="330"/>
      <c r="BN1161" s="330"/>
      <c r="BO1161" s="330"/>
      <c r="BP1161" s="331"/>
      <c r="BQ1161" s="332"/>
      <c r="BR1161" s="333"/>
    </row>
    <row r="1162" spans="2:70" ht="15.75" customHeight="1">
      <c r="B1162" s="216" t="s">
        <v>861</v>
      </c>
      <c r="C1162" s="212">
        <v>538154</v>
      </c>
      <c r="D1162" s="223">
        <v>30509286000104</v>
      </c>
      <c r="E1162" s="217" t="s">
        <v>25</v>
      </c>
      <c r="F1162" s="217" t="s">
        <v>958</v>
      </c>
      <c r="G1162" s="217" t="s">
        <v>962</v>
      </c>
      <c r="H1162" s="218" t="s">
        <v>66</v>
      </c>
      <c r="I1162" s="217" t="s">
        <v>1259</v>
      </c>
      <c r="J1162" s="217" t="s">
        <v>66</v>
      </c>
      <c r="K1162" s="218"/>
      <c r="L1162" s="212" t="s">
        <v>87</v>
      </c>
      <c r="M1162" s="250"/>
      <c r="N1162" s="239">
        <v>43563</v>
      </c>
      <c r="O1162" s="210" t="s">
        <v>802</v>
      </c>
      <c r="P1162" s="210" t="s">
        <v>1110</v>
      </c>
      <c r="Q1162" s="210" t="s">
        <v>1110</v>
      </c>
      <c r="R1162" s="210" t="s">
        <v>1084</v>
      </c>
      <c r="S1162" s="210" t="s">
        <v>1078</v>
      </c>
      <c r="T1162" s="210" t="s">
        <v>1082</v>
      </c>
      <c r="U1162" s="210" t="s">
        <v>958</v>
      </c>
      <c r="V1162" s="210" t="s">
        <v>25</v>
      </c>
      <c r="W1162" s="211" t="s">
        <v>1016</v>
      </c>
      <c r="X1162" s="211">
        <v>100</v>
      </c>
      <c r="Y1162" s="211">
        <v>100</v>
      </c>
      <c r="Z1162" s="212">
        <v>100</v>
      </c>
      <c r="AA1162" s="240">
        <v>61</v>
      </c>
      <c r="AB1162" s="213">
        <v>7.4999999999999997E-3</v>
      </c>
      <c r="AC1162" s="213">
        <v>0.1</v>
      </c>
      <c r="AD1162" s="213" t="s">
        <v>109</v>
      </c>
      <c r="AE1162" s="213">
        <v>3.3337499999999999E-3</v>
      </c>
      <c r="AF1162" s="241">
        <v>755214945.77999997</v>
      </c>
      <c r="AG1162" s="241">
        <v>755214945.77999997</v>
      </c>
      <c r="AH1162" s="213">
        <v>1.2500000000000001E-2</v>
      </c>
      <c r="AI1162" s="352">
        <v>0.193</v>
      </c>
      <c r="AJ1162" s="213">
        <v>-2.6599999999999999E-2</v>
      </c>
      <c r="AK1162" s="352">
        <v>-0.28239999999999998</v>
      </c>
      <c r="AL1162" s="213">
        <v>9.69E-2</v>
      </c>
      <c r="AM1162" s="352">
        <v>0.80200000000000005</v>
      </c>
      <c r="AN1162" s="213">
        <v>0.20710000000000001</v>
      </c>
      <c r="AO1162" s="352">
        <v>1.2289000000000001</v>
      </c>
      <c r="AP1162" s="213">
        <v>6.5799999999999997E-2</v>
      </c>
      <c r="AQ1162" s="219">
        <v>-1.7442760367338277</v>
      </c>
      <c r="AR1162" s="213" t="s">
        <v>1827</v>
      </c>
      <c r="AV1162" s="343"/>
      <c r="AW1162" s="328"/>
      <c r="AX1162" s="329"/>
      <c r="AY1162" s="328"/>
      <c r="AZ1162" s="328"/>
      <c r="BA1162" s="330"/>
      <c r="BB1162" s="328"/>
      <c r="BC1162" s="328"/>
      <c r="BD1162" s="328"/>
      <c r="BE1162" s="330"/>
      <c r="BF1162" s="330"/>
      <c r="BG1162" s="344"/>
      <c r="BH1162" s="330"/>
      <c r="BI1162" s="330"/>
      <c r="BJ1162" s="330"/>
      <c r="BK1162" s="330"/>
      <c r="BL1162" s="330"/>
      <c r="BM1162" s="330"/>
      <c r="BN1162" s="330"/>
      <c r="BO1162" s="330"/>
      <c r="BP1162" s="331"/>
      <c r="BQ1162" s="332"/>
      <c r="BR1162" s="333"/>
    </row>
    <row r="1163" spans="2:70" ht="15.75" customHeight="1">
      <c r="B1163" s="216" t="s">
        <v>1711</v>
      </c>
      <c r="C1163" s="212">
        <v>1254317</v>
      </c>
      <c r="D1163" s="223">
        <v>33925183000105</v>
      </c>
      <c r="E1163" s="217" t="s">
        <v>25</v>
      </c>
      <c r="F1163" s="217" t="s">
        <v>959</v>
      </c>
      <c r="G1163" s="217" t="s">
        <v>962</v>
      </c>
      <c r="H1163" s="218" t="s">
        <v>66</v>
      </c>
      <c r="I1163" s="217" t="s">
        <v>1842</v>
      </c>
      <c r="J1163" s="217" t="s">
        <v>66</v>
      </c>
      <c r="K1163" s="218" t="s">
        <v>954</v>
      </c>
      <c r="L1163" s="212" t="s">
        <v>87</v>
      </c>
      <c r="M1163" s="250"/>
      <c r="N1163" s="239">
        <v>43909</v>
      </c>
      <c r="O1163" s="210" t="s">
        <v>802</v>
      </c>
      <c r="P1163" s="210" t="s">
        <v>1110</v>
      </c>
      <c r="Q1163" s="210" t="s">
        <v>1110</v>
      </c>
      <c r="R1163" s="210" t="s">
        <v>1077</v>
      </c>
      <c r="S1163" s="210" t="s">
        <v>1078</v>
      </c>
      <c r="T1163" s="210" t="s">
        <v>1082</v>
      </c>
      <c r="U1163" s="210" t="s">
        <v>958</v>
      </c>
      <c r="V1163" s="210" t="s">
        <v>25</v>
      </c>
      <c r="W1163" s="211" t="s">
        <v>1028</v>
      </c>
      <c r="X1163" s="211">
        <v>100</v>
      </c>
      <c r="Y1163" s="211">
        <v>100</v>
      </c>
      <c r="Z1163" s="212">
        <v>100</v>
      </c>
      <c r="AA1163" s="240">
        <v>62</v>
      </c>
      <c r="AB1163" s="213">
        <v>7.4999999999999997E-3</v>
      </c>
      <c r="AC1163" s="213">
        <v>0.1</v>
      </c>
      <c r="AD1163" s="213" t="s">
        <v>1157</v>
      </c>
      <c r="AE1163" s="213">
        <v>3.3337499999999999E-3</v>
      </c>
      <c r="AF1163" s="241">
        <v>84056132.150000006</v>
      </c>
      <c r="AG1163" s="241">
        <v>84056132.150000006</v>
      </c>
      <c r="AH1163" s="213">
        <v>-0.18970000000000001</v>
      </c>
      <c r="AI1163" s="352">
        <v>-2.9218999999999999</v>
      </c>
      <c r="AJ1163" s="213">
        <v>-0.1176</v>
      </c>
      <c r="AK1163" s="352">
        <v>-1.2498</v>
      </c>
      <c r="AL1163" s="213">
        <v>-2.3400000000000001E-2</v>
      </c>
      <c r="AM1163" s="352">
        <v>-0.1933</v>
      </c>
      <c r="AN1163" s="213" t="s">
        <v>66</v>
      </c>
      <c r="AO1163" s="352" t="s">
        <v>66</v>
      </c>
      <c r="AP1163" s="213">
        <v>0.1386</v>
      </c>
      <c r="AQ1163" s="219">
        <v>-1.4823992326905451</v>
      </c>
      <c r="AR1163" s="213" t="s">
        <v>1827</v>
      </c>
      <c r="AV1163" s="343"/>
      <c r="AW1163" s="328"/>
      <c r="AX1163" s="329"/>
      <c r="AY1163" s="328"/>
      <c r="AZ1163" s="328"/>
      <c r="BA1163" s="330"/>
      <c r="BB1163" s="328"/>
      <c r="BC1163" s="328"/>
      <c r="BD1163" s="328"/>
      <c r="BE1163" s="330"/>
      <c r="BF1163" s="330"/>
      <c r="BG1163" s="344"/>
      <c r="BH1163" s="330"/>
      <c r="BI1163" s="330"/>
      <c r="BJ1163" s="330"/>
      <c r="BK1163" s="330"/>
      <c r="BL1163" s="330"/>
      <c r="BM1163" s="330"/>
      <c r="BN1163" s="330"/>
      <c r="BO1163" s="330"/>
      <c r="BP1163" s="331"/>
      <c r="BQ1163" s="332"/>
      <c r="BR1163" s="333"/>
    </row>
    <row r="1164" spans="2:70" ht="15.75" customHeight="1">
      <c r="B1164" s="216" t="s">
        <v>1712</v>
      </c>
      <c r="C1164" s="212">
        <v>3423353</v>
      </c>
      <c r="D1164" s="223">
        <v>40190965000109</v>
      </c>
      <c r="E1164" s="217" t="s">
        <v>25</v>
      </c>
      <c r="F1164" s="217" t="s">
        <v>958</v>
      </c>
      <c r="G1164" s="217" t="s">
        <v>962</v>
      </c>
      <c r="H1164" s="218" t="s">
        <v>66</v>
      </c>
      <c r="I1164" s="217" t="s">
        <v>1259</v>
      </c>
      <c r="J1164" s="217" t="s">
        <v>66</v>
      </c>
      <c r="K1164" s="218"/>
      <c r="L1164" s="212" t="s">
        <v>87</v>
      </c>
      <c r="M1164" s="250"/>
      <c r="N1164" s="239">
        <v>44253</v>
      </c>
      <c r="O1164" s="210" t="s">
        <v>802</v>
      </c>
      <c r="P1164" s="210" t="s">
        <v>1075</v>
      </c>
      <c r="Q1164" s="210" t="s">
        <v>1076</v>
      </c>
      <c r="R1164" s="210" t="s">
        <v>1084</v>
      </c>
      <c r="S1164" s="210" t="s">
        <v>1078</v>
      </c>
      <c r="T1164" s="210" t="s">
        <v>1082</v>
      </c>
      <c r="U1164" s="210" t="s">
        <v>958</v>
      </c>
      <c r="V1164" s="210" t="s">
        <v>25</v>
      </c>
      <c r="W1164" s="211" t="s">
        <v>1016</v>
      </c>
      <c r="X1164" s="211">
        <v>0.01</v>
      </c>
      <c r="Y1164" s="211">
        <v>0.01</v>
      </c>
      <c r="Z1164" s="212">
        <v>0.01</v>
      </c>
      <c r="AA1164" s="240">
        <v>62</v>
      </c>
      <c r="AB1164" s="213">
        <v>7.4999999999999997E-3</v>
      </c>
      <c r="AC1164" s="213">
        <v>0.1</v>
      </c>
      <c r="AD1164" s="213" t="s">
        <v>113</v>
      </c>
      <c r="AE1164" s="213">
        <v>3.3337499999999999E-3</v>
      </c>
      <c r="AF1164" s="241">
        <v>18688126.52</v>
      </c>
      <c r="AG1164" s="241">
        <v>18688126.52</v>
      </c>
      <c r="AH1164" s="213">
        <v>3.5900000000000001E-2</v>
      </c>
      <c r="AI1164" s="352">
        <v>0.55310000000000004</v>
      </c>
      <c r="AJ1164" s="213">
        <v>-5.4999999999999997E-3</v>
      </c>
      <c r="AK1164" s="352">
        <v>-5.8500000000000003E-2</v>
      </c>
      <c r="AL1164" s="213" t="s">
        <v>66</v>
      </c>
      <c r="AM1164" s="352" t="s">
        <v>66</v>
      </c>
      <c r="AN1164" s="213" t="s">
        <v>66</v>
      </c>
      <c r="AO1164" s="352" t="s">
        <v>66</v>
      </c>
      <c r="AP1164" s="213">
        <v>6.3100000000000003E-2</v>
      </c>
      <c r="AQ1164" s="219">
        <v>-1.4817877015967347</v>
      </c>
      <c r="AR1164" s="213" t="s">
        <v>1827</v>
      </c>
      <c r="AV1164" s="343"/>
      <c r="AW1164" s="328"/>
      <c r="AX1164" s="329"/>
      <c r="AY1164" s="328"/>
      <c r="AZ1164" s="328"/>
      <c r="BA1164" s="330"/>
      <c r="BB1164" s="328"/>
      <c r="BC1164" s="328"/>
      <c r="BD1164" s="328"/>
      <c r="BE1164" s="330"/>
      <c r="BF1164" s="330"/>
      <c r="BG1164" s="344"/>
      <c r="BH1164" s="330"/>
      <c r="BI1164" s="330"/>
      <c r="BJ1164" s="330"/>
      <c r="BK1164" s="330"/>
      <c r="BL1164" s="330"/>
      <c r="BM1164" s="330"/>
      <c r="BN1164" s="330"/>
      <c r="BO1164" s="330"/>
      <c r="BP1164" s="331"/>
      <c r="BQ1164" s="332"/>
      <c r="BR1164" s="333"/>
    </row>
    <row r="1165" spans="2:70" ht="15.75" customHeight="1">
      <c r="B1165" s="216" t="s">
        <v>1713</v>
      </c>
      <c r="C1165" s="212">
        <v>2100711</v>
      </c>
      <c r="D1165" s="223">
        <v>38173769000184</v>
      </c>
      <c r="E1165" s="217" t="s">
        <v>28</v>
      </c>
      <c r="F1165" s="217" t="s">
        <v>950</v>
      </c>
      <c r="G1165" s="217"/>
      <c r="H1165" s="218"/>
      <c r="I1165" s="217" t="s">
        <v>66</v>
      </c>
      <c r="J1165" s="217" t="s">
        <v>66</v>
      </c>
      <c r="K1165" s="218" t="s">
        <v>954</v>
      </c>
      <c r="L1165" s="212"/>
      <c r="M1165" s="250"/>
      <c r="N1165" s="239">
        <v>44076</v>
      </c>
      <c r="O1165" s="210" t="s">
        <v>802</v>
      </c>
      <c r="P1165" s="210" t="s">
        <v>1075</v>
      </c>
      <c r="Q1165" s="210" t="s">
        <v>1076</v>
      </c>
      <c r="R1165" s="210" t="s">
        <v>1084</v>
      </c>
      <c r="S1165" s="210" t="s">
        <v>1078</v>
      </c>
      <c r="T1165" s="210" t="s">
        <v>1079</v>
      </c>
      <c r="U1165" s="210" t="s">
        <v>65</v>
      </c>
      <c r="V1165" s="210" t="s">
        <v>1080</v>
      </c>
      <c r="W1165" s="211" t="s">
        <v>1007</v>
      </c>
      <c r="X1165" s="211">
        <v>100</v>
      </c>
      <c r="Y1165" s="211">
        <v>100</v>
      </c>
      <c r="Z1165" s="212">
        <v>100</v>
      </c>
      <c r="AA1165" s="240">
        <v>12</v>
      </c>
      <c r="AB1165" s="213">
        <v>8.9999999999999993E-3</v>
      </c>
      <c r="AC1165" s="213">
        <v>0</v>
      </c>
      <c r="AD1165" s="213" t="s">
        <v>1157</v>
      </c>
      <c r="AE1165" s="213">
        <v>4.0004999999999997E-3</v>
      </c>
      <c r="AF1165" s="241">
        <v>10647831.300000001</v>
      </c>
      <c r="AG1165" s="241">
        <v>10647831.300000001</v>
      </c>
      <c r="AH1165" s="213">
        <v>-0.2344</v>
      </c>
      <c r="AI1165" s="352">
        <v>-3.6103999999999998</v>
      </c>
      <c r="AJ1165" s="213">
        <v>-9.3700000000000006E-2</v>
      </c>
      <c r="AK1165" s="352">
        <v>-0.99580000000000002</v>
      </c>
      <c r="AL1165" s="213" t="s">
        <v>66</v>
      </c>
      <c r="AM1165" s="352" t="s">
        <v>66</v>
      </c>
      <c r="AN1165" s="213" t="s">
        <v>66</v>
      </c>
      <c r="AO1165" s="352" t="s">
        <v>66</v>
      </c>
      <c r="AP1165" s="213">
        <v>0.19980000000000001</v>
      </c>
      <c r="AQ1165" s="219">
        <v>-0.84283564853878734</v>
      </c>
      <c r="AR1165" s="213" t="s">
        <v>1827</v>
      </c>
      <c r="AV1165" s="343"/>
      <c r="AW1165" s="328"/>
      <c r="AX1165" s="329"/>
      <c r="AY1165" s="328"/>
      <c r="AZ1165" s="328"/>
      <c r="BA1165" s="330"/>
      <c r="BB1165" s="328"/>
      <c r="BC1165" s="328"/>
      <c r="BD1165" s="328"/>
      <c r="BE1165" s="330"/>
      <c r="BF1165" s="330"/>
      <c r="BG1165" s="344"/>
      <c r="BH1165" s="330"/>
      <c r="BI1165" s="330"/>
      <c r="BJ1165" s="330"/>
      <c r="BK1165" s="330"/>
      <c r="BL1165" s="330"/>
      <c r="BM1165" s="330"/>
      <c r="BN1165" s="330"/>
      <c r="BO1165" s="330"/>
      <c r="BP1165" s="331"/>
      <c r="BQ1165" s="332"/>
      <c r="BR1165" s="333"/>
    </row>
    <row r="1166" spans="2:70" ht="15.75" customHeight="1">
      <c r="B1166" s="216" t="s">
        <v>815</v>
      </c>
      <c r="C1166" s="212">
        <v>2264182</v>
      </c>
      <c r="D1166" s="223">
        <v>42730540000170</v>
      </c>
      <c r="E1166" s="217" t="s">
        <v>28</v>
      </c>
      <c r="F1166" s="217" t="s">
        <v>950</v>
      </c>
      <c r="G1166" s="217"/>
      <c r="H1166" s="218"/>
      <c r="I1166" s="217" t="s">
        <v>66</v>
      </c>
      <c r="J1166" s="217" t="s">
        <v>66</v>
      </c>
      <c r="K1166" s="218" t="s">
        <v>954</v>
      </c>
      <c r="L1166" s="212" t="s">
        <v>87</v>
      </c>
      <c r="M1166" s="250"/>
      <c r="N1166" s="239">
        <v>44418</v>
      </c>
      <c r="O1166" s="210" t="s">
        <v>802</v>
      </c>
      <c r="P1166" s="210" t="s">
        <v>1075</v>
      </c>
      <c r="Q1166" s="210" t="s">
        <v>1076</v>
      </c>
      <c r="R1166" s="210" t="s">
        <v>1084</v>
      </c>
      <c r="S1166" s="210" t="s">
        <v>1078</v>
      </c>
      <c r="T1166" s="210" t="s">
        <v>32</v>
      </c>
      <c r="U1166" s="210" t="s">
        <v>1254</v>
      </c>
      <c r="V1166" s="210" t="s">
        <v>1080</v>
      </c>
      <c r="W1166" s="211" t="s">
        <v>1044</v>
      </c>
      <c r="X1166" s="211">
        <v>100</v>
      </c>
      <c r="Y1166" s="211">
        <v>100</v>
      </c>
      <c r="Z1166" s="212">
        <v>100</v>
      </c>
      <c r="AA1166" s="240">
        <v>7</v>
      </c>
      <c r="AB1166" s="213">
        <v>8.9999999999999993E-3</v>
      </c>
      <c r="AC1166" s="213">
        <v>0.1</v>
      </c>
      <c r="AD1166" s="213" t="s">
        <v>113</v>
      </c>
      <c r="AE1166" s="213" t="s">
        <v>66</v>
      </c>
      <c r="AF1166" s="241" t="s">
        <v>66</v>
      </c>
      <c r="AG1166" s="241" t="s">
        <v>66</v>
      </c>
      <c r="AH1166" s="213" t="s">
        <v>66</v>
      </c>
      <c r="AI1166" s="352" t="s">
        <v>66</v>
      </c>
      <c r="AJ1166" s="213" t="s">
        <v>66</v>
      </c>
      <c r="AK1166" s="352" t="s">
        <v>66</v>
      </c>
      <c r="AL1166" s="213" t="s">
        <v>66</v>
      </c>
      <c r="AM1166" s="352" t="s">
        <v>66</v>
      </c>
      <c r="AN1166" s="213" t="s">
        <v>66</v>
      </c>
      <c r="AO1166" s="352" t="s">
        <v>66</v>
      </c>
      <c r="AP1166" s="213" t="s">
        <v>66</v>
      </c>
      <c r="AQ1166" s="219" t="s">
        <v>66</v>
      </c>
      <c r="AR1166" s="213" t="s">
        <v>66</v>
      </c>
      <c r="AV1166" s="343"/>
      <c r="AW1166" s="328"/>
      <c r="AX1166" s="329"/>
      <c r="AY1166" s="328"/>
      <c r="AZ1166" s="328"/>
      <c r="BA1166" s="330"/>
      <c r="BB1166" s="328"/>
      <c r="BC1166" s="328"/>
      <c r="BD1166" s="328"/>
      <c r="BE1166" s="330"/>
      <c r="BF1166" s="330"/>
      <c r="BG1166" s="344"/>
      <c r="BH1166" s="330"/>
      <c r="BI1166" s="330"/>
      <c r="BJ1166" s="330"/>
      <c r="BK1166" s="330"/>
      <c r="BL1166" s="330"/>
      <c r="BM1166" s="330"/>
      <c r="BN1166" s="330"/>
      <c r="BO1166" s="330"/>
      <c r="BP1166" s="331"/>
      <c r="BQ1166" s="332"/>
      <c r="BR1166" s="333"/>
    </row>
    <row r="1167" spans="2:70" ht="15.75" customHeight="1">
      <c r="B1167" s="216" t="s">
        <v>1714</v>
      </c>
      <c r="C1167" s="212">
        <v>2552957</v>
      </c>
      <c r="D1167" s="223">
        <v>44209661000105</v>
      </c>
      <c r="E1167" s="217" t="s">
        <v>28</v>
      </c>
      <c r="F1167" s="217" t="s">
        <v>950</v>
      </c>
      <c r="G1167" s="217"/>
      <c r="H1167" s="218"/>
      <c r="I1167" s="217" t="s">
        <v>66</v>
      </c>
      <c r="J1167" s="217" t="s">
        <v>66</v>
      </c>
      <c r="K1167" s="218" t="s">
        <v>954</v>
      </c>
      <c r="L1167" s="212" t="s">
        <v>87</v>
      </c>
      <c r="M1167" s="250"/>
      <c r="N1167" s="239">
        <v>44530</v>
      </c>
      <c r="O1167" s="210" t="s">
        <v>802</v>
      </c>
      <c r="P1167" s="210" t="s">
        <v>1075</v>
      </c>
      <c r="Q1167" s="210" t="s">
        <v>1076</v>
      </c>
      <c r="R1167" s="210" t="s">
        <v>1084</v>
      </c>
      <c r="S1167" s="210" t="s">
        <v>1078</v>
      </c>
      <c r="T1167" s="210" t="s">
        <v>32</v>
      </c>
      <c r="U1167" s="210" t="s">
        <v>1254</v>
      </c>
      <c r="V1167" s="210" t="s">
        <v>1080</v>
      </c>
      <c r="W1167" s="211" t="s">
        <v>1007</v>
      </c>
      <c r="X1167" s="211">
        <v>1000</v>
      </c>
      <c r="Y1167" s="211">
        <v>100</v>
      </c>
      <c r="Z1167" s="212">
        <v>100</v>
      </c>
      <c r="AA1167" s="240">
        <v>12</v>
      </c>
      <c r="AB1167" s="213">
        <v>8.9999999999999993E-3</v>
      </c>
      <c r="AC1167" s="213">
        <v>0.1</v>
      </c>
      <c r="AD1167" s="213" t="s">
        <v>1100</v>
      </c>
      <c r="AE1167" s="213">
        <v>4.0004999999999997E-3</v>
      </c>
      <c r="AF1167" s="241">
        <v>33074409.329999998</v>
      </c>
      <c r="AG1167" s="241">
        <v>33074409.329999998</v>
      </c>
      <c r="AH1167" s="213">
        <v>-0.4864</v>
      </c>
      <c r="AI1167" s="352">
        <v>-7.4927000000000001</v>
      </c>
      <c r="AJ1167" s="213" t="s">
        <v>66</v>
      </c>
      <c r="AK1167" s="352" t="s">
        <v>66</v>
      </c>
      <c r="AL1167" s="213" t="s">
        <v>66</v>
      </c>
      <c r="AM1167" s="352" t="s">
        <v>66</v>
      </c>
      <c r="AN1167" s="213" t="s">
        <v>66</v>
      </c>
      <c r="AO1167" s="352" t="s">
        <v>66</v>
      </c>
      <c r="AP1167" s="213" t="s">
        <v>66</v>
      </c>
      <c r="AQ1167" s="219" t="s">
        <v>66</v>
      </c>
      <c r="AR1167" s="213" t="s">
        <v>1827</v>
      </c>
      <c r="AV1167" s="343"/>
      <c r="AW1167" s="328"/>
      <c r="AX1167" s="329"/>
      <c r="AY1167" s="328"/>
      <c r="AZ1167" s="328"/>
      <c r="BA1167" s="330"/>
      <c r="BB1167" s="328"/>
      <c r="BC1167" s="328"/>
      <c r="BD1167" s="328"/>
      <c r="BE1167" s="330"/>
      <c r="BF1167" s="330"/>
      <c r="BG1167" s="344"/>
      <c r="BH1167" s="330"/>
      <c r="BI1167" s="330"/>
      <c r="BJ1167" s="330"/>
      <c r="BK1167" s="330"/>
      <c r="BL1167" s="330"/>
      <c r="BM1167" s="330"/>
      <c r="BN1167" s="330"/>
      <c r="BO1167" s="330"/>
      <c r="BP1167" s="331"/>
      <c r="BQ1167" s="332"/>
      <c r="BR1167" s="333"/>
    </row>
    <row r="1168" spans="2:70" ht="15.75" customHeight="1">
      <c r="B1168" s="216" t="s">
        <v>927</v>
      </c>
      <c r="C1168" s="212">
        <v>2345936</v>
      </c>
      <c r="D1168" s="223">
        <v>43279729000151</v>
      </c>
      <c r="E1168" s="217" t="s">
        <v>28</v>
      </c>
      <c r="F1168" s="217" t="s">
        <v>950</v>
      </c>
      <c r="G1168" s="217"/>
      <c r="H1168" s="218"/>
      <c r="I1168" s="217" t="s">
        <v>66</v>
      </c>
      <c r="J1168" s="217" t="s">
        <v>66</v>
      </c>
      <c r="K1168" s="218" t="s">
        <v>954</v>
      </c>
      <c r="L1168" s="212"/>
      <c r="M1168" s="250"/>
      <c r="N1168" s="239">
        <v>44439</v>
      </c>
      <c r="O1168" s="210" t="s">
        <v>802</v>
      </c>
      <c r="P1168" s="210" t="s">
        <v>1075</v>
      </c>
      <c r="Q1168" s="210" t="s">
        <v>1076</v>
      </c>
      <c r="R1168" s="210" t="s">
        <v>1084</v>
      </c>
      <c r="S1168" s="210" t="s">
        <v>1078</v>
      </c>
      <c r="T1168" s="210" t="s">
        <v>1079</v>
      </c>
      <c r="U1168" s="210" t="s">
        <v>950</v>
      </c>
      <c r="V1168" s="210" t="s">
        <v>1080</v>
      </c>
      <c r="W1168" s="211" t="s">
        <v>1007</v>
      </c>
      <c r="X1168" s="211">
        <v>100</v>
      </c>
      <c r="Y1168" s="211">
        <v>100</v>
      </c>
      <c r="Z1168" s="212">
        <v>100</v>
      </c>
      <c r="AA1168" s="240">
        <v>32</v>
      </c>
      <c r="AB1168" s="213">
        <v>0.02</v>
      </c>
      <c r="AC1168" s="213">
        <v>0</v>
      </c>
      <c r="AD1168" s="213" t="s">
        <v>113</v>
      </c>
      <c r="AE1168" s="213">
        <v>8.8900000000000003E-3</v>
      </c>
      <c r="AF1168" s="241">
        <v>2830049.46</v>
      </c>
      <c r="AG1168" s="241">
        <v>2830049.46</v>
      </c>
      <c r="AH1168" s="213">
        <v>-0.15959999999999999</v>
      </c>
      <c r="AI1168" s="352">
        <v>-2.4584999999999999</v>
      </c>
      <c r="AJ1168" s="213" t="s">
        <v>66</v>
      </c>
      <c r="AK1168" s="352" t="s">
        <v>66</v>
      </c>
      <c r="AL1168" s="213" t="s">
        <v>66</v>
      </c>
      <c r="AM1168" s="352" t="s">
        <v>66</v>
      </c>
      <c r="AN1168" s="213" t="s">
        <v>66</v>
      </c>
      <c r="AO1168" s="352" t="s">
        <v>66</v>
      </c>
      <c r="AP1168" s="213" t="s">
        <v>66</v>
      </c>
      <c r="AQ1168" s="219" t="s">
        <v>66</v>
      </c>
      <c r="AR1168" s="213" t="s">
        <v>1827</v>
      </c>
      <c r="AV1168" s="343"/>
      <c r="AW1168" s="328"/>
      <c r="AX1168" s="329"/>
      <c r="AY1168" s="328"/>
      <c r="AZ1168" s="328"/>
      <c r="BA1168" s="330"/>
      <c r="BB1168" s="328"/>
      <c r="BC1168" s="328"/>
      <c r="BD1168" s="328"/>
      <c r="BE1168" s="330"/>
      <c r="BF1168" s="330"/>
      <c r="BG1168" s="344"/>
      <c r="BH1168" s="330"/>
      <c r="BI1168" s="330"/>
      <c r="BJ1168" s="330"/>
      <c r="BK1168" s="330"/>
      <c r="BL1168" s="330"/>
      <c r="BM1168" s="330"/>
      <c r="BN1168" s="330"/>
      <c r="BO1168" s="330"/>
      <c r="BP1168" s="331"/>
      <c r="BQ1168" s="332"/>
      <c r="BR1168" s="333"/>
    </row>
    <row r="1169" spans="2:70" ht="15.75" customHeight="1">
      <c r="B1169" s="216" t="s">
        <v>1715</v>
      </c>
      <c r="C1169" s="212">
        <v>2509372</v>
      </c>
      <c r="D1169" s="223">
        <v>34218763000125</v>
      </c>
      <c r="E1169" s="217" t="s">
        <v>28</v>
      </c>
      <c r="F1169" s="217" t="s">
        <v>950</v>
      </c>
      <c r="G1169" s="217"/>
      <c r="H1169" s="218"/>
      <c r="I1169" s="217" t="s">
        <v>66</v>
      </c>
      <c r="J1169" s="217" t="s">
        <v>66</v>
      </c>
      <c r="K1169" s="218" t="s">
        <v>951</v>
      </c>
      <c r="L1169" s="212" t="s">
        <v>87</v>
      </c>
      <c r="M1169" s="250"/>
      <c r="N1169" s="239">
        <v>43829</v>
      </c>
      <c r="O1169" s="210" t="s">
        <v>802</v>
      </c>
      <c r="P1169" s="210" t="s">
        <v>1075</v>
      </c>
      <c r="Q1169" s="210" t="s">
        <v>1110</v>
      </c>
      <c r="R1169" s="210" t="s">
        <v>1084</v>
      </c>
      <c r="S1169" s="210" t="s">
        <v>1078</v>
      </c>
      <c r="T1169" s="210" t="s">
        <v>1079</v>
      </c>
      <c r="U1169" s="210" t="s">
        <v>950</v>
      </c>
      <c r="V1169" s="210" t="s">
        <v>1080</v>
      </c>
      <c r="W1169" s="211" t="s">
        <v>1007</v>
      </c>
      <c r="X1169" s="211">
        <v>100</v>
      </c>
      <c r="Y1169" s="211">
        <v>100</v>
      </c>
      <c r="Z1169" s="212">
        <v>100</v>
      </c>
      <c r="AA1169" s="240">
        <v>62</v>
      </c>
      <c r="AB1169" s="213">
        <v>1.4E-2</v>
      </c>
      <c r="AC1169" s="213">
        <v>0.2</v>
      </c>
      <c r="AD1169" s="213" t="s">
        <v>1100</v>
      </c>
      <c r="AE1169" s="213">
        <v>6.2230000000000002E-3</v>
      </c>
      <c r="AF1169" s="241">
        <v>167933353.66</v>
      </c>
      <c r="AG1169" s="241">
        <v>167933353.66</v>
      </c>
      <c r="AH1169" s="213">
        <v>-7.7499999999999999E-2</v>
      </c>
      <c r="AI1169" s="352">
        <v>-1.1934</v>
      </c>
      <c r="AJ1169" s="213">
        <v>-0.34970000000000001</v>
      </c>
      <c r="AK1169" s="352">
        <v>-3.7164999999999999</v>
      </c>
      <c r="AL1169" s="213">
        <v>-0.1709</v>
      </c>
      <c r="AM1169" s="352">
        <v>-1.4147000000000001</v>
      </c>
      <c r="AN1169" s="213" t="s">
        <v>66</v>
      </c>
      <c r="AO1169" s="352" t="s">
        <v>66</v>
      </c>
      <c r="AP1169" s="213">
        <v>0.27589999999999998</v>
      </c>
      <c r="AQ1169" s="219">
        <v>-1.7465100980933068</v>
      </c>
      <c r="AR1169" s="213" t="s">
        <v>1827</v>
      </c>
      <c r="AV1169" s="343"/>
      <c r="AW1169" s="328"/>
      <c r="AX1169" s="329"/>
      <c r="AY1169" s="328"/>
      <c r="AZ1169" s="328"/>
      <c r="BA1169" s="330"/>
      <c r="BB1169" s="328"/>
      <c r="BC1169" s="328"/>
      <c r="BD1169" s="328"/>
      <c r="BE1169" s="330"/>
      <c r="BF1169" s="330"/>
      <c r="BG1169" s="344"/>
      <c r="BH1169" s="330"/>
      <c r="BI1169" s="330"/>
      <c r="BJ1169" s="330"/>
      <c r="BK1169" s="330"/>
      <c r="BL1169" s="330"/>
      <c r="BM1169" s="330"/>
      <c r="BN1169" s="330"/>
      <c r="BO1169" s="330"/>
      <c r="BP1169" s="331"/>
      <c r="BQ1169" s="332"/>
      <c r="BR1169" s="333"/>
    </row>
    <row r="1170" spans="2:70" ht="15.75" customHeight="1">
      <c r="B1170" s="216" t="s">
        <v>885</v>
      </c>
      <c r="C1170" s="212">
        <v>2065065</v>
      </c>
      <c r="D1170" s="223">
        <v>43279624000100</v>
      </c>
      <c r="E1170" s="217" t="s">
        <v>28</v>
      </c>
      <c r="F1170" s="217" t="s">
        <v>950</v>
      </c>
      <c r="G1170" s="217"/>
      <c r="H1170" s="218"/>
      <c r="I1170" s="217" t="s">
        <v>66</v>
      </c>
      <c r="J1170" s="217" t="s">
        <v>66</v>
      </c>
      <c r="K1170" s="218" t="s">
        <v>951</v>
      </c>
      <c r="L1170" s="212" t="s">
        <v>87</v>
      </c>
      <c r="M1170" s="250"/>
      <c r="N1170" s="239">
        <v>44439</v>
      </c>
      <c r="O1170" s="210" t="s">
        <v>802</v>
      </c>
      <c r="P1170" s="210" t="s">
        <v>1075</v>
      </c>
      <c r="Q1170" s="210" t="s">
        <v>1076</v>
      </c>
      <c r="R1170" s="210" t="s">
        <v>1084</v>
      </c>
      <c r="S1170" s="210" t="s">
        <v>1078</v>
      </c>
      <c r="T1170" s="210" t="s">
        <v>1079</v>
      </c>
      <c r="U1170" s="210" t="s">
        <v>950</v>
      </c>
      <c r="V1170" s="210" t="s">
        <v>1080</v>
      </c>
      <c r="W1170" s="211" t="s">
        <v>1031</v>
      </c>
      <c r="X1170" s="211">
        <v>100</v>
      </c>
      <c r="Y1170" s="211">
        <v>100</v>
      </c>
      <c r="Z1170" s="212">
        <v>100</v>
      </c>
      <c r="AA1170" s="240">
        <v>62</v>
      </c>
      <c r="AB1170" s="213">
        <v>1.4999999999999999E-2</v>
      </c>
      <c r="AC1170" s="213">
        <v>0.2</v>
      </c>
      <c r="AD1170" s="213" t="s">
        <v>113</v>
      </c>
      <c r="AE1170" s="213">
        <v>6.6674999999999998E-3</v>
      </c>
      <c r="AF1170" s="241" t="s">
        <v>66</v>
      </c>
      <c r="AG1170" s="241" t="s">
        <v>66</v>
      </c>
      <c r="AH1170" s="213" t="s">
        <v>66</v>
      </c>
      <c r="AI1170" s="352" t="s">
        <v>66</v>
      </c>
      <c r="AJ1170" s="213" t="s">
        <v>66</v>
      </c>
      <c r="AK1170" s="352" t="s">
        <v>66</v>
      </c>
      <c r="AL1170" s="213" t="s">
        <v>66</v>
      </c>
      <c r="AM1170" s="352" t="s">
        <v>66</v>
      </c>
      <c r="AN1170" s="213" t="s">
        <v>66</v>
      </c>
      <c r="AO1170" s="352" t="s">
        <v>66</v>
      </c>
      <c r="AP1170" s="213" t="s">
        <v>66</v>
      </c>
      <c r="AQ1170" s="219" t="s">
        <v>66</v>
      </c>
      <c r="AR1170" s="213" t="s">
        <v>1827</v>
      </c>
      <c r="AV1170" s="343"/>
      <c r="AW1170" s="328"/>
      <c r="AX1170" s="329"/>
      <c r="AY1170" s="328"/>
      <c r="AZ1170" s="328"/>
      <c r="BA1170" s="330"/>
      <c r="BB1170" s="328"/>
      <c r="BC1170" s="328"/>
      <c r="BD1170" s="328"/>
      <c r="BE1170" s="330"/>
      <c r="BF1170" s="330"/>
      <c r="BG1170" s="344"/>
      <c r="BH1170" s="330"/>
      <c r="BI1170" s="330"/>
      <c r="BJ1170" s="330"/>
      <c r="BK1170" s="330"/>
      <c r="BL1170" s="330"/>
      <c r="BM1170" s="330"/>
      <c r="BN1170" s="330"/>
      <c r="BO1170" s="330"/>
      <c r="BP1170" s="331"/>
      <c r="BQ1170" s="332"/>
      <c r="BR1170" s="333"/>
    </row>
    <row r="1171" spans="2:70" ht="15.75" customHeight="1">
      <c r="B1171" s="216" t="s">
        <v>1716</v>
      </c>
      <c r="C1171" s="212">
        <v>2296155</v>
      </c>
      <c r="D1171" s="223">
        <v>40936530000160</v>
      </c>
      <c r="E1171" s="217" t="s">
        <v>28</v>
      </c>
      <c r="F1171" s="217" t="s">
        <v>32</v>
      </c>
      <c r="G1171" s="217" t="s">
        <v>1049</v>
      </c>
      <c r="H1171" s="218"/>
      <c r="I1171" s="217" t="s">
        <v>66</v>
      </c>
      <c r="J1171" s="217" t="s">
        <v>66</v>
      </c>
      <c r="K1171" s="218" t="s">
        <v>954</v>
      </c>
      <c r="L1171" s="212" t="s">
        <v>88</v>
      </c>
      <c r="M1171" s="250"/>
      <c r="N1171" s="239">
        <v>44273</v>
      </c>
      <c r="O1171" s="210" t="s">
        <v>802</v>
      </c>
      <c r="P1171" s="210" t="s">
        <v>1075</v>
      </c>
      <c r="Q1171" s="210" t="s">
        <v>1076</v>
      </c>
      <c r="R1171" s="210" t="s">
        <v>1084</v>
      </c>
      <c r="S1171" s="210" t="s">
        <v>1078</v>
      </c>
      <c r="T1171" s="210" t="s">
        <v>32</v>
      </c>
      <c r="U1171" s="210" t="s">
        <v>1254</v>
      </c>
      <c r="V1171" s="210" t="s">
        <v>25</v>
      </c>
      <c r="W1171" s="211" t="s">
        <v>1016</v>
      </c>
      <c r="X1171" s="211">
        <v>0.01</v>
      </c>
      <c r="Y1171" s="211">
        <v>0.01</v>
      </c>
      <c r="Z1171" s="212">
        <v>0.01</v>
      </c>
      <c r="AA1171" s="240">
        <v>6</v>
      </c>
      <c r="AB1171" s="213">
        <v>8.9999999999999993E-3</v>
      </c>
      <c r="AC1171" s="213">
        <v>0</v>
      </c>
      <c r="AD1171" s="213" t="s">
        <v>113</v>
      </c>
      <c r="AE1171" s="213">
        <v>4.0004999999999997E-3</v>
      </c>
      <c r="AF1171" s="241">
        <v>23159923.530000001</v>
      </c>
      <c r="AG1171" s="241">
        <v>23159923.530000001</v>
      </c>
      <c r="AH1171" s="213">
        <v>0.24859999999999999</v>
      </c>
      <c r="AI1171" s="352">
        <v>3.8298999999999999</v>
      </c>
      <c r="AJ1171" s="213">
        <v>0.4713</v>
      </c>
      <c r="AK1171" s="352">
        <v>5.0098000000000003</v>
      </c>
      <c r="AL1171" s="213" t="s">
        <v>66</v>
      </c>
      <c r="AM1171" s="352" t="s">
        <v>66</v>
      </c>
      <c r="AN1171" s="213" t="s">
        <v>66</v>
      </c>
      <c r="AO1171" s="352" t="s">
        <v>66</v>
      </c>
      <c r="AP1171" s="213">
        <v>0.32829999999999998</v>
      </c>
      <c r="AQ1171" s="219">
        <v>1.0671960732578143</v>
      </c>
      <c r="AR1171" s="213" t="s">
        <v>1827</v>
      </c>
      <c r="AU1171" s="343"/>
      <c r="AV1171" s="343"/>
      <c r="AW1171" s="328"/>
      <c r="AX1171" s="329"/>
      <c r="AY1171" s="328"/>
      <c r="AZ1171" s="328"/>
      <c r="BA1171" s="330"/>
      <c r="BB1171" s="328"/>
      <c r="BC1171" s="328"/>
      <c r="BD1171" s="328"/>
      <c r="BE1171" s="330"/>
      <c r="BF1171" s="330"/>
      <c r="BG1171" s="344"/>
      <c r="BH1171" s="383"/>
      <c r="BI1171" s="330"/>
      <c r="BJ1171" s="330"/>
      <c r="BK1171" s="330"/>
      <c r="BL1171" s="330"/>
      <c r="BM1171" s="330"/>
      <c r="BN1171" s="330"/>
      <c r="BO1171" s="330"/>
      <c r="BP1171" s="331"/>
      <c r="BQ1171" s="332"/>
      <c r="BR1171" s="333"/>
    </row>
    <row r="1172" spans="2:70" ht="15.75" customHeight="1">
      <c r="B1172" s="216" t="s">
        <v>910</v>
      </c>
      <c r="C1172" s="212">
        <v>2545983</v>
      </c>
      <c r="D1172" s="223">
        <v>38440156000166</v>
      </c>
      <c r="E1172" s="217" t="s">
        <v>28</v>
      </c>
      <c r="F1172" s="217" t="s">
        <v>950</v>
      </c>
      <c r="G1172" s="217"/>
      <c r="H1172" s="218" t="s">
        <v>1260</v>
      </c>
      <c r="I1172" s="217" t="s">
        <v>66</v>
      </c>
      <c r="J1172" s="217" t="s">
        <v>66</v>
      </c>
      <c r="K1172" s="218" t="s">
        <v>1717</v>
      </c>
      <c r="L1172" s="212" t="s">
        <v>87</v>
      </c>
      <c r="M1172" s="250"/>
      <c r="N1172" s="239">
        <v>44104</v>
      </c>
      <c r="O1172" s="210" t="s">
        <v>802</v>
      </c>
      <c r="P1172" s="210" t="s">
        <v>1075</v>
      </c>
      <c r="Q1172" s="210" t="s">
        <v>1076</v>
      </c>
      <c r="R1172" s="210" t="s">
        <v>1084</v>
      </c>
      <c r="S1172" s="210" t="s">
        <v>1078</v>
      </c>
      <c r="T1172" s="210" t="s">
        <v>1079</v>
      </c>
      <c r="U1172" s="210" t="s">
        <v>65</v>
      </c>
      <c r="V1172" s="210" t="s">
        <v>1080</v>
      </c>
      <c r="W1172" s="211" t="s">
        <v>1007</v>
      </c>
      <c r="X1172" s="211">
        <v>100</v>
      </c>
      <c r="Y1172" s="211">
        <v>100</v>
      </c>
      <c r="Z1172" s="212">
        <v>100</v>
      </c>
      <c r="AA1172" s="240">
        <v>12</v>
      </c>
      <c r="AB1172" s="213">
        <v>8.9999999999999993E-3</v>
      </c>
      <c r="AC1172" s="213">
        <v>0</v>
      </c>
      <c r="AD1172" s="213" t="s">
        <v>113</v>
      </c>
      <c r="AE1172" s="213">
        <v>4.0001999999999989E-3</v>
      </c>
      <c r="AF1172" s="241">
        <v>105319490.77</v>
      </c>
      <c r="AG1172" s="241">
        <v>105319490.77</v>
      </c>
      <c r="AH1172" s="213">
        <v>-0.30159999999999998</v>
      </c>
      <c r="AI1172" s="352">
        <v>-4.6452999999999998</v>
      </c>
      <c r="AJ1172" s="213">
        <v>-0.28029999999999999</v>
      </c>
      <c r="AK1172" s="352">
        <v>-2.9786999999999999</v>
      </c>
      <c r="AL1172" s="213" t="s">
        <v>66</v>
      </c>
      <c r="AM1172" s="352" t="s">
        <v>66</v>
      </c>
      <c r="AN1172" s="213" t="s">
        <v>66</v>
      </c>
      <c r="AO1172" s="352" t="s">
        <v>66</v>
      </c>
      <c r="AP1172" s="213">
        <v>0.3997</v>
      </c>
      <c r="AQ1172" s="219">
        <v>-0.85386044005717243</v>
      </c>
      <c r="AR1172" s="213" t="s">
        <v>1827</v>
      </c>
      <c r="AV1172" s="343"/>
      <c r="AW1172" s="328"/>
      <c r="AX1172" s="329"/>
      <c r="AY1172" s="328"/>
      <c r="AZ1172" s="328"/>
      <c r="BA1172" s="330"/>
      <c r="BB1172" s="328"/>
      <c r="BC1172" s="328"/>
      <c r="BD1172" s="328"/>
      <c r="BE1172" s="330"/>
      <c r="BF1172" s="330"/>
      <c r="BG1172" s="344"/>
      <c r="BH1172" s="330"/>
      <c r="BI1172" s="330"/>
      <c r="BJ1172" s="330"/>
      <c r="BK1172" s="330"/>
      <c r="BL1172" s="330"/>
      <c r="BM1172" s="330"/>
      <c r="BN1172" s="330"/>
      <c r="BO1172" s="330"/>
      <c r="BP1172" s="331"/>
      <c r="BQ1172" s="332"/>
      <c r="BR1172" s="333"/>
    </row>
    <row r="1173" spans="2:70" ht="15.75" customHeight="1">
      <c r="B1173" s="216" t="s">
        <v>816</v>
      </c>
      <c r="C1173" s="212">
        <v>2566501</v>
      </c>
      <c r="D1173" s="223">
        <v>39456513000147</v>
      </c>
      <c r="E1173" s="217" t="s">
        <v>28</v>
      </c>
      <c r="F1173" s="217" t="s">
        <v>950</v>
      </c>
      <c r="G1173" s="217" t="s">
        <v>1254</v>
      </c>
      <c r="H1173" s="218" t="s">
        <v>1260</v>
      </c>
      <c r="I1173" s="217" t="s">
        <v>66</v>
      </c>
      <c r="J1173" s="217" t="s">
        <v>66</v>
      </c>
      <c r="K1173" s="218" t="s">
        <v>954</v>
      </c>
      <c r="L1173" s="212"/>
      <c r="M1173" s="250"/>
      <c r="N1173" s="239">
        <v>44146</v>
      </c>
      <c r="O1173" s="210" t="s">
        <v>802</v>
      </c>
      <c r="P1173" s="210" t="s">
        <v>1075</v>
      </c>
      <c r="Q1173" s="210" t="s">
        <v>1076</v>
      </c>
      <c r="R1173" s="210" t="s">
        <v>1084</v>
      </c>
      <c r="S1173" s="210" t="s">
        <v>1078</v>
      </c>
      <c r="T1173" s="210" t="s">
        <v>1079</v>
      </c>
      <c r="U1173" s="210" t="s">
        <v>65</v>
      </c>
      <c r="V1173" s="210" t="s">
        <v>1080</v>
      </c>
      <c r="W1173" s="211" t="s">
        <v>1007</v>
      </c>
      <c r="X1173" s="211">
        <v>100</v>
      </c>
      <c r="Y1173" s="211">
        <v>100</v>
      </c>
      <c r="Z1173" s="212">
        <v>100</v>
      </c>
      <c r="AA1173" s="240">
        <v>12</v>
      </c>
      <c r="AB1173" s="213">
        <v>8.9999999999999993E-3</v>
      </c>
      <c r="AC1173" s="213">
        <v>0</v>
      </c>
      <c r="AD1173" s="213" t="s">
        <v>113</v>
      </c>
      <c r="AE1173" s="213">
        <v>4.0001999999999989E-3</v>
      </c>
      <c r="AF1173" s="241">
        <v>9878220.3399999999</v>
      </c>
      <c r="AG1173" s="241">
        <v>9878220.3399999999</v>
      </c>
      <c r="AH1173" s="213">
        <v>-0.33529999999999999</v>
      </c>
      <c r="AI1173" s="352">
        <v>-5.1642000000000001</v>
      </c>
      <c r="AJ1173" s="213">
        <v>-0.36430000000000001</v>
      </c>
      <c r="AK1173" s="352">
        <v>-3.8725000000000001</v>
      </c>
      <c r="AL1173" s="213" t="s">
        <v>66</v>
      </c>
      <c r="AM1173" s="352" t="s">
        <v>66</v>
      </c>
      <c r="AN1173" s="213" t="s">
        <v>66</v>
      </c>
      <c r="AO1173" s="352" t="s">
        <v>66</v>
      </c>
      <c r="AP1173" s="213">
        <v>0.31259999999999999</v>
      </c>
      <c r="AQ1173" s="219">
        <v>-1.5805705666348708</v>
      </c>
      <c r="AR1173" s="213" t="s">
        <v>1827</v>
      </c>
      <c r="AU1173" s="343"/>
      <c r="AV1173" s="343"/>
      <c r="AW1173" s="328"/>
      <c r="AX1173" s="329"/>
      <c r="AY1173" s="328"/>
      <c r="AZ1173" s="328"/>
      <c r="BA1173" s="330"/>
      <c r="BB1173" s="328"/>
      <c r="BC1173" s="328"/>
      <c r="BD1173" s="328"/>
      <c r="BE1173" s="330"/>
      <c r="BF1173" s="330"/>
      <c r="BG1173" s="344"/>
      <c r="BH1173" s="383"/>
      <c r="BI1173" s="330"/>
      <c r="BJ1173" s="330"/>
      <c r="BK1173" s="330"/>
      <c r="BL1173" s="330"/>
      <c r="BM1173" s="330"/>
      <c r="BN1173" s="330"/>
      <c r="BO1173" s="330"/>
      <c r="BP1173" s="331"/>
      <c r="BQ1173" s="332"/>
      <c r="BR1173" s="333"/>
    </row>
    <row r="1174" spans="2:70" ht="15.75" customHeight="1">
      <c r="B1174" s="216" t="s">
        <v>911</v>
      </c>
      <c r="C1174" s="212">
        <v>3070885</v>
      </c>
      <c r="D1174" s="223">
        <v>36017669000133</v>
      </c>
      <c r="E1174" s="217" t="s">
        <v>28</v>
      </c>
      <c r="F1174" s="217" t="s">
        <v>950</v>
      </c>
      <c r="G1174" s="217"/>
      <c r="H1174" s="218" t="s">
        <v>1260</v>
      </c>
      <c r="I1174" s="217" t="s">
        <v>66</v>
      </c>
      <c r="J1174" s="217" t="s">
        <v>66</v>
      </c>
      <c r="K1174" s="218" t="s">
        <v>954</v>
      </c>
      <c r="L1174" s="212"/>
      <c r="M1174" s="250"/>
      <c r="N1174" s="239">
        <v>43991</v>
      </c>
      <c r="O1174" s="210" t="s">
        <v>802</v>
      </c>
      <c r="P1174" s="210" t="s">
        <v>1075</v>
      </c>
      <c r="Q1174" s="210" t="s">
        <v>1076</v>
      </c>
      <c r="R1174" s="210" t="s">
        <v>1084</v>
      </c>
      <c r="S1174" s="210" t="s">
        <v>1078</v>
      </c>
      <c r="T1174" s="210" t="s">
        <v>1079</v>
      </c>
      <c r="U1174" s="210" t="s">
        <v>65</v>
      </c>
      <c r="V1174" s="210" t="s">
        <v>1080</v>
      </c>
      <c r="W1174" s="211" t="s">
        <v>1007</v>
      </c>
      <c r="X1174" s="211">
        <v>100</v>
      </c>
      <c r="Y1174" s="211">
        <v>100</v>
      </c>
      <c r="Z1174" s="212">
        <v>100</v>
      </c>
      <c r="AA1174" s="240">
        <v>12</v>
      </c>
      <c r="AB1174" s="213">
        <v>8.9999999999999993E-3</v>
      </c>
      <c r="AC1174" s="213">
        <v>0</v>
      </c>
      <c r="AD1174" s="213" t="s">
        <v>1100</v>
      </c>
      <c r="AE1174" s="213">
        <v>4.0004999999999997E-3</v>
      </c>
      <c r="AF1174" s="241">
        <v>170098822.16999999</v>
      </c>
      <c r="AG1174" s="241">
        <v>170098822.16999999</v>
      </c>
      <c r="AH1174" s="213">
        <v>-0.31530000000000002</v>
      </c>
      <c r="AI1174" s="352">
        <v>-4.8567</v>
      </c>
      <c r="AJ1174" s="213">
        <v>-0.1898</v>
      </c>
      <c r="AK1174" s="352">
        <v>-2.0169000000000001</v>
      </c>
      <c r="AL1174" s="213">
        <v>0.1263</v>
      </c>
      <c r="AM1174" s="352">
        <v>1.0451999999999999</v>
      </c>
      <c r="AN1174" s="213" t="s">
        <v>66</v>
      </c>
      <c r="AO1174" s="352" t="s">
        <v>66</v>
      </c>
      <c r="AP1174" s="213">
        <v>0.31369999999999998</v>
      </c>
      <c r="AQ1174" s="219">
        <v>-0.80091524948636095</v>
      </c>
      <c r="AR1174" s="213" t="s">
        <v>1827</v>
      </c>
      <c r="AV1174" s="343"/>
      <c r="AW1174" s="328"/>
      <c r="AX1174" s="329"/>
      <c r="AY1174" s="328"/>
      <c r="AZ1174" s="328"/>
      <c r="BA1174" s="330"/>
      <c r="BB1174" s="328"/>
      <c r="BC1174" s="328"/>
      <c r="BD1174" s="328"/>
      <c r="BE1174" s="330"/>
      <c r="BF1174" s="330"/>
      <c r="BG1174" s="344"/>
      <c r="BH1174" s="330"/>
      <c r="BI1174" s="330"/>
      <c r="BJ1174" s="330"/>
      <c r="BK1174" s="330"/>
      <c r="BL1174" s="330"/>
      <c r="BM1174" s="330"/>
      <c r="BN1174" s="330"/>
      <c r="BO1174" s="330"/>
      <c r="BP1174" s="331"/>
      <c r="BQ1174" s="332"/>
      <c r="BR1174" s="333"/>
    </row>
    <row r="1175" spans="2:70" ht="15.75" customHeight="1">
      <c r="B1175" s="216" t="s">
        <v>729</v>
      </c>
      <c r="C1175" s="212">
        <v>2825856</v>
      </c>
      <c r="D1175" s="223">
        <v>13962947000125</v>
      </c>
      <c r="E1175" s="217" t="s">
        <v>28</v>
      </c>
      <c r="F1175" s="217" t="s">
        <v>950</v>
      </c>
      <c r="G1175" s="217"/>
      <c r="H1175" s="218"/>
      <c r="I1175" s="217" t="s">
        <v>66</v>
      </c>
      <c r="J1175" s="217" t="s">
        <v>66</v>
      </c>
      <c r="K1175" s="218" t="s">
        <v>951</v>
      </c>
      <c r="L1175" s="212" t="s">
        <v>87</v>
      </c>
      <c r="M1175" s="250"/>
      <c r="N1175" s="239">
        <v>41023</v>
      </c>
      <c r="O1175" s="210" t="s">
        <v>1718</v>
      </c>
      <c r="P1175" s="210" t="s">
        <v>1110</v>
      </c>
      <c r="Q1175" s="210" t="s">
        <v>1110</v>
      </c>
      <c r="R1175" s="210" t="s">
        <v>1084</v>
      </c>
      <c r="S1175" s="210" t="s">
        <v>1078</v>
      </c>
      <c r="T1175" s="210" t="s">
        <v>1079</v>
      </c>
      <c r="U1175" s="210" t="s">
        <v>950</v>
      </c>
      <c r="V1175" s="210" t="s">
        <v>1080</v>
      </c>
      <c r="W1175" s="211" t="s">
        <v>1007</v>
      </c>
      <c r="X1175" s="211">
        <v>1000</v>
      </c>
      <c r="Y1175" s="211">
        <v>1000</v>
      </c>
      <c r="Z1175" s="212">
        <v>1000</v>
      </c>
      <c r="AA1175" s="240">
        <v>15</v>
      </c>
      <c r="AB1175" s="213">
        <v>1.7999999999999999E-2</v>
      </c>
      <c r="AC1175" s="213">
        <v>0.2</v>
      </c>
      <c r="AD1175" s="213" t="s">
        <v>1014</v>
      </c>
      <c r="AE1175" s="213">
        <v>5.9999999999999993E-3</v>
      </c>
      <c r="AF1175" s="241">
        <v>614499014.74000001</v>
      </c>
      <c r="AG1175" s="241">
        <v>614499014.74000001</v>
      </c>
      <c r="AH1175" s="213">
        <v>-2.64E-2</v>
      </c>
      <c r="AI1175" s="352">
        <v>-0.40660000000000002</v>
      </c>
      <c r="AJ1175" s="213">
        <v>-0.12720000000000001</v>
      </c>
      <c r="AK1175" s="352">
        <v>-1.3524</v>
      </c>
      <c r="AL1175" s="213">
        <v>0.14050000000000001</v>
      </c>
      <c r="AM1175" s="352">
        <v>1.1627000000000001</v>
      </c>
      <c r="AN1175" s="213">
        <v>0.44540000000000002</v>
      </c>
      <c r="AO1175" s="352">
        <v>2.6427999999999998</v>
      </c>
      <c r="AP1175" s="213">
        <v>0.20810000000000001</v>
      </c>
      <c r="AQ1175" s="219">
        <v>-0.98213415267240733</v>
      </c>
      <c r="AR1175" s="213" t="s">
        <v>1824</v>
      </c>
      <c r="AV1175" s="343"/>
      <c r="AW1175" s="328"/>
      <c r="AX1175" s="329"/>
      <c r="AY1175" s="328"/>
      <c r="AZ1175" s="328"/>
      <c r="BA1175" s="330"/>
      <c r="BB1175" s="328"/>
      <c r="BC1175" s="328"/>
      <c r="BD1175" s="328"/>
      <c r="BE1175" s="330"/>
      <c r="BF1175" s="330"/>
      <c r="BG1175" s="344"/>
      <c r="BH1175" s="330"/>
      <c r="BI1175" s="330"/>
      <c r="BJ1175" s="330"/>
      <c r="BK1175" s="330"/>
      <c r="BL1175" s="330"/>
      <c r="BM1175" s="330"/>
      <c r="BN1175" s="330"/>
      <c r="BO1175" s="330"/>
      <c r="BP1175" s="331"/>
      <c r="BQ1175" s="332"/>
      <c r="BR1175" s="333"/>
    </row>
    <row r="1176" spans="2:70" ht="15.75" customHeight="1">
      <c r="B1176" s="216" t="s">
        <v>730</v>
      </c>
      <c r="C1176" s="212">
        <v>2805522</v>
      </c>
      <c r="D1176" s="223">
        <v>13962941000158</v>
      </c>
      <c r="E1176" s="217" t="s">
        <v>28</v>
      </c>
      <c r="F1176" s="217" t="s">
        <v>957</v>
      </c>
      <c r="G1176" s="217"/>
      <c r="H1176" s="218"/>
      <c r="I1176" s="217" t="s">
        <v>1842</v>
      </c>
      <c r="J1176" s="217" t="s">
        <v>66</v>
      </c>
      <c r="K1176" s="218" t="s">
        <v>951</v>
      </c>
      <c r="L1176" s="212" t="s">
        <v>87</v>
      </c>
      <c r="M1176" s="250"/>
      <c r="N1176" s="239">
        <v>41023</v>
      </c>
      <c r="O1176" s="210" t="s">
        <v>1718</v>
      </c>
      <c r="P1176" s="210" t="s">
        <v>1110</v>
      </c>
      <c r="Q1176" s="210" t="s">
        <v>1110</v>
      </c>
      <c r="R1176" s="210" t="s">
        <v>1084</v>
      </c>
      <c r="S1176" s="210" t="s">
        <v>1078</v>
      </c>
      <c r="T1176" s="210" t="s">
        <v>1079</v>
      </c>
      <c r="U1176" s="210" t="s">
        <v>957</v>
      </c>
      <c r="V1176" s="210" t="s">
        <v>1080</v>
      </c>
      <c r="W1176" s="211" t="s">
        <v>1007</v>
      </c>
      <c r="X1176" s="211">
        <v>1000</v>
      </c>
      <c r="Y1176" s="211">
        <v>1000</v>
      </c>
      <c r="Z1176" s="212">
        <v>1000</v>
      </c>
      <c r="AA1176" s="240">
        <v>15</v>
      </c>
      <c r="AB1176" s="213">
        <v>1.7999999999999999E-2</v>
      </c>
      <c r="AC1176" s="213">
        <v>0.2</v>
      </c>
      <c r="AD1176" s="213" t="s">
        <v>1014</v>
      </c>
      <c r="AE1176" s="213">
        <v>5.9999999999999993E-3</v>
      </c>
      <c r="AF1176" s="241">
        <v>93259159.459999993</v>
      </c>
      <c r="AG1176" s="241">
        <v>93259159.459999993</v>
      </c>
      <c r="AH1176" s="213">
        <v>-2.92E-2</v>
      </c>
      <c r="AI1176" s="352">
        <v>-0.44919999999999999</v>
      </c>
      <c r="AJ1176" s="213">
        <v>-0.1119</v>
      </c>
      <c r="AK1176" s="352">
        <v>-1.1898</v>
      </c>
      <c r="AL1176" s="213">
        <v>9.01E-2</v>
      </c>
      <c r="AM1176" s="352">
        <v>0.74560000000000004</v>
      </c>
      <c r="AN1176" s="213">
        <v>0.35389999999999999</v>
      </c>
      <c r="AO1176" s="352">
        <v>2.1</v>
      </c>
      <c r="AP1176" s="213">
        <v>0.24959999999999999</v>
      </c>
      <c r="AQ1176" s="219">
        <v>-0.71122784319904098</v>
      </c>
      <c r="AR1176" s="213" t="s">
        <v>1827</v>
      </c>
      <c r="AU1176" s="343"/>
      <c r="AV1176" s="343"/>
      <c r="AW1176" s="328"/>
      <c r="AX1176" s="329"/>
      <c r="AY1176" s="328"/>
      <c r="AZ1176" s="328"/>
      <c r="BA1176" s="330"/>
      <c r="BB1176" s="328"/>
      <c r="BC1176" s="328"/>
      <c r="BD1176" s="328"/>
      <c r="BE1176" s="330"/>
      <c r="BF1176" s="330"/>
      <c r="BG1176" s="344"/>
      <c r="BH1176" s="383"/>
      <c r="BI1176" s="330"/>
      <c r="BJ1176" s="330"/>
      <c r="BK1176" s="330"/>
      <c r="BL1176" s="330"/>
      <c r="BM1176" s="330"/>
      <c r="BN1176" s="330"/>
      <c r="BO1176" s="330"/>
      <c r="BP1176" s="331"/>
      <c r="BQ1176" s="332"/>
      <c r="BR1176" s="333"/>
    </row>
    <row r="1177" spans="2:70" ht="15.75" customHeight="1">
      <c r="B1177" s="216" t="s">
        <v>1719</v>
      </c>
      <c r="C1177" s="212">
        <v>3075502</v>
      </c>
      <c r="D1177" s="223">
        <v>13060032000124</v>
      </c>
      <c r="E1177" s="217" t="s">
        <v>19</v>
      </c>
      <c r="F1177" s="217" t="s">
        <v>1009</v>
      </c>
      <c r="G1177" s="217" t="s">
        <v>1021</v>
      </c>
      <c r="H1177" s="218" t="s">
        <v>1113</v>
      </c>
      <c r="I1177" s="217" t="s">
        <v>66</v>
      </c>
      <c r="J1177" s="217"/>
      <c r="K1177" s="218" t="s">
        <v>951</v>
      </c>
      <c r="L1177" s="212" t="s">
        <v>87</v>
      </c>
      <c r="M1177" s="250"/>
      <c r="N1177" s="239">
        <v>40623</v>
      </c>
      <c r="O1177" s="210" t="s">
        <v>767</v>
      </c>
      <c r="P1177" s="210" t="s">
        <v>767</v>
      </c>
      <c r="Q1177" s="210" t="s">
        <v>767</v>
      </c>
      <c r="R1177" s="210" t="s">
        <v>1084</v>
      </c>
      <c r="S1177" s="210" t="s">
        <v>1078</v>
      </c>
      <c r="T1177" s="210" t="s">
        <v>349</v>
      </c>
      <c r="U1177" s="210" t="s">
        <v>1262</v>
      </c>
      <c r="V1177" s="210" t="s">
        <v>19</v>
      </c>
      <c r="W1177" s="211" t="s">
        <v>1025</v>
      </c>
      <c r="X1177" s="211">
        <v>5000</v>
      </c>
      <c r="Y1177" s="211">
        <v>1000</v>
      </c>
      <c r="Z1177" s="212">
        <v>1000</v>
      </c>
      <c r="AA1177" s="240">
        <v>1</v>
      </c>
      <c r="AB1177" s="213">
        <v>3.5000000000000001E-3</v>
      </c>
      <c r="AC1177" s="213">
        <v>0</v>
      </c>
      <c r="AD1177" s="213" t="s">
        <v>978</v>
      </c>
      <c r="AE1177" s="213">
        <v>1.1666666666666665E-3</v>
      </c>
      <c r="AF1177" s="241">
        <v>247563727.18000001</v>
      </c>
      <c r="AG1177" s="241">
        <v>247563727.18000001</v>
      </c>
      <c r="AH1177" s="213">
        <v>1.4999999999999999E-2</v>
      </c>
      <c r="AI1177" s="352">
        <v>0.2303</v>
      </c>
      <c r="AJ1177" s="213">
        <v>-5.0000000000000001E-3</v>
      </c>
      <c r="AK1177" s="352">
        <v>-5.2900000000000003E-2</v>
      </c>
      <c r="AL1177" s="213">
        <v>-3.7499999999999999E-2</v>
      </c>
      <c r="AM1177" s="352">
        <v>-0.31009999999999999</v>
      </c>
      <c r="AN1177" s="213">
        <v>6.1400000000000003E-2</v>
      </c>
      <c r="AO1177" s="352">
        <v>0.3644</v>
      </c>
      <c r="AP1177" s="213">
        <v>5.3499999999999999E-2</v>
      </c>
      <c r="AQ1177" s="219">
        <v>-1.7459760141096334</v>
      </c>
      <c r="AR1177" s="213" t="s">
        <v>1824</v>
      </c>
      <c r="AU1177" s="343"/>
      <c r="AV1177" s="343"/>
      <c r="AW1177" s="328"/>
      <c r="AX1177" s="329"/>
      <c r="AY1177" s="328"/>
      <c r="AZ1177" s="328"/>
      <c r="BA1177" s="330"/>
      <c r="BB1177" s="328"/>
      <c r="BC1177" s="328"/>
      <c r="BD1177" s="328"/>
      <c r="BE1177" s="330"/>
      <c r="BF1177" s="330"/>
      <c r="BG1177" s="344"/>
      <c r="BH1177" s="383"/>
      <c r="BI1177" s="330"/>
      <c r="BJ1177" s="330"/>
      <c r="BK1177" s="330"/>
      <c r="BL1177" s="330"/>
      <c r="BM1177" s="330"/>
      <c r="BN1177" s="330"/>
      <c r="BO1177" s="330"/>
      <c r="BP1177" s="331"/>
      <c r="BQ1177" s="332"/>
      <c r="BR1177" s="333"/>
    </row>
    <row r="1178" spans="2:70" ht="15.75" customHeight="1">
      <c r="B1178" s="216" t="s">
        <v>1720</v>
      </c>
      <c r="C1178" s="212">
        <v>2496991</v>
      </c>
      <c r="D1178" s="223">
        <v>14491665000150</v>
      </c>
      <c r="E1178" s="217" t="s">
        <v>19</v>
      </c>
      <c r="F1178" s="217" t="s">
        <v>963</v>
      </c>
      <c r="G1178" s="217" t="s">
        <v>1011</v>
      </c>
      <c r="H1178" s="218" t="s">
        <v>1113</v>
      </c>
      <c r="I1178" s="217" t="s">
        <v>66</v>
      </c>
      <c r="J1178" s="217"/>
      <c r="K1178" s="218" t="s">
        <v>951</v>
      </c>
      <c r="L1178" s="212" t="s">
        <v>87</v>
      </c>
      <c r="M1178" s="250"/>
      <c r="N1178" s="239">
        <v>42499</v>
      </c>
      <c r="O1178" s="210" t="s">
        <v>767</v>
      </c>
      <c r="P1178" s="210" t="s">
        <v>767</v>
      </c>
      <c r="Q1178" s="210" t="s">
        <v>767</v>
      </c>
      <c r="R1178" s="210" t="s">
        <v>1077</v>
      </c>
      <c r="S1178" s="210" t="s">
        <v>1078</v>
      </c>
      <c r="T1178" s="210" t="s">
        <v>349</v>
      </c>
      <c r="U1178" s="210" t="s">
        <v>1114</v>
      </c>
      <c r="V1178" s="210" t="s">
        <v>19</v>
      </c>
      <c r="W1178" s="211" t="s">
        <v>1024</v>
      </c>
      <c r="X1178" s="211">
        <v>5000</v>
      </c>
      <c r="Y1178" s="211">
        <v>1000</v>
      </c>
      <c r="Z1178" s="212">
        <v>5000</v>
      </c>
      <c r="AA1178" s="240">
        <v>1</v>
      </c>
      <c r="AB1178" s="213">
        <v>4.0000000000000001E-3</v>
      </c>
      <c r="AC1178" s="213">
        <v>0.2</v>
      </c>
      <c r="AD1178" s="213" t="s">
        <v>109</v>
      </c>
      <c r="AE1178" s="213">
        <v>1.0666666666666667E-3</v>
      </c>
      <c r="AF1178" s="241">
        <v>371762763.27999997</v>
      </c>
      <c r="AG1178" s="241">
        <v>371762763.27999997</v>
      </c>
      <c r="AH1178" s="213">
        <v>7.2700000000000001E-2</v>
      </c>
      <c r="AI1178" s="352">
        <v>1.1205000000000001</v>
      </c>
      <c r="AJ1178" s="213">
        <v>0.10920000000000001</v>
      </c>
      <c r="AK1178" s="352">
        <v>1.1604000000000001</v>
      </c>
      <c r="AL1178" s="213">
        <v>0.14779999999999999</v>
      </c>
      <c r="AM1178" s="352">
        <v>1.2237</v>
      </c>
      <c r="AN1178" s="213">
        <v>0.1757</v>
      </c>
      <c r="AO1178" s="352">
        <v>1.0427999999999999</v>
      </c>
      <c r="AP1178" s="213">
        <v>1.8E-3</v>
      </c>
      <c r="AQ1178" s="219">
        <v>7.5783205059628997</v>
      </c>
      <c r="AR1178" s="213" t="s">
        <v>1824</v>
      </c>
      <c r="AV1178" s="343"/>
      <c r="AW1178" s="328"/>
      <c r="AX1178" s="329"/>
      <c r="AY1178" s="328"/>
      <c r="AZ1178" s="328"/>
      <c r="BA1178" s="330"/>
      <c r="BB1178" s="328"/>
      <c r="BC1178" s="328"/>
      <c r="BD1178" s="328"/>
      <c r="BE1178" s="330"/>
      <c r="BF1178" s="330"/>
      <c r="BG1178" s="344"/>
      <c r="BH1178" s="330"/>
      <c r="BI1178" s="330"/>
      <c r="BJ1178" s="330"/>
      <c r="BK1178" s="330"/>
      <c r="BL1178" s="330"/>
      <c r="BM1178" s="330"/>
      <c r="BN1178" s="330"/>
      <c r="BO1178" s="330"/>
      <c r="BP1178" s="331"/>
      <c r="BQ1178" s="332"/>
      <c r="BR1178" s="333"/>
    </row>
    <row r="1179" spans="2:70" ht="15.75" customHeight="1">
      <c r="B1179" s="216" t="s">
        <v>1809</v>
      </c>
      <c r="C1179" s="212">
        <v>4266319</v>
      </c>
      <c r="D1179" s="223">
        <v>37405108000174</v>
      </c>
      <c r="E1179" s="217" t="s">
        <v>25</v>
      </c>
      <c r="F1179" s="217" t="s">
        <v>959</v>
      </c>
      <c r="G1179" s="217" t="s">
        <v>962</v>
      </c>
      <c r="H1179" s="218" t="s">
        <v>66</v>
      </c>
      <c r="I1179" s="217" t="s">
        <v>1841</v>
      </c>
      <c r="J1179" s="217" t="s">
        <v>66</v>
      </c>
      <c r="K1179" s="218" t="s">
        <v>954</v>
      </c>
      <c r="L1179" s="212" t="s">
        <v>87</v>
      </c>
      <c r="M1179" s="250"/>
      <c r="N1179" s="239">
        <v>44055</v>
      </c>
      <c r="O1179" s="210" t="s">
        <v>1810</v>
      </c>
      <c r="P1179" s="210" t="s">
        <v>1796</v>
      </c>
      <c r="Q1179" s="210" t="s">
        <v>1797</v>
      </c>
      <c r="R1179" s="210" t="s">
        <v>1738</v>
      </c>
      <c r="S1179" s="210" t="s">
        <v>1078</v>
      </c>
      <c r="T1179" s="210" t="s">
        <v>1082</v>
      </c>
      <c r="U1179" s="210" t="s">
        <v>65</v>
      </c>
      <c r="V1179" s="210" t="s">
        <v>25</v>
      </c>
      <c r="W1179" s="211" t="s">
        <v>1762</v>
      </c>
      <c r="X1179" s="211">
        <v>1000</v>
      </c>
      <c r="Y1179" s="211">
        <v>500</v>
      </c>
      <c r="Z1179" s="212">
        <v>0</v>
      </c>
      <c r="AA1179" s="240">
        <v>10</v>
      </c>
      <c r="AB1179" s="213">
        <v>6.4999999999999997E-3</v>
      </c>
      <c r="AC1179" s="213" t="s">
        <v>1741</v>
      </c>
      <c r="AD1179" s="213" t="s">
        <v>113</v>
      </c>
      <c r="AE1179" s="213" t="s">
        <v>66</v>
      </c>
      <c r="AF1179" s="241">
        <v>47002366.740000002</v>
      </c>
      <c r="AG1179" s="241">
        <v>47002366.740000002</v>
      </c>
      <c r="AH1179" s="213">
        <v>8.3299999999999999E-2</v>
      </c>
      <c r="AI1179" s="352">
        <v>1.2831999999999999</v>
      </c>
      <c r="AJ1179" s="213">
        <v>0.13</v>
      </c>
      <c r="AK1179" s="352">
        <v>1.3818999999999999</v>
      </c>
      <c r="AL1179" s="213" t="s">
        <v>66</v>
      </c>
      <c r="AM1179" s="352" t="s">
        <v>66</v>
      </c>
      <c r="AN1179" s="213" t="s">
        <v>66</v>
      </c>
      <c r="AO1179" s="352" t="s">
        <v>66</v>
      </c>
      <c r="AP1179" s="213">
        <v>3.4599999999999999E-2</v>
      </c>
      <c r="AQ1179" s="219">
        <v>0.95047738606787924</v>
      </c>
      <c r="AR1179" s="213" t="s">
        <v>1827</v>
      </c>
      <c r="AV1179" s="343"/>
      <c r="AW1179" s="328"/>
      <c r="AX1179" s="329"/>
      <c r="AY1179" s="328"/>
      <c r="AZ1179" s="328"/>
      <c r="BA1179" s="330"/>
      <c r="BB1179" s="328"/>
      <c r="BC1179" s="328"/>
      <c r="BD1179" s="328"/>
      <c r="BE1179" s="330"/>
      <c r="BF1179" s="330"/>
      <c r="BG1179" s="344"/>
      <c r="BH1179" s="330"/>
      <c r="BI1179" s="330"/>
      <c r="BJ1179" s="330"/>
      <c r="BK1179" s="330"/>
      <c r="BL1179" s="330"/>
      <c r="BM1179" s="330"/>
      <c r="BN1179" s="330"/>
      <c r="BO1179" s="330"/>
      <c r="BP1179" s="331"/>
      <c r="BQ1179" s="332"/>
      <c r="BR1179" s="333"/>
    </row>
    <row r="1180" spans="2:70" ht="15.75" customHeight="1">
      <c r="B1180" s="216" t="s">
        <v>1811</v>
      </c>
      <c r="C1180" s="212">
        <v>4352502</v>
      </c>
      <c r="D1180" s="223">
        <v>38032741000127</v>
      </c>
      <c r="E1180" s="217" t="s">
        <v>25</v>
      </c>
      <c r="F1180" s="217" t="s">
        <v>959</v>
      </c>
      <c r="G1180" s="217" t="s">
        <v>962</v>
      </c>
      <c r="H1180" s="218" t="s">
        <v>66</v>
      </c>
      <c r="I1180" s="217" t="s">
        <v>1842</v>
      </c>
      <c r="J1180" s="217" t="s">
        <v>66</v>
      </c>
      <c r="K1180" s="218" t="s">
        <v>954</v>
      </c>
      <c r="L1180" s="212" t="s">
        <v>88</v>
      </c>
      <c r="M1180" s="250"/>
      <c r="N1180" s="239">
        <v>44139</v>
      </c>
      <c r="O1180" s="210" t="s">
        <v>1810</v>
      </c>
      <c r="P1180" s="210" t="s">
        <v>1796</v>
      </c>
      <c r="Q1180" s="210" t="s">
        <v>1797</v>
      </c>
      <c r="R1180" s="210" t="s">
        <v>1738</v>
      </c>
      <c r="S1180" s="210" t="s">
        <v>1078</v>
      </c>
      <c r="T1180" s="210" t="s">
        <v>1082</v>
      </c>
      <c r="U1180" s="210" t="s">
        <v>65</v>
      </c>
      <c r="V1180" s="210" t="s">
        <v>25</v>
      </c>
      <c r="W1180" s="211" t="s">
        <v>1762</v>
      </c>
      <c r="X1180" s="211">
        <v>1000</v>
      </c>
      <c r="Y1180" s="211">
        <v>500</v>
      </c>
      <c r="Z1180" s="212">
        <v>0</v>
      </c>
      <c r="AA1180" s="240">
        <v>10</v>
      </c>
      <c r="AB1180" s="213">
        <v>7.4999999999999997E-3</v>
      </c>
      <c r="AC1180" s="213" t="s">
        <v>1741</v>
      </c>
      <c r="AD1180" s="213" t="s">
        <v>113</v>
      </c>
      <c r="AE1180" s="213" t="s">
        <v>66</v>
      </c>
      <c r="AF1180" s="241">
        <v>16322047.449999999</v>
      </c>
      <c r="AG1180" s="241">
        <v>16322047.449999999</v>
      </c>
      <c r="AH1180" s="213">
        <v>-5.5300000000000002E-2</v>
      </c>
      <c r="AI1180" s="352">
        <v>-0.85140000000000005</v>
      </c>
      <c r="AJ1180" s="213">
        <v>5.3900000000000003E-2</v>
      </c>
      <c r="AK1180" s="352">
        <v>0.57320000000000004</v>
      </c>
      <c r="AL1180" s="213" t="s">
        <v>66</v>
      </c>
      <c r="AM1180" s="352" t="s">
        <v>66</v>
      </c>
      <c r="AN1180" s="213" t="s">
        <v>66</v>
      </c>
      <c r="AO1180" s="352" t="s">
        <v>66</v>
      </c>
      <c r="AP1180" s="213">
        <v>0.1512</v>
      </c>
      <c r="AQ1180" s="219">
        <v>-0.17208747547624642</v>
      </c>
      <c r="AR1180" s="213" t="s">
        <v>1827</v>
      </c>
      <c r="AV1180" s="343"/>
      <c r="AW1180" s="328"/>
      <c r="AX1180" s="329"/>
      <c r="AY1180" s="328"/>
      <c r="AZ1180" s="328"/>
      <c r="BA1180" s="330"/>
      <c r="BB1180" s="328"/>
      <c r="BC1180" s="328"/>
      <c r="BD1180" s="328"/>
      <c r="BE1180" s="330"/>
      <c r="BF1180" s="330"/>
      <c r="BG1180" s="344"/>
      <c r="BH1180" s="330"/>
      <c r="BI1180" s="330"/>
      <c r="BJ1180" s="330"/>
      <c r="BK1180" s="330"/>
      <c r="BL1180" s="330"/>
      <c r="BM1180" s="330"/>
      <c r="BN1180" s="330"/>
      <c r="BO1180" s="330"/>
      <c r="BP1180" s="331"/>
      <c r="BQ1180" s="332"/>
      <c r="BR1180" s="333"/>
    </row>
    <row r="1181" spans="2:70" ht="15.75" customHeight="1">
      <c r="B1181" s="216" t="s">
        <v>1722</v>
      </c>
      <c r="C1181" s="212">
        <v>3080982</v>
      </c>
      <c r="D1181" s="223">
        <v>817677000117</v>
      </c>
      <c r="E1181" s="217" t="s">
        <v>19</v>
      </c>
      <c r="F1181" s="217" t="s">
        <v>963</v>
      </c>
      <c r="G1181" s="217" t="s">
        <v>1011</v>
      </c>
      <c r="H1181" s="218" t="s">
        <v>1113</v>
      </c>
      <c r="I1181" s="217" t="s">
        <v>66</v>
      </c>
      <c r="J1181" s="217"/>
      <c r="K1181" s="218" t="s">
        <v>951</v>
      </c>
      <c r="L1181" s="212" t="s">
        <v>87</v>
      </c>
      <c r="M1181" s="250"/>
      <c r="N1181" s="239">
        <v>34974</v>
      </c>
      <c r="O1181" s="210" t="s">
        <v>461</v>
      </c>
      <c r="P1181" s="210" t="s">
        <v>1102</v>
      </c>
      <c r="Q1181" s="210" t="s">
        <v>102</v>
      </c>
      <c r="R1181" s="210" t="s">
        <v>1084</v>
      </c>
      <c r="S1181" s="210" t="s">
        <v>1078</v>
      </c>
      <c r="T1181" s="210" t="s">
        <v>349</v>
      </c>
      <c r="U1181" s="210" t="s">
        <v>1114</v>
      </c>
      <c r="V1181" s="210" t="s">
        <v>19</v>
      </c>
      <c r="W1181" s="211" t="s">
        <v>1010</v>
      </c>
      <c r="X1181" s="211">
        <v>1000</v>
      </c>
      <c r="Y1181" s="211">
        <v>100</v>
      </c>
      <c r="Z1181" s="212">
        <v>500</v>
      </c>
      <c r="AA1181" s="240">
        <v>1</v>
      </c>
      <c r="AB1181" s="213">
        <v>4.4999999999999997E-3</v>
      </c>
      <c r="AC1181" s="213">
        <v>0</v>
      </c>
      <c r="AD1181" s="213" t="s">
        <v>109</v>
      </c>
      <c r="AE1181" s="213">
        <v>1.1999999999999999E-3</v>
      </c>
      <c r="AF1181" s="241">
        <v>371613195.86000001</v>
      </c>
      <c r="AG1181" s="241">
        <v>371613195.86000001</v>
      </c>
      <c r="AH1181" s="213">
        <v>7.3499999999999996E-2</v>
      </c>
      <c r="AI1181" s="352">
        <v>1.1329</v>
      </c>
      <c r="AJ1181" s="213">
        <v>0.1201</v>
      </c>
      <c r="AK1181" s="352">
        <v>1.2762</v>
      </c>
      <c r="AL1181" s="213">
        <v>0.1759</v>
      </c>
      <c r="AM1181" s="352">
        <v>1.4563999999999999</v>
      </c>
      <c r="AN1181" s="213">
        <v>0.19359999999999999</v>
      </c>
      <c r="AO1181" s="352">
        <v>1.1491</v>
      </c>
      <c r="AP1181" s="213">
        <v>7.1000000000000004E-3</v>
      </c>
      <c r="AQ1181" s="219">
        <v>3.3119968232801389</v>
      </c>
      <c r="AR1181" s="213" t="s">
        <v>1827</v>
      </c>
      <c r="AV1181" s="343"/>
      <c r="AW1181" s="328"/>
      <c r="AX1181" s="329"/>
      <c r="AY1181" s="328"/>
      <c r="AZ1181" s="328"/>
      <c r="BA1181" s="330"/>
      <c r="BB1181" s="328"/>
      <c r="BC1181" s="328"/>
      <c r="BD1181" s="328"/>
      <c r="BE1181" s="330"/>
      <c r="BF1181" s="330"/>
      <c r="BG1181" s="344"/>
      <c r="BH1181" s="330"/>
      <c r="BI1181" s="330"/>
      <c r="BJ1181" s="330"/>
      <c r="BK1181" s="330"/>
      <c r="BL1181" s="330"/>
      <c r="BM1181" s="330"/>
      <c r="BN1181" s="330"/>
      <c r="BO1181" s="330"/>
      <c r="BP1181" s="331"/>
      <c r="BQ1181" s="332"/>
      <c r="BR1181" s="333"/>
    </row>
    <row r="1182" spans="2:70" ht="15.75" customHeight="1">
      <c r="B1182" s="216" t="s">
        <v>1723</v>
      </c>
      <c r="C1182" s="212">
        <v>2825842</v>
      </c>
      <c r="D1182" s="223">
        <v>4192419000143</v>
      </c>
      <c r="E1182" s="217" t="s">
        <v>19</v>
      </c>
      <c r="F1182" s="217" t="s">
        <v>963</v>
      </c>
      <c r="G1182" s="217" t="s">
        <v>1011</v>
      </c>
      <c r="H1182" s="218" t="s">
        <v>1113</v>
      </c>
      <c r="I1182" s="217" t="s">
        <v>66</v>
      </c>
      <c r="J1182" s="217"/>
      <c r="K1182" s="218" t="s">
        <v>951</v>
      </c>
      <c r="L1182" s="212" t="s">
        <v>87</v>
      </c>
      <c r="M1182" s="250"/>
      <c r="N1182" s="239">
        <v>38261</v>
      </c>
      <c r="O1182" s="210" t="s">
        <v>461</v>
      </c>
      <c r="P1182" s="210" t="s">
        <v>1102</v>
      </c>
      <c r="Q1182" s="210" t="s">
        <v>1102</v>
      </c>
      <c r="R1182" s="210" t="s">
        <v>1084</v>
      </c>
      <c r="S1182" s="210" t="s">
        <v>1078</v>
      </c>
      <c r="T1182" s="210" t="s">
        <v>349</v>
      </c>
      <c r="U1182" s="210" t="s">
        <v>1078</v>
      </c>
      <c r="V1182" s="210" t="s">
        <v>19</v>
      </c>
      <c r="W1182" s="211" t="s">
        <v>1029</v>
      </c>
      <c r="X1182" s="211">
        <v>1000</v>
      </c>
      <c r="Y1182" s="211">
        <v>100</v>
      </c>
      <c r="Z1182" s="212">
        <v>500</v>
      </c>
      <c r="AA1182" s="240">
        <v>1</v>
      </c>
      <c r="AB1182" s="213">
        <v>8.0000000000000002E-3</v>
      </c>
      <c r="AC1182" s="213">
        <v>0</v>
      </c>
      <c r="AD1182" s="213" t="s">
        <v>113</v>
      </c>
      <c r="AE1182" s="213">
        <v>2.1333333333333334E-3</v>
      </c>
      <c r="AF1182" s="241">
        <v>144805433.72999999</v>
      </c>
      <c r="AG1182" s="241">
        <v>144805433.72999999</v>
      </c>
      <c r="AH1182" s="213">
        <v>3.4799999999999998E-2</v>
      </c>
      <c r="AI1182" s="352">
        <v>0.53590000000000004</v>
      </c>
      <c r="AJ1182" s="213">
        <v>2.5499999999999998E-2</v>
      </c>
      <c r="AK1182" s="352">
        <v>0.2707</v>
      </c>
      <c r="AL1182" s="213">
        <v>-5.0000000000000001E-3</v>
      </c>
      <c r="AM1182" s="352">
        <v>-4.1099999999999998E-2</v>
      </c>
      <c r="AN1182" s="213">
        <v>0.107</v>
      </c>
      <c r="AO1182" s="352">
        <v>0.63470000000000004</v>
      </c>
      <c r="AP1182" s="213">
        <v>2.46E-2</v>
      </c>
      <c r="AQ1182" s="219">
        <v>-2.6200799007282463</v>
      </c>
      <c r="AR1182" s="213" t="s">
        <v>1824</v>
      </c>
      <c r="AV1182" s="343"/>
      <c r="AW1182" s="328"/>
      <c r="AX1182" s="329"/>
      <c r="AY1182" s="328"/>
      <c r="AZ1182" s="328"/>
      <c r="BA1182" s="330"/>
      <c r="BB1182" s="328"/>
      <c r="BC1182" s="328"/>
      <c r="BD1182" s="328"/>
      <c r="BE1182" s="330"/>
      <c r="BF1182" s="330"/>
      <c r="BG1182" s="344"/>
      <c r="BH1182" s="330"/>
      <c r="BI1182" s="330"/>
      <c r="BJ1182" s="330"/>
      <c r="BK1182" s="330"/>
      <c r="BL1182" s="330"/>
      <c r="BM1182" s="330"/>
      <c r="BN1182" s="330"/>
      <c r="BO1182" s="330"/>
      <c r="BP1182" s="331"/>
      <c r="BQ1182" s="332"/>
      <c r="BR1182" s="333"/>
    </row>
    <row r="1183" spans="2:70" ht="15.75" customHeight="1">
      <c r="B1183" s="216" t="s">
        <v>1724</v>
      </c>
      <c r="C1183" s="212">
        <v>2452497</v>
      </c>
      <c r="D1183" s="223">
        <v>9087483000188</v>
      </c>
      <c r="E1183" s="217" t="s">
        <v>28</v>
      </c>
      <c r="F1183" s="217" t="s">
        <v>950</v>
      </c>
      <c r="G1183" s="217"/>
      <c r="H1183" s="218"/>
      <c r="I1183" s="217" t="s">
        <v>66</v>
      </c>
      <c r="J1183" s="217" t="s">
        <v>66</v>
      </c>
      <c r="K1183" s="218" t="s">
        <v>951</v>
      </c>
      <c r="L1183" s="212" t="s">
        <v>87</v>
      </c>
      <c r="M1183" s="250"/>
      <c r="N1183" s="239">
        <v>40361</v>
      </c>
      <c r="O1183" s="210" t="s">
        <v>461</v>
      </c>
      <c r="P1183" s="210" t="s">
        <v>1102</v>
      </c>
      <c r="Q1183" s="210" t="s">
        <v>1102</v>
      </c>
      <c r="R1183" s="210" t="s">
        <v>1084</v>
      </c>
      <c r="S1183" s="210" t="s">
        <v>1078</v>
      </c>
      <c r="T1183" s="210" t="s">
        <v>1079</v>
      </c>
      <c r="U1183" s="210" t="s">
        <v>950</v>
      </c>
      <c r="V1183" s="210" t="s">
        <v>1080</v>
      </c>
      <c r="W1183" s="211" t="s">
        <v>1015</v>
      </c>
      <c r="X1183" s="211">
        <v>5000</v>
      </c>
      <c r="Y1183" s="211">
        <v>100</v>
      </c>
      <c r="Z1183" s="212">
        <v>1000</v>
      </c>
      <c r="AA1183" s="240">
        <v>3</v>
      </c>
      <c r="AB1183" s="213">
        <v>0.02</v>
      </c>
      <c r="AC1183" s="213">
        <v>0</v>
      </c>
      <c r="AD1183" s="213" t="s">
        <v>1100</v>
      </c>
      <c r="AE1183" s="213">
        <v>5.3333333333333332E-3</v>
      </c>
      <c r="AF1183" s="241">
        <v>21936162.109999999</v>
      </c>
      <c r="AG1183" s="241">
        <v>21936162.109999999</v>
      </c>
      <c r="AH1183" s="213">
        <v>0.01</v>
      </c>
      <c r="AI1183" s="352">
        <v>0.15440000000000001</v>
      </c>
      <c r="AJ1183" s="213">
        <v>-0.1719</v>
      </c>
      <c r="AK1183" s="352">
        <v>-1.8275999999999999</v>
      </c>
      <c r="AL1183" s="213">
        <v>-7.1300000000000002E-2</v>
      </c>
      <c r="AM1183" s="352">
        <v>-0.59050000000000002</v>
      </c>
      <c r="AN1183" s="213">
        <v>-0.1067</v>
      </c>
      <c r="AO1183" s="352">
        <v>-0.63329999999999997</v>
      </c>
      <c r="AP1183" s="213">
        <v>0.18079999999999999</v>
      </c>
      <c r="AQ1183" s="219">
        <v>-1.4507240018456402</v>
      </c>
      <c r="AR1183" s="213" t="s">
        <v>1824</v>
      </c>
      <c r="AV1183" s="343"/>
      <c r="AW1183" s="328"/>
      <c r="AX1183" s="329"/>
      <c r="AY1183" s="328"/>
      <c r="AZ1183" s="328"/>
      <c r="BA1183" s="330"/>
      <c r="BB1183" s="328"/>
      <c r="BC1183" s="328"/>
      <c r="BD1183" s="328"/>
      <c r="BE1183" s="330"/>
      <c r="BF1183" s="330"/>
      <c r="BG1183" s="344"/>
      <c r="BH1183" s="330"/>
      <c r="BI1183" s="330"/>
      <c r="BJ1183" s="330"/>
      <c r="BK1183" s="330"/>
      <c r="BL1183" s="330"/>
      <c r="BM1183" s="330"/>
      <c r="BN1183" s="330"/>
      <c r="BO1183" s="330"/>
      <c r="BP1183" s="331"/>
      <c r="BQ1183" s="332"/>
      <c r="BR1183" s="333"/>
    </row>
    <row r="1184" spans="2:70" ht="15.75" customHeight="1">
      <c r="B1184" s="216" t="s">
        <v>1725</v>
      </c>
      <c r="C1184" s="212">
        <v>2496995</v>
      </c>
      <c r="D1184" s="223">
        <v>19831126000136</v>
      </c>
      <c r="E1184" s="217" t="s">
        <v>28</v>
      </c>
      <c r="F1184" s="217" t="s">
        <v>950</v>
      </c>
      <c r="G1184" s="217"/>
      <c r="H1184" s="218"/>
      <c r="I1184" s="217" t="s">
        <v>66</v>
      </c>
      <c r="J1184" s="217" t="s">
        <v>66</v>
      </c>
      <c r="K1184" s="218" t="s">
        <v>954</v>
      </c>
      <c r="L1184" s="212"/>
      <c r="M1184" s="250"/>
      <c r="N1184" s="239">
        <v>41765</v>
      </c>
      <c r="O1184" s="210" t="s">
        <v>461</v>
      </c>
      <c r="P1184" s="210" t="s">
        <v>1102</v>
      </c>
      <c r="Q1184" s="210" t="s">
        <v>1102</v>
      </c>
      <c r="R1184" s="210" t="s">
        <v>1084</v>
      </c>
      <c r="S1184" s="210" t="s">
        <v>1078</v>
      </c>
      <c r="T1184" s="210" t="s">
        <v>1079</v>
      </c>
      <c r="U1184" s="210" t="s">
        <v>65</v>
      </c>
      <c r="V1184" s="210" t="s">
        <v>1080</v>
      </c>
      <c r="W1184" s="211" t="s">
        <v>1007</v>
      </c>
      <c r="X1184" s="211">
        <v>1000</v>
      </c>
      <c r="Y1184" s="211">
        <v>100</v>
      </c>
      <c r="Z1184" s="212">
        <v>500</v>
      </c>
      <c r="AA1184" s="240">
        <v>4</v>
      </c>
      <c r="AB1184" s="213">
        <v>1.4999999999999999E-2</v>
      </c>
      <c r="AC1184" s="213">
        <v>0</v>
      </c>
      <c r="AD1184" s="213" t="s">
        <v>1157</v>
      </c>
      <c r="AE1184" s="213">
        <v>4.0000000000000001E-3</v>
      </c>
      <c r="AF1184" s="241">
        <v>1967815796.47</v>
      </c>
      <c r="AG1184" s="241">
        <v>1967815796.47</v>
      </c>
      <c r="AH1184" s="213">
        <v>-0.30459999999999998</v>
      </c>
      <c r="AI1184" s="352">
        <v>-4.6920000000000002</v>
      </c>
      <c r="AJ1184" s="213">
        <v>-0.19600000000000001</v>
      </c>
      <c r="AK1184" s="352">
        <v>-2.0828000000000002</v>
      </c>
      <c r="AL1184" s="213">
        <v>6.3899999999999998E-2</v>
      </c>
      <c r="AM1184" s="352">
        <v>0.52900000000000003</v>
      </c>
      <c r="AN1184" s="213">
        <v>0.66369999999999996</v>
      </c>
      <c r="AO1184" s="352">
        <v>3.9386000000000001</v>
      </c>
      <c r="AP1184" s="213">
        <v>0.255</v>
      </c>
      <c r="AQ1184" s="219">
        <v>-1.0810024024162661</v>
      </c>
      <c r="AR1184" s="213" t="s">
        <v>1824</v>
      </c>
      <c r="AV1184" s="343"/>
      <c r="AW1184" s="328"/>
      <c r="AX1184" s="329"/>
      <c r="AY1184" s="328"/>
      <c r="AZ1184" s="328"/>
      <c r="BA1184" s="330"/>
      <c r="BB1184" s="328"/>
      <c r="BC1184" s="328"/>
      <c r="BD1184" s="328"/>
      <c r="BE1184" s="330"/>
      <c r="BF1184" s="330"/>
      <c r="BG1184" s="344"/>
      <c r="BH1184" s="330"/>
      <c r="BI1184" s="330"/>
      <c r="BJ1184" s="330"/>
      <c r="BK1184" s="330"/>
      <c r="BL1184" s="330"/>
      <c r="BM1184" s="330"/>
      <c r="BN1184" s="330"/>
      <c r="BO1184" s="330"/>
      <c r="BP1184" s="331"/>
      <c r="BQ1184" s="332"/>
      <c r="BR1184" s="333"/>
    </row>
    <row r="1185" spans="2:70" ht="15.75" customHeight="1">
      <c r="B1185" s="216" t="s">
        <v>1726</v>
      </c>
      <c r="C1185" s="212">
        <v>3506403</v>
      </c>
      <c r="D1185" s="223">
        <v>29982932000169</v>
      </c>
      <c r="E1185" s="217" t="s">
        <v>28</v>
      </c>
      <c r="F1185" s="217" t="s">
        <v>950</v>
      </c>
      <c r="G1185" s="217"/>
      <c r="H1185" s="218"/>
      <c r="I1185" s="217" t="s">
        <v>66</v>
      </c>
      <c r="J1185" s="217" t="s">
        <v>66</v>
      </c>
      <c r="K1185" s="218" t="s">
        <v>954</v>
      </c>
      <c r="L1185" s="212"/>
      <c r="M1185" s="250"/>
      <c r="N1185" s="239">
        <v>43685</v>
      </c>
      <c r="O1185" s="210" t="s">
        <v>461</v>
      </c>
      <c r="P1185" s="210" t="s">
        <v>461</v>
      </c>
      <c r="Q1185" s="210" t="s">
        <v>102</v>
      </c>
      <c r="R1185" s="210" t="s">
        <v>1077</v>
      </c>
      <c r="S1185" s="210" t="s">
        <v>1078</v>
      </c>
      <c r="T1185" s="210" t="s">
        <v>1079</v>
      </c>
      <c r="U1185" s="210" t="s">
        <v>65</v>
      </c>
      <c r="V1185" s="210" t="s">
        <v>1080</v>
      </c>
      <c r="W1185" s="211" t="s">
        <v>1036</v>
      </c>
      <c r="X1185" s="211">
        <v>1000</v>
      </c>
      <c r="Y1185" s="211">
        <v>100</v>
      </c>
      <c r="Z1185" s="212">
        <v>500</v>
      </c>
      <c r="AA1185" s="240">
        <v>5</v>
      </c>
      <c r="AB1185" s="213">
        <v>7.0000000000000001E-3</v>
      </c>
      <c r="AC1185" s="213">
        <v>0</v>
      </c>
      <c r="AD1185" s="213" t="s">
        <v>1157</v>
      </c>
      <c r="AE1185" s="213">
        <v>1.8666666666666699E-3</v>
      </c>
      <c r="AF1185" s="241">
        <v>17213489.109999999</v>
      </c>
      <c r="AG1185" s="241">
        <v>17213489.109999999</v>
      </c>
      <c r="AH1185" s="213">
        <v>-0.2213</v>
      </c>
      <c r="AI1185" s="352">
        <v>-3.4083999999999999</v>
      </c>
      <c r="AJ1185" s="213">
        <v>-0.1103</v>
      </c>
      <c r="AK1185" s="352">
        <v>-1.1724000000000001</v>
      </c>
      <c r="AL1185" s="213">
        <v>0.1686</v>
      </c>
      <c r="AM1185" s="352">
        <v>1.3953</v>
      </c>
      <c r="AN1185" s="213" t="s">
        <v>66</v>
      </c>
      <c r="AO1185" s="352" t="s">
        <v>66</v>
      </c>
      <c r="AP1185" s="213">
        <v>0.19009999999999999</v>
      </c>
      <c r="AQ1185" s="219">
        <v>-0.99302935791109137</v>
      </c>
      <c r="AR1185" s="213" t="s">
        <v>1827</v>
      </c>
      <c r="AV1185" s="343"/>
      <c r="AW1185" s="328"/>
      <c r="AX1185" s="329"/>
      <c r="AY1185" s="328"/>
      <c r="AZ1185" s="328"/>
      <c r="BA1185" s="330"/>
      <c r="BB1185" s="328"/>
      <c r="BC1185" s="328"/>
      <c r="BD1185" s="328"/>
      <c r="BE1185" s="330"/>
      <c r="BF1185" s="330"/>
      <c r="BG1185" s="344"/>
      <c r="BH1185" s="330"/>
      <c r="BI1185" s="330"/>
      <c r="BJ1185" s="330"/>
      <c r="BK1185" s="330"/>
      <c r="BL1185" s="330"/>
      <c r="BM1185" s="330"/>
      <c r="BN1185" s="330"/>
      <c r="BO1185" s="330"/>
      <c r="BP1185" s="331"/>
      <c r="BQ1185" s="332"/>
      <c r="BR1185" s="333"/>
    </row>
    <row r="1186" spans="2:70" ht="15.75" customHeight="1">
      <c r="B1186" s="216" t="s">
        <v>1727</v>
      </c>
      <c r="C1186" s="212">
        <v>2267303</v>
      </c>
      <c r="D1186" s="223">
        <v>819889000133</v>
      </c>
      <c r="E1186" s="217" t="s">
        <v>28</v>
      </c>
      <c r="F1186" s="217" t="s">
        <v>32</v>
      </c>
      <c r="G1186" s="217" t="s">
        <v>34</v>
      </c>
      <c r="H1186" s="218"/>
      <c r="I1186" s="217" t="s">
        <v>66</v>
      </c>
      <c r="J1186" s="217" t="s">
        <v>66</v>
      </c>
      <c r="K1186" s="218" t="s">
        <v>954</v>
      </c>
      <c r="L1186" s="212" t="s">
        <v>88</v>
      </c>
      <c r="M1186" s="250"/>
      <c r="N1186" s="239">
        <v>34974</v>
      </c>
      <c r="O1186" s="210" t="s">
        <v>461</v>
      </c>
      <c r="P1186" s="210" t="s">
        <v>1102</v>
      </c>
      <c r="Q1186" s="210" t="s">
        <v>1102</v>
      </c>
      <c r="R1186" s="210" t="s">
        <v>1084</v>
      </c>
      <c r="S1186" s="210" t="s">
        <v>1078</v>
      </c>
      <c r="T1186" s="210" t="s">
        <v>34</v>
      </c>
      <c r="U1186" s="210" t="s">
        <v>66</v>
      </c>
      <c r="V1186" s="210" t="s">
        <v>34</v>
      </c>
      <c r="W1186" s="211" t="s">
        <v>34</v>
      </c>
      <c r="X1186" s="211">
        <v>5000</v>
      </c>
      <c r="Y1186" s="211">
        <v>100</v>
      </c>
      <c r="Z1186" s="212">
        <v>1000</v>
      </c>
      <c r="AA1186" s="240">
        <v>1</v>
      </c>
      <c r="AB1186" s="213">
        <v>0.01</v>
      </c>
      <c r="AC1186" s="213">
        <v>0</v>
      </c>
      <c r="AD1186" s="213" t="s">
        <v>1281</v>
      </c>
      <c r="AE1186" s="213">
        <v>2.6666666666666666E-3</v>
      </c>
      <c r="AF1186" s="241">
        <v>82283974.540000007</v>
      </c>
      <c r="AG1186" s="241">
        <v>82283974.540000007</v>
      </c>
      <c r="AH1186" s="213">
        <v>-6.7000000000000004E-2</v>
      </c>
      <c r="AI1186" s="352">
        <v>-1.0318000000000001</v>
      </c>
      <c r="AJ1186" s="213">
        <v>2.4199999999999999E-2</v>
      </c>
      <c r="AK1186" s="352">
        <v>0.25750000000000001</v>
      </c>
      <c r="AL1186" s="213">
        <v>5.1000000000000004E-3</v>
      </c>
      <c r="AM1186" s="352">
        <v>4.2200000000000001E-2</v>
      </c>
      <c r="AN1186" s="213">
        <v>0.3604</v>
      </c>
      <c r="AO1186" s="352">
        <v>2.1387999999999998</v>
      </c>
      <c r="AP1186" s="213">
        <v>0.16300000000000001</v>
      </c>
      <c r="AQ1186" s="219">
        <v>-0.32377730788447467</v>
      </c>
      <c r="AR1186" s="213" t="s">
        <v>1827</v>
      </c>
      <c r="AV1186" s="343"/>
      <c r="AW1186" s="328"/>
      <c r="AX1186" s="329"/>
      <c r="AY1186" s="328"/>
      <c r="AZ1186" s="328"/>
      <c r="BA1186" s="330"/>
      <c r="BB1186" s="328"/>
      <c r="BC1186" s="328"/>
      <c r="BD1186" s="328"/>
      <c r="BE1186" s="330"/>
      <c r="BF1186" s="330"/>
      <c r="BG1186" s="344"/>
      <c r="BH1186" s="330"/>
      <c r="BI1186" s="330"/>
      <c r="BJ1186" s="330"/>
      <c r="BK1186" s="330"/>
      <c r="BL1186" s="330"/>
      <c r="BM1186" s="330"/>
      <c r="BN1186" s="330"/>
      <c r="BO1186" s="330"/>
      <c r="BP1186" s="331"/>
      <c r="BQ1186" s="332"/>
      <c r="BR1186" s="333"/>
    </row>
    <row r="1187" spans="2:70" ht="15.75" customHeight="1">
      <c r="B1187" s="216" t="s">
        <v>770</v>
      </c>
      <c r="C1187" s="212">
        <v>3506416</v>
      </c>
      <c r="D1187" s="223">
        <v>9087301000179</v>
      </c>
      <c r="E1187" s="217" t="s">
        <v>19</v>
      </c>
      <c r="F1187" s="217" t="s">
        <v>964</v>
      </c>
      <c r="G1187" s="217" t="s">
        <v>1021</v>
      </c>
      <c r="H1187" s="218" t="s">
        <v>1259</v>
      </c>
      <c r="I1187" s="217" t="s">
        <v>66</v>
      </c>
      <c r="J1187" s="217"/>
      <c r="K1187" s="218" t="s">
        <v>951</v>
      </c>
      <c r="L1187" s="212" t="s">
        <v>87</v>
      </c>
      <c r="M1187" s="250"/>
      <c r="N1187" s="239">
        <v>40445</v>
      </c>
      <c r="O1187" s="210" t="s">
        <v>461</v>
      </c>
      <c r="P1187" s="210" t="s">
        <v>1102</v>
      </c>
      <c r="Q1187" s="210" t="s">
        <v>1102</v>
      </c>
      <c r="R1187" s="210" t="s">
        <v>1084</v>
      </c>
      <c r="S1187" s="210" t="s">
        <v>1078</v>
      </c>
      <c r="T1187" s="210" t="s">
        <v>349</v>
      </c>
      <c r="U1187" s="210" t="s">
        <v>964</v>
      </c>
      <c r="V1187" s="210" t="s">
        <v>19</v>
      </c>
      <c r="W1187" s="211" t="s">
        <v>1029</v>
      </c>
      <c r="X1187" s="211">
        <v>1000</v>
      </c>
      <c r="Y1187" s="211">
        <v>100</v>
      </c>
      <c r="Z1187" s="212">
        <v>500</v>
      </c>
      <c r="AA1187" s="240">
        <v>1</v>
      </c>
      <c r="AB1187" s="213">
        <v>5.0000000000000001E-3</v>
      </c>
      <c r="AC1187" s="213">
        <v>0</v>
      </c>
      <c r="AD1187" s="213" t="s">
        <v>254</v>
      </c>
      <c r="AE1187" s="213">
        <v>1.3333333333333333E-3</v>
      </c>
      <c r="AF1187" s="241">
        <v>245170511.25999999</v>
      </c>
      <c r="AG1187" s="241">
        <v>245170511.25999999</v>
      </c>
      <c r="AH1187" s="213">
        <v>1.8499999999999999E-2</v>
      </c>
      <c r="AI1187" s="352">
        <v>0.2843</v>
      </c>
      <c r="AJ1187" s="213">
        <v>-8.8000000000000005E-3</v>
      </c>
      <c r="AK1187" s="352">
        <v>-9.3700000000000006E-2</v>
      </c>
      <c r="AL1187" s="213">
        <v>2E-3</v>
      </c>
      <c r="AM1187" s="352">
        <v>1.67E-2</v>
      </c>
      <c r="AN1187" s="213">
        <v>9.69E-2</v>
      </c>
      <c r="AO1187" s="352">
        <v>0.57499999999999996</v>
      </c>
      <c r="AP1187" s="213">
        <v>6.3E-2</v>
      </c>
      <c r="AQ1187" s="219">
        <v>-1.535493531315401</v>
      </c>
      <c r="AR1187" s="213" t="s">
        <v>1824</v>
      </c>
      <c r="AV1187" s="343"/>
      <c r="AW1187" s="328"/>
      <c r="AX1187" s="329"/>
      <c r="AY1187" s="328"/>
      <c r="AZ1187" s="328"/>
      <c r="BA1187" s="330"/>
      <c r="BB1187" s="328"/>
      <c r="BC1187" s="328"/>
      <c r="BD1187" s="328"/>
      <c r="BE1187" s="330"/>
      <c r="BF1187" s="330"/>
      <c r="BG1187" s="344"/>
      <c r="BH1187" s="330"/>
      <c r="BI1187" s="330"/>
      <c r="BJ1187" s="330"/>
      <c r="BK1187" s="330"/>
      <c r="BL1187" s="330"/>
      <c r="BM1187" s="330"/>
      <c r="BN1187" s="330"/>
      <c r="BO1187" s="330"/>
      <c r="BP1187" s="331"/>
      <c r="BQ1187" s="332"/>
      <c r="BR1187" s="333"/>
    </row>
    <row r="1188" spans="2:70" ht="15.75" customHeight="1">
      <c r="B1188" s="216" t="s">
        <v>71</v>
      </c>
      <c r="C1188" s="212">
        <v>3136958</v>
      </c>
      <c r="D1188" s="223">
        <v>17517577000178</v>
      </c>
      <c r="E1188" s="217" t="s">
        <v>19</v>
      </c>
      <c r="F1188" s="217" t="s">
        <v>964</v>
      </c>
      <c r="G1188" s="217" t="s">
        <v>1021</v>
      </c>
      <c r="H1188" s="218" t="s">
        <v>1113</v>
      </c>
      <c r="I1188" s="217" t="s">
        <v>66</v>
      </c>
      <c r="J1188" s="217"/>
      <c r="K1188" s="218" t="s">
        <v>951</v>
      </c>
      <c r="L1188" s="212" t="s">
        <v>87</v>
      </c>
      <c r="M1188" s="250"/>
      <c r="N1188" s="239">
        <v>41513</v>
      </c>
      <c r="O1188" s="210" t="s">
        <v>461</v>
      </c>
      <c r="P1188" s="210" t="s">
        <v>1102</v>
      </c>
      <c r="Q1188" s="210" t="s">
        <v>1102</v>
      </c>
      <c r="R1188" s="210" t="s">
        <v>1084</v>
      </c>
      <c r="S1188" s="210" t="s">
        <v>1078</v>
      </c>
      <c r="T1188" s="210" t="s">
        <v>349</v>
      </c>
      <c r="U1188" s="210" t="s">
        <v>964</v>
      </c>
      <c r="V1188" s="210" t="s">
        <v>19</v>
      </c>
      <c r="W1188" s="211" t="s">
        <v>1029</v>
      </c>
      <c r="X1188" s="211">
        <v>1000</v>
      </c>
      <c r="Y1188" s="211">
        <v>100</v>
      </c>
      <c r="Z1188" s="212">
        <v>500</v>
      </c>
      <c r="AA1188" s="240">
        <v>1</v>
      </c>
      <c r="AB1188" s="213">
        <v>4.0000000000000001E-3</v>
      </c>
      <c r="AC1188" s="213">
        <v>0</v>
      </c>
      <c r="AD1188" s="213" t="s">
        <v>981</v>
      </c>
      <c r="AE1188" s="213">
        <v>1.0666666666666667E-3</v>
      </c>
      <c r="AF1188" s="241">
        <v>527910513.06999999</v>
      </c>
      <c r="AG1188" s="241">
        <v>527910513.06999999</v>
      </c>
      <c r="AH1188" s="213">
        <v>5.2299999999999999E-2</v>
      </c>
      <c r="AI1188" s="352">
        <v>0.80559999999999998</v>
      </c>
      <c r="AJ1188" s="213">
        <v>6.4000000000000001E-2</v>
      </c>
      <c r="AK1188" s="352">
        <v>0.68069999999999997</v>
      </c>
      <c r="AL1188" s="213">
        <v>9.06E-2</v>
      </c>
      <c r="AM1188" s="352">
        <v>0.75009999999999999</v>
      </c>
      <c r="AN1188" s="213">
        <v>0.21329999999999999</v>
      </c>
      <c r="AO1188" s="352">
        <v>1.2655000000000001</v>
      </c>
      <c r="AP1188" s="213">
        <v>3.4200000000000001E-2</v>
      </c>
      <c r="AQ1188" s="219">
        <v>-0.79694074423649341</v>
      </c>
      <c r="AR1188" s="213" t="s">
        <v>1824</v>
      </c>
      <c r="AV1188" s="343"/>
      <c r="AW1188" s="328"/>
      <c r="AX1188" s="329"/>
      <c r="AY1188" s="328"/>
      <c r="AZ1188" s="328"/>
      <c r="BA1188" s="330"/>
      <c r="BB1188" s="328"/>
      <c r="BC1188" s="328"/>
      <c r="BD1188" s="328"/>
      <c r="BE1188" s="330"/>
      <c r="BF1188" s="330"/>
      <c r="BG1188" s="344"/>
      <c r="BH1188" s="330"/>
      <c r="BI1188" s="330"/>
      <c r="BJ1188" s="330"/>
      <c r="BK1188" s="330"/>
      <c r="BL1188" s="330"/>
      <c r="BM1188" s="330"/>
      <c r="BN1188" s="330"/>
      <c r="BO1188" s="330"/>
      <c r="BP1188" s="331"/>
      <c r="BQ1188" s="332"/>
      <c r="BR1188" s="333"/>
    </row>
    <row r="1189" spans="2:70" ht="15.75" customHeight="1">
      <c r="B1189" s="216" t="s">
        <v>1728</v>
      </c>
      <c r="C1189" s="212">
        <v>3445306</v>
      </c>
      <c r="D1189" s="223">
        <v>22773406000140</v>
      </c>
      <c r="E1189" s="217" t="s">
        <v>25</v>
      </c>
      <c r="F1189" s="217" t="s">
        <v>958</v>
      </c>
      <c r="G1189" s="217" t="s">
        <v>962</v>
      </c>
      <c r="H1189" s="218" t="s">
        <v>66</v>
      </c>
      <c r="I1189" s="217" t="s">
        <v>1842</v>
      </c>
      <c r="J1189" s="217" t="s">
        <v>66</v>
      </c>
      <c r="K1189" s="218"/>
      <c r="L1189" s="212" t="s">
        <v>87</v>
      </c>
      <c r="M1189" s="250"/>
      <c r="N1189" s="239">
        <v>42332</v>
      </c>
      <c r="O1189" s="210" t="s">
        <v>461</v>
      </c>
      <c r="P1189" s="210" t="s">
        <v>1102</v>
      </c>
      <c r="Q1189" s="210" t="s">
        <v>1102</v>
      </c>
      <c r="R1189" s="210" t="s">
        <v>1077</v>
      </c>
      <c r="S1189" s="210" t="s">
        <v>1078</v>
      </c>
      <c r="T1189" s="210" t="s">
        <v>1082</v>
      </c>
      <c r="U1189" s="210" t="s">
        <v>65</v>
      </c>
      <c r="V1189" s="210" t="s">
        <v>25</v>
      </c>
      <c r="W1189" s="211" t="s">
        <v>1028</v>
      </c>
      <c r="X1189" s="211">
        <v>1000</v>
      </c>
      <c r="Y1189" s="211">
        <v>100</v>
      </c>
      <c r="Z1189" s="212">
        <v>500</v>
      </c>
      <c r="AA1189" s="240">
        <v>5</v>
      </c>
      <c r="AB1189" s="213">
        <v>0.01</v>
      </c>
      <c r="AC1189" s="213">
        <v>0</v>
      </c>
      <c r="AD1189" s="213" t="s">
        <v>1100</v>
      </c>
      <c r="AE1189" s="213">
        <v>5.5000000000000005E-3</v>
      </c>
      <c r="AF1189" s="241">
        <v>39782357.049999997</v>
      </c>
      <c r="AG1189" s="241">
        <v>39782357.049999997</v>
      </c>
      <c r="AH1189" s="213">
        <v>-0.15759999999999999</v>
      </c>
      <c r="AI1189" s="352">
        <v>-2.4272999999999998</v>
      </c>
      <c r="AJ1189" s="213">
        <v>-0.1396</v>
      </c>
      <c r="AK1189" s="352">
        <v>-1.4839</v>
      </c>
      <c r="AL1189" s="213">
        <v>-0.1133</v>
      </c>
      <c r="AM1189" s="352">
        <v>-0.93799999999999994</v>
      </c>
      <c r="AN1189" s="213">
        <v>-4.2900000000000001E-2</v>
      </c>
      <c r="AO1189" s="352">
        <v>-0.25480000000000003</v>
      </c>
      <c r="AP1189" s="213">
        <v>0.121</v>
      </c>
      <c r="AQ1189" s="219">
        <v>-1.923748134050578</v>
      </c>
      <c r="AR1189" s="213" t="s">
        <v>1827</v>
      </c>
      <c r="AV1189" s="343"/>
      <c r="AW1189" s="328"/>
      <c r="AX1189" s="329"/>
      <c r="AY1189" s="328"/>
      <c r="AZ1189" s="328"/>
      <c r="BA1189" s="330"/>
      <c r="BB1189" s="328"/>
      <c r="BC1189" s="328"/>
      <c r="BD1189" s="328"/>
      <c r="BE1189" s="330"/>
      <c r="BF1189" s="330"/>
      <c r="BG1189" s="344"/>
      <c r="BH1189" s="330"/>
      <c r="BI1189" s="330"/>
      <c r="BJ1189" s="330"/>
      <c r="BK1189" s="330"/>
      <c r="BL1189" s="330"/>
      <c r="BM1189" s="330"/>
      <c r="BN1189" s="330"/>
      <c r="BO1189" s="330"/>
      <c r="BP1189" s="331"/>
      <c r="BQ1189" s="332"/>
      <c r="BR1189" s="333"/>
    </row>
    <row r="1190" spans="2:70" ht="15.75" customHeight="1">
      <c r="B1190" s="216" t="s">
        <v>1729</v>
      </c>
      <c r="C1190" s="212" t="s">
        <v>66</v>
      </c>
      <c r="D1190" s="223">
        <v>5024659000100</v>
      </c>
      <c r="E1190" s="217" t="s">
        <v>25</v>
      </c>
      <c r="F1190" s="217" t="s">
        <v>958</v>
      </c>
      <c r="G1190" s="217" t="s">
        <v>962</v>
      </c>
      <c r="H1190" s="218" t="s">
        <v>66</v>
      </c>
      <c r="I1190" s="217" t="s">
        <v>1841</v>
      </c>
      <c r="J1190" s="217" t="s">
        <v>66</v>
      </c>
      <c r="K1190" s="218"/>
      <c r="L1190" s="212" t="s">
        <v>87</v>
      </c>
      <c r="M1190" s="250"/>
      <c r="N1190" s="239">
        <v>37635</v>
      </c>
      <c r="O1190" s="210" t="s">
        <v>461</v>
      </c>
      <c r="P1190" s="210" t="s">
        <v>1102</v>
      </c>
      <c r="Q1190" s="210" t="s">
        <v>1102</v>
      </c>
      <c r="R1190" s="210" t="s">
        <v>1084</v>
      </c>
      <c r="S1190" s="210" t="s">
        <v>1078</v>
      </c>
      <c r="T1190" s="210" t="s">
        <v>1082</v>
      </c>
      <c r="U1190" s="210" t="s">
        <v>958</v>
      </c>
      <c r="V1190" s="210" t="s">
        <v>25</v>
      </c>
      <c r="W1190" s="211" t="s">
        <v>1012</v>
      </c>
      <c r="X1190" s="211">
        <v>5000</v>
      </c>
      <c r="Y1190" s="211">
        <v>100</v>
      </c>
      <c r="Z1190" s="212">
        <v>1000</v>
      </c>
      <c r="AA1190" s="240">
        <v>1</v>
      </c>
      <c r="AB1190" s="213">
        <v>1.0999999999999999E-2</v>
      </c>
      <c r="AC1190" s="213">
        <v>0</v>
      </c>
      <c r="AD1190" s="213" t="s">
        <v>1100</v>
      </c>
      <c r="AE1190" s="213">
        <v>2.9333333333333329E-3</v>
      </c>
      <c r="AF1190" s="241">
        <v>21107477.41</v>
      </c>
      <c r="AG1190" s="241">
        <v>21107477.41</v>
      </c>
      <c r="AH1190" s="213">
        <v>9.7999999999999997E-3</v>
      </c>
      <c r="AI1190" s="352">
        <v>0.15090000000000001</v>
      </c>
      <c r="AJ1190" s="213">
        <v>6.4999999999999997E-3</v>
      </c>
      <c r="AK1190" s="352">
        <v>6.9099999999999995E-2</v>
      </c>
      <c r="AL1190" s="213">
        <v>3.3000000000000002E-2</v>
      </c>
      <c r="AM1190" s="352">
        <v>0.2732</v>
      </c>
      <c r="AN1190" s="213">
        <v>8.1799999999999998E-2</v>
      </c>
      <c r="AO1190" s="352">
        <v>0.4854</v>
      </c>
      <c r="AP1190" s="213">
        <v>3.3500000000000002E-2</v>
      </c>
      <c r="AQ1190" s="219">
        <v>-2.4763514042415911</v>
      </c>
      <c r="AR1190" s="213" t="s">
        <v>1827</v>
      </c>
      <c r="AV1190" s="343"/>
      <c r="AW1190" s="328"/>
      <c r="AX1190" s="329"/>
      <c r="AY1190" s="328"/>
      <c r="AZ1190" s="328"/>
      <c r="BA1190" s="330"/>
      <c r="BB1190" s="328"/>
      <c r="BC1190" s="328"/>
      <c r="BD1190" s="328"/>
      <c r="BE1190" s="330"/>
      <c r="BF1190" s="330"/>
      <c r="BG1190" s="344"/>
      <c r="BH1190" s="330"/>
      <c r="BI1190" s="330"/>
      <c r="BJ1190" s="330"/>
      <c r="BK1190" s="330"/>
      <c r="BL1190" s="330"/>
      <c r="BM1190" s="330"/>
      <c r="BN1190" s="330"/>
      <c r="BO1190" s="330"/>
      <c r="BP1190" s="331"/>
      <c r="BQ1190" s="332"/>
      <c r="BR1190" s="333"/>
    </row>
    <row r="1191" spans="2:70" ht="15.75" customHeight="1">
      <c r="B1191" s="216" t="s">
        <v>1730</v>
      </c>
      <c r="C1191" s="212">
        <v>3070872</v>
      </c>
      <c r="D1191" s="223">
        <v>3499367000190</v>
      </c>
      <c r="E1191" s="217" t="s">
        <v>19</v>
      </c>
      <c r="F1191" s="217" t="s">
        <v>963</v>
      </c>
      <c r="G1191" s="217" t="s">
        <v>1011</v>
      </c>
      <c r="H1191" s="218" t="s">
        <v>1113</v>
      </c>
      <c r="I1191" s="217" t="s">
        <v>66</v>
      </c>
      <c r="J1191" s="217" t="s">
        <v>1794</v>
      </c>
      <c r="K1191" s="218" t="s">
        <v>951</v>
      </c>
      <c r="L1191" s="212" t="s">
        <v>87</v>
      </c>
      <c r="M1191" s="250"/>
      <c r="N1191" s="239">
        <v>36606</v>
      </c>
      <c r="O1191" s="210" t="s">
        <v>461</v>
      </c>
      <c r="P1191" s="210" t="s">
        <v>1102</v>
      </c>
      <c r="Q1191" s="210" t="s">
        <v>1102</v>
      </c>
      <c r="R1191" s="210" t="s">
        <v>1084</v>
      </c>
      <c r="S1191" s="210" t="s">
        <v>1078</v>
      </c>
      <c r="T1191" s="210" t="s">
        <v>349</v>
      </c>
      <c r="U1191" s="210" t="s">
        <v>1078</v>
      </c>
      <c r="V1191" s="210" t="s">
        <v>19</v>
      </c>
      <c r="W1191" s="211" t="s">
        <v>1017</v>
      </c>
      <c r="X1191" s="211">
        <v>1000</v>
      </c>
      <c r="Y1191" s="211">
        <v>100</v>
      </c>
      <c r="Z1191" s="212">
        <v>500</v>
      </c>
      <c r="AA1191" s="240">
        <v>1</v>
      </c>
      <c r="AB1191" s="213">
        <v>4.0000000000000001E-3</v>
      </c>
      <c r="AC1191" s="213">
        <v>0</v>
      </c>
      <c r="AD1191" s="213" t="s">
        <v>113</v>
      </c>
      <c r="AE1191" s="213">
        <v>1.0666666666666667E-3</v>
      </c>
      <c r="AF1191" s="241">
        <v>739611013.05999994</v>
      </c>
      <c r="AG1191" s="241">
        <v>739611013.05999994</v>
      </c>
      <c r="AH1191" s="213">
        <v>6.2700000000000006E-2</v>
      </c>
      <c r="AI1191" s="352">
        <v>0.96530000000000005</v>
      </c>
      <c r="AJ1191" s="213">
        <v>8.4699999999999998E-2</v>
      </c>
      <c r="AK1191" s="352">
        <v>0.89990000000000003</v>
      </c>
      <c r="AL1191" s="213">
        <v>0.1038</v>
      </c>
      <c r="AM1191" s="352">
        <v>0.85899999999999999</v>
      </c>
      <c r="AN1191" s="213">
        <v>0.17100000000000001</v>
      </c>
      <c r="AO1191" s="352">
        <v>1.0147999999999999</v>
      </c>
      <c r="AP1191" s="213">
        <v>9.2999999999999992E-3</v>
      </c>
      <c r="AQ1191" s="219">
        <v>-0.92752711056475623</v>
      </c>
      <c r="AR1191" s="213" t="s">
        <v>1824</v>
      </c>
      <c r="AU1191" s="343"/>
      <c r="AV1191" s="343"/>
      <c r="AW1191" s="328"/>
      <c r="AX1191" s="329"/>
      <c r="AY1191" s="328"/>
      <c r="AZ1191" s="328"/>
      <c r="BA1191" s="330"/>
      <c r="BB1191" s="328"/>
      <c r="BC1191" s="328"/>
      <c r="BD1191" s="328"/>
      <c r="BE1191" s="330"/>
      <c r="BF1191" s="330"/>
      <c r="BG1191" s="344"/>
      <c r="BH1191" s="383"/>
      <c r="BI1191" s="330"/>
      <c r="BJ1191" s="330"/>
      <c r="BK1191" s="330"/>
      <c r="BL1191" s="330"/>
      <c r="BM1191" s="330"/>
      <c r="BN1191" s="330"/>
      <c r="BO1191" s="330"/>
      <c r="BP1191" s="331"/>
      <c r="BQ1191" s="332"/>
      <c r="BR1191" s="333"/>
    </row>
    <row r="1192" spans="2:70" ht="15.75" customHeight="1">
      <c r="B1192" s="216" t="s">
        <v>733</v>
      </c>
      <c r="C1192" s="212">
        <v>3492853</v>
      </c>
      <c r="D1192" s="223">
        <v>9087523000191</v>
      </c>
      <c r="E1192" s="217" t="s">
        <v>28</v>
      </c>
      <c r="F1192" s="217" t="s">
        <v>950</v>
      </c>
      <c r="G1192" s="217"/>
      <c r="H1192" s="218"/>
      <c r="I1192" s="217" t="s">
        <v>66</v>
      </c>
      <c r="J1192" s="217" t="s">
        <v>66</v>
      </c>
      <c r="K1192" s="218" t="s">
        <v>951</v>
      </c>
      <c r="L1192" s="212" t="s">
        <v>87</v>
      </c>
      <c r="M1192" s="250"/>
      <c r="N1192" s="239">
        <v>40354</v>
      </c>
      <c r="O1192" s="210" t="s">
        <v>461</v>
      </c>
      <c r="P1192" s="210" t="s">
        <v>1102</v>
      </c>
      <c r="Q1192" s="210" t="s">
        <v>1102</v>
      </c>
      <c r="R1192" s="210" t="s">
        <v>1084</v>
      </c>
      <c r="S1192" s="210" t="s">
        <v>1078</v>
      </c>
      <c r="T1192" s="210" t="s">
        <v>1079</v>
      </c>
      <c r="U1192" s="210" t="s">
        <v>950</v>
      </c>
      <c r="V1192" s="210" t="s">
        <v>1080</v>
      </c>
      <c r="W1192" s="211" t="s">
        <v>1007</v>
      </c>
      <c r="X1192" s="211">
        <v>1000</v>
      </c>
      <c r="Y1192" s="211">
        <v>100</v>
      </c>
      <c r="Z1192" s="212">
        <v>500</v>
      </c>
      <c r="AA1192" s="240">
        <v>3</v>
      </c>
      <c r="AB1192" s="213">
        <v>2.5000000000000001E-2</v>
      </c>
      <c r="AC1192" s="213">
        <v>0</v>
      </c>
      <c r="AD1192" s="213" t="s">
        <v>113</v>
      </c>
      <c r="AE1192" s="213">
        <v>6.6666666666666671E-3</v>
      </c>
      <c r="AF1192" s="241">
        <v>79638298.189999998</v>
      </c>
      <c r="AG1192" s="241">
        <v>79638298.189999998</v>
      </c>
      <c r="AH1192" s="213">
        <v>-1.8200000000000001E-2</v>
      </c>
      <c r="AI1192" s="352">
        <v>-0.28010000000000002</v>
      </c>
      <c r="AJ1192" s="213">
        <v>-0.28899999999999998</v>
      </c>
      <c r="AK1192" s="352">
        <v>-3.0714000000000001</v>
      </c>
      <c r="AL1192" s="213">
        <v>-0.19420000000000001</v>
      </c>
      <c r="AM1192" s="352">
        <v>-1.6072</v>
      </c>
      <c r="AN1192" s="213">
        <v>-0.1603</v>
      </c>
      <c r="AO1192" s="352">
        <v>-0.95130000000000003</v>
      </c>
      <c r="AP1192" s="213">
        <v>0.21920000000000001</v>
      </c>
      <c r="AQ1192" s="219">
        <v>-1.8558143859597798</v>
      </c>
      <c r="AR1192" s="213" t="s">
        <v>1824</v>
      </c>
      <c r="AV1192" s="343"/>
      <c r="AW1192" s="328"/>
      <c r="AX1192" s="329"/>
      <c r="AY1192" s="328"/>
      <c r="AZ1192" s="328"/>
      <c r="BA1192" s="330"/>
      <c r="BB1192" s="328"/>
      <c r="BC1192" s="328"/>
      <c r="BD1192" s="328"/>
      <c r="BE1192" s="330"/>
      <c r="BF1192" s="330"/>
      <c r="BG1192" s="344"/>
      <c r="BH1192" s="330"/>
      <c r="BI1192" s="330"/>
      <c r="BJ1192" s="330"/>
      <c r="BK1192" s="330"/>
      <c r="BL1192" s="330"/>
      <c r="BM1192" s="330"/>
      <c r="BN1192" s="330"/>
      <c r="BO1192" s="330"/>
      <c r="BP1192" s="331"/>
      <c r="BQ1192" s="332"/>
      <c r="BR1192" s="333"/>
    </row>
    <row r="1193" spans="2:70" ht="15.75" customHeight="1">
      <c r="B1193" s="216" t="s">
        <v>1731</v>
      </c>
      <c r="C1193" s="212">
        <v>2552965</v>
      </c>
      <c r="D1193" s="223">
        <v>23872712000104</v>
      </c>
      <c r="E1193" s="217" t="s">
        <v>25</v>
      </c>
      <c r="F1193" s="217" t="s">
        <v>958</v>
      </c>
      <c r="G1193" s="217" t="s">
        <v>962</v>
      </c>
      <c r="H1193" s="218" t="s">
        <v>66</v>
      </c>
      <c r="I1193" s="217" t="s">
        <v>1842</v>
      </c>
      <c r="J1193" s="217" t="s">
        <v>66</v>
      </c>
      <c r="K1193" s="218"/>
      <c r="L1193" s="212" t="s">
        <v>88</v>
      </c>
      <c r="M1193" s="250"/>
      <c r="N1193" s="239">
        <v>42587</v>
      </c>
      <c r="O1193" s="210" t="s">
        <v>461</v>
      </c>
      <c r="P1193" s="210" t="s">
        <v>1102</v>
      </c>
      <c r="Q1193" s="210" t="s">
        <v>1102</v>
      </c>
      <c r="R1193" s="210" t="s">
        <v>1077</v>
      </c>
      <c r="S1193" s="210" t="s">
        <v>1078</v>
      </c>
      <c r="T1193" s="210" t="s">
        <v>1082</v>
      </c>
      <c r="U1193" s="210" t="s">
        <v>65</v>
      </c>
      <c r="V1193" s="210" t="s">
        <v>25</v>
      </c>
      <c r="W1193" s="211" t="s">
        <v>1028</v>
      </c>
      <c r="X1193" s="211">
        <v>1000</v>
      </c>
      <c r="Y1193" s="211">
        <v>100</v>
      </c>
      <c r="Z1193" s="212">
        <v>500</v>
      </c>
      <c r="AA1193" s="240">
        <v>5</v>
      </c>
      <c r="AB1193" s="213">
        <v>0.01</v>
      </c>
      <c r="AC1193" s="213">
        <v>0</v>
      </c>
      <c r="AD1193" s="213" t="s">
        <v>1100</v>
      </c>
      <c r="AE1193" s="213">
        <v>5.3333333333333332E-3</v>
      </c>
      <c r="AF1193" s="241">
        <v>105025798.73999999</v>
      </c>
      <c r="AG1193" s="241">
        <v>105025798.73999999</v>
      </c>
      <c r="AH1193" s="213">
        <v>-0.25119999999999998</v>
      </c>
      <c r="AI1193" s="352">
        <v>-3.8687999999999998</v>
      </c>
      <c r="AJ1193" s="213">
        <v>-0.17849999999999999</v>
      </c>
      <c r="AK1193" s="352">
        <v>-1.897</v>
      </c>
      <c r="AL1193" s="213">
        <v>-0.1666</v>
      </c>
      <c r="AM1193" s="352">
        <v>-1.3791</v>
      </c>
      <c r="AN1193" s="213">
        <v>0.21160000000000001</v>
      </c>
      <c r="AO1193" s="352">
        <v>1.2556</v>
      </c>
      <c r="AP1193" s="213">
        <v>0.17549999999999999</v>
      </c>
      <c r="AQ1193" s="219">
        <v>-1.543620093301691</v>
      </c>
      <c r="AR1193" s="213" t="s">
        <v>1824</v>
      </c>
      <c r="AU1193" s="343"/>
      <c r="AV1193" s="343"/>
      <c r="AW1193" s="328"/>
      <c r="AX1193" s="329"/>
      <c r="AY1193" s="328"/>
      <c r="AZ1193" s="328"/>
      <c r="BA1193" s="330"/>
      <c r="BB1193" s="328"/>
      <c r="BC1193" s="328"/>
      <c r="BD1193" s="328"/>
      <c r="BE1193" s="330"/>
      <c r="BF1193" s="330"/>
      <c r="BG1193" s="344"/>
      <c r="BH1193" s="383"/>
      <c r="BI1193" s="330"/>
      <c r="BJ1193" s="330"/>
      <c r="BK1193" s="330"/>
      <c r="BL1193" s="330"/>
      <c r="BM1193" s="330"/>
      <c r="BN1193" s="330"/>
      <c r="BO1193" s="330"/>
      <c r="BP1193" s="331"/>
      <c r="BQ1193" s="332"/>
      <c r="BR1193" s="333"/>
    </row>
    <row r="1194" spans="2:70" ht="15.75" customHeight="1">
      <c r="B1194" s="216" t="s">
        <v>1812</v>
      </c>
      <c r="C1194" s="212">
        <v>4298975</v>
      </c>
      <c r="D1194" s="223">
        <v>42014125000110</v>
      </c>
      <c r="E1194" s="217" t="s">
        <v>25</v>
      </c>
      <c r="F1194" s="217" t="s">
        <v>959</v>
      </c>
      <c r="G1194" s="217" t="s">
        <v>962</v>
      </c>
      <c r="H1194" s="218" t="s">
        <v>66</v>
      </c>
      <c r="I1194" s="217" t="s">
        <v>1842</v>
      </c>
      <c r="J1194" s="217" t="s">
        <v>66</v>
      </c>
      <c r="K1194" s="218" t="s">
        <v>955</v>
      </c>
      <c r="L1194" s="212" t="s">
        <v>87</v>
      </c>
      <c r="M1194" s="250"/>
      <c r="N1194" s="239">
        <v>44461</v>
      </c>
      <c r="O1194" s="210" t="s">
        <v>1813</v>
      </c>
      <c r="P1194" s="210" t="s">
        <v>1774</v>
      </c>
      <c r="Q1194" s="210" t="s">
        <v>1773</v>
      </c>
      <c r="R1194" s="210" t="s">
        <v>1738</v>
      </c>
      <c r="S1194" s="210" t="s">
        <v>1078</v>
      </c>
      <c r="T1194" s="210" t="s">
        <v>1082</v>
      </c>
      <c r="U1194" s="210" t="s">
        <v>65</v>
      </c>
      <c r="V1194" s="210" t="s">
        <v>25</v>
      </c>
      <c r="W1194" s="211" t="s">
        <v>1771</v>
      </c>
      <c r="X1194" s="211">
        <v>5000</v>
      </c>
      <c r="Y1194" s="211">
        <v>5000</v>
      </c>
      <c r="Z1194" s="212">
        <v>5000</v>
      </c>
      <c r="AA1194" s="240">
        <v>6</v>
      </c>
      <c r="AB1194" s="213">
        <v>1.9300000000000001E-2</v>
      </c>
      <c r="AC1194" s="213">
        <v>0.2</v>
      </c>
      <c r="AD1194" s="213" t="s">
        <v>109</v>
      </c>
      <c r="AE1194" s="213">
        <v>5.1466666666666666E-3</v>
      </c>
      <c r="AF1194" s="241">
        <v>172833324.53999999</v>
      </c>
      <c r="AG1194" s="241">
        <v>172833324.53999999</v>
      </c>
      <c r="AH1194" s="213">
        <v>3.9399999999999998E-2</v>
      </c>
      <c r="AI1194" s="352">
        <v>0.6069</v>
      </c>
      <c r="AJ1194" s="213" t="s">
        <v>66</v>
      </c>
      <c r="AK1194" s="352" t="s">
        <v>66</v>
      </c>
      <c r="AL1194" s="213" t="s">
        <v>66</v>
      </c>
      <c r="AM1194" s="352" t="s">
        <v>66</v>
      </c>
      <c r="AN1194" s="213" t="s">
        <v>66</v>
      </c>
      <c r="AO1194" s="352" t="s">
        <v>66</v>
      </c>
      <c r="AP1194" s="213" t="s">
        <v>66</v>
      </c>
      <c r="AQ1194" s="219" t="s">
        <v>66</v>
      </c>
      <c r="AR1194" s="213" t="s">
        <v>1827</v>
      </c>
      <c r="AV1194" s="343"/>
      <c r="AW1194" s="328"/>
      <c r="AX1194" s="329"/>
      <c r="AY1194" s="328"/>
      <c r="AZ1194" s="328"/>
      <c r="BA1194" s="330"/>
      <c r="BB1194" s="328"/>
      <c r="BC1194" s="328"/>
      <c r="BD1194" s="328"/>
      <c r="BE1194" s="330"/>
      <c r="BF1194" s="330"/>
      <c r="BG1194" s="344"/>
      <c r="BH1194" s="330"/>
      <c r="BI1194" s="330"/>
      <c r="BJ1194" s="330"/>
      <c r="BK1194" s="330"/>
      <c r="BL1194" s="330"/>
      <c r="BM1194" s="330"/>
      <c r="BN1194" s="330"/>
      <c r="BO1194" s="330"/>
      <c r="BP1194" s="331"/>
      <c r="BQ1194" s="332"/>
      <c r="BR1194" s="333"/>
    </row>
    <row r="1195" spans="2:70" ht="15.75" customHeight="1">
      <c r="B1195" s="216" t="s">
        <v>1814</v>
      </c>
      <c r="C1195" s="212">
        <v>2887466</v>
      </c>
      <c r="D1195" s="223">
        <v>41326212000140</v>
      </c>
      <c r="E1195" s="217" t="s">
        <v>28</v>
      </c>
      <c r="F1195" s="217" t="s">
        <v>950</v>
      </c>
      <c r="G1195" s="217"/>
      <c r="H1195" s="218"/>
      <c r="I1195" s="217" t="s">
        <v>66</v>
      </c>
      <c r="J1195" s="217" t="s">
        <v>66</v>
      </c>
      <c r="K1195" s="218" t="s">
        <v>954</v>
      </c>
      <c r="L1195" s="212" t="s">
        <v>87</v>
      </c>
      <c r="M1195" s="250"/>
      <c r="N1195" s="239">
        <v>44329</v>
      </c>
      <c r="O1195" s="210" t="s">
        <v>1813</v>
      </c>
      <c r="P1195" s="210" t="s">
        <v>1774</v>
      </c>
      <c r="Q1195" s="210" t="s">
        <v>1773</v>
      </c>
      <c r="R1195" s="210" t="s">
        <v>1738</v>
      </c>
      <c r="S1195" s="210" t="s">
        <v>1078</v>
      </c>
      <c r="T1195" s="210" t="s">
        <v>1079</v>
      </c>
      <c r="U1195" s="210" t="s">
        <v>65</v>
      </c>
      <c r="V1195" s="210" t="s">
        <v>1080</v>
      </c>
      <c r="W1195" s="211" t="s">
        <v>1815</v>
      </c>
      <c r="X1195" s="211">
        <v>5000</v>
      </c>
      <c r="Y1195" s="211">
        <v>5000</v>
      </c>
      <c r="Z1195" s="212">
        <v>5000</v>
      </c>
      <c r="AA1195" s="240">
        <v>6</v>
      </c>
      <c r="AB1195" s="213">
        <v>1.95E-2</v>
      </c>
      <c r="AC1195" s="213">
        <v>0.2</v>
      </c>
      <c r="AD1195" s="213" t="s">
        <v>1157</v>
      </c>
      <c r="AE1195" s="213">
        <v>5.1999999999999998E-3</v>
      </c>
      <c r="AF1195" s="241">
        <v>28274644.129999999</v>
      </c>
      <c r="AG1195" s="241">
        <v>28274644.129999999</v>
      </c>
      <c r="AH1195" s="213">
        <v>-0.18529999999999999</v>
      </c>
      <c r="AI1195" s="352">
        <v>-2.8538999999999999</v>
      </c>
      <c r="AJ1195" s="213">
        <v>-0.1885</v>
      </c>
      <c r="AK1195" s="352">
        <v>-2.0036999999999998</v>
      </c>
      <c r="AL1195" s="213" t="s">
        <v>66</v>
      </c>
      <c r="AM1195" s="352" t="s">
        <v>66</v>
      </c>
      <c r="AN1195" s="213" t="s">
        <v>66</v>
      </c>
      <c r="AO1195" s="352" t="s">
        <v>66</v>
      </c>
      <c r="AP1195" s="213">
        <v>0.3458</v>
      </c>
      <c r="AQ1195" s="219">
        <v>-0.6913450687968179</v>
      </c>
      <c r="AR1195" s="213" t="s">
        <v>1827</v>
      </c>
      <c r="AV1195" s="343"/>
      <c r="AW1195" s="328"/>
      <c r="AX1195" s="329"/>
      <c r="AY1195" s="328"/>
      <c r="AZ1195" s="328"/>
      <c r="BA1195" s="330"/>
      <c r="BB1195" s="328"/>
      <c r="BC1195" s="328"/>
      <c r="BD1195" s="328"/>
      <c r="BE1195" s="330"/>
      <c r="BF1195" s="330"/>
      <c r="BG1195" s="344"/>
      <c r="BH1195" s="330"/>
      <c r="BI1195" s="330"/>
      <c r="BJ1195" s="330"/>
      <c r="BK1195" s="330"/>
      <c r="BL1195" s="330"/>
      <c r="BM1195" s="330"/>
      <c r="BN1195" s="330"/>
      <c r="BO1195" s="330"/>
      <c r="BP1195" s="331"/>
      <c r="BQ1195" s="332"/>
      <c r="BR1195" s="333"/>
    </row>
    <row r="1196" spans="2:70" ht="15.75" customHeight="1">
      <c r="B1196" s="216" t="s">
        <v>1816</v>
      </c>
      <c r="C1196" s="212">
        <v>4298952</v>
      </c>
      <c r="D1196" s="223">
        <v>41409952000140</v>
      </c>
      <c r="E1196" s="217" t="s">
        <v>28</v>
      </c>
      <c r="F1196" s="217" t="s">
        <v>950</v>
      </c>
      <c r="G1196" s="217"/>
      <c r="H1196" s="218"/>
      <c r="I1196" s="217" t="s">
        <v>66</v>
      </c>
      <c r="J1196" s="217" t="s">
        <v>66</v>
      </c>
      <c r="K1196" s="218" t="s">
        <v>954</v>
      </c>
      <c r="L1196" s="212" t="s">
        <v>88</v>
      </c>
      <c r="M1196" s="250"/>
      <c r="N1196" s="239">
        <v>44329</v>
      </c>
      <c r="O1196" s="210" t="s">
        <v>1813</v>
      </c>
      <c r="P1196" s="210" t="s">
        <v>1774</v>
      </c>
      <c r="Q1196" s="210" t="s">
        <v>1773</v>
      </c>
      <c r="R1196" s="210" t="s">
        <v>1738</v>
      </c>
      <c r="S1196" s="210" t="s">
        <v>1078</v>
      </c>
      <c r="T1196" s="210" t="s">
        <v>1079</v>
      </c>
      <c r="U1196" s="210" t="s">
        <v>65</v>
      </c>
      <c r="V1196" s="210" t="s">
        <v>1080</v>
      </c>
      <c r="W1196" s="211" t="s">
        <v>1815</v>
      </c>
      <c r="X1196" s="211">
        <v>5000</v>
      </c>
      <c r="Y1196" s="211">
        <v>5000</v>
      </c>
      <c r="Z1196" s="212">
        <v>5000</v>
      </c>
      <c r="AA1196" s="240">
        <v>6</v>
      </c>
      <c r="AB1196" s="213">
        <v>1.95E-2</v>
      </c>
      <c r="AC1196" s="213">
        <v>0.2</v>
      </c>
      <c r="AD1196" s="213" t="s">
        <v>1157</v>
      </c>
      <c r="AE1196" s="213">
        <v>5.1999999999999998E-3</v>
      </c>
      <c r="AF1196" s="241">
        <v>23801543.300000001</v>
      </c>
      <c r="AG1196" s="241">
        <v>23801543.300000001</v>
      </c>
      <c r="AH1196" s="213">
        <v>-0.2833</v>
      </c>
      <c r="AI1196" s="352">
        <v>-4.3635000000000002</v>
      </c>
      <c r="AJ1196" s="213">
        <v>-0.24110000000000001</v>
      </c>
      <c r="AK1196" s="352">
        <v>-2.5630000000000002</v>
      </c>
      <c r="AL1196" s="213" t="s">
        <v>66</v>
      </c>
      <c r="AM1196" s="352" t="s">
        <v>66</v>
      </c>
      <c r="AN1196" s="213" t="s">
        <v>66</v>
      </c>
      <c r="AO1196" s="352" t="s">
        <v>66</v>
      </c>
      <c r="AP1196" s="213">
        <v>0.32950000000000002</v>
      </c>
      <c r="AQ1196" s="219">
        <v>-0.94649833350647705</v>
      </c>
      <c r="AR1196" s="213" t="s">
        <v>1827</v>
      </c>
      <c r="AV1196" s="343"/>
      <c r="AW1196" s="328"/>
      <c r="AX1196" s="329"/>
      <c r="AY1196" s="328"/>
      <c r="AZ1196" s="328"/>
      <c r="BA1196" s="330"/>
      <c r="BB1196" s="328"/>
      <c r="BC1196" s="328"/>
      <c r="BD1196" s="328"/>
      <c r="BE1196" s="330"/>
      <c r="BF1196" s="330"/>
      <c r="BG1196" s="344"/>
      <c r="BH1196" s="330"/>
      <c r="BI1196" s="330"/>
      <c r="BJ1196" s="330"/>
      <c r="BK1196" s="330"/>
      <c r="BL1196" s="330"/>
      <c r="BM1196" s="330"/>
      <c r="BN1196" s="330"/>
      <c r="BO1196" s="330"/>
      <c r="BP1196" s="331"/>
      <c r="BQ1196" s="332"/>
      <c r="BR1196" s="333"/>
    </row>
    <row r="1197" spans="2:70" ht="15.75" customHeight="1">
      <c r="B1197" s="216" t="s">
        <v>1817</v>
      </c>
      <c r="C1197" s="212">
        <v>4298980</v>
      </c>
      <c r="D1197" s="223">
        <v>41978534000174</v>
      </c>
      <c r="E1197" s="217" t="s">
        <v>19</v>
      </c>
      <c r="F1197" s="217" t="s">
        <v>963</v>
      </c>
      <c r="G1197" s="217" t="s">
        <v>962</v>
      </c>
      <c r="H1197" s="218" t="s">
        <v>1113</v>
      </c>
      <c r="I1197" s="217" t="s">
        <v>66</v>
      </c>
      <c r="J1197" s="217"/>
      <c r="K1197" s="218" t="s">
        <v>951</v>
      </c>
      <c r="L1197" s="212" t="s">
        <v>87</v>
      </c>
      <c r="M1197" s="250"/>
      <c r="N1197" s="239">
        <v>44439</v>
      </c>
      <c r="O1197" s="210" t="s">
        <v>1813</v>
      </c>
      <c r="P1197" s="210" t="s">
        <v>1774</v>
      </c>
      <c r="Q1197" s="210" t="s">
        <v>1773</v>
      </c>
      <c r="R1197" s="210" t="s">
        <v>1738</v>
      </c>
      <c r="S1197" s="210" t="s">
        <v>1078</v>
      </c>
      <c r="T1197" s="210" t="s">
        <v>349</v>
      </c>
      <c r="U1197" s="210" t="s">
        <v>1078</v>
      </c>
      <c r="V1197" s="210" t="s">
        <v>25</v>
      </c>
      <c r="W1197" s="211" t="s">
        <v>1818</v>
      </c>
      <c r="X1197" s="211">
        <v>5000</v>
      </c>
      <c r="Y1197" s="211">
        <v>5000</v>
      </c>
      <c r="Z1197" s="212">
        <v>5000</v>
      </c>
      <c r="AA1197" s="240">
        <v>6</v>
      </c>
      <c r="AB1197" s="213">
        <v>9.2999999999999992E-3</v>
      </c>
      <c r="AC1197" s="213">
        <v>0.1</v>
      </c>
      <c r="AD1197" s="213" t="s">
        <v>109</v>
      </c>
      <c r="AE1197" s="213">
        <v>2.4799999999999996E-3</v>
      </c>
      <c r="AF1197" s="241">
        <v>283474021.13</v>
      </c>
      <c r="AG1197" s="241">
        <v>283474021.13</v>
      </c>
      <c r="AH1197" s="213">
        <v>8.14E-2</v>
      </c>
      <c r="AI1197" s="352">
        <v>1.2536</v>
      </c>
      <c r="AJ1197" s="213" t="s">
        <v>66</v>
      </c>
      <c r="AK1197" s="352" t="s">
        <v>66</v>
      </c>
      <c r="AL1197" s="213" t="s">
        <v>66</v>
      </c>
      <c r="AM1197" s="352" t="s">
        <v>66</v>
      </c>
      <c r="AN1197" s="213" t="s">
        <v>66</v>
      </c>
      <c r="AO1197" s="352" t="s">
        <v>66</v>
      </c>
      <c r="AP1197" s="213" t="s">
        <v>66</v>
      </c>
      <c r="AQ1197" s="219" t="s">
        <v>66</v>
      </c>
      <c r="AR1197" s="213" t="s">
        <v>1827</v>
      </c>
      <c r="AV1197" s="343"/>
      <c r="AW1197" s="328"/>
      <c r="AX1197" s="329"/>
      <c r="AY1197" s="328"/>
      <c r="AZ1197" s="328"/>
      <c r="BA1197" s="330"/>
      <c r="BB1197" s="328"/>
      <c r="BC1197" s="328"/>
      <c r="BD1197" s="328"/>
      <c r="BE1197" s="330"/>
      <c r="BF1197" s="330"/>
      <c r="BG1197" s="344"/>
      <c r="BH1197" s="330"/>
      <c r="BI1197" s="330"/>
      <c r="BJ1197" s="330"/>
      <c r="BK1197" s="330"/>
      <c r="BL1197" s="330"/>
      <c r="BM1197" s="330"/>
      <c r="BN1197" s="330"/>
      <c r="BO1197" s="330"/>
      <c r="BP1197" s="331"/>
      <c r="BQ1197" s="332"/>
      <c r="BR1197" s="333"/>
    </row>
    <row r="1198" spans="2:70" ht="15.75" customHeight="1">
      <c r="B1198" s="216" t="s">
        <v>862</v>
      </c>
      <c r="C1198" s="212">
        <v>3671108</v>
      </c>
      <c r="D1198" s="223">
        <v>41762791000174</v>
      </c>
      <c r="E1198" s="217" t="s">
        <v>25</v>
      </c>
      <c r="F1198" s="217" t="s">
        <v>958</v>
      </c>
      <c r="G1198" s="217" t="s">
        <v>962</v>
      </c>
      <c r="H1198" s="218" t="s">
        <v>66</v>
      </c>
      <c r="I1198" s="217" t="s">
        <v>1841</v>
      </c>
      <c r="J1198" s="217" t="s">
        <v>66</v>
      </c>
      <c r="K1198" s="218"/>
      <c r="L1198" s="212" t="s">
        <v>87</v>
      </c>
      <c r="M1198" s="250"/>
      <c r="N1198" s="239">
        <v>44385</v>
      </c>
      <c r="O1198" s="210" t="s">
        <v>636</v>
      </c>
      <c r="P1198" s="210" t="s">
        <v>1075</v>
      </c>
      <c r="Q1198" s="210" t="s">
        <v>1076</v>
      </c>
      <c r="R1198" s="210" t="s">
        <v>1084</v>
      </c>
      <c r="S1198" s="210" t="s">
        <v>1078</v>
      </c>
      <c r="T1198" s="210" t="s">
        <v>1082</v>
      </c>
      <c r="U1198" s="210" t="s">
        <v>958</v>
      </c>
      <c r="V1198" s="210" t="s">
        <v>25</v>
      </c>
      <c r="W1198" s="211" t="s">
        <v>1016</v>
      </c>
      <c r="X1198" s="211">
        <v>1000</v>
      </c>
      <c r="Y1198" s="211">
        <v>0</v>
      </c>
      <c r="Z1198" s="212">
        <v>0</v>
      </c>
      <c r="AA1198" s="240">
        <v>6</v>
      </c>
      <c r="AB1198" s="213">
        <v>1.2500000000000001E-2</v>
      </c>
      <c r="AC1198" s="213">
        <v>0</v>
      </c>
      <c r="AD1198" s="213" t="s">
        <v>113</v>
      </c>
      <c r="AE1198" s="213">
        <v>3.7499999999999999E-3</v>
      </c>
      <c r="AF1198" s="241">
        <v>7852462.8300000001</v>
      </c>
      <c r="AG1198" s="241">
        <v>7852462.8300000001</v>
      </c>
      <c r="AH1198" s="213">
        <v>2.3300000000000001E-2</v>
      </c>
      <c r="AI1198" s="352">
        <v>0.35859999999999997</v>
      </c>
      <c r="AJ1198" s="213">
        <v>4.5199999999999997E-2</v>
      </c>
      <c r="AK1198" s="352">
        <v>0.48</v>
      </c>
      <c r="AL1198" s="213" t="s">
        <v>66</v>
      </c>
      <c r="AM1198" s="352" t="s">
        <v>66</v>
      </c>
      <c r="AN1198" s="213" t="s">
        <v>66</v>
      </c>
      <c r="AO1198" s="352" t="s">
        <v>66</v>
      </c>
      <c r="AP1198" s="213">
        <v>1.9199999999999998E-2</v>
      </c>
      <c r="AQ1198" s="219">
        <v>-2.3702825277982829</v>
      </c>
      <c r="AR1198" s="213" t="s">
        <v>1827</v>
      </c>
      <c r="AU1198" s="343"/>
      <c r="AV1198" s="343"/>
      <c r="AW1198" s="328"/>
      <c r="AX1198" s="329"/>
      <c r="AY1198" s="328"/>
      <c r="AZ1198" s="328"/>
      <c r="BA1198" s="330"/>
      <c r="BB1198" s="328"/>
      <c r="BC1198" s="328"/>
      <c r="BD1198" s="328"/>
      <c r="BE1198" s="330"/>
      <c r="BF1198" s="330"/>
      <c r="BG1198" s="344"/>
      <c r="BH1198" s="383"/>
      <c r="BI1198" s="330"/>
      <c r="BJ1198" s="330"/>
      <c r="BK1198" s="330"/>
      <c r="BL1198" s="330"/>
      <c r="BM1198" s="330"/>
      <c r="BN1198" s="330"/>
      <c r="BO1198" s="330"/>
      <c r="BP1198" s="331"/>
      <c r="BQ1198" s="332"/>
      <c r="BR1198" s="333"/>
    </row>
    <row r="1199" spans="2:70" ht="15.75" customHeight="1">
      <c r="B1199" s="216" t="s">
        <v>1732</v>
      </c>
      <c r="C1199" s="212">
        <v>2601652</v>
      </c>
      <c r="D1199" s="223">
        <v>29250108000114</v>
      </c>
      <c r="E1199" s="217" t="s">
        <v>25</v>
      </c>
      <c r="F1199" s="217" t="s">
        <v>959</v>
      </c>
      <c r="G1199" s="217" t="s">
        <v>962</v>
      </c>
      <c r="H1199" s="218" t="s">
        <v>66</v>
      </c>
      <c r="I1199" s="217" t="s">
        <v>1259</v>
      </c>
      <c r="J1199" s="217" t="s">
        <v>66</v>
      </c>
      <c r="K1199" s="218"/>
      <c r="L1199" s="212" t="s">
        <v>87</v>
      </c>
      <c r="M1199" s="250"/>
      <c r="N1199" s="239">
        <v>43283</v>
      </c>
      <c r="O1199" s="210" t="s">
        <v>734</v>
      </c>
      <c r="P1199" s="210" t="s">
        <v>1075</v>
      </c>
      <c r="Q1199" s="210" t="s">
        <v>1117</v>
      </c>
      <c r="R1199" s="210" t="s">
        <v>1084</v>
      </c>
      <c r="S1199" s="210" t="s">
        <v>1078</v>
      </c>
      <c r="T1199" s="210" t="s">
        <v>1082</v>
      </c>
      <c r="U1199" s="210" t="s">
        <v>958</v>
      </c>
      <c r="V1199" s="210" t="s">
        <v>25</v>
      </c>
      <c r="W1199" s="211" t="s">
        <v>1016</v>
      </c>
      <c r="X1199" s="211">
        <v>100</v>
      </c>
      <c r="Y1199" s="211">
        <v>100</v>
      </c>
      <c r="Z1199" s="212">
        <v>100</v>
      </c>
      <c r="AA1199" s="240">
        <v>41</v>
      </c>
      <c r="AB1199" s="213">
        <v>8.5000000000000006E-3</v>
      </c>
      <c r="AC1199" s="213">
        <v>0</v>
      </c>
      <c r="AD1199" s="213" t="s">
        <v>1100</v>
      </c>
      <c r="AE1199" s="213" t="s">
        <v>66</v>
      </c>
      <c r="AF1199" s="241">
        <v>15543296.49</v>
      </c>
      <c r="AG1199" s="241">
        <v>15543296.49</v>
      </c>
      <c r="AH1199" s="213">
        <v>-1.6E-2</v>
      </c>
      <c r="AI1199" s="352">
        <v>-0.2467</v>
      </c>
      <c r="AJ1199" s="213">
        <v>-1.78E-2</v>
      </c>
      <c r="AK1199" s="352">
        <v>-0.1895</v>
      </c>
      <c r="AL1199" s="213">
        <v>9.2999999999999992E-3</v>
      </c>
      <c r="AM1199" s="352">
        <v>7.6899999999999996E-2</v>
      </c>
      <c r="AN1199" s="213">
        <v>2.9700000000000001E-2</v>
      </c>
      <c r="AO1199" s="352">
        <v>0.1762</v>
      </c>
      <c r="AP1199" s="213">
        <v>6.8400000000000002E-2</v>
      </c>
      <c r="AQ1199" s="219">
        <v>-1.5427856207613035</v>
      </c>
      <c r="AR1199" s="213" t="s">
        <v>1827</v>
      </c>
      <c r="AV1199" s="343"/>
      <c r="AW1199" s="328"/>
      <c r="AX1199" s="329"/>
      <c r="AY1199" s="328"/>
      <c r="AZ1199" s="328"/>
      <c r="BA1199" s="330"/>
      <c r="BB1199" s="328"/>
      <c r="BC1199" s="328"/>
      <c r="BD1199" s="328"/>
      <c r="BE1199" s="330"/>
      <c r="BF1199" s="330"/>
      <c r="BG1199" s="344"/>
      <c r="BH1199" s="330"/>
      <c r="BI1199" s="330"/>
      <c r="BJ1199" s="330"/>
      <c r="BK1199" s="330"/>
      <c r="BL1199" s="330"/>
      <c r="BM1199" s="330"/>
      <c r="BN1199" s="330"/>
      <c r="BO1199" s="330"/>
      <c r="BP1199" s="331"/>
      <c r="BQ1199" s="332"/>
      <c r="BR1199" s="333"/>
    </row>
    <row r="1200" spans="2:70" ht="15.75" customHeight="1">
      <c r="B1200" s="216" t="s">
        <v>1733</v>
      </c>
      <c r="C1200" s="212">
        <v>2296150</v>
      </c>
      <c r="D1200" s="223">
        <v>35001522000192</v>
      </c>
      <c r="E1200" s="217" t="s">
        <v>28</v>
      </c>
      <c r="F1200" s="217" t="s">
        <v>950</v>
      </c>
      <c r="G1200" s="217"/>
      <c r="H1200" s="218"/>
      <c r="I1200" s="217" t="s">
        <v>66</v>
      </c>
      <c r="J1200" s="217" t="s">
        <v>66</v>
      </c>
      <c r="K1200" s="218" t="s">
        <v>951</v>
      </c>
      <c r="L1200" s="212" t="s">
        <v>87</v>
      </c>
      <c r="M1200" s="250"/>
      <c r="N1200" s="239">
        <v>43819</v>
      </c>
      <c r="O1200" s="210" t="s">
        <v>735</v>
      </c>
      <c r="P1200" s="210" t="s">
        <v>1075</v>
      </c>
      <c r="Q1200" s="210" t="s">
        <v>1076</v>
      </c>
      <c r="R1200" s="210" t="s">
        <v>1084</v>
      </c>
      <c r="S1200" s="210" t="s">
        <v>1078</v>
      </c>
      <c r="T1200" s="210" t="s">
        <v>1079</v>
      </c>
      <c r="U1200" s="210" t="s">
        <v>950</v>
      </c>
      <c r="V1200" s="210" t="s">
        <v>1080</v>
      </c>
      <c r="W1200" s="211" t="s">
        <v>1007</v>
      </c>
      <c r="X1200" s="211">
        <v>5000</v>
      </c>
      <c r="Y1200" s="211">
        <v>1000</v>
      </c>
      <c r="Z1200" s="212">
        <v>1000</v>
      </c>
      <c r="AA1200" s="240">
        <v>10</v>
      </c>
      <c r="AB1200" s="213">
        <v>0.02</v>
      </c>
      <c r="AC1200" s="213">
        <v>0.2</v>
      </c>
      <c r="AD1200" s="213" t="s">
        <v>113</v>
      </c>
      <c r="AE1200" s="213">
        <v>8.0000000000000002E-3</v>
      </c>
      <c r="AF1200" s="241">
        <v>6007264.0999999996</v>
      </c>
      <c r="AG1200" s="241">
        <v>6007264.0999999996</v>
      </c>
      <c r="AH1200" s="213">
        <v>-1.4E-2</v>
      </c>
      <c r="AI1200" s="352">
        <v>-0.21529999999999999</v>
      </c>
      <c r="AJ1200" s="213">
        <v>-2.76E-2</v>
      </c>
      <c r="AK1200" s="352">
        <v>-0.29299999999999998</v>
      </c>
      <c r="AL1200" s="213">
        <v>-6.0000000000000001E-3</v>
      </c>
      <c r="AM1200" s="352">
        <v>-4.9700000000000001E-2</v>
      </c>
      <c r="AN1200" s="213" t="s">
        <v>66</v>
      </c>
      <c r="AO1200" s="352" t="s">
        <v>66</v>
      </c>
      <c r="AP1200" s="213">
        <v>0.15870000000000001</v>
      </c>
      <c r="AQ1200" s="219">
        <v>-0.66366635120310846</v>
      </c>
      <c r="AR1200" s="213" t="s">
        <v>1827</v>
      </c>
      <c r="AU1200" s="343"/>
      <c r="AV1200" s="343"/>
      <c r="AW1200" s="328"/>
      <c r="AX1200" s="329"/>
      <c r="AY1200" s="328"/>
      <c r="AZ1200" s="328"/>
      <c r="BA1200" s="330"/>
      <c r="BB1200" s="328"/>
      <c r="BC1200" s="328"/>
      <c r="BD1200" s="328"/>
      <c r="BE1200" s="330"/>
      <c r="BF1200" s="330"/>
      <c r="BG1200" s="344"/>
      <c r="BH1200" s="383"/>
      <c r="BI1200" s="330"/>
      <c r="BJ1200" s="330"/>
      <c r="BK1200" s="330"/>
      <c r="BL1200" s="330"/>
      <c r="BM1200" s="330"/>
      <c r="BN1200" s="330"/>
      <c r="BO1200" s="330"/>
      <c r="BP1200" s="331"/>
      <c r="BQ1200" s="332"/>
      <c r="BR1200" s="333"/>
    </row>
    <row r="1201" spans="2:70" ht="15.75" customHeight="1">
      <c r="B1201" s="216" t="s">
        <v>736</v>
      </c>
      <c r="C1201" s="212">
        <v>2601656</v>
      </c>
      <c r="D1201" s="223">
        <v>21646712000152</v>
      </c>
      <c r="E1201" s="217" t="s">
        <v>19</v>
      </c>
      <c r="F1201" s="217" t="s">
        <v>963</v>
      </c>
      <c r="G1201" s="217" t="s">
        <v>1011</v>
      </c>
      <c r="H1201" s="218" t="s">
        <v>1113</v>
      </c>
      <c r="I1201" s="217" t="s">
        <v>66</v>
      </c>
      <c r="J1201" s="217" t="s">
        <v>66</v>
      </c>
      <c r="K1201" s="218" t="s">
        <v>951</v>
      </c>
      <c r="L1201" s="212" t="s">
        <v>87</v>
      </c>
      <c r="M1201" s="250"/>
      <c r="N1201" s="239">
        <v>42025</v>
      </c>
      <c r="O1201" s="210" t="s">
        <v>735</v>
      </c>
      <c r="P1201" s="210" t="s">
        <v>1075</v>
      </c>
      <c r="Q1201" s="210" t="s">
        <v>1076</v>
      </c>
      <c r="R1201" s="210" t="s">
        <v>1084</v>
      </c>
      <c r="S1201" s="210" t="s">
        <v>1078</v>
      </c>
      <c r="T1201" s="210" t="s">
        <v>349</v>
      </c>
      <c r="U1201" s="210" t="s">
        <v>1114</v>
      </c>
      <c r="V1201" s="210" t="s">
        <v>19</v>
      </c>
      <c r="W1201" s="211" t="s">
        <v>1024</v>
      </c>
      <c r="X1201" s="211">
        <v>1000</v>
      </c>
      <c r="Y1201" s="211">
        <v>1000</v>
      </c>
      <c r="Z1201" s="212">
        <v>1000</v>
      </c>
      <c r="AA1201" s="240">
        <v>1</v>
      </c>
      <c r="AB1201" s="213">
        <v>5.0000000000000001E-3</v>
      </c>
      <c r="AC1201" s="213">
        <v>0</v>
      </c>
      <c r="AD1201" s="213" t="s">
        <v>109</v>
      </c>
      <c r="AE1201" s="213" t="s">
        <v>66</v>
      </c>
      <c r="AF1201" s="241">
        <v>13305582.130000001</v>
      </c>
      <c r="AG1201" s="241">
        <v>13305582.130000001</v>
      </c>
      <c r="AH1201" s="213">
        <v>6.5100000000000005E-2</v>
      </c>
      <c r="AI1201" s="352">
        <v>1.0029999999999999</v>
      </c>
      <c r="AJ1201" s="213">
        <v>9.4200000000000006E-2</v>
      </c>
      <c r="AK1201" s="352">
        <v>1.0017</v>
      </c>
      <c r="AL1201" s="213">
        <v>0.1157</v>
      </c>
      <c r="AM1201" s="352">
        <v>0.95730000000000004</v>
      </c>
      <c r="AN1201" s="213">
        <v>0.14249999999999999</v>
      </c>
      <c r="AO1201" s="352">
        <v>0.8458</v>
      </c>
      <c r="AP1201" s="213">
        <v>1.9E-3</v>
      </c>
      <c r="AQ1201" s="219">
        <v>8.0015902602362868E-2</v>
      </c>
      <c r="AR1201" s="213" t="s">
        <v>1827</v>
      </c>
      <c r="AU1201" s="343"/>
      <c r="AV1201" s="343"/>
      <c r="AW1201" s="328"/>
      <c r="AX1201" s="329"/>
      <c r="AY1201" s="328"/>
      <c r="AZ1201" s="328"/>
      <c r="BA1201" s="330"/>
      <c r="BB1201" s="328"/>
      <c r="BC1201" s="328"/>
      <c r="BD1201" s="328"/>
      <c r="BE1201" s="330"/>
      <c r="BF1201" s="330"/>
      <c r="BG1201" s="344"/>
      <c r="BH1201" s="383"/>
      <c r="BI1201" s="330"/>
      <c r="BJ1201" s="330"/>
      <c r="BK1201" s="330"/>
      <c r="BL1201" s="330"/>
      <c r="BM1201" s="330"/>
      <c r="BN1201" s="330"/>
      <c r="BO1201" s="330"/>
      <c r="BP1201" s="331"/>
      <c r="BQ1201" s="332"/>
      <c r="BR1201" s="333"/>
    </row>
    <row r="1202" spans="2:70" ht="15.75" customHeight="1">
      <c r="B1202" s="216" t="s">
        <v>737</v>
      </c>
      <c r="C1202" s="212">
        <v>2591027</v>
      </c>
      <c r="D1202" s="223">
        <v>17094929000120</v>
      </c>
      <c r="E1202" s="217" t="s">
        <v>28</v>
      </c>
      <c r="F1202" s="217" t="s">
        <v>950</v>
      </c>
      <c r="G1202" s="217"/>
      <c r="H1202" s="218"/>
      <c r="I1202" s="217" t="s">
        <v>66</v>
      </c>
      <c r="J1202" s="217" t="s">
        <v>66</v>
      </c>
      <c r="K1202" s="218" t="s">
        <v>951</v>
      </c>
      <c r="L1202" s="212" t="s">
        <v>87</v>
      </c>
      <c r="M1202" s="250"/>
      <c r="N1202" s="239">
        <v>41243</v>
      </c>
      <c r="O1202" s="210" t="s">
        <v>735</v>
      </c>
      <c r="P1202" s="210" t="s">
        <v>1075</v>
      </c>
      <c r="Q1202" s="210" t="s">
        <v>1076</v>
      </c>
      <c r="R1202" s="210" t="s">
        <v>1084</v>
      </c>
      <c r="S1202" s="210" t="s">
        <v>1078</v>
      </c>
      <c r="T1202" s="210" t="s">
        <v>1079</v>
      </c>
      <c r="U1202" s="210" t="s">
        <v>950</v>
      </c>
      <c r="V1202" s="210" t="s">
        <v>1080</v>
      </c>
      <c r="W1202" s="211" t="s">
        <v>1007</v>
      </c>
      <c r="X1202" s="211">
        <v>10000</v>
      </c>
      <c r="Y1202" s="211">
        <v>5000</v>
      </c>
      <c r="Z1202" s="212">
        <v>10000</v>
      </c>
      <c r="AA1202" s="240">
        <v>10</v>
      </c>
      <c r="AB1202" s="213">
        <v>0.02</v>
      </c>
      <c r="AC1202" s="213">
        <v>0</v>
      </c>
      <c r="AD1202" s="213" t="s">
        <v>113</v>
      </c>
      <c r="AE1202" s="213" t="s">
        <v>66</v>
      </c>
      <c r="AF1202" s="241">
        <v>19868521.09</v>
      </c>
      <c r="AG1202" s="241">
        <v>19868521.09</v>
      </c>
      <c r="AH1202" s="213">
        <v>6.7400000000000002E-2</v>
      </c>
      <c r="AI1202" s="352">
        <v>1.0386</v>
      </c>
      <c r="AJ1202" s="213">
        <v>-1.32E-2</v>
      </c>
      <c r="AK1202" s="352">
        <v>-0.14019999999999999</v>
      </c>
      <c r="AL1202" s="213">
        <v>4.3499999999999997E-2</v>
      </c>
      <c r="AM1202" s="352">
        <v>0.36</v>
      </c>
      <c r="AN1202" s="213">
        <v>0.21010000000000001</v>
      </c>
      <c r="AO1202" s="352">
        <v>1.2464999999999999</v>
      </c>
      <c r="AP1202" s="213">
        <v>0.15060000000000001</v>
      </c>
      <c r="AQ1202" s="219">
        <v>-0.6102198929695285</v>
      </c>
      <c r="AR1202" s="213" t="s">
        <v>1827</v>
      </c>
    </row>
    <row r="1204" spans="2:70" ht="15.75" customHeight="1">
      <c r="B1204" s="346" t="s">
        <v>20</v>
      </c>
      <c r="C1204" s="346" t="s">
        <v>20</v>
      </c>
      <c r="D1204" s="346" t="s">
        <v>20</v>
      </c>
      <c r="E1204" s="346" t="s">
        <v>20</v>
      </c>
      <c r="F1204" s="346" t="s">
        <v>20</v>
      </c>
      <c r="G1204" s="346" t="s">
        <v>20</v>
      </c>
      <c r="H1204" s="346" t="s">
        <v>20</v>
      </c>
      <c r="I1204" s="346" t="s">
        <v>20</v>
      </c>
      <c r="J1204" s="346" t="s">
        <v>20</v>
      </c>
      <c r="K1204" s="346" t="s">
        <v>20</v>
      </c>
      <c r="L1204" s="346" t="s">
        <v>20</v>
      </c>
      <c r="M1204" s="346" t="s">
        <v>20</v>
      </c>
      <c r="N1204" s="346" t="s">
        <v>20</v>
      </c>
      <c r="O1204" s="346" t="s">
        <v>20</v>
      </c>
      <c r="P1204" s="346" t="s">
        <v>20</v>
      </c>
      <c r="Q1204" s="346" t="s">
        <v>20</v>
      </c>
      <c r="R1204" s="346" t="s">
        <v>20</v>
      </c>
      <c r="S1204" s="346" t="s">
        <v>20</v>
      </c>
      <c r="T1204" s="346" t="s">
        <v>20</v>
      </c>
      <c r="U1204" s="346" t="s">
        <v>20</v>
      </c>
      <c r="V1204" s="346" t="s">
        <v>20</v>
      </c>
      <c r="W1204" s="346" t="s">
        <v>20</v>
      </c>
      <c r="X1204" s="346" t="s">
        <v>20</v>
      </c>
      <c r="Y1204" s="346" t="s">
        <v>20</v>
      </c>
      <c r="Z1204" s="346" t="s">
        <v>20</v>
      </c>
      <c r="AA1204" s="347" t="s">
        <v>20</v>
      </c>
      <c r="AB1204" s="347" t="s">
        <v>20</v>
      </c>
      <c r="AC1204" s="347" t="s">
        <v>20</v>
      </c>
      <c r="AD1204" s="347" t="s">
        <v>20</v>
      </c>
      <c r="AE1204" s="348" t="s">
        <v>20</v>
      </c>
      <c r="AF1204" s="348" t="s">
        <v>20</v>
      </c>
      <c r="AG1204" s="348" t="s">
        <v>20</v>
      </c>
      <c r="AH1204" s="348" t="s">
        <v>20</v>
      </c>
      <c r="AI1204" s="348" t="s">
        <v>20</v>
      </c>
      <c r="AJ1204" s="348" t="s">
        <v>20</v>
      </c>
      <c r="AK1204" s="348" t="s">
        <v>20</v>
      </c>
      <c r="AL1204" s="348" t="s">
        <v>20</v>
      </c>
      <c r="AM1204" s="348" t="s">
        <v>20</v>
      </c>
      <c r="AN1204" s="348" t="s">
        <v>20</v>
      </c>
      <c r="AO1204" s="347" t="s">
        <v>20</v>
      </c>
      <c r="AP1204" s="347" t="s">
        <v>20</v>
      </c>
      <c r="AQ1204" s="347" t="s">
        <v>20</v>
      </c>
      <c r="AR1204" s="347" t="s">
        <v>20</v>
      </c>
    </row>
  </sheetData>
  <mergeCells count="1">
    <mergeCell ref="AH2:AQ2"/>
  </mergeCells>
  <conditionalFormatting sqref="BA99:BA119 AV99:AW119 AV413:AW413 BA413 BA524:BA547 AV524:AW547 AV568:AW568 BA568 BA1038:BA1049 AV1038:AW1049 AV1052:AW1056 BA1052:BA1056 BA962:BA966 AV962:AW966 AV1003:AW1033 BA1003:BA1033 BA1065:BA1066 AV1065:AW1066 AV1068:AW1069 BA1068:BA1069 AV186:AW187 BA186:BA187 BA189:BA216 AV189:AW216 AV293:AW293 BA293 BA312 AV312:AW312 AV323:AW331 BA323:BA331 BA401:BA411 AV401:AW411 BA419:BA460 AV419:AW460 AV486:AW520 BA486:BA520 AV554:AW566 BA554:BA566 BA570:BA591 AV570:AW591 AV675:AW698 BA675:BA698 BA874:BA877 AV874:AW877 BA1194:BA1197 AV1194:AW1197 AV235:AW238 BA235:BA238 AV470:AW472 BA470:BA472 AV552:AW552 BA552 BA818:BA872 AV818:AW872 AV879:AW942 BA879:BA942 AV968:AW976 BA968:BA976 BA1174:BA1175 AV1174:AW1175 AV1199:AW1199 BA1199 AV218:AW228 BA218:BA228 BA240:BA274 AV240:AW274 AV276:AW286 BA276:BA286 BA288:BA289 AV288:AW289 BA295:BA308 AV295:AW308 AV317:AW321 BA317:BA321 AV121:AW121 BA121 BA123:BA184 AV123:AW184 BA333:BA351 AV333:AW351 AV372:AW373 BA372:BA373 BA376:BA399 AV376:AW399 AV462:AW466 BA462:BA466 BA475:BA480 AV475:AW480 AV483:AW484 BA483:BA484 AV549:AW550 BA549:BA550 AV593:AW601 BA593:BA601 BA603:BA614 AV603:AW614 AV616:AW619 BA616:BA619 BA621:BA647 AV621:AW647 AV650:AW658 BA650:BA658 BA663:BA673 AV663:AW673 BA700:BA714 AV700:AW714 AV716:AW775 BA716:BA775 BA777:BA779 AV777:AW779 AV781:AW787 BA781:BA787 BA789:BA800 AV789:AW800 BA944:BA949 AV944:AW949 AV953:AW958 BA953:BA958 BA978:BA980 AV978:AW980 AV983:AW983 BA983 BA987:BA1000 AV987:AW1000 BA1058:BA1063 AV1058:AW1063 BA1071:BA1123 AV1071:AW1123 AV1126:AW1126 BA1126 BA1130:BA1141 AV1130:AW1141 AV1143:AW1170 BA1143:BA1170 BA1172 AV1172:AW1172 AV1178:AW1190 BA1178:BA1190 BA1192 AV1192:AW1192 AV353:AW370 BA353:BA370 BA230:BA233 AV230:AW233 AV809:AW816 BA809:BA816 BA415:BA417 AV415:AW417 AV802:AW807 BA802:BA807">
    <cfRule type="expression" dxfId="591" priority="3926">
      <formula>AND(AV99&lt;&gt;"",#REF!="",OR(COLUMN(AV99)=COLUMN(#REF!),COLUMN(AV99)=COLUMN(#REF!)))</formula>
    </cfRule>
  </conditionalFormatting>
  <conditionalFormatting sqref="AY99:AZ119 AY413:AZ413 AY524:AZ547 AY568:AZ568 AY1038:AZ1049 AY1052:AZ1056 AY962:AZ966 AY1003:AZ1033 AY1065:AZ1066 AY1068:AZ1069 AY186:AZ187 AY189:AZ216 AY293:AZ293 AY312:AZ312 AY323:AZ331 AY401:AZ411 AY419:AZ460 AY486:AZ520 AY554:AZ566 AY570:AZ591 AY675:AZ698 AY874:AZ877 AY1194:AZ1197 AY235:AZ238 AY470:AZ472 AY552:AZ552 AY818:AZ872 AY879:AZ942 AY968:AZ976 AY1174:AZ1175 AY1199:AZ1199 AY218:AZ228 AY240:AZ274 AY276:AZ286 AY288:AZ289 AY295:AZ308 AY317:AZ321 AY121:AZ121 AY123:AZ184 AY333:AZ351 AY372:AZ373 AY376:AZ399 AY462:AZ466 AY475:AZ480 AY483:AZ484 AY549:AZ550 AY593:AZ601 AY603:AZ614 AY616:AZ619 AY621:AZ647 AY650:AZ658 AY663:AZ673 AY700:AZ714 AY716:AZ775 AY777:AZ779 AY781:AZ787 AY789:AZ800 AY944:AZ949 AY953:AZ958 AY978:AZ980 AY983:AZ983 AY987:AZ1000 AY1058:AZ1063 AY1071:AZ1123 AY1126:AZ1126 AY1130:AZ1141 AY1143:AZ1170 AY1172:AZ1172 AY1178:AZ1190 AY1192:AZ1192 AY353:AZ370 AY230:AZ233 AY809:AZ816 AY415:AZ417 AY802:AZ807">
    <cfRule type="expression" dxfId="590" priority="3925">
      <formula>AND(AY99&lt;&gt;"",#REF!="",OR(COLUMN(AY99)=COLUMN(#REF!),COLUMN(AY99)=COLUMN(#REF!)))</formula>
    </cfRule>
  </conditionalFormatting>
  <conditionalFormatting sqref="BB99:BB119 BB413 BB524:BB547 BB568 BB1038:BB1049 BB1052:BB1056 BB962:BB966 BB1003:BB1033 BB1065:BB1066 BB1068:BB1069 BB186:BB187 BB189:BB216 BB293 BB312 BB323:BB331 BB401:BB411 BB419:BB460 BB486:BB520 BB554:BB566 BB570:BB591 BB675:BB698 BB874:BB877 BB1194:BB1197 BB235:BB238 BB470:BB472 BB552 BB818:BB872 BB879:BB942 BB968:BB976 BB1174:BB1175 BB1199 BB218:BB228 BB240:BB274 BB276:BB286 BB288:BB289 BB295:BB308 BB317:BB321 BB121 BB123:BB184 BB333:BB351 BB372:BB373 BB376:BB399 BB462:BB466 BB475:BB480 BB483:BB484 BB549:BB550 BB593:BB601 BB603:BB614 BB616:BB619 BB621:BB647 BB650:BB658 BB663:BB673 BB700:BB714 BB716:BB775 BB777:BB779 BB781:BB787 BB789:BB800 BB944:BB949 BB953:BB958 BB978:BB980 BB983 BB987:BB1000 BB1058:BB1063 BB1071:BB1123 BB1126 BB1130:BB1141 BB1143:BB1170 BB1172 BB1178:BB1190 BB1192 BB353:BB370 BB230:BB233 BB809:BB816 BB415:BB417 BB802:BB807">
    <cfRule type="expression" dxfId="589" priority="3924">
      <formula>AND(BB99&lt;&gt;"",#REF!="",OR(COLUMN(BB99)=COLUMN(#REF!),COLUMN(BB99)=COLUMN(#REF!)))</formula>
    </cfRule>
  </conditionalFormatting>
  <conditionalFormatting sqref="BC99:BC119 BC413 BC524:BC547 BC568 BC1038:BC1049 BC1052:BC1056 BC962:BC966 BC1003:BC1033 BC1065:BC1066 BC1068:BC1069 BC186:BC187 BC189:BC216 BC293 BC312 BC323:BC331 BC401:BC411 BC419:BC460 BC486:BC520 BC554:BC566 BC570:BC591 BC675:BC698 BC874:BC877 BC1194:BC1197 BC235:BC238 BC470:BC472 BC552 BC818:BC872 BC879:BC942 BC968:BC976 BC1174:BC1175 BC1199 BC218:BC228 BC240:BC274 BC276:BC286 BC288:BC289 BC295:BC308 BC317:BC321 BC121 BC123:BC184 BC333:BC351 BC372:BC373 BC376:BC399 BC462:BC466 BC475:BC480 BC483:BC484 BC549:BC550 BC593:BC601 BC603:BC614 BC616:BC619 BC621:BC647 BC650:BC658 BC663:BC673 BC700:BC714 BC716:BC775 BC777:BC779 BC781:BC787 BC789:BC800 BC944:BC949 BC953:BC958 BC978:BC980 BC983 BC987:BC1000 BC1058:BC1063 BC1071:BC1123 BC1126 BC1130:BC1141 BC1143:BC1170 BC1172 BC1178:BC1190 BC1192 BC353:BC370 BC230:BC233 BC809:BC816 BC415:BC417 BC802:BC807">
    <cfRule type="expression" dxfId="588" priority="3923">
      <formula>AND(BC99&lt;&gt;"",#REF!="",OR(COLUMN(BC99)=COLUMN(#REF!),COLUMN(BC99)=COLUMN(#REF!)))</formula>
    </cfRule>
  </conditionalFormatting>
  <conditionalFormatting sqref="AU99:AU119 AU413 AU524:AU547 AU186:AU187 AU189:AU216 AU293 AU312 AU323:AU331 AU401:AU411 AU419:AU460 AU486:AU520 AU554:AU566 AU235:AU238 AU470:AU472 AU552 AU218:AU228 AU240:AU274 AU276:AU286 AU288:AU289 AU295:AU308 AU317:AU321 AU121 AU123:AU184 AU333:AU351 AU372:AU373 AU376:AU399 AU462:AU466 AU475:AU480 AU483:AU484 AU549:AU550 AU353:AU370 AU230:AU233 AU415:AU417">
    <cfRule type="expression" dxfId="587" priority="3922">
      <formula>AND(AU99&lt;&gt;"",#REF!="",OR(COLUMN(AU99)=COLUMN(#REF!),COLUMN(AU99)=COLUMN(#REF!)))</formula>
    </cfRule>
  </conditionalFormatting>
  <conditionalFormatting sqref="AV1001:AW1001 AY1001:BC1001">
    <cfRule type="expression" dxfId="586" priority="3870">
      <formula>AND(AV1001&lt;&gt;"",#REF!="",OR(COLUMN(AV1001)=COLUMN(#REF!),COLUMN(AV1001)=COLUMN(#REF!)))</formula>
    </cfRule>
  </conditionalFormatting>
  <conditionalFormatting sqref="AU1001">
    <cfRule type="expression" dxfId="585" priority="3869">
      <formula>AND(AU1001&lt;&gt;"",#REF!="",OR(COLUMN(AU1001)=COLUMN(#REF!),COLUMN(AU1001)=COLUMN(#REF!)))</formula>
    </cfRule>
  </conditionalFormatting>
  <conditionalFormatting sqref="AV1064:AW1064 AY1064:BC1064">
    <cfRule type="expression" dxfId="584" priority="3862">
      <formula>AND(AV1064&lt;&gt;"",#REF!="",OR(COLUMN(AV1064)=COLUMN(#REF!),COLUMN(AV1064)=COLUMN(#REF!)))</formula>
    </cfRule>
  </conditionalFormatting>
  <conditionalFormatting sqref="AU1064">
    <cfRule type="expression" dxfId="583" priority="3861">
      <formula>AND(AU1064&lt;&gt;"",#REF!="",OR(COLUMN(AU1064)=COLUMN(#REF!),COLUMN(AU1064)=COLUMN(#REF!)))</formula>
    </cfRule>
  </conditionalFormatting>
  <conditionalFormatting sqref="AV185:AW185 AY185:BC185">
    <cfRule type="expression" dxfId="582" priority="2579">
      <formula>AND(AV185&lt;&gt;"",#REF!="",OR(COLUMN(AV185)=COLUMN(#REF!),COLUMN(AV185)=COLUMN(#REF!)))</formula>
    </cfRule>
  </conditionalFormatting>
  <conditionalFormatting sqref="AU185">
    <cfRule type="expression" dxfId="581" priority="2578">
      <formula>AND(AU185&lt;&gt;"",#REF!="",OR(COLUMN(AU185)=COLUMN(#REF!),COLUMN(AU185)=COLUMN(#REF!)))</formula>
    </cfRule>
  </conditionalFormatting>
  <conditionalFormatting sqref="AV188:AW188 AY188:BC188">
    <cfRule type="expression" dxfId="580" priority="2577">
      <formula>AND(AV188&lt;&gt;"",#REF!="",OR(COLUMN(AV188)=COLUMN(#REF!),COLUMN(AV188)=COLUMN(#REF!)))</formula>
    </cfRule>
  </conditionalFormatting>
  <conditionalFormatting sqref="AU188">
    <cfRule type="expression" dxfId="579" priority="2576">
      <formula>AND(AU188&lt;&gt;"",#REF!="",OR(COLUMN(AU188)=COLUMN(#REF!),COLUMN(AU188)=COLUMN(#REF!)))</formula>
    </cfRule>
  </conditionalFormatting>
  <conditionalFormatting sqref="AV234:AW234 AY234:BC234">
    <cfRule type="expression" dxfId="578" priority="2575">
      <formula>AND(AV234&lt;&gt;"",#REF!="",OR(COLUMN(AV234)=COLUMN(#REF!),COLUMN(AV234)=COLUMN(#REF!)))</formula>
    </cfRule>
  </conditionalFormatting>
  <conditionalFormatting sqref="AU234">
    <cfRule type="expression" dxfId="577" priority="2574">
      <formula>AND(AU234&lt;&gt;"",#REF!="",OR(COLUMN(AU234)=COLUMN(#REF!),COLUMN(AU234)=COLUMN(#REF!)))</formula>
    </cfRule>
  </conditionalFormatting>
  <conditionalFormatting sqref="AV322:AW322 AY322:BC322">
    <cfRule type="expression" dxfId="576" priority="2569">
      <formula>AND(AV322&lt;&gt;"",#REF!="",OR(COLUMN(AV322)=COLUMN(#REF!),COLUMN(AV322)=COLUMN(#REF!)))</formula>
    </cfRule>
  </conditionalFormatting>
  <conditionalFormatting sqref="AU322">
    <cfRule type="expression" dxfId="575" priority="2568">
      <formula>AND(AU322&lt;&gt;"",#REF!="",OR(COLUMN(AU322)=COLUMN(#REF!),COLUMN(AU322)=COLUMN(#REF!)))</formula>
    </cfRule>
  </conditionalFormatting>
  <conditionalFormatting sqref="AV400:AW400 AY400:BC400">
    <cfRule type="expression" dxfId="574" priority="2567">
      <formula>AND(AV400&lt;&gt;"",#REF!="",OR(COLUMN(AV400)=COLUMN(#REF!),COLUMN(AV400)=COLUMN(#REF!)))</formula>
    </cfRule>
  </conditionalFormatting>
  <conditionalFormatting sqref="AU400">
    <cfRule type="expression" dxfId="573" priority="2566">
      <formula>AND(AU400&lt;&gt;"",#REF!="",OR(COLUMN(AU400)=COLUMN(#REF!),COLUMN(AU400)=COLUMN(#REF!)))</formula>
    </cfRule>
  </conditionalFormatting>
  <conditionalFormatting sqref="AV418:AW418 AY418:BC418">
    <cfRule type="expression" dxfId="572" priority="2565">
      <formula>AND(AV418&lt;&gt;"",#REF!="",OR(COLUMN(AV418)=COLUMN(#REF!),COLUMN(AV418)=COLUMN(#REF!)))</formula>
    </cfRule>
  </conditionalFormatting>
  <conditionalFormatting sqref="AU418">
    <cfRule type="expression" dxfId="571" priority="2564">
      <formula>AND(AU418&lt;&gt;"",#REF!="",OR(COLUMN(AU418)=COLUMN(#REF!),COLUMN(AU418)=COLUMN(#REF!)))</formula>
    </cfRule>
  </conditionalFormatting>
  <conditionalFormatting sqref="AV468:AW468 AY468:BC468">
    <cfRule type="expression" dxfId="570" priority="2561">
      <formula>AND(AV468&lt;&gt;"",#REF!="",OR(COLUMN(AV468)=COLUMN(#REF!),COLUMN(AV468)=COLUMN(#REF!)))</formula>
    </cfRule>
  </conditionalFormatting>
  <conditionalFormatting sqref="AU468">
    <cfRule type="expression" dxfId="569" priority="2560">
      <formula>AND(AU468&lt;&gt;"",#REF!="",OR(COLUMN(AU468)=COLUMN(#REF!),COLUMN(AU468)=COLUMN(#REF!)))</formula>
    </cfRule>
  </conditionalFormatting>
  <conditionalFormatting sqref="AV485:AW485 AY485:BC485">
    <cfRule type="expression" dxfId="568" priority="2559">
      <formula>AND(AV485&lt;&gt;"",#REF!="",OR(COLUMN(AV485)=COLUMN(#REF!),COLUMN(AV485)=COLUMN(#REF!)))</formula>
    </cfRule>
  </conditionalFormatting>
  <conditionalFormatting sqref="AU485">
    <cfRule type="expression" dxfId="567" priority="2558">
      <formula>AND(AU485&lt;&gt;"",#REF!="",OR(COLUMN(AU485)=COLUMN(#REF!),COLUMN(AU485)=COLUMN(#REF!)))</formula>
    </cfRule>
  </conditionalFormatting>
  <conditionalFormatting sqref="AV551:AW551 AY551:BC551">
    <cfRule type="expression" dxfId="566" priority="2557">
      <formula>AND(AV551&lt;&gt;"",#REF!="",OR(COLUMN(AV551)=COLUMN(#REF!),COLUMN(AV551)=COLUMN(#REF!)))</formula>
    </cfRule>
  </conditionalFormatting>
  <conditionalFormatting sqref="AU551">
    <cfRule type="expression" dxfId="565" priority="2556">
      <formula>AND(AU551&lt;&gt;"",#REF!="",OR(COLUMN(AU551)=COLUMN(#REF!),COLUMN(AU551)=COLUMN(#REF!)))</formula>
    </cfRule>
  </conditionalFormatting>
  <conditionalFormatting sqref="AV553:AW553 AY553:BC553">
    <cfRule type="expression" dxfId="564" priority="2555">
      <formula>AND(AV553&lt;&gt;"",#REF!="",OR(COLUMN(AV553)=COLUMN(#REF!),COLUMN(AV553)=COLUMN(#REF!)))</formula>
    </cfRule>
  </conditionalFormatting>
  <conditionalFormatting sqref="AU553">
    <cfRule type="expression" dxfId="563" priority="2554">
      <formula>AND(AU553&lt;&gt;"",#REF!="",OR(COLUMN(AU553)=COLUMN(#REF!),COLUMN(AU553)=COLUMN(#REF!)))</formula>
    </cfRule>
  </conditionalFormatting>
  <conditionalFormatting sqref="AV569:AW569 AY569:BC569">
    <cfRule type="expression" dxfId="562" priority="2553">
      <formula>AND(AV569&lt;&gt;"",#REF!="",OR(COLUMN(AV569)=COLUMN(#REF!),COLUMN(AV569)=COLUMN(#REF!)))</formula>
    </cfRule>
  </conditionalFormatting>
  <conditionalFormatting sqref="AU569">
    <cfRule type="expression" dxfId="561" priority="2552">
      <formula>AND(AU569&lt;&gt;"",#REF!="",OR(COLUMN(AU569)=COLUMN(#REF!),COLUMN(AU569)=COLUMN(#REF!)))</formula>
    </cfRule>
  </conditionalFormatting>
  <conditionalFormatting sqref="AV674:AW674 AY674:BC674">
    <cfRule type="expression" dxfId="560" priority="2551">
      <formula>AND(AV674&lt;&gt;"",#REF!="",OR(COLUMN(AV674)=COLUMN(#REF!),COLUMN(AV674)=COLUMN(#REF!)))</formula>
    </cfRule>
  </conditionalFormatting>
  <conditionalFormatting sqref="AU674">
    <cfRule type="expression" dxfId="559" priority="2550">
      <formula>AND(AU674&lt;&gt;"",#REF!="",OR(COLUMN(AU674)=COLUMN(#REF!),COLUMN(AU674)=COLUMN(#REF!)))</formula>
    </cfRule>
  </conditionalFormatting>
  <conditionalFormatting sqref="AV817:AW817 AY817:BC817">
    <cfRule type="expression" dxfId="558" priority="2549">
      <formula>AND(AV817&lt;&gt;"",#REF!="",OR(COLUMN(AV817)=COLUMN(#REF!),COLUMN(AV817)=COLUMN(#REF!)))</formula>
    </cfRule>
  </conditionalFormatting>
  <conditionalFormatting sqref="AU817">
    <cfRule type="expression" dxfId="557" priority="2548">
      <formula>AND(AU817&lt;&gt;"",#REF!="",OR(COLUMN(AU817)=COLUMN(#REF!),COLUMN(AU817)=COLUMN(#REF!)))</formula>
    </cfRule>
  </conditionalFormatting>
  <conditionalFormatting sqref="AV873:AW873 AY873:BC873">
    <cfRule type="expression" dxfId="556" priority="2547">
      <formula>AND(AV873&lt;&gt;"",#REF!="",OR(COLUMN(AV873)=COLUMN(#REF!),COLUMN(AV873)=COLUMN(#REF!)))</formula>
    </cfRule>
  </conditionalFormatting>
  <conditionalFormatting sqref="AU873">
    <cfRule type="expression" dxfId="555" priority="2546">
      <formula>AND(AU873&lt;&gt;"",#REF!="",OR(COLUMN(AU873)=COLUMN(#REF!),COLUMN(AU873)=COLUMN(#REF!)))</formula>
    </cfRule>
  </conditionalFormatting>
  <conditionalFormatting sqref="AV878:AW878 AY878:BC878">
    <cfRule type="expression" dxfId="554" priority="2545">
      <formula>AND(AV878&lt;&gt;"",#REF!="",OR(COLUMN(AV878)=COLUMN(#REF!),COLUMN(AV878)=COLUMN(#REF!)))</formula>
    </cfRule>
  </conditionalFormatting>
  <conditionalFormatting sqref="AU878">
    <cfRule type="expression" dxfId="553" priority="2544">
      <formula>AND(AU878&lt;&gt;"",#REF!="",OR(COLUMN(AU878)=COLUMN(#REF!),COLUMN(AU878)=COLUMN(#REF!)))</formula>
    </cfRule>
  </conditionalFormatting>
  <conditionalFormatting sqref="AV967:AW967 AY967:BC967">
    <cfRule type="expression" dxfId="552" priority="2543">
      <formula>AND(AV967&lt;&gt;"",#REF!="",OR(COLUMN(AV967)=COLUMN(#REF!),COLUMN(AV967)=COLUMN(#REF!)))</formula>
    </cfRule>
  </conditionalFormatting>
  <conditionalFormatting sqref="AU967">
    <cfRule type="expression" dxfId="551" priority="2542">
      <formula>AND(AU967&lt;&gt;"",#REF!="",OR(COLUMN(AU967)=COLUMN(#REF!),COLUMN(AU967)=COLUMN(#REF!)))</formula>
    </cfRule>
  </conditionalFormatting>
  <conditionalFormatting sqref="AV1173:AW1173 AY1173:BC1173">
    <cfRule type="expression" dxfId="550" priority="2541">
      <formula>AND(AV1173&lt;&gt;"",#REF!="",OR(COLUMN(AV1173)=COLUMN(#REF!),COLUMN(AV1173)=COLUMN(#REF!)))</formula>
    </cfRule>
  </conditionalFormatting>
  <conditionalFormatting sqref="AU1173">
    <cfRule type="expression" dxfId="549" priority="2540">
      <formula>AND(AU1173&lt;&gt;"",#REF!="",OR(COLUMN(AU1173)=COLUMN(#REF!),COLUMN(AU1173)=COLUMN(#REF!)))</formula>
    </cfRule>
  </conditionalFormatting>
  <conditionalFormatting sqref="AV1193:AW1193 AY1193:BC1193">
    <cfRule type="expression" dxfId="548" priority="2539">
      <formula>AND(AV1193&lt;&gt;"",#REF!="",OR(COLUMN(AV1193)=COLUMN(#REF!),COLUMN(AV1193)=COLUMN(#REF!)))</formula>
    </cfRule>
  </conditionalFormatting>
  <conditionalFormatting sqref="AU1193">
    <cfRule type="expression" dxfId="547" priority="2538">
      <formula>AND(AU1193&lt;&gt;"",#REF!="",OR(COLUMN(AU1193)=COLUMN(#REF!),COLUMN(AU1193)=COLUMN(#REF!)))</formula>
    </cfRule>
  </conditionalFormatting>
  <conditionalFormatting sqref="AV1198:AW1198 AY1198:BC1198">
    <cfRule type="expression" dxfId="546" priority="2537">
      <formula>AND(AV1198&lt;&gt;"",#REF!="",OR(COLUMN(AV1198)=COLUMN(#REF!),COLUMN(AV1198)=COLUMN(#REF!)))</formula>
    </cfRule>
  </conditionalFormatting>
  <conditionalFormatting sqref="AU1198">
    <cfRule type="expression" dxfId="545" priority="2536">
      <formula>AND(AU1198&lt;&gt;"",#REF!="",OR(COLUMN(AU1198)=COLUMN(#REF!),COLUMN(AU1198)=COLUMN(#REF!)))</formula>
    </cfRule>
  </conditionalFormatting>
  <conditionalFormatting sqref="AV1200:AW1200 AY1200:BC1200">
    <cfRule type="expression" dxfId="544" priority="2535">
      <formula>AND(AV1200&lt;&gt;"",#REF!="",OR(COLUMN(AV1200)=COLUMN(#REF!),COLUMN(AV1200)=COLUMN(#REF!)))</formula>
    </cfRule>
  </conditionalFormatting>
  <conditionalFormatting sqref="AU1200">
    <cfRule type="expression" dxfId="543" priority="2534">
      <formula>AND(AU1200&lt;&gt;"",#REF!="",OR(COLUMN(AU1200)=COLUMN(#REF!),COLUMN(AU1200)=COLUMN(#REF!)))</formula>
    </cfRule>
  </conditionalFormatting>
  <conditionalFormatting sqref="AV1201:AW1201 AY1201:BC1201">
    <cfRule type="expression" dxfId="542" priority="2533">
      <formula>AND(AV1201&lt;&gt;"",#REF!="",OR(COLUMN(AV1201)=COLUMN(#REF!),COLUMN(AV1201)=COLUMN(#REF!)))</formula>
    </cfRule>
  </conditionalFormatting>
  <conditionalFormatting sqref="AU1201">
    <cfRule type="expression" dxfId="541" priority="2532">
      <formula>AND(AU1201&lt;&gt;"",#REF!="",OR(COLUMN(AU1201)=COLUMN(#REF!),COLUMN(AU1201)=COLUMN(#REF!)))</formula>
    </cfRule>
  </conditionalFormatting>
  <conditionalFormatting sqref="AV97:AW97 AY97:BC97">
    <cfRule type="expression" dxfId="540" priority="2513">
      <formula>AND(AV97&lt;&gt;"",#REF!="",OR(COLUMN(AV97)=COLUMN(#REF!),COLUMN(AV97)=COLUMN(#REF!)))</formula>
    </cfRule>
  </conditionalFormatting>
  <conditionalFormatting sqref="AU97">
    <cfRule type="expression" dxfId="539" priority="2512">
      <formula>AND(AU97&lt;&gt;"",#REF!="",OR(COLUMN(AU97)=COLUMN(#REF!),COLUMN(AU97)=COLUMN(#REF!)))</formula>
    </cfRule>
  </conditionalFormatting>
  <conditionalFormatting sqref="AV98:AW98 AY98:BC98">
    <cfRule type="expression" dxfId="538" priority="2511">
      <formula>AND(AV98&lt;&gt;"",#REF!="",OR(COLUMN(AV98)=COLUMN(#REF!),COLUMN(AV98)=COLUMN(#REF!)))</formula>
    </cfRule>
  </conditionalFormatting>
  <conditionalFormatting sqref="AU98">
    <cfRule type="expression" dxfId="537" priority="2510">
      <formula>AND(AU98&lt;&gt;"",#REF!="",OR(COLUMN(AU98)=COLUMN(#REF!),COLUMN(AU98)=COLUMN(#REF!)))</formula>
    </cfRule>
  </conditionalFormatting>
  <conditionalFormatting sqref="AV217:AW217 AY217:BC217">
    <cfRule type="expression" dxfId="536" priority="2509">
      <formula>AND(AV217&lt;&gt;"",#REF!="",OR(COLUMN(AV217)=COLUMN(#REF!),COLUMN(AV217)=COLUMN(#REF!)))</formula>
    </cfRule>
  </conditionalFormatting>
  <conditionalFormatting sqref="AU217">
    <cfRule type="expression" dxfId="535" priority="2508">
      <formula>AND(AU217&lt;&gt;"",#REF!="",OR(COLUMN(AU217)=COLUMN(#REF!),COLUMN(AU217)=COLUMN(#REF!)))</formula>
    </cfRule>
  </conditionalFormatting>
  <conditionalFormatting sqref="AV239:AW239 AY239:BC239">
    <cfRule type="expression" dxfId="534" priority="2507">
      <formula>AND(AV239&lt;&gt;"",#REF!="",OR(COLUMN(AV239)=COLUMN(#REF!),COLUMN(AV239)=COLUMN(#REF!)))</formula>
    </cfRule>
  </conditionalFormatting>
  <conditionalFormatting sqref="AU239">
    <cfRule type="expression" dxfId="533" priority="2506">
      <formula>AND(AU239&lt;&gt;"",#REF!="",OR(COLUMN(AU239)=COLUMN(#REF!),COLUMN(AU239)=COLUMN(#REF!)))</formula>
    </cfRule>
  </conditionalFormatting>
  <conditionalFormatting sqref="AV275:AW275 AY275:BC275">
    <cfRule type="expression" dxfId="532" priority="2505">
      <formula>AND(AV275&lt;&gt;"",#REF!="",OR(COLUMN(AV275)=COLUMN(#REF!),COLUMN(AV275)=COLUMN(#REF!)))</formula>
    </cfRule>
  </conditionalFormatting>
  <conditionalFormatting sqref="AU275">
    <cfRule type="expression" dxfId="531" priority="2504">
      <formula>AND(AU275&lt;&gt;"",#REF!="",OR(COLUMN(AU275)=COLUMN(#REF!),COLUMN(AU275)=COLUMN(#REF!)))</formula>
    </cfRule>
  </conditionalFormatting>
  <conditionalFormatting sqref="AV287:AW287 AY287:BC287">
    <cfRule type="expression" dxfId="530" priority="2503">
      <formula>AND(AV287&lt;&gt;"",#REF!="",OR(COLUMN(AV287)=COLUMN(#REF!),COLUMN(AV287)=COLUMN(#REF!)))</formula>
    </cfRule>
  </conditionalFormatting>
  <conditionalFormatting sqref="AU287">
    <cfRule type="expression" dxfId="529" priority="2502">
      <formula>AND(AU287&lt;&gt;"",#REF!="",OR(COLUMN(AU287)=COLUMN(#REF!),COLUMN(AU287)=COLUMN(#REF!)))</formula>
    </cfRule>
  </conditionalFormatting>
  <conditionalFormatting sqref="AV290:AW290 AY290:BC290">
    <cfRule type="expression" dxfId="528" priority="2501">
      <formula>AND(AV290&lt;&gt;"",#REF!="",OR(COLUMN(AV290)=COLUMN(#REF!),COLUMN(AV290)=COLUMN(#REF!)))</formula>
    </cfRule>
  </conditionalFormatting>
  <conditionalFormatting sqref="AU290">
    <cfRule type="expression" dxfId="527" priority="2500">
      <formula>AND(AU290&lt;&gt;"",#REF!="",OR(COLUMN(AU290)=COLUMN(#REF!),COLUMN(AU290)=COLUMN(#REF!)))</formula>
    </cfRule>
  </conditionalFormatting>
  <conditionalFormatting sqref="AV291:AW291 AY291:BC291">
    <cfRule type="expression" dxfId="526" priority="2499">
      <formula>AND(AV291&lt;&gt;"",#REF!="",OR(COLUMN(AV291)=COLUMN(#REF!),COLUMN(AV291)=COLUMN(#REF!)))</formula>
    </cfRule>
  </conditionalFormatting>
  <conditionalFormatting sqref="AU291">
    <cfRule type="expression" dxfId="525" priority="2498">
      <formula>AND(AU291&lt;&gt;"",#REF!="",OR(COLUMN(AU291)=COLUMN(#REF!),COLUMN(AU291)=COLUMN(#REF!)))</formula>
    </cfRule>
  </conditionalFormatting>
  <conditionalFormatting sqref="AV292:AW292 AY292:BC292">
    <cfRule type="expression" dxfId="524" priority="2497">
      <formula>AND(AV292&lt;&gt;"",#REF!="",OR(COLUMN(AV292)=COLUMN(#REF!),COLUMN(AV292)=COLUMN(#REF!)))</formula>
    </cfRule>
  </conditionalFormatting>
  <conditionalFormatting sqref="AU292">
    <cfRule type="expression" dxfId="523" priority="2496">
      <formula>AND(AU292&lt;&gt;"",#REF!="",OR(COLUMN(AU292)=COLUMN(#REF!),COLUMN(AU292)=COLUMN(#REF!)))</formula>
    </cfRule>
  </conditionalFormatting>
  <conditionalFormatting sqref="AV294:AW294 AY294:BC294">
    <cfRule type="expression" dxfId="522" priority="2495">
      <formula>AND(AV294&lt;&gt;"",#REF!="",OR(COLUMN(AV294)=COLUMN(#REF!),COLUMN(AV294)=COLUMN(#REF!)))</formula>
    </cfRule>
  </conditionalFormatting>
  <conditionalFormatting sqref="AU294">
    <cfRule type="expression" dxfId="521" priority="2494">
      <formula>AND(AU294&lt;&gt;"",#REF!="",OR(COLUMN(AU294)=COLUMN(#REF!),COLUMN(AU294)=COLUMN(#REF!)))</formula>
    </cfRule>
  </conditionalFormatting>
  <conditionalFormatting sqref="AV309:AW309 AY309:BC309">
    <cfRule type="expression" dxfId="520" priority="2493">
      <formula>AND(AV309&lt;&gt;"",#REF!="",OR(COLUMN(AV309)=COLUMN(#REF!),COLUMN(AV309)=COLUMN(#REF!)))</formula>
    </cfRule>
  </conditionalFormatting>
  <conditionalFormatting sqref="AU309">
    <cfRule type="expression" dxfId="519" priority="2492">
      <formula>AND(AU309&lt;&gt;"",#REF!="",OR(COLUMN(AU309)=COLUMN(#REF!),COLUMN(AU309)=COLUMN(#REF!)))</formula>
    </cfRule>
  </conditionalFormatting>
  <conditionalFormatting sqref="AV310:AW310 AY310:BC310">
    <cfRule type="expression" dxfId="518" priority="2491">
      <formula>AND(AV310&lt;&gt;"",#REF!="",OR(COLUMN(AV310)=COLUMN(#REF!),COLUMN(AV310)=COLUMN(#REF!)))</formula>
    </cfRule>
  </conditionalFormatting>
  <conditionalFormatting sqref="AU310">
    <cfRule type="expression" dxfId="517" priority="2490">
      <formula>AND(AU310&lt;&gt;"",#REF!="",OR(COLUMN(AU310)=COLUMN(#REF!),COLUMN(AU310)=COLUMN(#REF!)))</formula>
    </cfRule>
  </conditionalFormatting>
  <conditionalFormatting sqref="AV311:AW311 AY311:BC311">
    <cfRule type="expression" dxfId="516" priority="2489">
      <formula>AND(AV311&lt;&gt;"",#REF!="",OR(COLUMN(AV311)=COLUMN(#REF!),COLUMN(AV311)=COLUMN(#REF!)))</formula>
    </cfRule>
  </conditionalFormatting>
  <conditionalFormatting sqref="AU311">
    <cfRule type="expression" dxfId="515" priority="2488">
      <formula>AND(AU311&lt;&gt;"",#REF!="",OR(COLUMN(AU311)=COLUMN(#REF!),COLUMN(AU311)=COLUMN(#REF!)))</formula>
    </cfRule>
  </conditionalFormatting>
  <conditionalFormatting sqref="AV313:AW313 AY313:BC313">
    <cfRule type="expression" dxfId="514" priority="2487">
      <formula>AND(AV313&lt;&gt;"",#REF!="",OR(COLUMN(AV313)=COLUMN(#REF!),COLUMN(AV313)=COLUMN(#REF!)))</formula>
    </cfRule>
  </conditionalFormatting>
  <conditionalFormatting sqref="AU313">
    <cfRule type="expression" dxfId="513" priority="2486">
      <formula>AND(AU313&lt;&gt;"",#REF!="",OR(COLUMN(AU313)=COLUMN(#REF!),COLUMN(AU313)=COLUMN(#REF!)))</formula>
    </cfRule>
  </conditionalFormatting>
  <conditionalFormatting sqref="AV314:AW314 AY314:BC314">
    <cfRule type="expression" dxfId="512" priority="2485">
      <formula>AND(AV314&lt;&gt;"",#REF!="",OR(COLUMN(AV314)=COLUMN(#REF!),COLUMN(AV314)=COLUMN(#REF!)))</formula>
    </cfRule>
  </conditionalFormatting>
  <conditionalFormatting sqref="AU314">
    <cfRule type="expression" dxfId="511" priority="2484">
      <formula>AND(AU314&lt;&gt;"",#REF!="",OR(COLUMN(AU314)=COLUMN(#REF!),COLUMN(AU314)=COLUMN(#REF!)))</formula>
    </cfRule>
  </conditionalFormatting>
  <conditionalFormatting sqref="AV315:AW315 AY315:BC315">
    <cfRule type="expression" dxfId="510" priority="2483">
      <formula>AND(AV315&lt;&gt;"",#REF!="",OR(COLUMN(AV315)=COLUMN(#REF!),COLUMN(AV315)=COLUMN(#REF!)))</formula>
    </cfRule>
  </conditionalFormatting>
  <conditionalFormatting sqref="AU315">
    <cfRule type="expression" dxfId="509" priority="2482">
      <formula>AND(AU315&lt;&gt;"",#REF!="",OR(COLUMN(AU315)=COLUMN(#REF!),COLUMN(AU315)=COLUMN(#REF!)))</formula>
    </cfRule>
  </conditionalFormatting>
  <conditionalFormatting sqref="AV316:AW316 AY316:BC316">
    <cfRule type="expression" dxfId="508" priority="2481">
      <formula>AND(AV316&lt;&gt;"",#REF!="",OR(COLUMN(AV316)=COLUMN(#REF!),COLUMN(AV316)=COLUMN(#REF!)))</formula>
    </cfRule>
  </conditionalFormatting>
  <conditionalFormatting sqref="AU316">
    <cfRule type="expression" dxfId="507" priority="2480">
      <formula>AND(AU316&lt;&gt;"",#REF!="",OR(COLUMN(AU316)=COLUMN(#REF!),COLUMN(AU316)=COLUMN(#REF!)))</formula>
    </cfRule>
  </conditionalFormatting>
  <conditionalFormatting sqref="AV120:AW120 AY120:BC120">
    <cfRule type="expression" dxfId="506" priority="2347">
      <formula>AND(AV120&lt;&gt;"",#REF!="",OR(COLUMN(AV120)=COLUMN(#REF!),COLUMN(AV120)=COLUMN(#REF!)))</formula>
    </cfRule>
  </conditionalFormatting>
  <conditionalFormatting sqref="AU120">
    <cfRule type="expression" dxfId="505" priority="2346">
      <formula>AND(AU120&lt;&gt;"",#REF!="",OR(COLUMN(AU120)=COLUMN(#REF!),COLUMN(AU120)=COLUMN(#REF!)))</formula>
    </cfRule>
  </conditionalFormatting>
  <conditionalFormatting sqref="AV122:AW122 AY122:BC122">
    <cfRule type="expression" dxfId="504" priority="2345">
      <formula>AND(AV122&lt;&gt;"",#REF!="",OR(COLUMN(AV122)=COLUMN(#REF!),COLUMN(AV122)=COLUMN(#REF!)))</formula>
    </cfRule>
  </conditionalFormatting>
  <conditionalFormatting sqref="AU122">
    <cfRule type="expression" dxfId="503" priority="2344">
      <formula>AND(AU122&lt;&gt;"",#REF!="",OR(COLUMN(AU122)=COLUMN(#REF!),COLUMN(AU122)=COLUMN(#REF!)))</formula>
    </cfRule>
  </conditionalFormatting>
  <conditionalFormatting sqref="AV332:AW332 AY332:BC332">
    <cfRule type="expression" dxfId="502" priority="2343">
      <formula>AND(AV332&lt;&gt;"",#REF!="",OR(COLUMN(AV332)=COLUMN(#REF!),COLUMN(AV332)=COLUMN(#REF!)))</formula>
    </cfRule>
  </conditionalFormatting>
  <conditionalFormatting sqref="AU332">
    <cfRule type="expression" dxfId="501" priority="2342">
      <formula>AND(AU332&lt;&gt;"",#REF!="",OR(COLUMN(AU332)=COLUMN(#REF!),COLUMN(AU332)=COLUMN(#REF!)))</formula>
    </cfRule>
  </conditionalFormatting>
  <conditionalFormatting sqref="AV371:AW371 AY371:BC371">
    <cfRule type="expression" dxfId="500" priority="2341">
      <formula>AND(AV371&lt;&gt;"",#REF!="",OR(COLUMN(AV371)=COLUMN(#REF!),COLUMN(AV371)=COLUMN(#REF!)))</formula>
    </cfRule>
  </conditionalFormatting>
  <conditionalFormatting sqref="AU371">
    <cfRule type="expression" dxfId="499" priority="2340">
      <formula>AND(AU371&lt;&gt;"",#REF!="",OR(COLUMN(AU371)=COLUMN(#REF!),COLUMN(AU371)=COLUMN(#REF!)))</formula>
    </cfRule>
  </conditionalFormatting>
  <conditionalFormatting sqref="AV374:AW374 AY374:BC374">
    <cfRule type="expression" dxfId="498" priority="2339">
      <formula>AND(AV374&lt;&gt;"",#REF!="",OR(COLUMN(AV374)=COLUMN(#REF!),COLUMN(AV374)=COLUMN(#REF!)))</formula>
    </cfRule>
  </conditionalFormatting>
  <conditionalFormatting sqref="AU374">
    <cfRule type="expression" dxfId="497" priority="2338">
      <formula>AND(AU374&lt;&gt;"",#REF!="",OR(COLUMN(AU374)=COLUMN(#REF!),COLUMN(AU374)=COLUMN(#REF!)))</formula>
    </cfRule>
  </conditionalFormatting>
  <conditionalFormatting sqref="AV375:AW375 AY375:BC375">
    <cfRule type="expression" dxfId="496" priority="2337">
      <formula>AND(AV375&lt;&gt;"",#REF!="",OR(COLUMN(AV375)=COLUMN(#REF!),COLUMN(AV375)=COLUMN(#REF!)))</formula>
    </cfRule>
  </conditionalFormatting>
  <conditionalFormatting sqref="AU375">
    <cfRule type="expression" dxfId="495" priority="2336">
      <formula>AND(AU375&lt;&gt;"",#REF!="",OR(COLUMN(AU375)=COLUMN(#REF!),COLUMN(AU375)=COLUMN(#REF!)))</formula>
    </cfRule>
  </conditionalFormatting>
  <conditionalFormatting sqref="AV467:AW467 AY467:BC467">
    <cfRule type="expression" dxfId="494" priority="2331">
      <formula>AND(AV467&lt;&gt;"",#REF!="",OR(COLUMN(AV467)=COLUMN(#REF!),COLUMN(AV467)=COLUMN(#REF!)))</formula>
    </cfRule>
  </conditionalFormatting>
  <conditionalFormatting sqref="AU467">
    <cfRule type="expression" dxfId="493" priority="2330">
      <formula>AND(AU467&lt;&gt;"",#REF!="",OR(COLUMN(AU467)=COLUMN(#REF!),COLUMN(AU467)=COLUMN(#REF!)))</formula>
    </cfRule>
  </conditionalFormatting>
  <conditionalFormatting sqref="AV469:AW469 AY469:BC469">
    <cfRule type="expression" dxfId="492" priority="2329">
      <formula>AND(AV469&lt;&gt;"",#REF!="",OR(COLUMN(AV469)=COLUMN(#REF!),COLUMN(AV469)=COLUMN(#REF!)))</formula>
    </cfRule>
  </conditionalFormatting>
  <conditionalFormatting sqref="AU469">
    <cfRule type="expression" dxfId="491" priority="2328">
      <formula>AND(AU469&lt;&gt;"",#REF!="",OR(COLUMN(AU469)=COLUMN(#REF!),COLUMN(AU469)=COLUMN(#REF!)))</formula>
    </cfRule>
  </conditionalFormatting>
  <conditionalFormatting sqref="AV481:AW481 AY481:BC481">
    <cfRule type="expression" dxfId="490" priority="2323">
      <formula>AND(AV481&lt;&gt;"",#REF!="",OR(COLUMN(AV481)=COLUMN(#REF!),COLUMN(AV481)=COLUMN(#REF!)))</formula>
    </cfRule>
  </conditionalFormatting>
  <conditionalFormatting sqref="AU481">
    <cfRule type="expression" dxfId="489" priority="2322">
      <formula>AND(AU481&lt;&gt;"",#REF!="",OR(COLUMN(AU481)=COLUMN(#REF!),COLUMN(AU481)=COLUMN(#REF!)))</formula>
    </cfRule>
  </conditionalFormatting>
  <conditionalFormatting sqref="AV523:AW523 AY523:BC523">
    <cfRule type="expression" dxfId="488" priority="2315">
      <formula>AND(AV523&lt;&gt;"",#REF!="",OR(COLUMN(AV523)=COLUMN(#REF!),COLUMN(AV523)=COLUMN(#REF!)))</formula>
    </cfRule>
  </conditionalFormatting>
  <conditionalFormatting sqref="AU523">
    <cfRule type="expression" dxfId="487" priority="2314">
      <formula>AND(AU523&lt;&gt;"",#REF!="",OR(COLUMN(AU523)=COLUMN(#REF!),COLUMN(AU523)=COLUMN(#REF!)))</formula>
    </cfRule>
  </conditionalFormatting>
  <conditionalFormatting sqref="AV548:AW548 AY548:BC548">
    <cfRule type="expression" dxfId="486" priority="2313">
      <formula>AND(AV548&lt;&gt;"",#REF!="",OR(COLUMN(AV548)=COLUMN(#REF!),COLUMN(AV548)=COLUMN(#REF!)))</formula>
    </cfRule>
  </conditionalFormatting>
  <conditionalFormatting sqref="AU548">
    <cfRule type="expression" dxfId="485" priority="2312">
      <formula>AND(AU548&lt;&gt;"",#REF!="",OR(COLUMN(AU548)=COLUMN(#REF!),COLUMN(AU548)=COLUMN(#REF!)))</formula>
    </cfRule>
  </conditionalFormatting>
  <conditionalFormatting sqref="AV592:AW592 AY592:BC592">
    <cfRule type="expression" dxfId="484" priority="2309">
      <formula>AND(AV592&lt;&gt;"",#REF!="",OR(COLUMN(AV592)=COLUMN(#REF!),COLUMN(AV592)=COLUMN(#REF!)))</formula>
    </cfRule>
  </conditionalFormatting>
  <conditionalFormatting sqref="AU592">
    <cfRule type="expression" dxfId="483" priority="2308">
      <formula>AND(AU592&lt;&gt;"",#REF!="",OR(COLUMN(AU592)=COLUMN(#REF!),COLUMN(AU592)=COLUMN(#REF!)))</formula>
    </cfRule>
  </conditionalFormatting>
  <conditionalFormatting sqref="AV602:AW602 AY602:BC602">
    <cfRule type="expression" dxfId="482" priority="2307">
      <formula>AND(AV602&lt;&gt;"",#REF!="",OR(COLUMN(AV602)=COLUMN(#REF!),COLUMN(AV602)=COLUMN(#REF!)))</formula>
    </cfRule>
  </conditionalFormatting>
  <conditionalFormatting sqref="AU602">
    <cfRule type="expression" dxfId="481" priority="2306">
      <formula>AND(AU602&lt;&gt;"",#REF!="",OR(COLUMN(AU602)=COLUMN(#REF!),COLUMN(AU602)=COLUMN(#REF!)))</formula>
    </cfRule>
  </conditionalFormatting>
  <conditionalFormatting sqref="AV615:AW615 AY615:BC615">
    <cfRule type="expression" dxfId="480" priority="2305">
      <formula>AND(AV615&lt;&gt;"",#REF!="",OR(COLUMN(AV615)=COLUMN(#REF!),COLUMN(AV615)=COLUMN(#REF!)))</formula>
    </cfRule>
  </conditionalFormatting>
  <conditionalFormatting sqref="AU615">
    <cfRule type="expression" dxfId="479" priority="2304">
      <formula>AND(AU615&lt;&gt;"",#REF!="",OR(COLUMN(AU615)=COLUMN(#REF!),COLUMN(AU615)=COLUMN(#REF!)))</formula>
    </cfRule>
  </conditionalFormatting>
  <conditionalFormatting sqref="AV620:AW620 AY620:BC620">
    <cfRule type="expression" dxfId="478" priority="2303">
      <formula>AND(AV620&lt;&gt;"",#REF!="",OR(COLUMN(AV620)=COLUMN(#REF!),COLUMN(AV620)=COLUMN(#REF!)))</formula>
    </cfRule>
  </conditionalFormatting>
  <conditionalFormatting sqref="AU620">
    <cfRule type="expression" dxfId="477" priority="2302">
      <formula>AND(AU620&lt;&gt;"",#REF!="",OR(COLUMN(AU620)=COLUMN(#REF!),COLUMN(AU620)=COLUMN(#REF!)))</formula>
    </cfRule>
  </conditionalFormatting>
  <conditionalFormatting sqref="AV648:AW648 AY648:BC648">
    <cfRule type="expression" dxfId="476" priority="2301">
      <formula>AND(AV648&lt;&gt;"",#REF!="",OR(COLUMN(AV648)=COLUMN(#REF!),COLUMN(AV648)=COLUMN(#REF!)))</formula>
    </cfRule>
  </conditionalFormatting>
  <conditionalFormatting sqref="AU648">
    <cfRule type="expression" dxfId="475" priority="2300">
      <formula>AND(AU648&lt;&gt;"",#REF!="",OR(COLUMN(AU648)=COLUMN(#REF!),COLUMN(AU648)=COLUMN(#REF!)))</formula>
    </cfRule>
  </conditionalFormatting>
  <conditionalFormatting sqref="AV649:AW649 AY649:BC649">
    <cfRule type="expression" dxfId="474" priority="2299">
      <formula>AND(AV649&lt;&gt;"",#REF!="",OR(COLUMN(AV649)=COLUMN(#REF!),COLUMN(AV649)=COLUMN(#REF!)))</formula>
    </cfRule>
  </conditionalFormatting>
  <conditionalFormatting sqref="AU649">
    <cfRule type="expression" dxfId="473" priority="2298">
      <formula>AND(AU649&lt;&gt;"",#REF!="",OR(COLUMN(AU649)=COLUMN(#REF!),COLUMN(AU649)=COLUMN(#REF!)))</formula>
    </cfRule>
  </conditionalFormatting>
  <conditionalFormatting sqref="AV659:AW659 AY659:BC659">
    <cfRule type="expression" dxfId="472" priority="2297">
      <formula>AND(AV659&lt;&gt;"",#REF!="",OR(COLUMN(AV659)=COLUMN(#REF!),COLUMN(AV659)=COLUMN(#REF!)))</formula>
    </cfRule>
  </conditionalFormatting>
  <conditionalFormatting sqref="AU659">
    <cfRule type="expression" dxfId="471" priority="2296">
      <formula>AND(AU659&lt;&gt;"",#REF!="",OR(COLUMN(AU659)=COLUMN(#REF!),COLUMN(AU659)=COLUMN(#REF!)))</formula>
    </cfRule>
  </conditionalFormatting>
  <conditionalFormatting sqref="AV660:AW660 AY660:BC660">
    <cfRule type="expression" dxfId="470" priority="2295">
      <formula>AND(AV660&lt;&gt;"",#REF!="",OR(COLUMN(AV660)=COLUMN(#REF!),COLUMN(AV660)=COLUMN(#REF!)))</formula>
    </cfRule>
  </conditionalFormatting>
  <conditionalFormatting sqref="AU660">
    <cfRule type="expression" dxfId="469" priority="2294">
      <formula>AND(AU660&lt;&gt;"",#REF!="",OR(COLUMN(AU660)=COLUMN(#REF!),COLUMN(AU660)=COLUMN(#REF!)))</formula>
    </cfRule>
  </conditionalFormatting>
  <conditionalFormatting sqref="AV661:AW661 AY661:BC661">
    <cfRule type="expression" dxfId="468" priority="2293">
      <formula>AND(AV661&lt;&gt;"",#REF!="",OR(COLUMN(AV661)=COLUMN(#REF!),COLUMN(AV661)=COLUMN(#REF!)))</formula>
    </cfRule>
  </conditionalFormatting>
  <conditionalFormatting sqref="AU661">
    <cfRule type="expression" dxfId="467" priority="2292">
      <formula>AND(AU661&lt;&gt;"",#REF!="",OR(COLUMN(AU661)=COLUMN(#REF!),COLUMN(AU661)=COLUMN(#REF!)))</formula>
    </cfRule>
  </conditionalFormatting>
  <conditionalFormatting sqref="AV662:AW662 AY662:BC662">
    <cfRule type="expression" dxfId="466" priority="2291">
      <formula>AND(AV662&lt;&gt;"",#REF!="",OR(COLUMN(AV662)=COLUMN(#REF!),COLUMN(AV662)=COLUMN(#REF!)))</formula>
    </cfRule>
  </conditionalFormatting>
  <conditionalFormatting sqref="AU662">
    <cfRule type="expression" dxfId="465" priority="2290">
      <formula>AND(AU662&lt;&gt;"",#REF!="",OR(COLUMN(AU662)=COLUMN(#REF!),COLUMN(AU662)=COLUMN(#REF!)))</formula>
    </cfRule>
  </conditionalFormatting>
  <conditionalFormatting sqref="AV699:AW699 AY699:BC699">
    <cfRule type="expression" dxfId="464" priority="2289">
      <formula>AND(AV699&lt;&gt;"",#REF!="",OR(COLUMN(AV699)=COLUMN(#REF!),COLUMN(AV699)=COLUMN(#REF!)))</formula>
    </cfRule>
  </conditionalFormatting>
  <conditionalFormatting sqref="AU699">
    <cfRule type="expression" dxfId="463" priority="2288">
      <formula>AND(AU699&lt;&gt;"",#REF!="",OR(COLUMN(AU699)=COLUMN(#REF!),COLUMN(AU699)=COLUMN(#REF!)))</formula>
    </cfRule>
  </conditionalFormatting>
  <conditionalFormatting sqref="AV715:AW715 AY715:BC715">
    <cfRule type="expression" dxfId="462" priority="2287">
      <formula>AND(AV715&lt;&gt;"",#REF!="",OR(COLUMN(AV715)=COLUMN(#REF!),COLUMN(AV715)=COLUMN(#REF!)))</formula>
    </cfRule>
  </conditionalFormatting>
  <conditionalFormatting sqref="AU715">
    <cfRule type="expression" dxfId="461" priority="2286">
      <formula>AND(AU715&lt;&gt;"",#REF!="",OR(COLUMN(AU715)=COLUMN(#REF!),COLUMN(AU715)=COLUMN(#REF!)))</formula>
    </cfRule>
  </conditionalFormatting>
  <conditionalFormatting sqref="AV776:AW776 AY776:BC776">
    <cfRule type="expression" dxfId="460" priority="2285">
      <formula>AND(AV776&lt;&gt;"",#REF!="",OR(COLUMN(AV776)=COLUMN(#REF!),COLUMN(AV776)=COLUMN(#REF!)))</formula>
    </cfRule>
  </conditionalFormatting>
  <conditionalFormatting sqref="AU776">
    <cfRule type="expression" dxfId="459" priority="2284">
      <formula>AND(AU776&lt;&gt;"",#REF!="",OR(COLUMN(AU776)=COLUMN(#REF!),COLUMN(AU776)=COLUMN(#REF!)))</formula>
    </cfRule>
  </conditionalFormatting>
  <conditionalFormatting sqref="AV780:AW780 AY780:BC780">
    <cfRule type="expression" dxfId="458" priority="2283">
      <formula>AND(AV780&lt;&gt;"",#REF!="",OR(COLUMN(AV780)=COLUMN(#REF!),COLUMN(AV780)=COLUMN(#REF!)))</formula>
    </cfRule>
  </conditionalFormatting>
  <conditionalFormatting sqref="AU780">
    <cfRule type="expression" dxfId="457" priority="2282">
      <formula>AND(AU780&lt;&gt;"",#REF!="",OR(COLUMN(AU780)=COLUMN(#REF!),COLUMN(AU780)=COLUMN(#REF!)))</formula>
    </cfRule>
  </conditionalFormatting>
  <conditionalFormatting sqref="AV788:AW788 AY788:BC788">
    <cfRule type="expression" dxfId="456" priority="2281">
      <formula>AND(AV788&lt;&gt;"",#REF!="",OR(COLUMN(AV788)=COLUMN(#REF!),COLUMN(AV788)=COLUMN(#REF!)))</formula>
    </cfRule>
  </conditionalFormatting>
  <conditionalFormatting sqref="AU788">
    <cfRule type="expression" dxfId="455" priority="2280">
      <formula>AND(AU788&lt;&gt;"",#REF!="",OR(COLUMN(AU788)=COLUMN(#REF!),COLUMN(AU788)=COLUMN(#REF!)))</formula>
    </cfRule>
  </conditionalFormatting>
  <conditionalFormatting sqref="AV943:AW943 AY943:BC943">
    <cfRule type="expression" dxfId="454" priority="2279">
      <formula>AND(AV943&lt;&gt;"",#REF!="",OR(COLUMN(AV943)=COLUMN(#REF!),COLUMN(AV943)=COLUMN(#REF!)))</formula>
    </cfRule>
  </conditionalFormatting>
  <conditionalFormatting sqref="AU943">
    <cfRule type="expression" dxfId="453" priority="2278">
      <formula>AND(AU943&lt;&gt;"",#REF!="",OR(COLUMN(AU943)=COLUMN(#REF!),COLUMN(AU943)=COLUMN(#REF!)))</formula>
    </cfRule>
  </conditionalFormatting>
  <conditionalFormatting sqref="AV950:AW950 AY950:BC950">
    <cfRule type="expression" dxfId="452" priority="2277">
      <formula>AND(AV950&lt;&gt;"",#REF!="",OR(COLUMN(AV950)=COLUMN(#REF!),COLUMN(AV950)=COLUMN(#REF!)))</formula>
    </cfRule>
  </conditionalFormatting>
  <conditionalFormatting sqref="AU950">
    <cfRule type="expression" dxfId="451" priority="2276">
      <formula>AND(AU950&lt;&gt;"",#REF!="",OR(COLUMN(AU950)=COLUMN(#REF!),COLUMN(AU950)=COLUMN(#REF!)))</formula>
    </cfRule>
  </conditionalFormatting>
  <conditionalFormatting sqref="AV952:AW952 AY952:BC952">
    <cfRule type="expression" dxfId="450" priority="2273">
      <formula>AND(AV952&lt;&gt;"",#REF!="",OR(COLUMN(AV952)=COLUMN(#REF!),COLUMN(AV952)=COLUMN(#REF!)))</formula>
    </cfRule>
  </conditionalFormatting>
  <conditionalFormatting sqref="AU952">
    <cfRule type="expression" dxfId="449" priority="2272">
      <formula>AND(AU952&lt;&gt;"",#REF!="",OR(COLUMN(AU952)=COLUMN(#REF!),COLUMN(AU952)=COLUMN(#REF!)))</formula>
    </cfRule>
  </conditionalFormatting>
  <conditionalFormatting sqref="AV959:AW959 AY959:BC959">
    <cfRule type="expression" dxfId="448" priority="2271">
      <formula>AND(AV959&lt;&gt;"",#REF!="",OR(COLUMN(AV959)=COLUMN(#REF!),COLUMN(AV959)=COLUMN(#REF!)))</formula>
    </cfRule>
  </conditionalFormatting>
  <conditionalFormatting sqref="AU959">
    <cfRule type="expression" dxfId="447" priority="2270">
      <formula>AND(AU959&lt;&gt;"",#REF!="",OR(COLUMN(AU959)=COLUMN(#REF!),COLUMN(AU959)=COLUMN(#REF!)))</formula>
    </cfRule>
  </conditionalFormatting>
  <conditionalFormatting sqref="AV960:AW960 AY960:BC960">
    <cfRule type="expression" dxfId="446" priority="2269">
      <formula>AND(AV960&lt;&gt;"",#REF!="",OR(COLUMN(AV960)=COLUMN(#REF!),COLUMN(AV960)=COLUMN(#REF!)))</formula>
    </cfRule>
  </conditionalFormatting>
  <conditionalFormatting sqref="AU960">
    <cfRule type="expression" dxfId="445" priority="2268">
      <formula>AND(AU960&lt;&gt;"",#REF!="",OR(COLUMN(AU960)=COLUMN(#REF!),COLUMN(AU960)=COLUMN(#REF!)))</formula>
    </cfRule>
  </conditionalFormatting>
  <conditionalFormatting sqref="AV961:AW961 AY961:BC961">
    <cfRule type="expression" dxfId="444" priority="2267">
      <formula>AND(AV961&lt;&gt;"",#REF!="",OR(COLUMN(AV961)=COLUMN(#REF!),COLUMN(AV961)=COLUMN(#REF!)))</formula>
    </cfRule>
  </conditionalFormatting>
  <conditionalFormatting sqref="AU961">
    <cfRule type="expression" dxfId="443" priority="2266">
      <formula>AND(AU961&lt;&gt;"",#REF!="",OR(COLUMN(AU961)=COLUMN(#REF!),COLUMN(AU961)=COLUMN(#REF!)))</formula>
    </cfRule>
  </conditionalFormatting>
  <conditionalFormatting sqref="AV977:AW977 AY977:BC977">
    <cfRule type="expression" dxfId="442" priority="2265">
      <formula>AND(AV977&lt;&gt;"",#REF!="",OR(COLUMN(AV977)=COLUMN(#REF!),COLUMN(AV977)=COLUMN(#REF!)))</formula>
    </cfRule>
  </conditionalFormatting>
  <conditionalFormatting sqref="AU977">
    <cfRule type="expression" dxfId="441" priority="2264">
      <formula>AND(AU977&lt;&gt;"",#REF!="",OR(COLUMN(AU977)=COLUMN(#REF!),COLUMN(AU977)=COLUMN(#REF!)))</formula>
    </cfRule>
  </conditionalFormatting>
  <conditionalFormatting sqref="AV984:AW984 AY984:BC984">
    <cfRule type="expression" dxfId="440" priority="2259">
      <formula>AND(AV984&lt;&gt;"",#REF!="",OR(COLUMN(AV984)=COLUMN(#REF!),COLUMN(AV984)=COLUMN(#REF!)))</formula>
    </cfRule>
  </conditionalFormatting>
  <conditionalFormatting sqref="AU984">
    <cfRule type="expression" dxfId="439" priority="2258">
      <formula>AND(AU984&lt;&gt;"",#REF!="",OR(COLUMN(AU984)=COLUMN(#REF!),COLUMN(AU984)=COLUMN(#REF!)))</formula>
    </cfRule>
  </conditionalFormatting>
  <conditionalFormatting sqref="AV985:AW985 AY985:BC985">
    <cfRule type="expression" dxfId="438" priority="2257">
      <formula>AND(AV985&lt;&gt;"",#REF!="",OR(COLUMN(AV985)=COLUMN(#REF!),COLUMN(AV985)=COLUMN(#REF!)))</formula>
    </cfRule>
  </conditionalFormatting>
  <conditionalFormatting sqref="AU985">
    <cfRule type="expression" dxfId="437" priority="2256">
      <formula>AND(AU985&lt;&gt;"",#REF!="",OR(COLUMN(AU985)=COLUMN(#REF!),COLUMN(AU985)=COLUMN(#REF!)))</formula>
    </cfRule>
  </conditionalFormatting>
  <conditionalFormatting sqref="AV986:AW986 AY986:BC986">
    <cfRule type="expression" dxfId="436" priority="2255">
      <formula>AND(AV986&lt;&gt;"",#REF!="",OR(COLUMN(AV986)=COLUMN(#REF!),COLUMN(AV986)=COLUMN(#REF!)))</formula>
    </cfRule>
  </conditionalFormatting>
  <conditionalFormatting sqref="AU986">
    <cfRule type="expression" dxfId="435" priority="2254">
      <formula>AND(AU986&lt;&gt;"",#REF!="",OR(COLUMN(AU986)=COLUMN(#REF!),COLUMN(AU986)=COLUMN(#REF!)))</formula>
    </cfRule>
  </conditionalFormatting>
  <conditionalFormatting sqref="AV1034:AW1034 AY1034:BC1034">
    <cfRule type="expression" dxfId="434" priority="2251">
      <formula>AND(AV1034&lt;&gt;"",#REF!="",OR(COLUMN(AV1034)=COLUMN(#REF!),COLUMN(AV1034)=COLUMN(#REF!)))</formula>
    </cfRule>
  </conditionalFormatting>
  <conditionalFormatting sqref="AU1034">
    <cfRule type="expression" dxfId="433" priority="2250">
      <formula>AND(AU1034&lt;&gt;"",#REF!="",OR(COLUMN(AU1034)=COLUMN(#REF!),COLUMN(AU1034)=COLUMN(#REF!)))</formula>
    </cfRule>
  </conditionalFormatting>
  <conditionalFormatting sqref="AV1035:AW1035 AY1035:BC1035">
    <cfRule type="expression" dxfId="432" priority="2249">
      <formula>AND(AV1035&lt;&gt;"",#REF!="",OR(COLUMN(AV1035)=COLUMN(#REF!),COLUMN(AV1035)=COLUMN(#REF!)))</formula>
    </cfRule>
  </conditionalFormatting>
  <conditionalFormatting sqref="AU1035">
    <cfRule type="expression" dxfId="431" priority="2248">
      <formula>AND(AU1035&lt;&gt;"",#REF!="",OR(COLUMN(AU1035)=COLUMN(#REF!),COLUMN(AU1035)=COLUMN(#REF!)))</formula>
    </cfRule>
  </conditionalFormatting>
  <conditionalFormatting sqref="AV1036:AW1036 AY1036:BC1036">
    <cfRule type="expression" dxfId="430" priority="2247">
      <formula>AND(AV1036&lt;&gt;"",#REF!="",OR(COLUMN(AV1036)=COLUMN(#REF!),COLUMN(AV1036)=COLUMN(#REF!)))</formula>
    </cfRule>
  </conditionalFormatting>
  <conditionalFormatting sqref="AU1036">
    <cfRule type="expression" dxfId="429" priority="2246">
      <formula>AND(AU1036&lt;&gt;"",#REF!="",OR(COLUMN(AU1036)=COLUMN(#REF!),COLUMN(AU1036)=COLUMN(#REF!)))</formula>
    </cfRule>
  </conditionalFormatting>
  <conditionalFormatting sqref="AV1057:AW1057 AY1057:BC1057">
    <cfRule type="expression" dxfId="428" priority="2239">
      <formula>AND(AV1057&lt;&gt;"",#REF!="",OR(COLUMN(AV1057)=COLUMN(#REF!),COLUMN(AV1057)=COLUMN(#REF!)))</formula>
    </cfRule>
  </conditionalFormatting>
  <conditionalFormatting sqref="AU1057">
    <cfRule type="expression" dxfId="427" priority="2238">
      <formula>AND(AU1057&lt;&gt;"",#REF!="",OR(COLUMN(AU1057)=COLUMN(#REF!),COLUMN(AU1057)=COLUMN(#REF!)))</formula>
    </cfRule>
  </conditionalFormatting>
  <conditionalFormatting sqref="AV1070:AW1070 AY1070:BC1070">
    <cfRule type="expression" dxfId="426" priority="2235">
      <formula>AND(AV1070&lt;&gt;"",#REF!="",OR(COLUMN(AV1070)=COLUMN(#REF!),COLUMN(AV1070)=COLUMN(#REF!)))</formula>
    </cfRule>
  </conditionalFormatting>
  <conditionalFormatting sqref="AU1070">
    <cfRule type="expression" dxfId="425" priority="2234">
      <formula>AND(AU1070&lt;&gt;"",#REF!="",OR(COLUMN(AU1070)=COLUMN(#REF!),COLUMN(AU1070)=COLUMN(#REF!)))</formula>
    </cfRule>
  </conditionalFormatting>
  <conditionalFormatting sqref="AV1129:AW1129 AY1129:BC1129">
    <cfRule type="expression" dxfId="424" priority="2225">
      <formula>AND(AV1129&lt;&gt;"",#REF!="",OR(COLUMN(AV1129)=COLUMN(#REF!),COLUMN(AV1129)=COLUMN(#REF!)))</formula>
    </cfRule>
  </conditionalFormatting>
  <conditionalFormatting sqref="AU1129">
    <cfRule type="expression" dxfId="423" priority="2224">
      <formula>AND(AU1129&lt;&gt;"",#REF!="",OR(COLUMN(AU1129)=COLUMN(#REF!),COLUMN(AU1129)=COLUMN(#REF!)))</formula>
    </cfRule>
  </conditionalFormatting>
  <conditionalFormatting sqref="AV1142:AW1142 AY1142:BC1142">
    <cfRule type="expression" dxfId="422" priority="2223">
      <formula>AND(AV1142&lt;&gt;"",#REF!="",OR(COLUMN(AV1142)=COLUMN(#REF!),COLUMN(AV1142)=COLUMN(#REF!)))</formula>
    </cfRule>
  </conditionalFormatting>
  <conditionalFormatting sqref="AU1142">
    <cfRule type="expression" dxfId="421" priority="2222">
      <formula>AND(AU1142&lt;&gt;"",#REF!="",OR(COLUMN(AU1142)=COLUMN(#REF!),COLUMN(AU1142)=COLUMN(#REF!)))</formula>
    </cfRule>
  </conditionalFormatting>
  <conditionalFormatting sqref="AV1171:AW1171 AY1171:BC1171">
    <cfRule type="expression" dxfId="420" priority="2221">
      <formula>AND(AV1171&lt;&gt;"",#REF!="",OR(COLUMN(AV1171)=COLUMN(#REF!),COLUMN(AV1171)=COLUMN(#REF!)))</formula>
    </cfRule>
  </conditionalFormatting>
  <conditionalFormatting sqref="AU1171">
    <cfRule type="expression" dxfId="419" priority="2220">
      <formula>AND(AU1171&lt;&gt;"",#REF!="",OR(COLUMN(AU1171)=COLUMN(#REF!),COLUMN(AU1171)=COLUMN(#REF!)))</formula>
    </cfRule>
  </conditionalFormatting>
  <conditionalFormatting sqref="AV1176:AW1176 AY1176:BC1176">
    <cfRule type="expression" dxfId="418" priority="2219">
      <formula>AND(AV1176&lt;&gt;"",#REF!="",OR(COLUMN(AV1176)=COLUMN(#REF!),COLUMN(AV1176)=COLUMN(#REF!)))</formula>
    </cfRule>
  </conditionalFormatting>
  <conditionalFormatting sqref="AU1176">
    <cfRule type="expression" dxfId="417" priority="2218">
      <formula>AND(AU1176&lt;&gt;"",#REF!="",OR(COLUMN(AU1176)=COLUMN(#REF!),COLUMN(AU1176)=COLUMN(#REF!)))</formula>
    </cfRule>
  </conditionalFormatting>
  <conditionalFormatting sqref="AV1177:AW1177 AY1177:BC1177">
    <cfRule type="expression" dxfId="416" priority="2217">
      <formula>AND(AV1177&lt;&gt;"",#REF!="",OR(COLUMN(AV1177)=COLUMN(#REF!),COLUMN(AV1177)=COLUMN(#REF!)))</formula>
    </cfRule>
  </conditionalFormatting>
  <conditionalFormatting sqref="AU1177">
    <cfRule type="expression" dxfId="415" priority="2216">
      <formula>AND(AU1177&lt;&gt;"",#REF!="",OR(COLUMN(AU1177)=COLUMN(#REF!),COLUMN(AU1177)=COLUMN(#REF!)))</formula>
    </cfRule>
  </conditionalFormatting>
  <conditionalFormatting sqref="AV461:AW461 AY461:BC461">
    <cfRule type="expression" dxfId="414" priority="1973">
      <formula>AND(AV461&lt;&gt;"",#REF!="",OR(COLUMN(AV461)=COLUMN(#REF!),COLUMN(AV461)=COLUMN(#REF!)))</formula>
    </cfRule>
  </conditionalFormatting>
  <conditionalFormatting sqref="AU461">
    <cfRule type="expression" dxfId="413" priority="1972">
      <formula>AND(AU461&lt;&gt;"",#REF!="",OR(COLUMN(AU461)=COLUMN(#REF!),COLUMN(AU461)=COLUMN(#REF!)))</formula>
    </cfRule>
  </conditionalFormatting>
  <conditionalFormatting sqref="AV473:AW473 AY473:BC473">
    <cfRule type="expression" dxfId="412" priority="1971">
      <formula>AND(AV473&lt;&gt;"",#REF!="",OR(COLUMN(AV473)=COLUMN(#REF!),COLUMN(AV473)=COLUMN(#REF!)))</formula>
    </cfRule>
  </conditionalFormatting>
  <conditionalFormatting sqref="AU473">
    <cfRule type="expression" dxfId="411" priority="1970">
      <formula>AND(AU473&lt;&gt;"",#REF!="",OR(COLUMN(AU473)=COLUMN(#REF!),COLUMN(AU473)=COLUMN(#REF!)))</formula>
    </cfRule>
  </conditionalFormatting>
  <conditionalFormatting sqref="AV474:AW474 AY474:BC474">
    <cfRule type="expression" dxfId="410" priority="1969">
      <formula>AND(AV474&lt;&gt;"",#REF!="",OR(COLUMN(AV474)=COLUMN(#REF!),COLUMN(AV474)=COLUMN(#REF!)))</formula>
    </cfRule>
  </conditionalFormatting>
  <conditionalFormatting sqref="AU474">
    <cfRule type="expression" dxfId="409" priority="1968">
      <formula>AND(AU474&lt;&gt;"",#REF!="",OR(COLUMN(AU474)=COLUMN(#REF!),COLUMN(AU474)=COLUMN(#REF!)))</formula>
    </cfRule>
  </conditionalFormatting>
  <conditionalFormatting sqref="AV482:AW482 AY482:BC482">
    <cfRule type="expression" dxfId="408" priority="1967">
      <formula>AND(AV482&lt;&gt;"",#REF!="",OR(COLUMN(AV482)=COLUMN(#REF!),COLUMN(AV482)=COLUMN(#REF!)))</formula>
    </cfRule>
  </conditionalFormatting>
  <conditionalFormatting sqref="AU482">
    <cfRule type="expression" dxfId="407" priority="1966">
      <formula>AND(AU482&lt;&gt;"",#REF!="",OR(COLUMN(AU482)=COLUMN(#REF!),COLUMN(AU482)=COLUMN(#REF!)))</formula>
    </cfRule>
  </conditionalFormatting>
  <conditionalFormatting sqref="AV521:AW521 AY521:BC521">
    <cfRule type="expression" dxfId="406" priority="1965">
      <formula>AND(AV521&lt;&gt;"",#REF!="",OR(COLUMN(AV521)=COLUMN(#REF!),COLUMN(AV521)=COLUMN(#REF!)))</formula>
    </cfRule>
  </conditionalFormatting>
  <conditionalFormatting sqref="AU521">
    <cfRule type="expression" dxfId="405" priority="1964">
      <formula>AND(AU521&lt;&gt;"",#REF!="",OR(COLUMN(AU521)=COLUMN(#REF!),COLUMN(AU521)=COLUMN(#REF!)))</formula>
    </cfRule>
  </conditionalFormatting>
  <conditionalFormatting sqref="AV522:AW522 AY522:BC522">
    <cfRule type="expression" dxfId="404" priority="1963">
      <formula>AND(AV522&lt;&gt;"",#REF!="",OR(COLUMN(AV522)=COLUMN(#REF!),COLUMN(AV522)=COLUMN(#REF!)))</formula>
    </cfRule>
  </conditionalFormatting>
  <conditionalFormatting sqref="AU522">
    <cfRule type="expression" dxfId="403" priority="1962">
      <formula>AND(AU522&lt;&gt;"",#REF!="",OR(COLUMN(AU522)=COLUMN(#REF!),COLUMN(AU522)=COLUMN(#REF!)))</formula>
    </cfRule>
  </conditionalFormatting>
  <conditionalFormatting sqref="AV567:AW567 AY567:BC567">
    <cfRule type="expression" dxfId="402" priority="1961">
      <formula>AND(AV567&lt;&gt;"",#REF!="",OR(COLUMN(AV567)=COLUMN(#REF!),COLUMN(AV567)=COLUMN(#REF!)))</formula>
    </cfRule>
  </conditionalFormatting>
  <conditionalFormatting sqref="AU567">
    <cfRule type="expression" dxfId="401" priority="1960">
      <formula>AND(AU567&lt;&gt;"",#REF!="",OR(COLUMN(AU567)=COLUMN(#REF!),COLUMN(AU567)=COLUMN(#REF!)))</formula>
    </cfRule>
  </conditionalFormatting>
  <conditionalFormatting sqref="AV951:AW951 AY951:BC951">
    <cfRule type="expression" dxfId="400" priority="1959">
      <formula>AND(AV951&lt;&gt;"",#REF!="",OR(COLUMN(AV951)=COLUMN(#REF!),COLUMN(AV951)=COLUMN(#REF!)))</formula>
    </cfRule>
  </conditionalFormatting>
  <conditionalFormatting sqref="AU951">
    <cfRule type="expression" dxfId="399" priority="1958">
      <formula>AND(AU951&lt;&gt;"",#REF!="",OR(COLUMN(AU951)=COLUMN(#REF!),COLUMN(AU951)=COLUMN(#REF!)))</formula>
    </cfRule>
  </conditionalFormatting>
  <conditionalFormatting sqref="AV981:AW981 AY981:BC981">
    <cfRule type="expression" dxfId="398" priority="1957">
      <formula>AND(AV981&lt;&gt;"",#REF!="",OR(COLUMN(AV981)=COLUMN(#REF!),COLUMN(AV981)=COLUMN(#REF!)))</formula>
    </cfRule>
  </conditionalFormatting>
  <conditionalFormatting sqref="AU981">
    <cfRule type="expression" dxfId="397" priority="1956">
      <formula>AND(AU981&lt;&gt;"",#REF!="",OR(COLUMN(AU981)=COLUMN(#REF!),COLUMN(AU981)=COLUMN(#REF!)))</formula>
    </cfRule>
  </conditionalFormatting>
  <conditionalFormatting sqref="AV982:AW982 AY982:BC982">
    <cfRule type="expression" dxfId="396" priority="1955">
      <formula>AND(AV982&lt;&gt;"",#REF!="",OR(COLUMN(AV982)=COLUMN(#REF!),COLUMN(AV982)=COLUMN(#REF!)))</formula>
    </cfRule>
  </conditionalFormatting>
  <conditionalFormatting sqref="AU982">
    <cfRule type="expression" dxfId="395" priority="1954">
      <formula>AND(AU982&lt;&gt;"",#REF!="",OR(COLUMN(AU982)=COLUMN(#REF!),COLUMN(AU982)=COLUMN(#REF!)))</formula>
    </cfRule>
  </conditionalFormatting>
  <conditionalFormatting sqref="AV1002:AW1002 AY1002:BC1002">
    <cfRule type="expression" dxfId="394" priority="1953">
      <formula>AND(AV1002&lt;&gt;"",#REF!="",OR(COLUMN(AV1002)=COLUMN(#REF!),COLUMN(AV1002)=COLUMN(#REF!)))</formula>
    </cfRule>
  </conditionalFormatting>
  <conditionalFormatting sqref="AU1002">
    <cfRule type="expression" dxfId="393" priority="1952">
      <formula>AND(AU1002&lt;&gt;"",#REF!="",OR(COLUMN(AU1002)=COLUMN(#REF!),COLUMN(AU1002)=COLUMN(#REF!)))</formula>
    </cfRule>
  </conditionalFormatting>
  <conditionalFormatting sqref="AV1037:AW1037 AY1037:BC1037">
    <cfRule type="expression" dxfId="392" priority="1951">
      <formula>AND(AV1037&lt;&gt;"",#REF!="",OR(COLUMN(AV1037)=COLUMN(#REF!),COLUMN(AV1037)=COLUMN(#REF!)))</formula>
    </cfRule>
  </conditionalFormatting>
  <conditionalFormatting sqref="AU1037">
    <cfRule type="expression" dxfId="391" priority="1950">
      <formula>AND(AU1037&lt;&gt;"",#REF!="",OR(COLUMN(AU1037)=COLUMN(#REF!),COLUMN(AU1037)=COLUMN(#REF!)))</formula>
    </cfRule>
  </conditionalFormatting>
  <conditionalFormatting sqref="AV1050:AW1050 AY1050:BC1050">
    <cfRule type="expression" dxfId="390" priority="1949">
      <formula>AND(AV1050&lt;&gt;"",#REF!="",OR(COLUMN(AV1050)=COLUMN(#REF!),COLUMN(AV1050)=COLUMN(#REF!)))</formula>
    </cfRule>
  </conditionalFormatting>
  <conditionalFormatting sqref="AU1050">
    <cfRule type="expression" dxfId="389" priority="1948">
      <formula>AND(AU1050&lt;&gt;"",#REF!="",OR(COLUMN(AU1050)=COLUMN(#REF!),COLUMN(AU1050)=COLUMN(#REF!)))</formula>
    </cfRule>
  </conditionalFormatting>
  <conditionalFormatting sqref="AV1051:AW1051 AY1051:BC1051">
    <cfRule type="expression" dxfId="388" priority="1947">
      <formula>AND(AV1051&lt;&gt;"",#REF!="",OR(COLUMN(AV1051)=COLUMN(#REF!),COLUMN(AV1051)=COLUMN(#REF!)))</formula>
    </cfRule>
  </conditionalFormatting>
  <conditionalFormatting sqref="AU1051">
    <cfRule type="expression" dxfId="387" priority="1946">
      <formula>AND(AU1051&lt;&gt;"",#REF!="",OR(COLUMN(AU1051)=COLUMN(#REF!),COLUMN(AU1051)=COLUMN(#REF!)))</formula>
    </cfRule>
  </conditionalFormatting>
  <conditionalFormatting sqref="AV1067:AW1067 AY1067:BC1067">
    <cfRule type="expression" dxfId="386" priority="1945">
      <formula>AND(AV1067&lt;&gt;"",#REF!="",OR(COLUMN(AV1067)=COLUMN(#REF!),COLUMN(AV1067)=COLUMN(#REF!)))</formula>
    </cfRule>
  </conditionalFormatting>
  <conditionalFormatting sqref="AU1067">
    <cfRule type="expression" dxfId="385" priority="1944">
      <formula>AND(AU1067&lt;&gt;"",#REF!="",OR(COLUMN(AU1067)=COLUMN(#REF!),COLUMN(AU1067)=COLUMN(#REF!)))</formula>
    </cfRule>
  </conditionalFormatting>
  <conditionalFormatting sqref="AV1124:AW1124 AY1124:BC1124">
    <cfRule type="expression" dxfId="384" priority="1943">
      <formula>AND(AV1124&lt;&gt;"",#REF!="",OR(COLUMN(AV1124)=COLUMN(#REF!),COLUMN(AV1124)=COLUMN(#REF!)))</formula>
    </cfRule>
  </conditionalFormatting>
  <conditionalFormatting sqref="AU1124">
    <cfRule type="expression" dxfId="383" priority="1942">
      <formula>AND(AU1124&lt;&gt;"",#REF!="",OR(COLUMN(AU1124)=COLUMN(#REF!),COLUMN(AU1124)=COLUMN(#REF!)))</formula>
    </cfRule>
  </conditionalFormatting>
  <conditionalFormatting sqref="AV1125:AW1125 AY1125:BC1125">
    <cfRule type="expression" dxfId="382" priority="1941">
      <formula>AND(AV1125&lt;&gt;"",#REF!="",OR(COLUMN(AV1125)=COLUMN(#REF!),COLUMN(AV1125)=COLUMN(#REF!)))</formula>
    </cfRule>
  </conditionalFormatting>
  <conditionalFormatting sqref="AU1125">
    <cfRule type="expression" dxfId="381" priority="1940">
      <formula>AND(AU1125&lt;&gt;"",#REF!="",OR(COLUMN(AU1125)=COLUMN(#REF!),COLUMN(AU1125)=COLUMN(#REF!)))</formula>
    </cfRule>
  </conditionalFormatting>
  <conditionalFormatting sqref="AV1127:AW1127 AY1127:BC1127">
    <cfRule type="expression" dxfId="380" priority="1939">
      <formula>AND(AV1127&lt;&gt;"",#REF!="",OR(COLUMN(AV1127)=COLUMN(#REF!),COLUMN(AV1127)=COLUMN(#REF!)))</formula>
    </cfRule>
  </conditionalFormatting>
  <conditionalFormatting sqref="AU1127">
    <cfRule type="expression" dxfId="379" priority="1938">
      <formula>AND(AU1127&lt;&gt;"",#REF!="",OR(COLUMN(AU1127)=COLUMN(#REF!),COLUMN(AU1127)=COLUMN(#REF!)))</formula>
    </cfRule>
  </conditionalFormatting>
  <conditionalFormatting sqref="AV1128:AW1128 AY1128:BC1128">
    <cfRule type="expression" dxfId="378" priority="1937">
      <formula>AND(AV1128&lt;&gt;"",#REF!="",OR(COLUMN(AV1128)=COLUMN(#REF!),COLUMN(AV1128)=COLUMN(#REF!)))</formula>
    </cfRule>
  </conditionalFormatting>
  <conditionalFormatting sqref="AU1128">
    <cfRule type="expression" dxfId="377" priority="1936">
      <formula>AND(AU1128&lt;&gt;"",#REF!="",OR(COLUMN(AU1128)=COLUMN(#REF!),COLUMN(AU1128)=COLUMN(#REF!)))</formula>
    </cfRule>
  </conditionalFormatting>
  <conditionalFormatting sqref="AV1191:AW1191 AY1191:BC1191">
    <cfRule type="expression" dxfId="376" priority="1935">
      <formula>AND(AV1191&lt;&gt;"",#REF!="",OR(COLUMN(AV1191)=COLUMN(#REF!),COLUMN(AV1191)=COLUMN(#REF!)))</formula>
    </cfRule>
  </conditionalFormatting>
  <conditionalFormatting sqref="AU1191">
    <cfRule type="expression" dxfId="375" priority="1934">
      <formula>AND(AU1191&lt;&gt;"",#REF!="",OR(COLUMN(AU1191)=COLUMN(#REF!),COLUMN(AU1191)=COLUMN(#REF!)))</formula>
    </cfRule>
  </conditionalFormatting>
  <conditionalFormatting sqref="AV2:AW2 AY2:BC2">
    <cfRule type="expression" dxfId="374" priority="1766">
      <formula>AND(AV2&lt;&gt;"",#REF!="",OR(COLUMN(AV2)=COLUMN(#REF!),COLUMN(AV2)=COLUMN(#REF!)))</formula>
    </cfRule>
  </conditionalFormatting>
  <conditionalFormatting sqref="AU2">
    <cfRule type="expression" dxfId="373" priority="1765">
      <formula>AND(AU2&lt;&gt;"",#REF!="",OR(COLUMN(AU2)=COLUMN(#REF!),COLUMN(AU2)=COLUMN(#REF!)))</formula>
    </cfRule>
  </conditionalFormatting>
  <conditionalFormatting sqref="AV229:AW229 AY229:BC229">
    <cfRule type="expression" dxfId="372" priority="740">
      <formula>AND(AV229&lt;&gt;"",#REF!="",OR(COLUMN(AV229)=COLUMN(#REF!),COLUMN(AV229)=COLUMN(#REF!)))</formula>
    </cfRule>
  </conditionalFormatting>
  <conditionalFormatting sqref="AU229">
    <cfRule type="expression" dxfId="371" priority="739">
      <formula>AND(AU229&lt;&gt;"",#REF!="",OR(COLUMN(AU229)=COLUMN(#REF!),COLUMN(AU229)=COLUMN(#REF!)))</formula>
    </cfRule>
  </conditionalFormatting>
  <conditionalFormatting sqref="AV352:AW352 AY352:BC352">
    <cfRule type="expression" dxfId="370" priority="738">
      <formula>AND(AV352&lt;&gt;"",#REF!="",OR(COLUMN(AV352)=COLUMN(#REF!),COLUMN(AV352)=COLUMN(#REF!)))</formula>
    </cfRule>
  </conditionalFormatting>
  <conditionalFormatting sqref="AU352">
    <cfRule type="expression" dxfId="369" priority="737">
      <formula>AND(AU352&lt;&gt;"",#REF!="",OR(COLUMN(AU352)=COLUMN(#REF!),COLUMN(AU352)=COLUMN(#REF!)))</formula>
    </cfRule>
  </conditionalFormatting>
  <conditionalFormatting sqref="AV412:AW412 AY412:BC412">
    <cfRule type="expression" dxfId="368" priority="736">
      <formula>AND(AV412&lt;&gt;"",#REF!="",OR(COLUMN(AV412)=COLUMN(#REF!),COLUMN(AV412)=COLUMN(#REF!)))</formula>
    </cfRule>
  </conditionalFormatting>
  <conditionalFormatting sqref="AU412">
    <cfRule type="expression" dxfId="367" priority="735">
      <formula>AND(AU412&lt;&gt;"",#REF!="",OR(COLUMN(AU412)=COLUMN(#REF!),COLUMN(AU412)=COLUMN(#REF!)))</formula>
    </cfRule>
  </conditionalFormatting>
  <conditionalFormatting sqref="AV414:AW414 AY414:BC414">
    <cfRule type="expression" dxfId="366" priority="734">
      <formula>AND(AV414&lt;&gt;"",#REF!="",OR(COLUMN(AV414)=COLUMN(#REF!),COLUMN(AV414)=COLUMN(#REF!)))</formula>
    </cfRule>
  </conditionalFormatting>
  <conditionalFormatting sqref="AU414">
    <cfRule type="expression" dxfId="365" priority="733">
      <formula>AND(AU414&lt;&gt;"",#REF!="",OR(COLUMN(AU414)=COLUMN(#REF!),COLUMN(AU414)=COLUMN(#REF!)))</formula>
    </cfRule>
  </conditionalFormatting>
  <conditionalFormatting sqref="AV801:AW801 AY801:BC801">
    <cfRule type="expression" dxfId="364" priority="732">
      <formula>AND(AV801&lt;&gt;"",#REF!="",OR(COLUMN(AV801)=COLUMN(#REF!),COLUMN(AV801)=COLUMN(#REF!)))</formula>
    </cfRule>
  </conditionalFormatting>
  <conditionalFormatting sqref="AU801">
    <cfRule type="expression" dxfId="363" priority="731">
      <formula>AND(AU801&lt;&gt;"",#REF!="",OR(COLUMN(AU801)=COLUMN(#REF!),COLUMN(AU801)=COLUMN(#REF!)))</formula>
    </cfRule>
  </conditionalFormatting>
  <conditionalFormatting sqref="AV808:AW808 AY808:BC808">
    <cfRule type="expression" dxfId="362" priority="730">
      <formula>AND(AV808&lt;&gt;"",#REF!="",OR(COLUMN(AV808)=COLUMN(#REF!),COLUMN(AV808)=COLUMN(#REF!)))</formula>
    </cfRule>
  </conditionalFormatting>
  <conditionalFormatting sqref="AU808">
    <cfRule type="expression" dxfId="361" priority="729">
      <formula>AND(AU808&lt;&gt;"",#REF!="",OR(COLUMN(AU808)=COLUMN(#REF!),COLUMN(AU808)=COLUMN(#REF!)))</formula>
    </cfRule>
  </conditionalFormatting>
  <conditionalFormatting sqref="AV5:AW5 AY5:BC5">
    <cfRule type="expression" dxfId="360" priority="184">
      <formula>AND(AV5&lt;&gt;"",#REF!="",OR(COLUMN(AV5)=COLUMN(#REF!),COLUMN(AV5)=COLUMN(#REF!)))</formula>
    </cfRule>
  </conditionalFormatting>
  <conditionalFormatting sqref="AU5">
    <cfRule type="expression" dxfId="359" priority="183">
      <formula>AND(AU5&lt;&gt;"",#REF!="",OR(COLUMN(AU5)=COLUMN(#REF!),COLUMN(AU5)=COLUMN(#REF!)))</formula>
    </cfRule>
  </conditionalFormatting>
  <conditionalFormatting sqref="AV6:AW6 AY6:BC6">
    <cfRule type="expression" dxfId="358" priority="182">
      <formula>AND(AV6&lt;&gt;"",#REF!="",OR(COLUMN(AV6)=COLUMN(#REF!),COLUMN(AV6)=COLUMN(#REF!)))</formula>
    </cfRule>
  </conditionalFormatting>
  <conditionalFormatting sqref="AU6">
    <cfRule type="expression" dxfId="357" priority="181">
      <formula>AND(AU6&lt;&gt;"",#REF!="",OR(COLUMN(AU6)=COLUMN(#REF!),COLUMN(AU6)=COLUMN(#REF!)))</formula>
    </cfRule>
  </conditionalFormatting>
  <conditionalFormatting sqref="AV7:AW7 AY7:BC7">
    <cfRule type="expression" dxfId="356" priority="180">
      <formula>AND(AV7&lt;&gt;"",#REF!="",OR(COLUMN(AV7)=COLUMN(#REF!),COLUMN(AV7)=COLUMN(#REF!)))</formula>
    </cfRule>
  </conditionalFormatting>
  <conditionalFormatting sqref="AU7">
    <cfRule type="expression" dxfId="355" priority="179">
      <formula>AND(AU7&lt;&gt;"",#REF!="",OR(COLUMN(AU7)=COLUMN(#REF!),COLUMN(AU7)=COLUMN(#REF!)))</formula>
    </cfRule>
  </conditionalFormatting>
  <conditionalFormatting sqref="AV8:AW8 AY8:BC8">
    <cfRule type="expression" dxfId="354" priority="178">
      <formula>AND(AV8&lt;&gt;"",#REF!="",OR(COLUMN(AV8)=COLUMN(#REF!),COLUMN(AV8)=COLUMN(#REF!)))</formula>
    </cfRule>
  </conditionalFormatting>
  <conditionalFormatting sqref="AU8">
    <cfRule type="expression" dxfId="353" priority="177">
      <formula>AND(AU8&lt;&gt;"",#REF!="",OR(COLUMN(AU8)=COLUMN(#REF!),COLUMN(AU8)=COLUMN(#REF!)))</formula>
    </cfRule>
  </conditionalFormatting>
  <conditionalFormatting sqref="AV9:AW9 AY9:BC9">
    <cfRule type="expression" dxfId="352" priority="176">
      <formula>AND(AV9&lt;&gt;"",#REF!="",OR(COLUMN(AV9)=COLUMN(#REF!),COLUMN(AV9)=COLUMN(#REF!)))</formula>
    </cfRule>
  </conditionalFormatting>
  <conditionalFormatting sqref="AU9">
    <cfRule type="expression" dxfId="351" priority="175">
      <formula>AND(AU9&lt;&gt;"",#REF!="",OR(COLUMN(AU9)=COLUMN(#REF!),COLUMN(AU9)=COLUMN(#REF!)))</formula>
    </cfRule>
  </conditionalFormatting>
  <conditionalFormatting sqref="AV10:AW10 AY10:BC10">
    <cfRule type="expression" dxfId="350" priority="174">
      <formula>AND(AV10&lt;&gt;"",#REF!="",OR(COLUMN(AV10)=COLUMN(#REF!),COLUMN(AV10)=COLUMN(#REF!)))</formula>
    </cfRule>
  </conditionalFormatting>
  <conditionalFormatting sqref="AU10">
    <cfRule type="expression" dxfId="349" priority="173">
      <formula>AND(AU10&lt;&gt;"",#REF!="",OR(COLUMN(AU10)=COLUMN(#REF!),COLUMN(AU10)=COLUMN(#REF!)))</formula>
    </cfRule>
  </conditionalFormatting>
  <conditionalFormatting sqref="AV11:AW11 AY11:BC11">
    <cfRule type="expression" dxfId="348" priority="172">
      <formula>AND(AV11&lt;&gt;"",#REF!="",OR(COLUMN(AV11)=COLUMN(#REF!),COLUMN(AV11)=COLUMN(#REF!)))</formula>
    </cfRule>
  </conditionalFormatting>
  <conditionalFormatting sqref="AU11">
    <cfRule type="expression" dxfId="347" priority="171">
      <formula>AND(AU11&lt;&gt;"",#REF!="",OR(COLUMN(AU11)=COLUMN(#REF!),COLUMN(AU11)=COLUMN(#REF!)))</formula>
    </cfRule>
  </conditionalFormatting>
  <conditionalFormatting sqref="AV12:AW12 AY12:BC12">
    <cfRule type="expression" dxfId="346" priority="170">
      <formula>AND(AV12&lt;&gt;"",#REF!="",OR(COLUMN(AV12)=COLUMN(#REF!),COLUMN(AV12)=COLUMN(#REF!)))</formula>
    </cfRule>
  </conditionalFormatting>
  <conditionalFormatting sqref="AU12">
    <cfRule type="expression" dxfId="345" priority="169">
      <formula>AND(AU12&lt;&gt;"",#REF!="",OR(COLUMN(AU12)=COLUMN(#REF!),COLUMN(AU12)=COLUMN(#REF!)))</formula>
    </cfRule>
  </conditionalFormatting>
  <conditionalFormatting sqref="AV13:AW13 AY13:BC13">
    <cfRule type="expression" dxfId="344" priority="168">
      <formula>AND(AV13&lt;&gt;"",#REF!="",OR(COLUMN(AV13)=COLUMN(#REF!),COLUMN(AV13)=COLUMN(#REF!)))</formula>
    </cfRule>
  </conditionalFormatting>
  <conditionalFormatting sqref="AU13">
    <cfRule type="expression" dxfId="343" priority="167">
      <formula>AND(AU13&lt;&gt;"",#REF!="",OR(COLUMN(AU13)=COLUMN(#REF!),COLUMN(AU13)=COLUMN(#REF!)))</formula>
    </cfRule>
  </conditionalFormatting>
  <conditionalFormatting sqref="AV14:AW14 AY14:BC14">
    <cfRule type="expression" dxfId="342" priority="166">
      <formula>AND(AV14&lt;&gt;"",#REF!="",OR(COLUMN(AV14)=COLUMN(#REF!),COLUMN(AV14)=COLUMN(#REF!)))</formula>
    </cfRule>
  </conditionalFormatting>
  <conditionalFormatting sqref="AU14">
    <cfRule type="expression" dxfId="341" priority="165">
      <formula>AND(AU14&lt;&gt;"",#REF!="",OR(COLUMN(AU14)=COLUMN(#REF!),COLUMN(AU14)=COLUMN(#REF!)))</formula>
    </cfRule>
  </conditionalFormatting>
  <conditionalFormatting sqref="AV15:AW15 AY15:BC15">
    <cfRule type="expression" dxfId="340" priority="164">
      <formula>AND(AV15&lt;&gt;"",#REF!="",OR(COLUMN(AV15)=COLUMN(#REF!),COLUMN(AV15)=COLUMN(#REF!)))</formula>
    </cfRule>
  </conditionalFormatting>
  <conditionalFormatting sqref="AU15">
    <cfRule type="expression" dxfId="339" priority="163">
      <formula>AND(AU15&lt;&gt;"",#REF!="",OR(COLUMN(AU15)=COLUMN(#REF!),COLUMN(AU15)=COLUMN(#REF!)))</formula>
    </cfRule>
  </conditionalFormatting>
  <conditionalFormatting sqref="AV16:AW16 AY16:BC16">
    <cfRule type="expression" dxfId="338" priority="162">
      <formula>AND(AV16&lt;&gt;"",#REF!="",OR(COLUMN(AV16)=COLUMN(#REF!),COLUMN(AV16)=COLUMN(#REF!)))</formula>
    </cfRule>
  </conditionalFormatting>
  <conditionalFormatting sqref="AU16">
    <cfRule type="expression" dxfId="337" priority="161">
      <formula>AND(AU16&lt;&gt;"",#REF!="",OR(COLUMN(AU16)=COLUMN(#REF!),COLUMN(AU16)=COLUMN(#REF!)))</formula>
    </cfRule>
  </conditionalFormatting>
  <conditionalFormatting sqref="AV17:AW17 AY17:BC17">
    <cfRule type="expression" dxfId="336" priority="160">
      <formula>AND(AV17&lt;&gt;"",#REF!="",OR(COLUMN(AV17)=COLUMN(#REF!),COLUMN(AV17)=COLUMN(#REF!)))</formula>
    </cfRule>
  </conditionalFormatting>
  <conditionalFormatting sqref="AU17">
    <cfRule type="expression" dxfId="335" priority="159">
      <formula>AND(AU17&lt;&gt;"",#REF!="",OR(COLUMN(AU17)=COLUMN(#REF!),COLUMN(AU17)=COLUMN(#REF!)))</formula>
    </cfRule>
  </conditionalFormatting>
  <conditionalFormatting sqref="AV18:AW18 AY18:BC18">
    <cfRule type="expression" dxfId="334" priority="158">
      <formula>AND(AV18&lt;&gt;"",#REF!="",OR(COLUMN(AV18)=COLUMN(#REF!),COLUMN(AV18)=COLUMN(#REF!)))</formula>
    </cfRule>
  </conditionalFormatting>
  <conditionalFormatting sqref="AU18">
    <cfRule type="expression" dxfId="333" priority="157">
      <formula>AND(AU18&lt;&gt;"",#REF!="",OR(COLUMN(AU18)=COLUMN(#REF!),COLUMN(AU18)=COLUMN(#REF!)))</formula>
    </cfRule>
  </conditionalFormatting>
  <conditionalFormatting sqref="AV19:AW19 AY19:BC19">
    <cfRule type="expression" dxfId="332" priority="156">
      <formula>AND(AV19&lt;&gt;"",#REF!="",OR(COLUMN(AV19)=COLUMN(#REF!),COLUMN(AV19)=COLUMN(#REF!)))</formula>
    </cfRule>
  </conditionalFormatting>
  <conditionalFormatting sqref="AU19">
    <cfRule type="expression" dxfId="331" priority="155">
      <formula>AND(AU19&lt;&gt;"",#REF!="",OR(COLUMN(AU19)=COLUMN(#REF!),COLUMN(AU19)=COLUMN(#REF!)))</formula>
    </cfRule>
  </conditionalFormatting>
  <conditionalFormatting sqref="AV20:AW20 AY20:BC20">
    <cfRule type="expression" dxfId="330" priority="154">
      <formula>AND(AV20&lt;&gt;"",#REF!="",OR(COLUMN(AV20)=COLUMN(#REF!),COLUMN(AV20)=COLUMN(#REF!)))</formula>
    </cfRule>
  </conditionalFormatting>
  <conditionalFormatting sqref="AU20">
    <cfRule type="expression" dxfId="329" priority="153">
      <formula>AND(AU20&lt;&gt;"",#REF!="",OR(COLUMN(AU20)=COLUMN(#REF!),COLUMN(AU20)=COLUMN(#REF!)))</formula>
    </cfRule>
  </conditionalFormatting>
  <conditionalFormatting sqref="AV21:AW21 AY21:BC21">
    <cfRule type="expression" dxfId="328" priority="152">
      <formula>AND(AV21&lt;&gt;"",#REF!="",OR(COLUMN(AV21)=COLUMN(#REF!),COLUMN(AV21)=COLUMN(#REF!)))</formula>
    </cfRule>
  </conditionalFormatting>
  <conditionalFormatting sqref="AU21">
    <cfRule type="expression" dxfId="327" priority="151">
      <formula>AND(AU21&lt;&gt;"",#REF!="",OR(COLUMN(AU21)=COLUMN(#REF!),COLUMN(AU21)=COLUMN(#REF!)))</formula>
    </cfRule>
  </conditionalFormatting>
  <conditionalFormatting sqref="AV22:AW22 AY22:BC22">
    <cfRule type="expression" dxfId="326" priority="150">
      <formula>AND(AV22&lt;&gt;"",#REF!="",OR(COLUMN(AV22)=COLUMN(#REF!),COLUMN(AV22)=COLUMN(#REF!)))</formula>
    </cfRule>
  </conditionalFormatting>
  <conditionalFormatting sqref="AU22">
    <cfRule type="expression" dxfId="325" priority="149">
      <formula>AND(AU22&lt;&gt;"",#REF!="",OR(COLUMN(AU22)=COLUMN(#REF!),COLUMN(AU22)=COLUMN(#REF!)))</formula>
    </cfRule>
  </conditionalFormatting>
  <conditionalFormatting sqref="AV23:AW23 AY23:BC23">
    <cfRule type="expression" dxfId="324" priority="148">
      <formula>AND(AV23&lt;&gt;"",#REF!="",OR(COLUMN(AV23)=COLUMN(#REF!),COLUMN(AV23)=COLUMN(#REF!)))</formula>
    </cfRule>
  </conditionalFormatting>
  <conditionalFormatting sqref="AU23">
    <cfRule type="expression" dxfId="323" priority="147">
      <formula>AND(AU23&lt;&gt;"",#REF!="",OR(COLUMN(AU23)=COLUMN(#REF!),COLUMN(AU23)=COLUMN(#REF!)))</formula>
    </cfRule>
  </conditionalFormatting>
  <conditionalFormatting sqref="AV24:AW24 AY24:BC24">
    <cfRule type="expression" dxfId="322" priority="146">
      <formula>AND(AV24&lt;&gt;"",#REF!="",OR(COLUMN(AV24)=COLUMN(#REF!),COLUMN(AV24)=COLUMN(#REF!)))</formula>
    </cfRule>
  </conditionalFormatting>
  <conditionalFormatting sqref="AU24">
    <cfRule type="expression" dxfId="321" priority="145">
      <formula>AND(AU24&lt;&gt;"",#REF!="",OR(COLUMN(AU24)=COLUMN(#REF!),COLUMN(AU24)=COLUMN(#REF!)))</formula>
    </cfRule>
  </conditionalFormatting>
  <conditionalFormatting sqref="AV25:AW25 AY25:BC25">
    <cfRule type="expression" dxfId="320" priority="144">
      <formula>AND(AV25&lt;&gt;"",#REF!="",OR(COLUMN(AV25)=COLUMN(#REF!),COLUMN(AV25)=COLUMN(#REF!)))</formula>
    </cfRule>
  </conditionalFormatting>
  <conditionalFormatting sqref="AU25">
    <cfRule type="expression" dxfId="319" priority="143">
      <formula>AND(AU25&lt;&gt;"",#REF!="",OR(COLUMN(AU25)=COLUMN(#REF!),COLUMN(AU25)=COLUMN(#REF!)))</formula>
    </cfRule>
  </conditionalFormatting>
  <conditionalFormatting sqref="AV26:AW26 AY26:BC26">
    <cfRule type="expression" dxfId="318" priority="142">
      <formula>AND(AV26&lt;&gt;"",#REF!="",OR(COLUMN(AV26)=COLUMN(#REF!),COLUMN(AV26)=COLUMN(#REF!)))</formula>
    </cfRule>
  </conditionalFormatting>
  <conditionalFormatting sqref="AU26">
    <cfRule type="expression" dxfId="317" priority="141">
      <formula>AND(AU26&lt;&gt;"",#REF!="",OR(COLUMN(AU26)=COLUMN(#REF!),COLUMN(AU26)=COLUMN(#REF!)))</formula>
    </cfRule>
  </conditionalFormatting>
  <conditionalFormatting sqref="AV27:AW27 AY27:BC27">
    <cfRule type="expression" dxfId="316" priority="140">
      <formula>AND(AV27&lt;&gt;"",#REF!="",OR(COLUMN(AV27)=COLUMN(#REF!),COLUMN(AV27)=COLUMN(#REF!)))</formula>
    </cfRule>
  </conditionalFormatting>
  <conditionalFormatting sqref="AU27">
    <cfRule type="expression" dxfId="315" priority="139">
      <formula>AND(AU27&lt;&gt;"",#REF!="",OR(COLUMN(AU27)=COLUMN(#REF!),COLUMN(AU27)=COLUMN(#REF!)))</formula>
    </cfRule>
  </conditionalFormatting>
  <conditionalFormatting sqref="AV28:AW28 AY28:BC28">
    <cfRule type="expression" dxfId="314" priority="138">
      <formula>AND(AV28&lt;&gt;"",#REF!="",OR(COLUMN(AV28)=COLUMN(#REF!),COLUMN(AV28)=COLUMN(#REF!)))</formula>
    </cfRule>
  </conditionalFormatting>
  <conditionalFormatting sqref="AU28">
    <cfRule type="expression" dxfId="313" priority="137">
      <formula>AND(AU28&lt;&gt;"",#REF!="",OR(COLUMN(AU28)=COLUMN(#REF!),COLUMN(AU28)=COLUMN(#REF!)))</formula>
    </cfRule>
  </conditionalFormatting>
  <conditionalFormatting sqref="AV29:AW29 AY29:BC29">
    <cfRule type="expression" dxfId="312" priority="136">
      <formula>AND(AV29&lt;&gt;"",#REF!="",OR(COLUMN(AV29)=COLUMN(#REF!),COLUMN(AV29)=COLUMN(#REF!)))</formula>
    </cfRule>
  </conditionalFormatting>
  <conditionalFormatting sqref="AU29">
    <cfRule type="expression" dxfId="311" priority="135">
      <formula>AND(AU29&lt;&gt;"",#REF!="",OR(COLUMN(AU29)=COLUMN(#REF!),COLUMN(AU29)=COLUMN(#REF!)))</formula>
    </cfRule>
  </conditionalFormatting>
  <conditionalFormatting sqref="AV30:AW30 AY30:BC30">
    <cfRule type="expression" dxfId="310" priority="134">
      <formula>AND(AV30&lt;&gt;"",#REF!="",OR(COLUMN(AV30)=COLUMN(#REF!),COLUMN(AV30)=COLUMN(#REF!)))</formula>
    </cfRule>
  </conditionalFormatting>
  <conditionalFormatting sqref="AU30">
    <cfRule type="expression" dxfId="309" priority="133">
      <formula>AND(AU30&lt;&gt;"",#REF!="",OR(COLUMN(AU30)=COLUMN(#REF!),COLUMN(AU30)=COLUMN(#REF!)))</formula>
    </cfRule>
  </conditionalFormatting>
  <conditionalFormatting sqref="AV31:AW31 AY31:BC31">
    <cfRule type="expression" dxfId="308" priority="132">
      <formula>AND(AV31&lt;&gt;"",#REF!="",OR(COLUMN(AV31)=COLUMN(#REF!),COLUMN(AV31)=COLUMN(#REF!)))</formula>
    </cfRule>
  </conditionalFormatting>
  <conditionalFormatting sqref="AU31">
    <cfRule type="expression" dxfId="307" priority="131">
      <formula>AND(AU31&lt;&gt;"",#REF!="",OR(COLUMN(AU31)=COLUMN(#REF!),COLUMN(AU31)=COLUMN(#REF!)))</formula>
    </cfRule>
  </conditionalFormatting>
  <conditionalFormatting sqref="AV32:AW32 AY32:BC32">
    <cfRule type="expression" dxfId="306" priority="130">
      <formula>AND(AV32&lt;&gt;"",#REF!="",OR(COLUMN(AV32)=COLUMN(#REF!),COLUMN(AV32)=COLUMN(#REF!)))</formula>
    </cfRule>
  </conditionalFormatting>
  <conditionalFormatting sqref="AU32">
    <cfRule type="expression" dxfId="305" priority="129">
      <formula>AND(AU32&lt;&gt;"",#REF!="",OR(COLUMN(AU32)=COLUMN(#REF!),COLUMN(AU32)=COLUMN(#REF!)))</formula>
    </cfRule>
  </conditionalFormatting>
  <conditionalFormatting sqref="AV33:AW33 AY33:BC33">
    <cfRule type="expression" dxfId="304" priority="128">
      <formula>AND(AV33&lt;&gt;"",#REF!="",OR(COLUMN(AV33)=COLUMN(#REF!),COLUMN(AV33)=COLUMN(#REF!)))</formula>
    </cfRule>
  </conditionalFormatting>
  <conditionalFormatting sqref="AU33">
    <cfRule type="expression" dxfId="303" priority="127">
      <formula>AND(AU33&lt;&gt;"",#REF!="",OR(COLUMN(AU33)=COLUMN(#REF!),COLUMN(AU33)=COLUMN(#REF!)))</formula>
    </cfRule>
  </conditionalFormatting>
  <conditionalFormatting sqref="AV34:AW34 AY34:BC34">
    <cfRule type="expression" dxfId="302" priority="126">
      <formula>AND(AV34&lt;&gt;"",#REF!="",OR(COLUMN(AV34)=COLUMN(#REF!),COLUMN(AV34)=COLUMN(#REF!)))</formula>
    </cfRule>
  </conditionalFormatting>
  <conditionalFormatting sqref="AU34">
    <cfRule type="expression" dxfId="301" priority="125">
      <formula>AND(AU34&lt;&gt;"",#REF!="",OR(COLUMN(AU34)=COLUMN(#REF!),COLUMN(AU34)=COLUMN(#REF!)))</formula>
    </cfRule>
  </conditionalFormatting>
  <conditionalFormatting sqref="AV35:AW35 AY35:BC35">
    <cfRule type="expression" dxfId="300" priority="124">
      <formula>AND(AV35&lt;&gt;"",#REF!="",OR(COLUMN(AV35)=COLUMN(#REF!),COLUMN(AV35)=COLUMN(#REF!)))</formula>
    </cfRule>
  </conditionalFormatting>
  <conditionalFormatting sqref="AU35">
    <cfRule type="expression" dxfId="299" priority="123">
      <formula>AND(AU35&lt;&gt;"",#REF!="",OR(COLUMN(AU35)=COLUMN(#REF!),COLUMN(AU35)=COLUMN(#REF!)))</formula>
    </cfRule>
  </conditionalFormatting>
  <conditionalFormatting sqref="AV36:AW36 AY36:BC36">
    <cfRule type="expression" dxfId="298" priority="122">
      <formula>AND(AV36&lt;&gt;"",#REF!="",OR(COLUMN(AV36)=COLUMN(#REF!),COLUMN(AV36)=COLUMN(#REF!)))</formula>
    </cfRule>
  </conditionalFormatting>
  <conditionalFormatting sqref="AU36">
    <cfRule type="expression" dxfId="297" priority="121">
      <formula>AND(AU36&lt;&gt;"",#REF!="",OR(COLUMN(AU36)=COLUMN(#REF!),COLUMN(AU36)=COLUMN(#REF!)))</formula>
    </cfRule>
  </conditionalFormatting>
  <conditionalFormatting sqref="AV37:AW37 AY37:BC37">
    <cfRule type="expression" dxfId="296" priority="120">
      <formula>AND(AV37&lt;&gt;"",#REF!="",OR(COLUMN(AV37)=COLUMN(#REF!),COLUMN(AV37)=COLUMN(#REF!)))</formula>
    </cfRule>
  </conditionalFormatting>
  <conditionalFormatting sqref="AU37">
    <cfRule type="expression" dxfId="295" priority="119">
      <formula>AND(AU37&lt;&gt;"",#REF!="",OR(COLUMN(AU37)=COLUMN(#REF!),COLUMN(AU37)=COLUMN(#REF!)))</formula>
    </cfRule>
  </conditionalFormatting>
  <conditionalFormatting sqref="AV38:AW38 AY38:BC38">
    <cfRule type="expression" dxfId="294" priority="118">
      <formula>AND(AV38&lt;&gt;"",#REF!="",OR(COLUMN(AV38)=COLUMN(#REF!),COLUMN(AV38)=COLUMN(#REF!)))</formula>
    </cfRule>
  </conditionalFormatting>
  <conditionalFormatting sqref="AU38">
    <cfRule type="expression" dxfId="293" priority="117">
      <formula>AND(AU38&lt;&gt;"",#REF!="",OR(COLUMN(AU38)=COLUMN(#REF!),COLUMN(AU38)=COLUMN(#REF!)))</formula>
    </cfRule>
  </conditionalFormatting>
  <conditionalFormatting sqref="AV39:AW39 AY39:BC39">
    <cfRule type="expression" dxfId="292" priority="116">
      <formula>AND(AV39&lt;&gt;"",#REF!="",OR(COLUMN(AV39)=COLUMN(#REF!),COLUMN(AV39)=COLUMN(#REF!)))</formula>
    </cfRule>
  </conditionalFormatting>
  <conditionalFormatting sqref="AU39">
    <cfRule type="expression" dxfId="291" priority="115">
      <formula>AND(AU39&lt;&gt;"",#REF!="",OR(COLUMN(AU39)=COLUMN(#REF!),COLUMN(AU39)=COLUMN(#REF!)))</formula>
    </cfRule>
  </conditionalFormatting>
  <conditionalFormatting sqref="AV40:AW40 AY40:BC40">
    <cfRule type="expression" dxfId="290" priority="114">
      <formula>AND(AV40&lt;&gt;"",#REF!="",OR(COLUMN(AV40)=COLUMN(#REF!),COLUMN(AV40)=COLUMN(#REF!)))</formula>
    </cfRule>
  </conditionalFormatting>
  <conditionalFormatting sqref="AU40">
    <cfRule type="expression" dxfId="289" priority="113">
      <formula>AND(AU40&lt;&gt;"",#REF!="",OR(COLUMN(AU40)=COLUMN(#REF!),COLUMN(AU40)=COLUMN(#REF!)))</formula>
    </cfRule>
  </conditionalFormatting>
  <conditionalFormatting sqref="AV41:AW41 AY41:BC41">
    <cfRule type="expression" dxfId="288" priority="112">
      <formula>AND(AV41&lt;&gt;"",#REF!="",OR(COLUMN(AV41)=COLUMN(#REF!),COLUMN(AV41)=COLUMN(#REF!)))</formula>
    </cfRule>
  </conditionalFormatting>
  <conditionalFormatting sqref="AU41">
    <cfRule type="expression" dxfId="287" priority="111">
      <formula>AND(AU41&lt;&gt;"",#REF!="",OR(COLUMN(AU41)=COLUMN(#REF!),COLUMN(AU41)=COLUMN(#REF!)))</formula>
    </cfRule>
  </conditionalFormatting>
  <conditionalFormatting sqref="AV42:AW42 AY42:BC42">
    <cfRule type="expression" dxfId="286" priority="110">
      <formula>AND(AV42&lt;&gt;"",#REF!="",OR(COLUMN(AV42)=COLUMN(#REF!),COLUMN(AV42)=COLUMN(#REF!)))</formula>
    </cfRule>
  </conditionalFormatting>
  <conditionalFormatting sqref="AU42">
    <cfRule type="expression" dxfId="285" priority="109">
      <formula>AND(AU42&lt;&gt;"",#REF!="",OR(COLUMN(AU42)=COLUMN(#REF!),COLUMN(AU42)=COLUMN(#REF!)))</formula>
    </cfRule>
  </conditionalFormatting>
  <conditionalFormatting sqref="AV43:AW43 AY43:BC43">
    <cfRule type="expression" dxfId="284" priority="108">
      <formula>AND(AV43&lt;&gt;"",#REF!="",OR(COLUMN(AV43)=COLUMN(#REF!),COLUMN(AV43)=COLUMN(#REF!)))</formula>
    </cfRule>
  </conditionalFormatting>
  <conditionalFormatting sqref="AU43">
    <cfRule type="expression" dxfId="283" priority="107">
      <formula>AND(AU43&lt;&gt;"",#REF!="",OR(COLUMN(AU43)=COLUMN(#REF!),COLUMN(AU43)=COLUMN(#REF!)))</formula>
    </cfRule>
  </conditionalFormatting>
  <conditionalFormatting sqref="AV44:AW44 AY44:BC44">
    <cfRule type="expression" dxfId="282" priority="106">
      <formula>AND(AV44&lt;&gt;"",#REF!="",OR(COLUMN(AV44)=COLUMN(#REF!),COLUMN(AV44)=COLUMN(#REF!)))</formula>
    </cfRule>
  </conditionalFormatting>
  <conditionalFormatting sqref="AU44">
    <cfRule type="expression" dxfId="281" priority="105">
      <formula>AND(AU44&lt;&gt;"",#REF!="",OR(COLUMN(AU44)=COLUMN(#REF!),COLUMN(AU44)=COLUMN(#REF!)))</formula>
    </cfRule>
  </conditionalFormatting>
  <conditionalFormatting sqref="AV45:AW45 AY45:BC45">
    <cfRule type="expression" dxfId="280" priority="104">
      <formula>AND(AV45&lt;&gt;"",#REF!="",OR(COLUMN(AV45)=COLUMN(#REF!),COLUMN(AV45)=COLUMN(#REF!)))</formula>
    </cfRule>
  </conditionalFormatting>
  <conditionalFormatting sqref="AU45">
    <cfRule type="expression" dxfId="279" priority="103">
      <formula>AND(AU45&lt;&gt;"",#REF!="",OR(COLUMN(AU45)=COLUMN(#REF!),COLUMN(AU45)=COLUMN(#REF!)))</formula>
    </cfRule>
  </conditionalFormatting>
  <conditionalFormatting sqref="AV46:AW46 AY46:BC46">
    <cfRule type="expression" dxfId="278" priority="102">
      <formula>AND(AV46&lt;&gt;"",#REF!="",OR(COLUMN(AV46)=COLUMN(#REF!),COLUMN(AV46)=COLUMN(#REF!)))</formula>
    </cfRule>
  </conditionalFormatting>
  <conditionalFormatting sqref="AU46">
    <cfRule type="expression" dxfId="277" priority="101">
      <formula>AND(AU46&lt;&gt;"",#REF!="",OR(COLUMN(AU46)=COLUMN(#REF!),COLUMN(AU46)=COLUMN(#REF!)))</formula>
    </cfRule>
  </conditionalFormatting>
  <conditionalFormatting sqref="AV47:AW47 AY47:BC47">
    <cfRule type="expression" dxfId="276" priority="100">
      <formula>AND(AV47&lt;&gt;"",#REF!="",OR(COLUMN(AV47)=COLUMN(#REF!),COLUMN(AV47)=COLUMN(#REF!)))</formula>
    </cfRule>
  </conditionalFormatting>
  <conditionalFormatting sqref="AU47">
    <cfRule type="expression" dxfId="275" priority="99">
      <formula>AND(AU47&lt;&gt;"",#REF!="",OR(COLUMN(AU47)=COLUMN(#REF!),COLUMN(AU47)=COLUMN(#REF!)))</formula>
    </cfRule>
  </conditionalFormatting>
  <conditionalFormatting sqref="AV48:AW48 AY48:BC48">
    <cfRule type="expression" dxfId="274" priority="98">
      <formula>AND(AV48&lt;&gt;"",#REF!="",OR(COLUMN(AV48)=COLUMN(#REF!),COLUMN(AV48)=COLUMN(#REF!)))</formula>
    </cfRule>
  </conditionalFormatting>
  <conditionalFormatting sqref="AU48">
    <cfRule type="expression" dxfId="273" priority="97">
      <formula>AND(AU48&lt;&gt;"",#REF!="",OR(COLUMN(AU48)=COLUMN(#REF!),COLUMN(AU48)=COLUMN(#REF!)))</formula>
    </cfRule>
  </conditionalFormatting>
  <conditionalFormatting sqref="AV49:AW49 AY49:BC49">
    <cfRule type="expression" dxfId="272" priority="96">
      <formula>AND(AV49&lt;&gt;"",#REF!="",OR(COLUMN(AV49)=COLUMN(#REF!),COLUMN(AV49)=COLUMN(#REF!)))</formula>
    </cfRule>
  </conditionalFormatting>
  <conditionalFormatting sqref="AU49">
    <cfRule type="expression" dxfId="271" priority="95">
      <formula>AND(AU49&lt;&gt;"",#REF!="",OR(COLUMN(AU49)=COLUMN(#REF!),COLUMN(AU49)=COLUMN(#REF!)))</formula>
    </cfRule>
  </conditionalFormatting>
  <conditionalFormatting sqref="AV50:AW50 AY50:BC50">
    <cfRule type="expression" dxfId="270" priority="94">
      <formula>AND(AV50&lt;&gt;"",#REF!="",OR(COLUMN(AV50)=COLUMN(#REF!),COLUMN(AV50)=COLUMN(#REF!)))</formula>
    </cfRule>
  </conditionalFormatting>
  <conditionalFormatting sqref="AU50">
    <cfRule type="expression" dxfId="269" priority="93">
      <formula>AND(AU50&lt;&gt;"",#REF!="",OR(COLUMN(AU50)=COLUMN(#REF!),COLUMN(AU50)=COLUMN(#REF!)))</formula>
    </cfRule>
  </conditionalFormatting>
  <conditionalFormatting sqref="AV51:AW51 AY51:BC51">
    <cfRule type="expression" dxfId="268" priority="92">
      <formula>AND(AV51&lt;&gt;"",#REF!="",OR(COLUMN(AV51)=COLUMN(#REF!),COLUMN(AV51)=COLUMN(#REF!)))</formula>
    </cfRule>
  </conditionalFormatting>
  <conditionalFormatting sqref="AU51">
    <cfRule type="expression" dxfId="267" priority="91">
      <formula>AND(AU51&lt;&gt;"",#REF!="",OR(COLUMN(AU51)=COLUMN(#REF!),COLUMN(AU51)=COLUMN(#REF!)))</formula>
    </cfRule>
  </conditionalFormatting>
  <conditionalFormatting sqref="AV52:AW52 AY52:BC52">
    <cfRule type="expression" dxfId="266" priority="90">
      <formula>AND(AV52&lt;&gt;"",#REF!="",OR(COLUMN(AV52)=COLUMN(#REF!),COLUMN(AV52)=COLUMN(#REF!)))</formula>
    </cfRule>
  </conditionalFormatting>
  <conditionalFormatting sqref="AU52">
    <cfRule type="expression" dxfId="265" priority="89">
      <formula>AND(AU52&lt;&gt;"",#REF!="",OR(COLUMN(AU52)=COLUMN(#REF!),COLUMN(AU52)=COLUMN(#REF!)))</formula>
    </cfRule>
  </conditionalFormatting>
  <conditionalFormatting sqref="AV53:AW53 AY53:BC53">
    <cfRule type="expression" dxfId="264" priority="88">
      <formula>AND(AV53&lt;&gt;"",#REF!="",OR(COLUMN(AV53)=COLUMN(#REF!),COLUMN(AV53)=COLUMN(#REF!)))</formula>
    </cfRule>
  </conditionalFormatting>
  <conditionalFormatting sqref="AU53">
    <cfRule type="expression" dxfId="263" priority="87">
      <formula>AND(AU53&lt;&gt;"",#REF!="",OR(COLUMN(AU53)=COLUMN(#REF!),COLUMN(AU53)=COLUMN(#REF!)))</formula>
    </cfRule>
  </conditionalFormatting>
  <conditionalFormatting sqref="AV54:AW54 AY54:BC54">
    <cfRule type="expression" dxfId="262" priority="86">
      <formula>AND(AV54&lt;&gt;"",#REF!="",OR(COLUMN(AV54)=COLUMN(#REF!),COLUMN(AV54)=COLUMN(#REF!)))</formula>
    </cfRule>
  </conditionalFormatting>
  <conditionalFormatting sqref="AU54">
    <cfRule type="expression" dxfId="261" priority="85">
      <formula>AND(AU54&lt;&gt;"",#REF!="",OR(COLUMN(AU54)=COLUMN(#REF!),COLUMN(AU54)=COLUMN(#REF!)))</formula>
    </cfRule>
  </conditionalFormatting>
  <conditionalFormatting sqref="AV55:AW55 AY55:BC55">
    <cfRule type="expression" dxfId="260" priority="84">
      <formula>AND(AV55&lt;&gt;"",#REF!="",OR(COLUMN(AV55)=COLUMN(#REF!),COLUMN(AV55)=COLUMN(#REF!)))</formula>
    </cfRule>
  </conditionalFormatting>
  <conditionalFormatting sqref="AU55">
    <cfRule type="expression" dxfId="259" priority="83">
      <formula>AND(AU55&lt;&gt;"",#REF!="",OR(COLUMN(AU55)=COLUMN(#REF!),COLUMN(AU55)=COLUMN(#REF!)))</formula>
    </cfRule>
  </conditionalFormatting>
  <conditionalFormatting sqref="AV56:AW56 AY56:BC56">
    <cfRule type="expression" dxfId="258" priority="82">
      <formula>AND(AV56&lt;&gt;"",#REF!="",OR(COLUMN(AV56)=COLUMN(#REF!),COLUMN(AV56)=COLUMN(#REF!)))</formula>
    </cfRule>
  </conditionalFormatting>
  <conditionalFormatting sqref="AU56">
    <cfRule type="expression" dxfId="257" priority="81">
      <formula>AND(AU56&lt;&gt;"",#REF!="",OR(COLUMN(AU56)=COLUMN(#REF!),COLUMN(AU56)=COLUMN(#REF!)))</formula>
    </cfRule>
  </conditionalFormatting>
  <conditionalFormatting sqref="AV57:AW57 AY57:BC57">
    <cfRule type="expression" dxfId="256" priority="80">
      <formula>AND(AV57&lt;&gt;"",#REF!="",OR(COLUMN(AV57)=COLUMN(#REF!),COLUMN(AV57)=COLUMN(#REF!)))</formula>
    </cfRule>
  </conditionalFormatting>
  <conditionalFormatting sqref="AU57">
    <cfRule type="expression" dxfId="255" priority="79">
      <formula>AND(AU57&lt;&gt;"",#REF!="",OR(COLUMN(AU57)=COLUMN(#REF!),COLUMN(AU57)=COLUMN(#REF!)))</formula>
    </cfRule>
  </conditionalFormatting>
  <conditionalFormatting sqref="AV58:AW58 AY58:BC58">
    <cfRule type="expression" dxfId="254" priority="78">
      <formula>AND(AV58&lt;&gt;"",#REF!="",OR(COLUMN(AV58)=COLUMN(#REF!),COLUMN(AV58)=COLUMN(#REF!)))</formula>
    </cfRule>
  </conditionalFormatting>
  <conditionalFormatting sqref="AU58">
    <cfRule type="expression" dxfId="253" priority="77">
      <formula>AND(AU58&lt;&gt;"",#REF!="",OR(COLUMN(AU58)=COLUMN(#REF!),COLUMN(AU58)=COLUMN(#REF!)))</formula>
    </cfRule>
  </conditionalFormatting>
  <conditionalFormatting sqref="AV59:AW59 AY59:BC59">
    <cfRule type="expression" dxfId="252" priority="76">
      <formula>AND(AV59&lt;&gt;"",#REF!="",OR(COLUMN(AV59)=COLUMN(#REF!),COLUMN(AV59)=COLUMN(#REF!)))</formula>
    </cfRule>
  </conditionalFormatting>
  <conditionalFormatting sqref="AU59">
    <cfRule type="expression" dxfId="251" priority="75">
      <formula>AND(AU59&lt;&gt;"",#REF!="",OR(COLUMN(AU59)=COLUMN(#REF!),COLUMN(AU59)=COLUMN(#REF!)))</formula>
    </cfRule>
  </conditionalFormatting>
  <conditionalFormatting sqref="AV60:AW60 AY60:BC60">
    <cfRule type="expression" dxfId="250" priority="74">
      <formula>AND(AV60&lt;&gt;"",#REF!="",OR(COLUMN(AV60)=COLUMN(#REF!),COLUMN(AV60)=COLUMN(#REF!)))</formula>
    </cfRule>
  </conditionalFormatting>
  <conditionalFormatting sqref="AU60">
    <cfRule type="expression" dxfId="249" priority="73">
      <formula>AND(AU60&lt;&gt;"",#REF!="",OR(COLUMN(AU60)=COLUMN(#REF!),COLUMN(AU60)=COLUMN(#REF!)))</formula>
    </cfRule>
  </conditionalFormatting>
  <conditionalFormatting sqref="AV61:AW61 AY61:BC61">
    <cfRule type="expression" dxfId="248" priority="72">
      <formula>AND(AV61&lt;&gt;"",#REF!="",OR(COLUMN(AV61)=COLUMN(#REF!),COLUMN(AV61)=COLUMN(#REF!)))</formula>
    </cfRule>
  </conditionalFormatting>
  <conditionalFormatting sqref="AU61">
    <cfRule type="expression" dxfId="247" priority="71">
      <formula>AND(AU61&lt;&gt;"",#REF!="",OR(COLUMN(AU61)=COLUMN(#REF!),COLUMN(AU61)=COLUMN(#REF!)))</formula>
    </cfRule>
  </conditionalFormatting>
  <conditionalFormatting sqref="AV62:AW62 AY62:BC62">
    <cfRule type="expression" dxfId="246" priority="70">
      <formula>AND(AV62&lt;&gt;"",#REF!="",OR(COLUMN(AV62)=COLUMN(#REF!),COLUMN(AV62)=COLUMN(#REF!)))</formula>
    </cfRule>
  </conditionalFormatting>
  <conditionalFormatting sqref="AU62">
    <cfRule type="expression" dxfId="245" priority="69">
      <formula>AND(AU62&lt;&gt;"",#REF!="",OR(COLUMN(AU62)=COLUMN(#REF!),COLUMN(AU62)=COLUMN(#REF!)))</formula>
    </cfRule>
  </conditionalFormatting>
  <conditionalFormatting sqref="AV63:AW63 AY63:BC63">
    <cfRule type="expression" dxfId="244" priority="68">
      <formula>AND(AV63&lt;&gt;"",#REF!="",OR(COLUMN(AV63)=COLUMN(#REF!),COLUMN(AV63)=COLUMN(#REF!)))</formula>
    </cfRule>
  </conditionalFormatting>
  <conditionalFormatting sqref="AU63">
    <cfRule type="expression" dxfId="243" priority="67">
      <formula>AND(AU63&lt;&gt;"",#REF!="",OR(COLUMN(AU63)=COLUMN(#REF!),COLUMN(AU63)=COLUMN(#REF!)))</formula>
    </cfRule>
  </conditionalFormatting>
  <conditionalFormatting sqref="AV64:AW64 AY64:BC64">
    <cfRule type="expression" dxfId="242" priority="66">
      <formula>AND(AV64&lt;&gt;"",#REF!="",OR(COLUMN(AV64)=COLUMN(#REF!),COLUMN(AV64)=COLUMN(#REF!)))</formula>
    </cfRule>
  </conditionalFormatting>
  <conditionalFormatting sqref="AU64">
    <cfRule type="expression" dxfId="241" priority="65">
      <formula>AND(AU64&lt;&gt;"",#REF!="",OR(COLUMN(AU64)=COLUMN(#REF!),COLUMN(AU64)=COLUMN(#REF!)))</formula>
    </cfRule>
  </conditionalFormatting>
  <conditionalFormatting sqref="AV65:AW65 AY65:BC65">
    <cfRule type="expression" dxfId="240" priority="64">
      <formula>AND(AV65&lt;&gt;"",#REF!="",OR(COLUMN(AV65)=COLUMN(#REF!),COLUMN(AV65)=COLUMN(#REF!)))</formula>
    </cfRule>
  </conditionalFormatting>
  <conditionalFormatting sqref="AU65">
    <cfRule type="expression" dxfId="239" priority="63">
      <formula>AND(AU65&lt;&gt;"",#REF!="",OR(COLUMN(AU65)=COLUMN(#REF!),COLUMN(AU65)=COLUMN(#REF!)))</formula>
    </cfRule>
  </conditionalFormatting>
  <conditionalFormatting sqref="AV66:AW66 AY66:BC66">
    <cfRule type="expression" dxfId="238" priority="62">
      <formula>AND(AV66&lt;&gt;"",#REF!="",OR(COLUMN(AV66)=COLUMN(#REF!),COLUMN(AV66)=COLUMN(#REF!)))</formula>
    </cfRule>
  </conditionalFormatting>
  <conditionalFormatting sqref="AU66">
    <cfRule type="expression" dxfId="237" priority="61">
      <formula>AND(AU66&lt;&gt;"",#REF!="",OR(COLUMN(AU66)=COLUMN(#REF!),COLUMN(AU66)=COLUMN(#REF!)))</formula>
    </cfRule>
  </conditionalFormatting>
  <conditionalFormatting sqref="AV67:AW67 AY67:BC67">
    <cfRule type="expression" dxfId="236" priority="60">
      <formula>AND(AV67&lt;&gt;"",#REF!="",OR(COLUMN(AV67)=COLUMN(#REF!),COLUMN(AV67)=COLUMN(#REF!)))</formula>
    </cfRule>
  </conditionalFormatting>
  <conditionalFormatting sqref="AU67">
    <cfRule type="expression" dxfId="235" priority="59">
      <formula>AND(AU67&lt;&gt;"",#REF!="",OR(COLUMN(AU67)=COLUMN(#REF!),COLUMN(AU67)=COLUMN(#REF!)))</formula>
    </cfRule>
  </conditionalFormatting>
  <conditionalFormatting sqref="AV68:AW68 AY68:BC68">
    <cfRule type="expression" dxfId="234" priority="58">
      <formula>AND(AV68&lt;&gt;"",#REF!="",OR(COLUMN(AV68)=COLUMN(#REF!),COLUMN(AV68)=COLUMN(#REF!)))</formula>
    </cfRule>
  </conditionalFormatting>
  <conditionalFormatting sqref="AU68">
    <cfRule type="expression" dxfId="233" priority="57">
      <formula>AND(AU68&lt;&gt;"",#REF!="",OR(COLUMN(AU68)=COLUMN(#REF!),COLUMN(AU68)=COLUMN(#REF!)))</formula>
    </cfRule>
  </conditionalFormatting>
  <conditionalFormatting sqref="AV69:AW69 AY69:BC69">
    <cfRule type="expression" dxfId="232" priority="56">
      <formula>AND(AV69&lt;&gt;"",#REF!="",OR(COLUMN(AV69)=COLUMN(#REF!),COLUMN(AV69)=COLUMN(#REF!)))</formula>
    </cfRule>
  </conditionalFormatting>
  <conditionalFormatting sqref="AU69">
    <cfRule type="expression" dxfId="231" priority="55">
      <formula>AND(AU69&lt;&gt;"",#REF!="",OR(COLUMN(AU69)=COLUMN(#REF!),COLUMN(AU69)=COLUMN(#REF!)))</formula>
    </cfRule>
  </conditionalFormatting>
  <conditionalFormatting sqref="AV70:AW70 AY70:BC70">
    <cfRule type="expression" dxfId="230" priority="54">
      <formula>AND(AV70&lt;&gt;"",#REF!="",OR(COLUMN(AV70)=COLUMN(#REF!),COLUMN(AV70)=COLUMN(#REF!)))</formula>
    </cfRule>
  </conditionalFormatting>
  <conditionalFormatting sqref="AU70">
    <cfRule type="expression" dxfId="229" priority="53">
      <formula>AND(AU70&lt;&gt;"",#REF!="",OR(COLUMN(AU70)=COLUMN(#REF!),COLUMN(AU70)=COLUMN(#REF!)))</formula>
    </cfRule>
  </conditionalFormatting>
  <conditionalFormatting sqref="AV71:AW71 AY71:BC71">
    <cfRule type="expression" dxfId="228" priority="52">
      <formula>AND(AV71&lt;&gt;"",#REF!="",OR(COLUMN(AV71)=COLUMN(#REF!),COLUMN(AV71)=COLUMN(#REF!)))</formula>
    </cfRule>
  </conditionalFormatting>
  <conditionalFormatting sqref="AU71">
    <cfRule type="expression" dxfId="227" priority="51">
      <formula>AND(AU71&lt;&gt;"",#REF!="",OR(COLUMN(AU71)=COLUMN(#REF!),COLUMN(AU71)=COLUMN(#REF!)))</formula>
    </cfRule>
  </conditionalFormatting>
  <conditionalFormatting sqref="AV72:AW72 AY72:BC72">
    <cfRule type="expression" dxfId="226" priority="50">
      <formula>AND(AV72&lt;&gt;"",#REF!="",OR(COLUMN(AV72)=COLUMN(#REF!),COLUMN(AV72)=COLUMN(#REF!)))</formula>
    </cfRule>
  </conditionalFormatting>
  <conditionalFormatting sqref="AU72">
    <cfRule type="expression" dxfId="225" priority="49">
      <formula>AND(AU72&lt;&gt;"",#REF!="",OR(COLUMN(AU72)=COLUMN(#REF!),COLUMN(AU72)=COLUMN(#REF!)))</formula>
    </cfRule>
  </conditionalFormatting>
  <conditionalFormatting sqref="AV73:AW73 AY73:BC73">
    <cfRule type="expression" dxfId="224" priority="48">
      <formula>AND(AV73&lt;&gt;"",#REF!="",OR(COLUMN(AV73)=COLUMN(#REF!),COLUMN(AV73)=COLUMN(#REF!)))</formula>
    </cfRule>
  </conditionalFormatting>
  <conditionalFormatting sqref="AU73">
    <cfRule type="expression" dxfId="223" priority="47">
      <formula>AND(AU73&lt;&gt;"",#REF!="",OR(COLUMN(AU73)=COLUMN(#REF!),COLUMN(AU73)=COLUMN(#REF!)))</formula>
    </cfRule>
  </conditionalFormatting>
  <conditionalFormatting sqref="AV74:AW74 AY74:BC74">
    <cfRule type="expression" dxfId="222" priority="46">
      <formula>AND(AV74&lt;&gt;"",#REF!="",OR(COLUMN(AV74)=COLUMN(#REF!),COLUMN(AV74)=COLUMN(#REF!)))</formula>
    </cfRule>
  </conditionalFormatting>
  <conditionalFormatting sqref="AU74">
    <cfRule type="expression" dxfId="221" priority="45">
      <formula>AND(AU74&lt;&gt;"",#REF!="",OR(COLUMN(AU74)=COLUMN(#REF!),COLUMN(AU74)=COLUMN(#REF!)))</formula>
    </cfRule>
  </conditionalFormatting>
  <conditionalFormatting sqref="AV75:AW75 AY75:BC75">
    <cfRule type="expression" dxfId="220" priority="44">
      <formula>AND(AV75&lt;&gt;"",#REF!="",OR(COLUMN(AV75)=COLUMN(#REF!),COLUMN(AV75)=COLUMN(#REF!)))</formula>
    </cfRule>
  </conditionalFormatting>
  <conditionalFormatting sqref="AU75">
    <cfRule type="expression" dxfId="219" priority="43">
      <formula>AND(AU75&lt;&gt;"",#REF!="",OR(COLUMN(AU75)=COLUMN(#REF!),COLUMN(AU75)=COLUMN(#REF!)))</formula>
    </cfRule>
  </conditionalFormatting>
  <conditionalFormatting sqref="AV76:AW76 AY76:BC76">
    <cfRule type="expression" dxfId="218" priority="42">
      <formula>AND(AV76&lt;&gt;"",#REF!="",OR(COLUMN(AV76)=COLUMN(#REF!),COLUMN(AV76)=COLUMN(#REF!)))</formula>
    </cfRule>
  </conditionalFormatting>
  <conditionalFormatting sqref="AU76">
    <cfRule type="expression" dxfId="217" priority="41">
      <formula>AND(AU76&lt;&gt;"",#REF!="",OR(COLUMN(AU76)=COLUMN(#REF!),COLUMN(AU76)=COLUMN(#REF!)))</formula>
    </cfRule>
  </conditionalFormatting>
  <conditionalFormatting sqref="AV77:AW77 AY77:BC77">
    <cfRule type="expression" dxfId="216" priority="40">
      <formula>AND(AV77&lt;&gt;"",#REF!="",OR(COLUMN(AV77)=COLUMN(#REF!),COLUMN(AV77)=COLUMN(#REF!)))</formula>
    </cfRule>
  </conditionalFormatting>
  <conditionalFormatting sqref="AU77">
    <cfRule type="expression" dxfId="215" priority="39">
      <formula>AND(AU77&lt;&gt;"",#REF!="",OR(COLUMN(AU77)=COLUMN(#REF!),COLUMN(AU77)=COLUMN(#REF!)))</formula>
    </cfRule>
  </conditionalFormatting>
  <conditionalFormatting sqref="AV78:AW78 AY78:BC78">
    <cfRule type="expression" dxfId="214" priority="38">
      <formula>AND(AV78&lt;&gt;"",#REF!="",OR(COLUMN(AV78)=COLUMN(#REF!),COLUMN(AV78)=COLUMN(#REF!)))</formula>
    </cfRule>
  </conditionalFormatting>
  <conditionalFormatting sqref="AU78">
    <cfRule type="expression" dxfId="213" priority="37">
      <formula>AND(AU78&lt;&gt;"",#REF!="",OR(COLUMN(AU78)=COLUMN(#REF!),COLUMN(AU78)=COLUMN(#REF!)))</formula>
    </cfRule>
  </conditionalFormatting>
  <conditionalFormatting sqref="AV79:AW79 AY79:BC79">
    <cfRule type="expression" dxfId="212" priority="36">
      <formula>AND(AV79&lt;&gt;"",#REF!="",OR(COLUMN(AV79)=COLUMN(#REF!),COLUMN(AV79)=COLUMN(#REF!)))</formula>
    </cfRule>
  </conditionalFormatting>
  <conditionalFormatting sqref="AU79">
    <cfRule type="expression" dxfId="211" priority="35">
      <formula>AND(AU79&lt;&gt;"",#REF!="",OR(COLUMN(AU79)=COLUMN(#REF!),COLUMN(AU79)=COLUMN(#REF!)))</formula>
    </cfRule>
  </conditionalFormatting>
  <conditionalFormatting sqref="AV80:AW80 AY80:BC80">
    <cfRule type="expression" dxfId="210" priority="34">
      <formula>AND(AV80&lt;&gt;"",#REF!="",OR(COLUMN(AV80)=COLUMN(#REF!),COLUMN(AV80)=COLUMN(#REF!)))</formula>
    </cfRule>
  </conditionalFormatting>
  <conditionalFormatting sqref="AU80">
    <cfRule type="expression" dxfId="209" priority="33">
      <formula>AND(AU80&lt;&gt;"",#REF!="",OR(COLUMN(AU80)=COLUMN(#REF!),COLUMN(AU80)=COLUMN(#REF!)))</formula>
    </cfRule>
  </conditionalFormatting>
  <conditionalFormatting sqref="AV81:AW81 AY81:BC81">
    <cfRule type="expression" dxfId="208" priority="32">
      <formula>AND(AV81&lt;&gt;"",#REF!="",OR(COLUMN(AV81)=COLUMN(#REF!),COLUMN(AV81)=COLUMN(#REF!)))</formula>
    </cfRule>
  </conditionalFormatting>
  <conditionalFormatting sqref="AU81">
    <cfRule type="expression" dxfId="207" priority="31">
      <formula>AND(AU81&lt;&gt;"",#REF!="",OR(COLUMN(AU81)=COLUMN(#REF!),COLUMN(AU81)=COLUMN(#REF!)))</formula>
    </cfRule>
  </conditionalFormatting>
  <conditionalFormatting sqref="AV82:AW82 AY82:BC82">
    <cfRule type="expression" dxfId="206" priority="30">
      <formula>AND(AV82&lt;&gt;"",#REF!="",OR(COLUMN(AV82)=COLUMN(#REF!),COLUMN(AV82)=COLUMN(#REF!)))</formula>
    </cfRule>
  </conditionalFormatting>
  <conditionalFormatting sqref="AU82">
    <cfRule type="expression" dxfId="205" priority="29">
      <formula>AND(AU82&lt;&gt;"",#REF!="",OR(COLUMN(AU82)=COLUMN(#REF!),COLUMN(AU82)=COLUMN(#REF!)))</formula>
    </cfRule>
  </conditionalFormatting>
  <conditionalFormatting sqref="AV83:AW83 AY83:BC83">
    <cfRule type="expression" dxfId="204" priority="28">
      <formula>AND(AV83&lt;&gt;"",#REF!="",OR(COLUMN(AV83)=COLUMN(#REF!),COLUMN(AV83)=COLUMN(#REF!)))</formula>
    </cfRule>
  </conditionalFormatting>
  <conditionalFormatting sqref="AU83">
    <cfRule type="expression" dxfId="203" priority="27">
      <formula>AND(AU83&lt;&gt;"",#REF!="",OR(COLUMN(AU83)=COLUMN(#REF!),COLUMN(AU83)=COLUMN(#REF!)))</formula>
    </cfRule>
  </conditionalFormatting>
  <conditionalFormatting sqref="AV84:AW84 AY84:BC84">
    <cfRule type="expression" dxfId="202" priority="26">
      <formula>AND(AV84&lt;&gt;"",#REF!="",OR(COLUMN(AV84)=COLUMN(#REF!),COLUMN(AV84)=COLUMN(#REF!)))</formula>
    </cfRule>
  </conditionalFormatting>
  <conditionalFormatting sqref="AU84">
    <cfRule type="expression" dxfId="201" priority="25">
      <formula>AND(AU84&lt;&gt;"",#REF!="",OR(COLUMN(AU84)=COLUMN(#REF!),COLUMN(AU84)=COLUMN(#REF!)))</formula>
    </cfRule>
  </conditionalFormatting>
  <conditionalFormatting sqref="AV85:AW85 AY85:BC85">
    <cfRule type="expression" dxfId="200" priority="24">
      <formula>AND(AV85&lt;&gt;"",#REF!="",OR(COLUMN(AV85)=COLUMN(#REF!),COLUMN(AV85)=COLUMN(#REF!)))</formula>
    </cfRule>
  </conditionalFormatting>
  <conditionalFormatting sqref="AU85">
    <cfRule type="expression" dxfId="199" priority="23">
      <formula>AND(AU85&lt;&gt;"",#REF!="",OR(COLUMN(AU85)=COLUMN(#REF!),COLUMN(AU85)=COLUMN(#REF!)))</formula>
    </cfRule>
  </conditionalFormatting>
  <conditionalFormatting sqref="AV86:AW86 AY86:BC86">
    <cfRule type="expression" dxfId="198" priority="22">
      <formula>AND(AV86&lt;&gt;"",#REF!="",OR(COLUMN(AV86)=COLUMN(#REF!),COLUMN(AV86)=COLUMN(#REF!)))</formula>
    </cfRule>
  </conditionalFormatting>
  <conditionalFormatting sqref="AU86">
    <cfRule type="expression" dxfId="197" priority="21">
      <formula>AND(AU86&lt;&gt;"",#REF!="",OR(COLUMN(AU86)=COLUMN(#REF!),COLUMN(AU86)=COLUMN(#REF!)))</formula>
    </cfRule>
  </conditionalFormatting>
  <conditionalFormatting sqref="AV87:AW87 AY87:BC87">
    <cfRule type="expression" dxfId="196" priority="20">
      <formula>AND(AV87&lt;&gt;"",#REF!="",OR(COLUMN(AV87)=COLUMN(#REF!),COLUMN(AV87)=COLUMN(#REF!)))</formula>
    </cfRule>
  </conditionalFormatting>
  <conditionalFormatting sqref="AU87">
    <cfRule type="expression" dxfId="195" priority="19">
      <formula>AND(AU87&lt;&gt;"",#REF!="",OR(COLUMN(AU87)=COLUMN(#REF!),COLUMN(AU87)=COLUMN(#REF!)))</formula>
    </cfRule>
  </conditionalFormatting>
  <conditionalFormatting sqref="AV88:AW88 AY88:BC88">
    <cfRule type="expression" dxfId="194" priority="18">
      <formula>AND(AV88&lt;&gt;"",#REF!="",OR(COLUMN(AV88)=COLUMN(#REF!),COLUMN(AV88)=COLUMN(#REF!)))</formula>
    </cfRule>
  </conditionalFormatting>
  <conditionalFormatting sqref="AU88">
    <cfRule type="expression" dxfId="193" priority="17">
      <formula>AND(AU88&lt;&gt;"",#REF!="",OR(COLUMN(AU88)=COLUMN(#REF!),COLUMN(AU88)=COLUMN(#REF!)))</formula>
    </cfRule>
  </conditionalFormatting>
  <conditionalFormatting sqref="AV89:AW89 AY89:BC89">
    <cfRule type="expression" dxfId="192" priority="16">
      <formula>AND(AV89&lt;&gt;"",#REF!="",OR(COLUMN(AV89)=COLUMN(#REF!),COLUMN(AV89)=COLUMN(#REF!)))</formula>
    </cfRule>
  </conditionalFormatting>
  <conditionalFormatting sqref="AU89">
    <cfRule type="expression" dxfId="191" priority="15">
      <formula>AND(AU89&lt;&gt;"",#REF!="",OR(COLUMN(AU89)=COLUMN(#REF!),COLUMN(AU89)=COLUMN(#REF!)))</formula>
    </cfRule>
  </conditionalFormatting>
  <conditionalFormatting sqref="AV90:AW90 AY90:BC90">
    <cfRule type="expression" dxfId="190" priority="14">
      <formula>AND(AV90&lt;&gt;"",#REF!="",OR(COLUMN(AV90)=COLUMN(#REF!),COLUMN(AV90)=COLUMN(#REF!)))</formula>
    </cfRule>
  </conditionalFormatting>
  <conditionalFormatting sqref="AU90">
    <cfRule type="expression" dxfId="189" priority="13">
      <formula>AND(AU90&lt;&gt;"",#REF!="",OR(COLUMN(AU90)=COLUMN(#REF!),COLUMN(AU90)=COLUMN(#REF!)))</formula>
    </cfRule>
  </conditionalFormatting>
  <conditionalFormatting sqref="AV91:AW91 AY91:BC91">
    <cfRule type="expression" dxfId="188" priority="12">
      <formula>AND(AV91&lt;&gt;"",#REF!="",OR(COLUMN(AV91)=COLUMN(#REF!),COLUMN(AV91)=COLUMN(#REF!)))</formula>
    </cfRule>
  </conditionalFormatting>
  <conditionalFormatting sqref="AU91">
    <cfRule type="expression" dxfId="187" priority="11">
      <formula>AND(AU91&lt;&gt;"",#REF!="",OR(COLUMN(AU91)=COLUMN(#REF!),COLUMN(AU91)=COLUMN(#REF!)))</formula>
    </cfRule>
  </conditionalFormatting>
  <conditionalFormatting sqref="AV92:AW92 AY92:BC92">
    <cfRule type="expression" dxfId="186" priority="10">
      <formula>AND(AV92&lt;&gt;"",#REF!="",OR(COLUMN(AV92)=COLUMN(#REF!),COLUMN(AV92)=COLUMN(#REF!)))</formula>
    </cfRule>
  </conditionalFormatting>
  <conditionalFormatting sqref="AU92">
    <cfRule type="expression" dxfId="185" priority="9">
      <formula>AND(AU92&lt;&gt;"",#REF!="",OR(COLUMN(AU92)=COLUMN(#REF!),COLUMN(AU92)=COLUMN(#REF!)))</formula>
    </cfRule>
  </conditionalFormatting>
  <conditionalFormatting sqref="AV93:AW93 AY93:BC93">
    <cfRule type="expression" dxfId="184" priority="8">
      <formula>AND(AV93&lt;&gt;"",#REF!="",OR(COLUMN(AV93)=COLUMN(#REF!),COLUMN(AV93)=COLUMN(#REF!)))</formula>
    </cfRule>
  </conditionalFormatting>
  <conditionalFormatting sqref="AU93">
    <cfRule type="expression" dxfId="183" priority="7">
      <formula>AND(AU93&lt;&gt;"",#REF!="",OR(COLUMN(AU93)=COLUMN(#REF!),COLUMN(AU93)=COLUMN(#REF!)))</formula>
    </cfRule>
  </conditionalFormatting>
  <conditionalFormatting sqref="AV94:AW94 AY94:BC94">
    <cfRule type="expression" dxfId="182" priority="6">
      <formula>AND(AV94&lt;&gt;"",#REF!="",OR(COLUMN(AV94)=COLUMN(#REF!),COLUMN(AV94)=COLUMN(#REF!)))</formula>
    </cfRule>
  </conditionalFormatting>
  <conditionalFormatting sqref="AU94">
    <cfRule type="expression" dxfId="181" priority="5">
      <formula>AND(AU94&lt;&gt;"",#REF!="",OR(COLUMN(AU94)=COLUMN(#REF!),COLUMN(AU94)=COLUMN(#REF!)))</formula>
    </cfRule>
  </conditionalFormatting>
  <conditionalFormatting sqref="AV95:AW95 AY95:BC95">
    <cfRule type="expression" dxfId="180" priority="4">
      <formula>AND(AV95&lt;&gt;"",#REF!="",OR(COLUMN(AV95)=COLUMN(#REF!),COLUMN(AV95)=COLUMN(#REF!)))</formula>
    </cfRule>
  </conditionalFormatting>
  <conditionalFormatting sqref="AU95">
    <cfRule type="expression" dxfId="179" priority="3">
      <formula>AND(AU95&lt;&gt;"",#REF!="",OR(COLUMN(AU95)=COLUMN(#REF!),COLUMN(AU95)=COLUMN(#REF!)))</formula>
    </cfRule>
  </conditionalFormatting>
  <conditionalFormatting sqref="AV96:AW96 AY96:BC96">
    <cfRule type="expression" dxfId="178" priority="2">
      <formula>AND(AV96&lt;&gt;"",#REF!="",OR(COLUMN(AV96)=COLUMN(#REF!),COLUMN(AV96)=COLUMN(#REF!)))</formula>
    </cfRule>
  </conditionalFormatting>
  <conditionalFormatting sqref="AU96">
    <cfRule type="expression" dxfId="177" priority="1">
      <formula>AND(AU96&lt;&gt;"",#REF!="",OR(COLUMN(AU96)=COLUMN(#REF!),COLUMN(AU96)=COLUMN(#REF!)))</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3"/>
  </sheetPr>
  <dimension ref="A1:T91"/>
  <sheetViews>
    <sheetView showGridLines="0" zoomScaleNormal="85" workbookViewId="0">
      <pane xSplit="5" ySplit="9" topLeftCell="F59" activePane="bottomRight" state="frozen"/>
      <selection pane="topRight" activeCell="F1" sqref="F1"/>
      <selection pane="bottomLeft" activeCell="A10" sqref="A10"/>
      <selection pane="bottomRight" activeCell="N70" sqref="N70"/>
    </sheetView>
  </sheetViews>
  <sheetFormatPr defaultColWidth="10.69921875" defaultRowHeight="15"/>
  <cols>
    <col min="1" max="1" width="1.69921875" style="296" customWidth="1"/>
    <col min="2" max="2" width="7.8984375" style="337" customWidth="1"/>
    <col min="3" max="3" width="10.69921875" style="337" customWidth="1"/>
    <col min="4" max="4" width="9.59765625" style="337" customWidth="1"/>
    <col min="5" max="5" width="32.69921875" style="296" customWidth="1"/>
    <col min="6" max="6" width="9.69921875" style="296" customWidth="1"/>
    <col min="7" max="7" width="8.8984375" style="296" customWidth="1"/>
    <col min="8" max="8" width="12.8984375" style="296" customWidth="1"/>
    <col min="9" max="10" width="13.3984375" style="298" customWidth="1"/>
    <col min="11" max="11" width="6.296875" style="296" customWidth="1"/>
    <col min="12" max="12" width="13.19921875" style="296" customWidth="1"/>
    <col min="13" max="13" width="6.296875" style="296" customWidth="1"/>
    <col min="14" max="18" width="10.69921875" style="296"/>
    <col min="19" max="19" width="13.69921875" style="296" bestFit="1" customWidth="1"/>
    <col min="20" max="16384" width="10.69921875" style="296"/>
  </cols>
  <sheetData>
    <row r="1" spans="1:20" ht="5.0999999999999996" customHeight="1">
      <c r="M1" s="577"/>
    </row>
    <row r="2" spans="1:20" s="322" customFormat="1" ht="31.5" customHeight="1">
      <c r="B2" s="338"/>
      <c r="C2" s="338"/>
      <c r="D2" s="338"/>
      <c r="E2" s="645" t="s">
        <v>1924</v>
      </c>
      <c r="F2" s="645"/>
      <c r="G2" s="645"/>
      <c r="H2" s="645"/>
      <c r="I2" s="323"/>
      <c r="J2" s="323"/>
    </row>
    <row r="3" spans="1:20" s="238" customFormat="1" ht="17.25" customHeight="1">
      <c r="B3" s="339"/>
      <c r="C3" s="339"/>
      <c r="D3" s="339"/>
      <c r="E3" s="645"/>
      <c r="F3" s="645"/>
      <c r="G3" s="645"/>
      <c r="H3" s="645"/>
      <c r="I3" s="323"/>
      <c r="J3" s="323"/>
      <c r="K3" s="322"/>
    </row>
    <row r="4" spans="1:20" s="322" customFormat="1" ht="5.25" customHeight="1">
      <c r="B4" s="338"/>
      <c r="C4" s="338"/>
      <c r="D4" s="338"/>
      <c r="I4" s="323"/>
      <c r="J4" s="323"/>
    </row>
    <row r="5" spans="1:20" s="280" customFormat="1" ht="5.25" customHeight="1">
      <c r="B5" s="145"/>
      <c r="C5" s="145"/>
      <c r="D5" s="145"/>
      <c r="I5" s="247"/>
      <c r="J5" s="247"/>
    </row>
    <row r="6" spans="1:20" s="324" customFormat="1" ht="21.75" customHeight="1">
      <c r="B6" s="340"/>
      <c r="C6" s="340"/>
      <c r="D6" s="340"/>
      <c r="E6" s="325" t="s">
        <v>1836</v>
      </c>
      <c r="F6" s="325"/>
      <c r="G6" s="325"/>
      <c r="H6" s="325"/>
      <c r="I6" s="326"/>
      <c r="J6" s="326"/>
      <c r="K6" s="325"/>
      <c r="L6" s="325"/>
      <c r="M6" s="325"/>
      <c r="N6" s="325"/>
      <c r="O6" s="325"/>
      <c r="P6" s="325"/>
      <c r="Q6" s="325"/>
      <c r="R6" s="325"/>
      <c r="S6" s="325"/>
      <c r="T6" s="325"/>
    </row>
    <row r="7" spans="1:20" s="280" customFormat="1" ht="5.25" customHeight="1">
      <c r="B7" s="145"/>
      <c r="C7" s="145"/>
      <c r="D7" s="145"/>
      <c r="E7" s="143"/>
      <c r="I7" s="247"/>
      <c r="J7" s="247"/>
    </row>
    <row r="8" spans="1:20" s="237" customFormat="1" ht="34.5" customHeight="1">
      <c r="B8" s="336" t="s">
        <v>1003</v>
      </c>
      <c r="C8" s="336" t="s">
        <v>1848</v>
      </c>
      <c r="D8" s="336" t="s">
        <v>1850</v>
      </c>
      <c r="E8" s="246" t="s">
        <v>1838</v>
      </c>
      <c r="F8" s="214" t="s">
        <v>1878</v>
      </c>
      <c r="G8" s="214" t="s">
        <v>1862</v>
      </c>
      <c r="H8" s="214" t="s">
        <v>1859</v>
      </c>
      <c r="I8" s="214" t="s">
        <v>1864</v>
      </c>
      <c r="J8" s="214" t="s">
        <v>1055</v>
      </c>
      <c r="K8" s="214" t="s">
        <v>63</v>
      </c>
      <c r="L8" s="214" t="s">
        <v>1004</v>
      </c>
      <c r="M8" s="214" t="s">
        <v>1837</v>
      </c>
      <c r="N8" s="214" t="s">
        <v>1005</v>
      </c>
      <c r="O8" s="214" t="s">
        <v>15</v>
      </c>
      <c r="P8" s="214" t="s">
        <v>64</v>
      </c>
      <c r="Q8" s="214" t="s">
        <v>1834</v>
      </c>
      <c r="R8" s="214" t="s">
        <v>1835</v>
      </c>
      <c r="S8" s="214" t="s">
        <v>1067</v>
      </c>
      <c r="T8" s="214" t="s">
        <v>0</v>
      </c>
    </row>
    <row r="9" spans="1:20" s="282" customFormat="1" ht="7.5" customHeight="1">
      <c r="B9" s="335"/>
      <c r="C9" s="335"/>
      <c r="D9" s="335"/>
      <c r="E9" s="281"/>
      <c r="I9" s="283"/>
      <c r="J9" s="283"/>
    </row>
    <row r="10" spans="1:20" s="282" customFormat="1">
      <c r="A10" s="300"/>
      <c r="B10" s="335" t="s">
        <v>963</v>
      </c>
      <c r="C10" s="335" t="s">
        <v>66</v>
      </c>
      <c r="D10" s="335" t="str">
        <f>B10&amp;" "&amp;C10</f>
        <v>Pós-fixado -</v>
      </c>
      <c r="E10" s="284" t="s">
        <v>963</v>
      </c>
      <c r="F10" s="284"/>
      <c r="G10" s="284"/>
      <c r="H10" s="284"/>
      <c r="I10" s="285"/>
      <c r="J10" s="285"/>
      <c r="K10" s="284"/>
      <c r="L10" s="284"/>
      <c r="M10" s="284"/>
      <c r="N10" s="284"/>
      <c r="O10" s="284"/>
      <c r="P10" s="284"/>
      <c r="Q10" s="284"/>
      <c r="R10" s="284"/>
      <c r="S10" s="318"/>
      <c r="T10" s="356"/>
    </row>
    <row r="11" spans="1:20">
      <c r="E11" s="635" t="s">
        <v>1968</v>
      </c>
      <c r="F11" s="631" t="s">
        <v>96</v>
      </c>
      <c r="G11" s="363" t="s">
        <v>1860</v>
      </c>
      <c r="H11" s="632">
        <v>2.5000000000000001E-2</v>
      </c>
      <c r="I11" s="633" t="s">
        <v>66</v>
      </c>
      <c r="J11" s="634" t="s">
        <v>66</v>
      </c>
      <c r="K11" s="574" t="s">
        <v>1078</v>
      </c>
      <c r="L11" s="573" t="s">
        <v>1034</v>
      </c>
      <c r="M11" s="573" t="s">
        <v>66</v>
      </c>
      <c r="N11" s="573" t="s">
        <v>951</v>
      </c>
      <c r="O11" s="293" t="s">
        <v>87</v>
      </c>
      <c r="P11" s="573">
        <v>91</v>
      </c>
      <c r="Q11" s="574">
        <v>2.5000000000000001E-3</v>
      </c>
      <c r="R11" s="295">
        <v>0</v>
      </c>
      <c r="S11" s="575">
        <v>60000000</v>
      </c>
      <c r="T11" s="576">
        <v>42184</v>
      </c>
    </row>
    <row r="12" spans="1:20">
      <c r="E12" s="364" t="str">
        <f>IF(LEN(F12)&lt;=5,F12&amp;" "&amp;I12&amp;IF(F12="LFT"," - "&amp;J12,"")&amp;" ("&amp;G12&amp;TEXT(H12,"0.00%")&amp;")",IF(LEFT(F12,3)="Cor","Títulos Corporativos - "&amp;J12&amp;IF(J12&lt;1," ano("," anos (")&amp;G12&amp;TEXT(H12,"0.00%")&amp;")","Títulos Bancários - "&amp;IF(J12&lt;1,J12*12&amp;" meses (",IF(J12=1,"1 ano (",IF(ISNUMBER(J12)*1,J12&amp;" anos (","Liquidez Diária (")))&amp;IF(G12="%CDI",TEXT(H12,"0.0%")&amp;" CDI)",G12&amp;TEXT(H12,"0.00%")&amp;")")))</f>
        <v>LFT 2025 - Liquidez Diária (Selic+0.10%)</v>
      </c>
      <c r="F12" s="384" t="s">
        <v>1880</v>
      </c>
      <c r="G12" s="384" t="s">
        <v>1881</v>
      </c>
      <c r="H12" s="369">
        <f>[2]Bloomberg_Est!$C$57-0.01%</f>
        <v>1.0250000000000001E-3</v>
      </c>
      <c r="I12" s="379">
        <v>2025</v>
      </c>
      <c r="J12" s="379" t="s">
        <v>1867</v>
      </c>
      <c r="K12" s="382" t="s">
        <v>1078</v>
      </c>
      <c r="L12" s="384" t="s">
        <v>1879</v>
      </c>
      <c r="M12" s="384" t="s">
        <v>66</v>
      </c>
      <c r="N12" s="573" t="s">
        <v>951</v>
      </c>
      <c r="O12" s="293" t="s">
        <v>87</v>
      </c>
      <c r="P12" s="573">
        <v>0</v>
      </c>
      <c r="Q12" s="574" t="s">
        <v>66</v>
      </c>
      <c r="R12" s="295" t="s">
        <v>66</v>
      </c>
      <c r="S12" s="575" t="s">
        <v>66</v>
      </c>
      <c r="T12" s="576" t="s">
        <v>66</v>
      </c>
    </row>
    <row r="13" spans="1:20">
      <c r="E13" s="364" t="str">
        <f t="shared" ref="E13:E20" si="0">IF(LEN(F13)&lt;=5,F13&amp;" "&amp;I13&amp;IF(F13="LFT"," - "&amp;J13,"")&amp;" ("&amp;G13&amp;TEXT(H13,"0.00%")&amp;")",IF(LEFT(F13,3)="Cor","Títulos Corporativos - "&amp;J13&amp;IF(J13&lt;1," ano("," anos (")&amp;G13&amp;TEXT(H13,"0.00%")&amp;")","Títulos Bancários - "&amp;IF(J13&lt;1,J13*12&amp;" meses (",IF(J13=1,"1 ano (",IF(ISNUMBER(J13)*1,J13&amp;" anos (","Liquidez Diária (")))&amp;IF(G13="%CDI",TEXT(H13,"0.0%")&amp;" CDI)",G13&amp;TEXT(H13,"0.00%")&amp;")")))</f>
        <v>Títulos Bancários - Liquidez Diária (102.5% CDI)</v>
      </c>
      <c r="F13" s="379" t="s">
        <v>1868</v>
      </c>
      <c r="G13" s="363" t="s">
        <v>1861</v>
      </c>
      <c r="H13" s="366">
        <v>1.0249999999999999</v>
      </c>
      <c r="I13" s="379" t="s">
        <v>66</v>
      </c>
      <c r="J13" s="379" t="s">
        <v>1867</v>
      </c>
      <c r="K13" s="382" t="s">
        <v>1078</v>
      </c>
      <c r="L13" s="379" t="s">
        <v>1011</v>
      </c>
      <c r="M13" s="573" t="s">
        <v>66</v>
      </c>
      <c r="N13" s="573" t="s">
        <v>951</v>
      </c>
      <c r="O13" s="293" t="s">
        <v>87</v>
      </c>
      <c r="P13" s="573">
        <v>0</v>
      </c>
      <c r="Q13" s="574" t="s">
        <v>66</v>
      </c>
      <c r="R13" s="295" t="s">
        <v>66</v>
      </c>
      <c r="S13" s="575" t="s">
        <v>66</v>
      </c>
      <c r="T13" s="576" t="s">
        <v>66</v>
      </c>
    </row>
    <row r="14" spans="1:20">
      <c r="E14" s="364" t="str">
        <f t="shared" si="0"/>
        <v>Títulos Bancários - 6 meses (122.0% CDI)</v>
      </c>
      <c r="F14" s="379" t="s">
        <v>1868</v>
      </c>
      <c r="G14" s="363" t="s">
        <v>1861</v>
      </c>
      <c r="H14" s="367">
        <f>MROUND(98.75%*'[2]Inputs Refs'!$BK23,0.5%)</f>
        <v>1.22</v>
      </c>
      <c r="I14" s="380">
        <f ca="1">EDATE(TODAY(),J14*12)</f>
        <v>44993</v>
      </c>
      <c r="J14" s="293">
        <v>0.5</v>
      </c>
      <c r="K14" s="382" t="s">
        <v>1078</v>
      </c>
      <c r="L14" s="379" t="s">
        <v>1011</v>
      </c>
      <c r="M14" s="379" t="s">
        <v>66</v>
      </c>
      <c r="N14" s="573" t="s">
        <v>951</v>
      </c>
      <c r="O14" s="293" t="s">
        <v>87</v>
      </c>
      <c r="P14" s="573" t="s">
        <v>66</v>
      </c>
      <c r="Q14" s="574" t="s">
        <v>66</v>
      </c>
      <c r="R14" s="295" t="s">
        <v>66</v>
      </c>
      <c r="S14" s="575" t="s">
        <v>66</v>
      </c>
      <c r="T14" s="576" t="s">
        <v>66</v>
      </c>
    </row>
    <row r="15" spans="1:20">
      <c r="E15" s="364" t="str">
        <f t="shared" si="0"/>
        <v>Títulos Bancários - 1 ano (119.0% CDI)</v>
      </c>
      <c r="F15" s="379" t="s">
        <v>1868</v>
      </c>
      <c r="G15" s="363" t="s">
        <v>1861</v>
      </c>
      <c r="H15" s="367">
        <f>MROUND(98.75%*'[2]Inputs Refs'!$BK24,0.5%)</f>
        <v>1.19</v>
      </c>
      <c r="I15" s="380">
        <f ca="1">EDATE(TODAY(),J15*12)</f>
        <v>45177</v>
      </c>
      <c r="J15" s="293">
        <v>1</v>
      </c>
      <c r="K15" s="382" t="s">
        <v>1078</v>
      </c>
      <c r="L15" s="379" t="s">
        <v>1011</v>
      </c>
      <c r="M15" s="379" t="s">
        <v>66</v>
      </c>
      <c r="N15" s="573" t="s">
        <v>951</v>
      </c>
      <c r="O15" s="293" t="s">
        <v>87</v>
      </c>
      <c r="P15" s="573" t="s">
        <v>66</v>
      </c>
      <c r="Q15" s="574" t="s">
        <v>66</v>
      </c>
      <c r="R15" s="295" t="s">
        <v>66</v>
      </c>
      <c r="S15" s="575" t="s">
        <v>66</v>
      </c>
      <c r="T15" s="576" t="s">
        <v>66</v>
      </c>
    </row>
    <row r="16" spans="1:20">
      <c r="E16" s="364" t="str">
        <f t="shared" si="0"/>
        <v>Títulos Bancários - 2 anos (116.5% CDI)</v>
      </c>
      <c r="F16" s="379" t="s">
        <v>1868</v>
      </c>
      <c r="G16" s="363" t="s">
        <v>1861</v>
      </c>
      <c r="H16" s="367">
        <f>MROUND(98.75%*'[2]Inputs Refs'!$BK26,0.5%)</f>
        <v>1.165</v>
      </c>
      <c r="I16" s="380">
        <f ca="1">EDATE(TODAY(),J16*12)</f>
        <v>45543</v>
      </c>
      <c r="J16" s="293">
        <v>2</v>
      </c>
      <c r="K16" s="382" t="s">
        <v>1078</v>
      </c>
      <c r="L16" s="379" t="s">
        <v>1011</v>
      </c>
      <c r="M16" s="379" t="s">
        <v>66</v>
      </c>
      <c r="N16" s="573" t="s">
        <v>951</v>
      </c>
      <c r="O16" s="293" t="s">
        <v>87</v>
      </c>
      <c r="P16" s="573" t="s">
        <v>66</v>
      </c>
      <c r="Q16" s="574" t="s">
        <v>66</v>
      </c>
      <c r="R16" s="295" t="s">
        <v>66</v>
      </c>
      <c r="S16" s="575" t="s">
        <v>66</v>
      </c>
      <c r="T16" s="576" t="s">
        <v>66</v>
      </c>
    </row>
    <row r="17" spans="1:20">
      <c r="E17" s="364" t="str">
        <f t="shared" si="0"/>
        <v>Títulos Bancários - 3 anos (117.5% CDI)</v>
      </c>
      <c r="F17" s="379" t="s">
        <v>1868</v>
      </c>
      <c r="G17" s="363" t="s">
        <v>1861</v>
      </c>
      <c r="H17" s="367">
        <f>MROUND(98.75%*'[2]Inputs Refs'!$BK28,0.5%)</f>
        <v>1.175</v>
      </c>
      <c r="I17" s="380">
        <f ca="1">EDATE(TODAY(),J17*12)</f>
        <v>45908</v>
      </c>
      <c r="J17" s="293">
        <v>3</v>
      </c>
      <c r="K17" s="365" t="s">
        <v>1843</v>
      </c>
      <c r="L17" s="379" t="s">
        <v>1011</v>
      </c>
      <c r="M17" s="379" t="s">
        <v>66</v>
      </c>
      <c r="N17" s="573" t="s">
        <v>951</v>
      </c>
      <c r="O17" s="293" t="s">
        <v>87</v>
      </c>
      <c r="P17" s="573" t="s">
        <v>66</v>
      </c>
      <c r="Q17" s="574" t="s">
        <v>66</v>
      </c>
      <c r="R17" s="295" t="s">
        <v>66</v>
      </c>
      <c r="S17" s="575" t="s">
        <v>66</v>
      </c>
      <c r="T17" s="576" t="s">
        <v>66</v>
      </c>
    </row>
    <row r="18" spans="1:20">
      <c r="E18" s="364" t="str">
        <f t="shared" si="0"/>
        <v>Títulos Corporativos - 2 anos (CDI+1.90%)</v>
      </c>
      <c r="F18" s="379" t="s">
        <v>1869</v>
      </c>
      <c r="G18" s="363" t="s">
        <v>1860</v>
      </c>
      <c r="H18" s="369">
        <f>MROUND(AVERAGE('[2]Inputs Refs'!$AK26:$AM26)-0.15%,0.05%)</f>
        <v>1.9E-2</v>
      </c>
      <c r="I18" s="381" t="s">
        <v>66</v>
      </c>
      <c r="J18" s="293">
        <v>2</v>
      </c>
      <c r="K18" s="382" t="s">
        <v>1078</v>
      </c>
      <c r="L18" s="379" t="s">
        <v>1011</v>
      </c>
      <c r="M18" s="379" t="s">
        <v>66</v>
      </c>
      <c r="N18" s="573" t="s">
        <v>951</v>
      </c>
      <c r="O18" s="293" t="s">
        <v>87</v>
      </c>
      <c r="P18" s="573" t="s">
        <v>66</v>
      </c>
      <c r="Q18" s="574" t="s">
        <v>66</v>
      </c>
      <c r="R18" s="295" t="s">
        <v>66</v>
      </c>
      <c r="S18" s="575" t="s">
        <v>66</v>
      </c>
      <c r="T18" s="576" t="s">
        <v>66</v>
      </c>
    </row>
    <row r="19" spans="1:20">
      <c r="E19" s="364" t="str">
        <f t="shared" si="0"/>
        <v>Títulos Corporativos - 3 anos (CDI+2.00%)</v>
      </c>
      <c r="F19" s="379" t="s">
        <v>1869</v>
      </c>
      <c r="G19" s="363" t="s">
        <v>1860</v>
      </c>
      <c r="H19" s="369">
        <f>MROUND(AVERAGE('[2]Inputs Refs'!$AK28:$AM28)-0.15%,0.05%)</f>
        <v>0.02</v>
      </c>
      <c r="I19" s="381" t="s">
        <v>66</v>
      </c>
      <c r="J19" s="293">
        <v>3</v>
      </c>
      <c r="K19" s="382" t="s">
        <v>1078</v>
      </c>
      <c r="L19" s="379" t="s">
        <v>1011</v>
      </c>
      <c r="M19" s="379" t="s">
        <v>66</v>
      </c>
      <c r="N19" s="573" t="s">
        <v>951</v>
      </c>
      <c r="O19" s="293" t="s">
        <v>87</v>
      </c>
      <c r="P19" s="573" t="s">
        <v>66</v>
      </c>
      <c r="Q19" s="574" t="s">
        <v>66</v>
      </c>
      <c r="R19" s="295" t="s">
        <v>66</v>
      </c>
      <c r="S19" s="575" t="s">
        <v>66</v>
      </c>
      <c r="T19" s="576" t="s">
        <v>66</v>
      </c>
    </row>
    <row r="20" spans="1:20">
      <c r="E20" s="364" t="str">
        <f t="shared" si="0"/>
        <v>Títulos Corporativos - 4 anos (CDI+2.20%)</v>
      </c>
      <c r="F20" s="379" t="s">
        <v>1869</v>
      </c>
      <c r="G20" s="363" t="s">
        <v>1860</v>
      </c>
      <c r="H20" s="369">
        <f>MROUND(AVERAGE('[2]Inputs Refs'!$AK30:$AM30)-0.15%,0.05%)</f>
        <v>2.1999999999999999E-2</v>
      </c>
      <c r="I20" s="381" t="s">
        <v>66</v>
      </c>
      <c r="J20" s="293">
        <v>4</v>
      </c>
      <c r="K20" s="365" t="s">
        <v>1843</v>
      </c>
      <c r="L20" s="379" t="s">
        <v>1011</v>
      </c>
      <c r="M20" s="379" t="s">
        <v>66</v>
      </c>
      <c r="N20" s="573" t="s">
        <v>951</v>
      </c>
      <c r="O20" s="293" t="s">
        <v>87</v>
      </c>
      <c r="P20" s="573" t="s">
        <v>66</v>
      </c>
      <c r="Q20" s="574" t="s">
        <v>66</v>
      </c>
      <c r="R20" s="295" t="s">
        <v>66</v>
      </c>
      <c r="S20" s="575" t="s">
        <v>66</v>
      </c>
      <c r="T20" s="576" t="s">
        <v>66</v>
      </c>
    </row>
    <row r="21" spans="1:20" s="282" customFormat="1" ht="7.5" customHeight="1">
      <c r="B21" s="335"/>
      <c r="C21" s="335"/>
      <c r="D21" s="335"/>
      <c r="E21" s="316"/>
      <c r="I21" s="283"/>
      <c r="J21" s="283"/>
    </row>
    <row r="22" spans="1:20" s="282" customFormat="1">
      <c r="A22" s="300"/>
      <c r="B22" s="345"/>
      <c r="C22" s="335"/>
      <c r="D22" s="335"/>
      <c r="E22" s="284" t="s">
        <v>964</v>
      </c>
      <c r="F22" s="284"/>
      <c r="G22" s="284"/>
      <c r="H22" s="284"/>
      <c r="I22" s="285"/>
      <c r="J22" s="285"/>
      <c r="K22" s="284"/>
      <c r="L22" s="284"/>
      <c r="M22" s="284"/>
      <c r="N22" s="284"/>
      <c r="O22" s="284"/>
      <c r="P22" s="284"/>
      <c r="Q22" s="284"/>
      <c r="R22" s="284"/>
      <c r="S22" s="318"/>
      <c r="T22" s="356"/>
    </row>
    <row r="23" spans="1:20" s="282" customFormat="1" ht="3" customHeight="1">
      <c r="B23" s="335"/>
      <c r="C23" s="335"/>
      <c r="D23" s="335"/>
      <c r="I23" s="287"/>
      <c r="J23" s="287"/>
    </row>
    <row r="24" spans="1:20" s="282" customFormat="1">
      <c r="A24" s="300"/>
      <c r="B24" s="335" t="s">
        <v>964</v>
      </c>
      <c r="C24" s="335" t="s">
        <v>1113</v>
      </c>
      <c r="D24" s="335" t="str">
        <f>B24&amp;" "&amp;C24</f>
        <v>Inflação Curta</v>
      </c>
      <c r="E24" s="289" t="s">
        <v>1891</v>
      </c>
      <c r="F24" s="289"/>
      <c r="G24" s="289"/>
      <c r="H24" s="289"/>
      <c r="I24" s="290"/>
      <c r="J24" s="290"/>
      <c r="K24" s="289"/>
      <c r="L24" s="289"/>
      <c r="M24" s="289"/>
      <c r="N24" s="289"/>
      <c r="O24" s="289"/>
      <c r="P24" s="289"/>
      <c r="Q24" s="289"/>
      <c r="R24" s="289"/>
      <c r="S24" s="319"/>
      <c r="T24" s="359"/>
    </row>
    <row r="25" spans="1:20">
      <c r="E25" s="364" t="str">
        <f t="shared" ref="E25:E32" si="1">IF(LEN(F25)&lt;=5,F25&amp;" "&amp;I25&amp;IF(F25="LFT"," - "&amp;J25,"")&amp;" ("&amp;G25&amp;TEXT(H25,"0.00%")&amp;")",IF(LEFT(F25,3)="Cor","Títulos Corporativos - "&amp;J25&amp;IF(J25&lt;1," ano("," anos (")&amp;G25&amp;TEXT(H25,"0.00%")&amp;")","Títulos Bancários - "&amp;IF(J25&lt;1,J25*12&amp;" meses (",IF(J25=1,"1 ano (",IF(ISNUMBER(J25)*1,J25&amp;" anos (","Liquidez Diária (")))&amp;IF(G25="%CDI",TEXT(H25,"0.0%")&amp;" CDI)",G25&amp;TEXT(H25,"0.00%")&amp;")")))</f>
        <v>NTN-B 2023 (IPCA+8.00%)</v>
      </c>
      <c r="F25" s="379" t="s">
        <v>1865</v>
      </c>
      <c r="G25" s="363" t="s">
        <v>1863</v>
      </c>
      <c r="H25" s="369">
        <f>MROUND('[2]Inputs Refs'!G5-0.15%,0.05%)</f>
        <v>0.08</v>
      </c>
      <c r="I25" s="375">
        <f>'[2]Inputs Refs'!E5</f>
        <v>2023</v>
      </c>
      <c r="J25" s="368">
        <f>'[2]Inputs Refs'!F5</f>
        <v>0.67271364340330786</v>
      </c>
      <c r="K25" s="365" t="s">
        <v>1843</v>
      </c>
      <c r="L25" s="384" t="s">
        <v>1879</v>
      </c>
      <c r="M25" s="384" t="s">
        <v>66</v>
      </c>
      <c r="N25" s="573" t="s">
        <v>951</v>
      </c>
      <c r="O25" s="293" t="s">
        <v>87</v>
      </c>
      <c r="P25" s="573" t="s">
        <v>66</v>
      </c>
      <c r="Q25" s="574" t="s">
        <v>66</v>
      </c>
      <c r="R25" s="295" t="s">
        <v>66</v>
      </c>
      <c r="S25" s="575" t="s">
        <v>66</v>
      </c>
      <c r="T25" s="576" t="s">
        <v>66</v>
      </c>
    </row>
    <row r="26" spans="1:20">
      <c r="E26" s="364" t="str">
        <f t="shared" si="1"/>
        <v>NTN-B 2024 (IPCA+6.60%)</v>
      </c>
      <c r="F26" s="379" t="s">
        <v>1865</v>
      </c>
      <c r="G26" s="363" t="s">
        <v>1863</v>
      </c>
      <c r="H26" s="369">
        <f>MROUND('[2]Inputs Refs'!G6-0.15%,0.05%)</f>
        <v>6.6000000000000003E-2</v>
      </c>
      <c r="I26" s="375">
        <f>'[2]Inputs Refs'!E6</f>
        <v>2024</v>
      </c>
      <c r="J26" s="368">
        <f>'[2]Inputs Refs'!F6</f>
        <v>1.8489222950371191</v>
      </c>
      <c r="K26" s="365" t="s">
        <v>1843</v>
      </c>
      <c r="L26" s="384" t="s">
        <v>1879</v>
      </c>
      <c r="M26" s="384" t="s">
        <v>66</v>
      </c>
      <c r="N26" s="573" t="s">
        <v>951</v>
      </c>
      <c r="O26" s="293" t="s">
        <v>87</v>
      </c>
      <c r="P26" s="573" t="s">
        <v>66</v>
      </c>
      <c r="Q26" s="574" t="s">
        <v>66</v>
      </c>
      <c r="R26" s="295" t="s">
        <v>66</v>
      </c>
      <c r="S26" s="575" t="s">
        <v>66</v>
      </c>
      <c r="T26" s="576" t="s">
        <v>66</v>
      </c>
    </row>
    <row r="27" spans="1:20">
      <c r="E27" s="364" t="str">
        <f t="shared" si="1"/>
        <v>NTN-B 2025 (IPCA+6.00%)</v>
      </c>
      <c r="F27" s="379" t="s">
        <v>1865</v>
      </c>
      <c r="G27" s="363" t="s">
        <v>1863</v>
      </c>
      <c r="H27" s="369">
        <f>MROUND('[2]Inputs Refs'!G7-0.15%,0.05%)</f>
        <v>0.06</v>
      </c>
      <c r="I27" s="375">
        <f>'[2]Inputs Refs'!E7</f>
        <v>2025</v>
      </c>
      <c r="J27" s="368">
        <f>'[2]Inputs Refs'!F7</f>
        <v>2.4728736515093286</v>
      </c>
      <c r="K27" s="365" t="s">
        <v>1843</v>
      </c>
      <c r="L27" s="384" t="s">
        <v>1879</v>
      </c>
      <c r="M27" s="384" t="s">
        <v>66</v>
      </c>
      <c r="N27" s="573" t="s">
        <v>951</v>
      </c>
      <c r="O27" s="293" t="s">
        <v>87</v>
      </c>
      <c r="P27" s="573" t="s">
        <v>66</v>
      </c>
      <c r="Q27" s="574" t="s">
        <v>66</v>
      </c>
      <c r="R27" s="295" t="s">
        <v>66</v>
      </c>
      <c r="S27" s="575" t="s">
        <v>66</v>
      </c>
      <c r="T27" s="576" t="s">
        <v>66</v>
      </c>
    </row>
    <row r="28" spans="1:20">
      <c r="E28" s="364" t="str">
        <f t="shared" si="1"/>
        <v>NTN-B 2026 (IPCA+5.75%)</v>
      </c>
      <c r="F28" s="379" t="s">
        <v>1865</v>
      </c>
      <c r="G28" s="363" t="s">
        <v>1863</v>
      </c>
      <c r="H28" s="369">
        <f>MROUND('[2]Inputs Refs'!G8-0.15%,0.05%)</f>
        <v>5.7500000000000002E-2</v>
      </c>
      <c r="I28" s="375">
        <f>'[2]Inputs Refs'!E8</f>
        <v>2026</v>
      </c>
      <c r="J28" s="368">
        <f>'[2]Inputs Refs'!F8</f>
        <v>3.5623494832232732</v>
      </c>
      <c r="K28" s="365" t="s">
        <v>1078</v>
      </c>
      <c r="L28" s="384" t="s">
        <v>1879</v>
      </c>
      <c r="M28" s="384" t="s">
        <v>66</v>
      </c>
      <c r="N28" s="573" t="s">
        <v>951</v>
      </c>
      <c r="O28" s="293" t="s">
        <v>87</v>
      </c>
      <c r="P28" s="573" t="s">
        <v>66</v>
      </c>
      <c r="Q28" s="574" t="s">
        <v>66</v>
      </c>
      <c r="R28" s="295" t="s">
        <v>66</v>
      </c>
      <c r="S28" s="575" t="s">
        <v>66</v>
      </c>
      <c r="T28" s="576" t="s">
        <v>66</v>
      </c>
    </row>
    <row r="29" spans="1:20">
      <c r="E29" s="364" t="str">
        <f t="shared" si="1"/>
        <v>Títulos Bancários - 1 ano (IPCA+9.85%)</v>
      </c>
      <c r="F29" s="379" t="s">
        <v>1868</v>
      </c>
      <c r="G29" s="363" t="s">
        <v>1863</v>
      </c>
      <c r="H29" s="369">
        <f>MROUND('[2]Inputs Refs'!$CU24-0.15%,0.05%)</f>
        <v>9.8500000000000004E-2</v>
      </c>
      <c r="I29" s="380">
        <f ca="1">EDATE(TODAY(),J29*12)</f>
        <v>45177</v>
      </c>
      <c r="J29" s="293">
        <v>1</v>
      </c>
      <c r="K29" s="365" t="s">
        <v>1843</v>
      </c>
      <c r="L29" s="379" t="s">
        <v>1011</v>
      </c>
      <c r="M29" s="379" t="s">
        <v>66</v>
      </c>
      <c r="N29" s="573" t="s">
        <v>951</v>
      </c>
      <c r="O29" s="293" t="s">
        <v>87</v>
      </c>
      <c r="P29" s="573" t="s">
        <v>66</v>
      </c>
      <c r="Q29" s="574" t="s">
        <v>66</v>
      </c>
      <c r="R29" s="295" t="s">
        <v>66</v>
      </c>
      <c r="S29" s="575" t="s">
        <v>66</v>
      </c>
      <c r="T29" s="576" t="s">
        <v>66</v>
      </c>
    </row>
    <row r="30" spans="1:20">
      <c r="E30" s="364" t="str">
        <f t="shared" si="1"/>
        <v>Títulos Bancários - 2 anos (IPCA+8.50%)</v>
      </c>
      <c r="F30" s="379" t="s">
        <v>1868</v>
      </c>
      <c r="G30" s="363" t="s">
        <v>1863</v>
      </c>
      <c r="H30" s="369">
        <f>MROUND('[2]Inputs Refs'!$CU26-0.15%,0.05%)</f>
        <v>8.5000000000000006E-2</v>
      </c>
      <c r="I30" s="380">
        <f ca="1">EDATE(TODAY(),J30*12)</f>
        <v>45543</v>
      </c>
      <c r="J30" s="293">
        <v>2</v>
      </c>
      <c r="K30" s="365" t="s">
        <v>1843</v>
      </c>
      <c r="L30" s="379" t="s">
        <v>1011</v>
      </c>
      <c r="M30" s="379" t="s">
        <v>66</v>
      </c>
      <c r="N30" s="573" t="s">
        <v>951</v>
      </c>
      <c r="O30" s="293" t="s">
        <v>87</v>
      </c>
      <c r="P30" s="573" t="s">
        <v>66</v>
      </c>
      <c r="Q30" s="574" t="s">
        <v>66</v>
      </c>
      <c r="R30" s="295" t="s">
        <v>66</v>
      </c>
      <c r="S30" s="575" t="s">
        <v>66</v>
      </c>
      <c r="T30" s="576" t="s">
        <v>66</v>
      </c>
    </row>
    <row r="31" spans="1:20">
      <c r="E31" s="364" t="str">
        <f t="shared" si="1"/>
        <v>Títulos Bancários - 3 anos (IPCA+8.00%)</v>
      </c>
      <c r="F31" s="379" t="s">
        <v>1868</v>
      </c>
      <c r="G31" s="363" t="s">
        <v>1863</v>
      </c>
      <c r="H31" s="369">
        <f>MROUND('[2]Inputs Refs'!$CU28-0.15%,0.05%)</f>
        <v>0.08</v>
      </c>
      <c r="I31" s="380">
        <f ca="1">EDATE(TODAY(),J31*12)</f>
        <v>45908</v>
      </c>
      <c r="J31" s="293">
        <v>3</v>
      </c>
      <c r="K31" s="365" t="s">
        <v>1843</v>
      </c>
      <c r="L31" s="379" t="s">
        <v>1011</v>
      </c>
      <c r="M31" s="379" t="s">
        <v>66</v>
      </c>
      <c r="N31" s="573" t="s">
        <v>951</v>
      </c>
      <c r="O31" s="293" t="s">
        <v>87</v>
      </c>
      <c r="P31" s="573" t="s">
        <v>66</v>
      </c>
      <c r="Q31" s="574" t="s">
        <v>66</v>
      </c>
      <c r="R31" s="295" t="s">
        <v>66</v>
      </c>
      <c r="S31" s="575" t="s">
        <v>66</v>
      </c>
      <c r="T31" s="576" t="s">
        <v>66</v>
      </c>
    </row>
    <row r="32" spans="1:20">
      <c r="E32" s="364" t="str">
        <f t="shared" si="1"/>
        <v>Títulos Corporativos - 4 anos (IPCA+8.30%)</v>
      </c>
      <c r="F32" s="379" t="s">
        <v>1869</v>
      </c>
      <c r="G32" s="363" t="s">
        <v>1863</v>
      </c>
      <c r="H32" s="369">
        <f>MROUND(AVERAGE('[2]Inputs Refs'!$CR$30:$CU$30)-0.15%,0.05%)</f>
        <v>8.3000000000000004E-2</v>
      </c>
      <c r="I32" s="380">
        <f ca="1">EDATE(TODAY(),J32*12)</f>
        <v>46273</v>
      </c>
      <c r="J32" s="293">
        <v>4</v>
      </c>
      <c r="K32" s="382" t="s">
        <v>1078</v>
      </c>
      <c r="L32" s="379" t="s">
        <v>1011</v>
      </c>
      <c r="M32" s="379" t="s">
        <v>66</v>
      </c>
      <c r="N32" s="573" t="s">
        <v>951</v>
      </c>
      <c r="O32" s="293" t="s">
        <v>87</v>
      </c>
      <c r="P32" s="573" t="s">
        <v>66</v>
      </c>
      <c r="Q32" s="574" t="s">
        <v>66</v>
      </c>
      <c r="R32" s="295" t="s">
        <v>66</v>
      </c>
      <c r="S32" s="575" t="s">
        <v>66</v>
      </c>
      <c r="T32" s="576" t="s">
        <v>66</v>
      </c>
    </row>
    <row r="33" spans="1:20" ht="5.25" customHeight="1">
      <c r="E33" s="297"/>
      <c r="H33" s="370"/>
      <c r="I33" s="376"/>
    </row>
    <row r="34" spans="1:20" s="282" customFormat="1">
      <c r="A34" s="300"/>
      <c r="B34" s="335" t="s">
        <v>964</v>
      </c>
      <c r="C34" s="337" t="s">
        <v>1259</v>
      </c>
      <c r="D34" s="335" t="str">
        <f>B34&amp;" "&amp;C34</f>
        <v>Inflação Média</v>
      </c>
      <c r="E34" s="289" t="s">
        <v>1898</v>
      </c>
      <c r="F34" s="289"/>
      <c r="G34" s="289"/>
      <c r="H34" s="371"/>
      <c r="I34" s="377"/>
      <c r="J34" s="290"/>
      <c r="K34" s="289"/>
      <c r="L34" s="289"/>
      <c r="M34" s="289"/>
      <c r="N34" s="289"/>
      <c r="O34" s="289"/>
      <c r="P34" s="289"/>
      <c r="Q34" s="289"/>
      <c r="R34" s="289"/>
      <c r="S34" s="319"/>
      <c r="T34" s="359"/>
    </row>
    <row r="35" spans="1:20">
      <c r="E35" s="364" t="str">
        <f t="shared" ref="E35:E41" si="2">IF(LEN(F35)&lt;=5,F35&amp;" "&amp;I35&amp;IF(F35="LFT"," - "&amp;J35,"")&amp;" ("&amp;G35&amp;TEXT(H35,"0.00%")&amp;")",IF(LEFT(F35,3)="Cor","Títulos Corporativos - "&amp;J35&amp;IF(J35&lt;1," ano("," anos (")&amp;G35&amp;TEXT(H35,"0.00%")&amp;")","Títulos Bancários - "&amp;IF(J35&lt;1,J35*12&amp;" meses (",IF(J35=1,"1 ano (",IF(ISNUMBER(J35)*1,J35&amp;" anos (","Liquidez Diária (")))&amp;IF(G35="%CDI",TEXT(H35,"0.0%")&amp;" CDI)",G35&amp;TEXT(H35,"0.00%")&amp;")")))</f>
        <v>NTN-B 2027 (IPCA+5.70%)</v>
      </c>
      <c r="F35" s="379" t="s">
        <v>1865</v>
      </c>
      <c r="G35" s="363" t="s">
        <v>1863</v>
      </c>
      <c r="H35" s="369">
        <f>MROUND('[2]Inputs Refs'!G9-0.15%,0.05%)</f>
        <v>5.7000000000000002E-2</v>
      </c>
      <c r="I35" s="375">
        <f>'[2]Inputs Refs'!E9</f>
        <v>2027</v>
      </c>
      <c r="J35" s="368">
        <f>'[2]Inputs Refs'!F9</f>
        <v>4.085066131145239</v>
      </c>
      <c r="K35" s="365" t="s">
        <v>1078</v>
      </c>
      <c r="L35" s="384" t="s">
        <v>1879</v>
      </c>
      <c r="M35" s="384" t="s">
        <v>66</v>
      </c>
      <c r="N35" s="573" t="s">
        <v>951</v>
      </c>
      <c r="O35" s="293" t="s">
        <v>87</v>
      </c>
      <c r="P35" s="573" t="s">
        <v>66</v>
      </c>
      <c r="Q35" s="574" t="s">
        <v>66</v>
      </c>
      <c r="R35" s="295" t="s">
        <v>66</v>
      </c>
      <c r="S35" s="575" t="s">
        <v>66</v>
      </c>
      <c r="T35" s="576" t="s">
        <v>66</v>
      </c>
    </row>
    <row r="36" spans="1:20">
      <c r="E36" s="364" t="str">
        <f t="shared" si="2"/>
        <v>NTN-B 2028 (IPCA+5.70%)</v>
      </c>
      <c r="F36" s="379" t="s">
        <v>1865</v>
      </c>
      <c r="G36" s="363" t="s">
        <v>1863</v>
      </c>
      <c r="H36" s="369">
        <f>MROUND('[2]Inputs Refs'!G10-0.15%,0.05%)</f>
        <v>5.7000000000000002E-2</v>
      </c>
      <c r="I36" s="375">
        <f>'[2]Inputs Refs'!E10</f>
        <v>2028</v>
      </c>
      <c r="J36" s="368">
        <f>'[2]Inputs Refs'!F10</f>
        <v>5.0756232382138711</v>
      </c>
      <c r="K36" s="365" t="s">
        <v>1078</v>
      </c>
      <c r="L36" s="384" t="s">
        <v>1879</v>
      </c>
      <c r="M36" s="384" t="s">
        <v>66</v>
      </c>
      <c r="N36" s="573" t="s">
        <v>951</v>
      </c>
      <c r="O36" s="293" t="s">
        <v>87</v>
      </c>
      <c r="P36" s="573" t="s">
        <v>66</v>
      </c>
      <c r="Q36" s="574" t="s">
        <v>66</v>
      </c>
      <c r="R36" s="295" t="s">
        <v>66</v>
      </c>
      <c r="S36" s="575" t="s">
        <v>66</v>
      </c>
      <c r="T36" s="576" t="s">
        <v>66</v>
      </c>
    </row>
    <row r="37" spans="1:20">
      <c r="E37" s="364" t="str">
        <f t="shared" si="2"/>
        <v>NTN-B 2030 (IPCA+5.70%)</v>
      </c>
      <c r="F37" s="379" t="s">
        <v>1865</v>
      </c>
      <c r="G37" s="363" t="s">
        <v>1863</v>
      </c>
      <c r="H37" s="369">
        <f>MROUND('[2]Inputs Refs'!G11-0.15%,0.05%)</f>
        <v>5.7000000000000002E-2</v>
      </c>
      <c r="I37" s="375">
        <f>'[2]Inputs Refs'!E11</f>
        <v>2030</v>
      </c>
      <c r="J37" s="368">
        <f>'[2]Inputs Refs'!F11</f>
        <v>6.4192974700096661</v>
      </c>
      <c r="K37" s="365" t="s">
        <v>1078</v>
      </c>
      <c r="L37" s="384" t="s">
        <v>1879</v>
      </c>
      <c r="M37" s="384" t="s">
        <v>66</v>
      </c>
      <c r="N37" s="573" t="s">
        <v>951</v>
      </c>
      <c r="O37" s="293" t="s">
        <v>87</v>
      </c>
      <c r="P37" s="573" t="s">
        <v>66</v>
      </c>
      <c r="Q37" s="574" t="s">
        <v>66</v>
      </c>
      <c r="R37" s="295" t="s">
        <v>66</v>
      </c>
      <c r="S37" s="575" t="s">
        <v>66</v>
      </c>
      <c r="T37" s="576" t="s">
        <v>66</v>
      </c>
    </row>
    <row r="38" spans="1:20">
      <c r="E38" s="364" t="str">
        <f t="shared" si="2"/>
        <v>Títulos Bancários - 5 anos (IPCA+8.15%)</v>
      </c>
      <c r="F38" s="379" t="s">
        <v>1868</v>
      </c>
      <c r="G38" s="363" t="s">
        <v>1863</v>
      </c>
      <c r="H38" s="369">
        <f>MROUND('[2]Inputs Refs'!$CU$32-0.15%,0.05%)</f>
        <v>8.1500000000000003E-2</v>
      </c>
      <c r="I38" s="380">
        <f ca="1">EDATE(TODAY(),J38*12)</f>
        <v>46638</v>
      </c>
      <c r="J38" s="293">
        <v>5</v>
      </c>
      <c r="K38" s="365" t="s">
        <v>1078</v>
      </c>
      <c r="L38" s="379" t="s">
        <v>1011</v>
      </c>
      <c r="M38" s="379" t="s">
        <v>66</v>
      </c>
      <c r="N38" s="573" t="s">
        <v>951</v>
      </c>
      <c r="O38" s="293" t="s">
        <v>87</v>
      </c>
      <c r="P38" s="573" t="s">
        <v>66</v>
      </c>
      <c r="Q38" s="574" t="s">
        <v>66</v>
      </c>
      <c r="R38" s="295" t="s">
        <v>66</v>
      </c>
      <c r="S38" s="575" t="s">
        <v>66</v>
      </c>
      <c r="T38" s="576" t="s">
        <v>66</v>
      </c>
    </row>
    <row r="39" spans="1:20">
      <c r="E39" s="364" t="str">
        <f t="shared" si="2"/>
        <v>Títulos Corporativos - 5 anos (IPCA+8.45%)</v>
      </c>
      <c r="F39" s="379" t="s">
        <v>1869</v>
      </c>
      <c r="G39" s="363" t="s">
        <v>1863</v>
      </c>
      <c r="H39" s="369">
        <f>MROUND(AVERAGE('[2]Inputs Refs'!$CR32:$CU32)-0.15%,0.05%)</f>
        <v>8.4500000000000006E-2</v>
      </c>
      <c r="I39" s="381" t="s">
        <v>66</v>
      </c>
      <c r="J39" s="293">
        <v>5</v>
      </c>
      <c r="K39" s="365" t="s">
        <v>1078</v>
      </c>
      <c r="L39" s="379" t="s">
        <v>1011</v>
      </c>
      <c r="M39" s="379" t="s">
        <v>66</v>
      </c>
      <c r="N39" s="573" t="s">
        <v>951</v>
      </c>
      <c r="O39" s="293" t="s">
        <v>87</v>
      </c>
      <c r="P39" s="573" t="s">
        <v>66</v>
      </c>
      <c r="Q39" s="574" t="s">
        <v>66</v>
      </c>
      <c r="R39" s="295" t="s">
        <v>66</v>
      </c>
      <c r="S39" s="575" t="s">
        <v>66</v>
      </c>
      <c r="T39" s="576" t="s">
        <v>66</v>
      </c>
    </row>
    <row r="40" spans="1:20">
      <c r="E40" s="364" t="str">
        <f t="shared" si="2"/>
        <v>Títulos Corporativos - 6 anos (IPCA+8.55%)</v>
      </c>
      <c r="F40" s="379" t="s">
        <v>1869</v>
      </c>
      <c r="G40" s="363" t="s">
        <v>1863</v>
      </c>
      <c r="H40" s="369">
        <f>MROUND(AVERAGE('[2]Inputs Refs'!$CR34:$CU34)-0.15%,0.05%)</f>
        <v>8.5500000000000007E-2</v>
      </c>
      <c r="I40" s="381" t="s">
        <v>66</v>
      </c>
      <c r="J40" s="293">
        <v>6</v>
      </c>
      <c r="K40" s="365" t="s">
        <v>1078</v>
      </c>
      <c r="L40" s="379" t="s">
        <v>1011</v>
      </c>
      <c r="M40" s="379" t="s">
        <v>66</v>
      </c>
      <c r="N40" s="573" t="s">
        <v>951</v>
      </c>
      <c r="O40" s="293" t="s">
        <v>87</v>
      </c>
      <c r="P40" s="573" t="s">
        <v>66</v>
      </c>
      <c r="Q40" s="574" t="s">
        <v>66</v>
      </c>
      <c r="R40" s="295" t="s">
        <v>66</v>
      </c>
      <c r="S40" s="575" t="s">
        <v>66</v>
      </c>
      <c r="T40" s="576" t="s">
        <v>66</v>
      </c>
    </row>
    <row r="41" spans="1:20">
      <c r="E41" s="364" t="str">
        <f t="shared" si="2"/>
        <v>Títulos Corporativos - 7 anos (IPCA+8.70%)</v>
      </c>
      <c r="F41" s="379" t="s">
        <v>1869</v>
      </c>
      <c r="G41" s="363" t="s">
        <v>1863</v>
      </c>
      <c r="H41" s="369">
        <f>MROUND(AVERAGE('[2]Inputs Refs'!$CR36:$CU36)-0.15%,0.05%)</f>
        <v>8.7000000000000008E-2</v>
      </c>
      <c r="I41" s="381" t="s">
        <v>66</v>
      </c>
      <c r="J41" s="293">
        <v>7</v>
      </c>
      <c r="K41" s="382" t="s">
        <v>1843</v>
      </c>
      <c r="L41" s="379" t="s">
        <v>1011</v>
      </c>
      <c r="M41" s="379" t="s">
        <v>66</v>
      </c>
      <c r="N41" s="573" t="s">
        <v>951</v>
      </c>
      <c r="O41" s="293" t="s">
        <v>87</v>
      </c>
      <c r="P41" s="573" t="s">
        <v>66</v>
      </c>
      <c r="Q41" s="574" t="s">
        <v>66</v>
      </c>
      <c r="R41" s="295" t="s">
        <v>66</v>
      </c>
      <c r="S41" s="575" t="s">
        <v>66</v>
      </c>
      <c r="T41" s="576" t="s">
        <v>66</v>
      </c>
    </row>
    <row r="42" spans="1:20" ht="5.25" customHeight="1">
      <c r="E42" s="297"/>
      <c r="H42" s="370"/>
      <c r="I42" s="376"/>
    </row>
    <row r="43" spans="1:20" s="282" customFormat="1">
      <c r="A43" s="300"/>
      <c r="B43" s="335" t="s">
        <v>964</v>
      </c>
      <c r="C43" s="337" t="s">
        <v>1260</v>
      </c>
      <c r="D43" s="335" t="str">
        <f>B43&amp;" "&amp;C43</f>
        <v>Inflação Longa</v>
      </c>
      <c r="E43" s="289" t="s">
        <v>1888</v>
      </c>
      <c r="F43" s="289"/>
      <c r="G43" s="289"/>
      <c r="H43" s="371"/>
      <c r="I43" s="377"/>
      <c r="J43" s="290"/>
      <c r="K43" s="289"/>
      <c r="L43" s="289"/>
      <c r="M43" s="289"/>
      <c r="N43" s="289"/>
      <c r="O43" s="289"/>
      <c r="P43" s="289"/>
      <c r="Q43" s="289"/>
      <c r="R43" s="289"/>
      <c r="S43" s="319"/>
      <c r="T43" s="359"/>
    </row>
    <row r="44" spans="1:20">
      <c r="E44" s="364" t="str">
        <f>IF(LEN(F44)&lt;=5,F44&amp;" "&amp;I44&amp;IF(F44="LFT"," - "&amp;J44,"")&amp;" ("&amp;G44&amp;TEXT(H44,"0.00%")&amp;")",IF(LEFT(F44,3)="Cor","Títulos Corporativos - "&amp;J44&amp;IF(J44&lt;1," ano("," anos (")&amp;G44&amp;TEXT(H44,"0.00%")&amp;")","Títulos Bancários - "&amp;IF(J44&lt;1,J44*12&amp;" meses (",IF(J44=1,"1 ano (",IF(ISNUMBER(J44)*1,J44&amp;" anos (","Liquidez Diária (")))&amp;IF(G44="%CDI",TEXT(H44,"0.0%")&amp;" CDI)",G44&amp;TEXT(H44,"0.00%")&amp;")")))</f>
        <v>NTN-B 2032 (IPCA+5.75%)</v>
      </c>
      <c r="F44" s="379" t="s">
        <v>1865</v>
      </c>
      <c r="G44" s="363" t="s">
        <v>1863</v>
      </c>
      <c r="H44" s="369">
        <f>MROUND('[2]Inputs Refs'!G12-0.15%,0.05%)</f>
        <v>5.7500000000000002E-2</v>
      </c>
      <c r="I44" s="375">
        <f>'[2]Inputs Refs'!E12</f>
        <v>2032</v>
      </c>
      <c r="J44" s="368">
        <f>'[2]Inputs Refs'!F12</f>
        <v>7.6216342219862483</v>
      </c>
      <c r="K44" s="365" t="s">
        <v>1843</v>
      </c>
      <c r="L44" s="384" t="s">
        <v>1879</v>
      </c>
      <c r="M44" s="384" t="s">
        <v>66</v>
      </c>
      <c r="N44" s="573" t="s">
        <v>951</v>
      </c>
      <c r="O44" s="293" t="s">
        <v>87</v>
      </c>
      <c r="P44" s="573" t="s">
        <v>66</v>
      </c>
      <c r="Q44" s="574" t="s">
        <v>66</v>
      </c>
      <c r="R44" s="295" t="s">
        <v>66</v>
      </c>
      <c r="S44" s="575" t="s">
        <v>66</v>
      </c>
      <c r="T44" s="576" t="s">
        <v>66</v>
      </c>
    </row>
    <row r="45" spans="1:20">
      <c r="E45" s="364" t="str">
        <f>IF(LEN(F45)&lt;=5,F45&amp;" "&amp;I45&amp;IF(F45="LFT"," - "&amp;J45,"")&amp;" ("&amp;G45&amp;TEXT(H45,"0.00%")&amp;")",IF(LEFT(F45,3)="Cor","Títulos Corporativos - "&amp;J45&amp;IF(J45&lt;1," ano("," anos (")&amp;G45&amp;TEXT(H45,"0.00%")&amp;")","Títulos Bancários - "&amp;IF(J45&lt;1,J45*12&amp;" meses (",IF(J45=1,"1 ano (",IF(ISNUMBER(J45)*1,J45&amp;" anos (","Liquidez Diária (")))&amp;IF(G45="%CDI",TEXT(H45,"0.0%")&amp;" CDI)",G45&amp;TEXT(H45,"0.00%")&amp;")")))</f>
        <v>NTN-B 2035 (IPCA+5.80%)</v>
      </c>
      <c r="F45" s="379" t="s">
        <v>1865</v>
      </c>
      <c r="G45" s="363" t="s">
        <v>1863</v>
      </c>
      <c r="H45" s="369">
        <f>MROUND('[2]Inputs Refs'!G13-0.15%,0.05%)</f>
        <v>5.8000000000000003E-2</v>
      </c>
      <c r="I45" s="375">
        <f>'[2]Inputs Refs'!E13</f>
        <v>2035</v>
      </c>
      <c r="J45" s="368">
        <f>'[2]Inputs Refs'!F13</f>
        <v>8.9306081505745833</v>
      </c>
      <c r="K45" s="365" t="s">
        <v>1843</v>
      </c>
      <c r="L45" s="384" t="s">
        <v>1879</v>
      </c>
      <c r="M45" s="384" t="s">
        <v>66</v>
      </c>
      <c r="N45" s="573" t="s">
        <v>951</v>
      </c>
      <c r="O45" s="293" t="s">
        <v>87</v>
      </c>
      <c r="P45" s="573" t="s">
        <v>66</v>
      </c>
      <c r="Q45" s="574" t="s">
        <v>66</v>
      </c>
      <c r="R45" s="295" t="s">
        <v>66</v>
      </c>
      <c r="S45" s="575" t="s">
        <v>66</v>
      </c>
      <c r="T45" s="576" t="s">
        <v>66</v>
      </c>
    </row>
    <row r="46" spans="1:20">
      <c r="E46" s="364" t="str">
        <f>IF(LEN(F46)&lt;=5,F46&amp;" "&amp;I46&amp;IF(F46="LFT"," - "&amp;J46,"")&amp;" ("&amp;G46&amp;TEXT(H46,"0.00%")&amp;")",IF(LEFT(F46,3)="Cor","Títulos Corporativos - "&amp;J46&amp;IF(J46&lt;1," ano("," anos (")&amp;G46&amp;TEXT(H46,"0.00%")&amp;")","Títulos Bancários - "&amp;IF(J46&lt;1,J46*12&amp;" meses (",IF(J46=1,"1 ano (",IF(ISNUMBER(J46)*1,J46&amp;" anos (","Liquidez Diária (")))&amp;IF(G46="%CDI",TEXT(H46,"0.0%")&amp;" CDI)",G46&amp;TEXT(H46,"0.00%")&amp;")")))</f>
        <v>Títulos Corporativos - 8 anos (IPCA+8.80%)</v>
      </c>
      <c r="F46" s="379" t="s">
        <v>1869</v>
      </c>
      <c r="G46" s="363" t="s">
        <v>1863</v>
      </c>
      <c r="H46" s="369">
        <f>MROUND(AVERAGE('[2]Inputs Refs'!$CR38:$CU38)-0.15%,0.05%)</f>
        <v>8.7999999999999995E-2</v>
      </c>
      <c r="I46" s="381" t="s">
        <v>66</v>
      </c>
      <c r="J46" s="293">
        <v>8</v>
      </c>
      <c r="K46" s="365" t="s">
        <v>1843</v>
      </c>
      <c r="L46" s="379" t="s">
        <v>1011</v>
      </c>
      <c r="M46" s="379" t="s">
        <v>66</v>
      </c>
      <c r="N46" s="573" t="s">
        <v>951</v>
      </c>
      <c r="O46" s="293" t="s">
        <v>87</v>
      </c>
      <c r="P46" s="573" t="s">
        <v>66</v>
      </c>
      <c r="Q46" s="574" t="s">
        <v>66</v>
      </c>
      <c r="R46" s="295" t="s">
        <v>66</v>
      </c>
      <c r="S46" s="575" t="s">
        <v>66</v>
      </c>
      <c r="T46" s="576" t="s">
        <v>66</v>
      </c>
    </row>
    <row r="47" spans="1:20">
      <c r="E47" s="364" t="str">
        <f>IF(LEN(F47)&lt;=5,F47&amp;" "&amp;I47&amp;IF(F47="LFT"," - "&amp;J47,"")&amp;" ("&amp;G47&amp;TEXT(H47,"0.00%")&amp;")",IF(LEFT(F47,3)="Cor","Títulos Corporativos - "&amp;J47&amp;IF(J47&lt;1," ano("," anos (")&amp;G47&amp;TEXT(H47,"0.00%")&amp;")","Títulos Bancários - "&amp;IF(J47&lt;1,J47*12&amp;" meses (",IF(J47=1,"1 ano (",IF(ISNUMBER(J47)*1,J47&amp;" anos (","Liquidez Diária (")))&amp;IF(G47="%CDI",TEXT(H47,"0.0%")&amp;" CDI)",G47&amp;TEXT(H47,"0.00%")&amp;")")))</f>
        <v>Títulos Corporativos - 9 anos (IPCA+8.85%)</v>
      </c>
      <c r="F47" s="379" t="s">
        <v>1869</v>
      </c>
      <c r="G47" s="363" t="s">
        <v>1863</v>
      </c>
      <c r="H47" s="369">
        <f>MROUND(AVERAGE('[2]Inputs Refs'!$CR40:$CU40)-0.15%,0.05%)</f>
        <v>8.8499999999999995E-2</v>
      </c>
      <c r="I47" s="381" t="s">
        <v>66</v>
      </c>
      <c r="J47" s="293">
        <v>9</v>
      </c>
      <c r="K47" s="365" t="s">
        <v>1843</v>
      </c>
      <c r="L47" s="379" t="s">
        <v>1011</v>
      </c>
      <c r="M47" s="379" t="s">
        <v>66</v>
      </c>
      <c r="N47" s="573" t="s">
        <v>951</v>
      </c>
      <c r="O47" s="293" t="s">
        <v>87</v>
      </c>
      <c r="P47" s="573" t="s">
        <v>66</v>
      </c>
      <c r="Q47" s="574" t="s">
        <v>66</v>
      </c>
      <c r="R47" s="295" t="s">
        <v>66</v>
      </c>
      <c r="S47" s="575" t="s">
        <v>66</v>
      </c>
      <c r="T47" s="576" t="s">
        <v>66</v>
      </c>
    </row>
    <row r="48" spans="1:20">
      <c r="E48" s="364" t="str">
        <f>IF(LEN(F48)&lt;=5,F48&amp;" "&amp;I48&amp;IF(F48="LFT"," - "&amp;J48,"")&amp;" ("&amp;G48&amp;TEXT(H48,"0.00%")&amp;")",IF(LEFT(F48,3)="Cor","Títulos Corporativos - "&amp;J48&amp;IF(J48&lt;1," ano("," anos (")&amp;G48&amp;TEXT(H48,"0.00%")&amp;")","Títulos Bancários - "&amp;IF(J48&lt;1,J48*12&amp;" meses (",IF(J48=1,"1 ano (",IF(ISNUMBER(J48)*1,J48&amp;" anos (","Liquidez Diária (")))&amp;IF(G48="%CDI",TEXT(H48,"0.0%")&amp;" CDI)",G48&amp;TEXT(H48,"0.00%")&amp;")")))</f>
        <v>Títulos Corporativos - 10 anos (IPCA+8.90%)</v>
      </c>
      <c r="F48" s="379" t="s">
        <v>1869</v>
      </c>
      <c r="G48" s="363" t="s">
        <v>1863</v>
      </c>
      <c r="H48" s="369">
        <f>MROUND(AVERAGE('[2]Inputs Refs'!$CR42:$CU42)-0.15%,0.05%)</f>
        <v>8.8999999999999996E-2</v>
      </c>
      <c r="I48" s="381" t="s">
        <v>66</v>
      </c>
      <c r="J48" s="293">
        <v>10</v>
      </c>
      <c r="K48" s="365" t="s">
        <v>1843</v>
      </c>
      <c r="L48" s="379" t="s">
        <v>1011</v>
      </c>
      <c r="M48" s="379" t="s">
        <v>66</v>
      </c>
      <c r="N48" s="573" t="s">
        <v>951</v>
      </c>
      <c r="O48" s="293" t="s">
        <v>87</v>
      </c>
      <c r="P48" s="573" t="s">
        <v>66</v>
      </c>
      <c r="Q48" s="574" t="s">
        <v>66</v>
      </c>
      <c r="R48" s="295" t="s">
        <v>66</v>
      </c>
      <c r="S48" s="575" t="s">
        <v>66</v>
      </c>
      <c r="T48" s="576" t="s">
        <v>66</v>
      </c>
    </row>
    <row r="49" spans="1:20" s="282" customFormat="1" ht="7.5" customHeight="1">
      <c r="B49" s="335"/>
      <c r="C49" s="335"/>
      <c r="D49" s="335"/>
      <c r="E49" s="281"/>
      <c r="H49" s="372"/>
      <c r="I49" s="283"/>
      <c r="J49" s="283"/>
    </row>
    <row r="50" spans="1:20" s="282" customFormat="1">
      <c r="A50" s="300"/>
      <c r="B50" s="345"/>
      <c r="C50" s="335"/>
      <c r="D50" s="335"/>
      <c r="E50" s="284" t="s">
        <v>1009</v>
      </c>
      <c r="F50" s="284"/>
      <c r="G50" s="284"/>
      <c r="H50" s="373"/>
      <c r="I50" s="378"/>
      <c r="J50" s="285"/>
      <c r="K50" s="284"/>
      <c r="L50" s="284"/>
      <c r="M50" s="284"/>
      <c r="N50" s="284"/>
      <c r="O50" s="284"/>
      <c r="P50" s="284"/>
      <c r="Q50" s="284"/>
      <c r="R50" s="284"/>
      <c r="S50" s="318"/>
      <c r="T50" s="356"/>
    </row>
    <row r="51" spans="1:20" s="282" customFormat="1" ht="3" customHeight="1">
      <c r="B51" s="335"/>
      <c r="C51" s="335"/>
      <c r="D51" s="335"/>
      <c r="H51" s="374"/>
      <c r="I51" s="287"/>
      <c r="J51" s="287"/>
    </row>
    <row r="52" spans="1:20" s="282" customFormat="1">
      <c r="A52" s="300"/>
      <c r="B52" s="335" t="s">
        <v>1009</v>
      </c>
      <c r="C52" s="335" t="s">
        <v>1113</v>
      </c>
      <c r="D52" s="335" t="str">
        <f>B52&amp;" "&amp;C52</f>
        <v>Pré-fixado Curta</v>
      </c>
      <c r="E52" s="289" t="s">
        <v>1892</v>
      </c>
      <c r="F52" s="289"/>
      <c r="G52" s="289"/>
      <c r="H52" s="371"/>
      <c r="I52" s="377"/>
      <c r="J52" s="290"/>
      <c r="K52" s="289"/>
      <c r="L52" s="289"/>
      <c r="M52" s="289"/>
      <c r="N52" s="289"/>
      <c r="O52" s="289"/>
      <c r="P52" s="289"/>
      <c r="Q52" s="289"/>
      <c r="R52" s="289"/>
      <c r="S52" s="319"/>
      <c r="T52" s="359"/>
    </row>
    <row r="53" spans="1:20">
      <c r="E53" s="364" t="str">
        <f>IF(LEN(F53)&lt;=5,F53&amp;" "&amp;I53&amp;IF(F53="LFT"," - "&amp;J53,"")&amp;" ("&amp;G53&amp;TEXT(H53,"0.00%")&amp;")",IF(LEFT(F53,3)="Cor","Títulos Corporativos - "&amp;J53&amp;IF(J53&lt;1," ano("," anos (")&amp;G53&amp;TEXT(H53,"0.00%")&amp;")","Títulos Bancários - "&amp;IF(J53&lt;1,J53*12&amp;" meses (",IF(J53=1,"1 ano (",IF(ISNUMBER(J53)*1,J53&amp;" anos (","Liquidez Diária (")))&amp;IF(G53="%CDI",TEXT(H53,"0.0%")&amp;" CDI)",G53&amp;TEXT(H53,"0.00%")&amp;")")))</f>
        <v>NTN-F 2023 (13.60%)</v>
      </c>
      <c r="F53" s="379" t="s">
        <v>1866</v>
      </c>
      <c r="G53" s="379"/>
      <c r="H53" s="369">
        <f>MROUND('[2]Inputs Refs'!G64-0.15%,0.05%)</f>
        <v>0.13600000000000001</v>
      </c>
      <c r="I53" s="375">
        <f>'[2]Inputs Refs'!E64</f>
        <v>2023</v>
      </c>
      <c r="J53" s="368">
        <f>'[2]Inputs Refs'!F64</f>
        <v>0.29873624061242254</v>
      </c>
      <c r="K53" s="382" t="s">
        <v>1843</v>
      </c>
      <c r="L53" s="384" t="s">
        <v>1879</v>
      </c>
      <c r="M53" s="384" t="s">
        <v>66</v>
      </c>
      <c r="N53" s="573" t="s">
        <v>951</v>
      </c>
      <c r="O53" s="293" t="s">
        <v>87</v>
      </c>
      <c r="P53" s="573" t="s">
        <v>66</v>
      </c>
      <c r="Q53" s="574" t="s">
        <v>66</v>
      </c>
      <c r="R53" s="295" t="s">
        <v>66</v>
      </c>
      <c r="S53" s="575" t="s">
        <v>66</v>
      </c>
      <c r="T53" s="576" t="s">
        <v>66</v>
      </c>
    </row>
    <row r="54" spans="1:20">
      <c r="E54" s="364" t="str">
        <f>IF(LEN(F54)&lt;=5,F54&amp;" "&amp;I54&amp;IF(F54="LFT"," - "&amp;J54,"")&amp;" ("&amp;G54&amp;TEXT(H54,"0.00%")&amp;")",IF(LEFT(F54,3)="Cor","Títulos Corporativos - "&amp;J54&amp;IF(J54&lt;1," ano("," anos (")&amp;G54&amp;TEXT(H54,"0.00%")&amp;")","Títulos Bancários - "&amp;IF(J54&lt;1,J54*12&amp;" meses (",IF(J54=1,"1 ano (",IF(ISNUMBER(J54)*1,J54&amp;" anos (","Liquidez Diária (")))&amp;IF(G54="%CDI",TEXT(H54,"0.0%")&amp;" CDI)",G54&amp;TEXT(H54,"0.00%")&amp;")")))</f>
        <v>NTN-F 2025 (12.00%)</v>
      </c>
      <c r="F54" s="379" t="s">
        <v>1866</v>
      </c>
      <c r="G54" s="379"/>
      <c r="H54" s="369">
        <f>MROUND('[2]Inputs Refs'!G65-0.15%,0.05%)</f>
        <v>0.12</v>
      </c>
      <c r="I54" s="375">
        <f>'[2]Inputs Refs'!E65</f>
        <v>2025</v>
      </c>
      <c r="J54" s="368">
        <f>'[2]Inputs Refs'!F65</f>
        <v>2.0926153530806135</v>
      </c>
      <c r="K54" s="382" t="s">
        <v>1843</v>
      </c>
      <c r="L54" s="384" t="s">
        <v>1879</v>
      </c>
      <c r="M54" s="384" t="s">
        <v>66</v>
      </c>
      <c r="N54" s="573" t="s">
        <v>951</v>
      </c>
      <c r="O54" s="293" t="s">
        <v>87</v>
      </c>
      <c r="P54" s="573" t="s">
        <v>66</v>
      </c>
      <c r="Q54" s="574" t="s">
        <v>66</v>
      </c>
      <c r="R54" s="295" t="s">
        <v>66</v>
      </c>
      <c r="S54" s="575" t="s">
        <v>66</v>
      </c>
      <c r="T54" s="576" t="s">
        <v>66</v>
      </c>
    </row>
    <row r="55" spans="1:20">
      <c r="E55" s="364" t="str">
        <f>IF(LEN(F55)&lt;=5,F55&amp;" "&amp;I55&amp;IF(F55="LFT"," - "&amp;J55,"")&amp;" ("&amp;G55&amp;TEXT(H55,"0.00%")&amp;")",IF(LEFT(F55,3)="Cor","Títulos Corporativos - "&amp;J55&amp;IF(J55&lt;1," ano("," anos (")&amp;G55&amp;TEXT(H55,"0.00%")&amp;")","Títulos Bancários - "&amp;IF(J55&lt;1,J55*12&amp;" meses (",IF(J55=1,"1 ano (",IF(ISNUMBER(J55)*1,J55&amp;" anos (","Liquidez Diária (")))&amp;IF(G55="%CDI",TEXT(H55,"0.0%")&amp;" CDI)",G55&amp;TEXT(H55,"0.00%")&amp;")")))</f>
        <v>Títulos Bancários - 1 ano (15.75%)</v>
      </c>
      <c r="F55" s="379" t="s">
        <v>1868</v>
      </c>
      <c r="G55" s="379"/>
      <c r="H55" s="369">
        <f>MROUND('[2]Inputs Refs'!$CI24-0.2%,0.05%)</f>
        <v>0.1575</v>
      </c>
      <c r="I55" s="380">
        <f ca="1">EDATE(TODAY(),J55*12)</f>
        <v>45177</v>
      </c>
      <c r="J55" s="293">
        <v>1</v>
      </c>
      <c r="K55" s="382" t="s">
        <v>1843</v>
      </c>
      <c r="L55" s="379" t="s">
        <v>1011</v>
      </c>
      <c r="M55" s="379" t="s">
        <v>66</v>
      </c>
      <c r="N55" s="573" t="s">
        <v>951</v>
      </c>
      <c r="O55" s="293" t="s">
        <v>87</v>
      </c>
      <c r="P55" s="573" t="s">
        <v>66</v>
      </c>
      <c r="Q55" s="574" t="s">
        <v>66</v>
      </c>
      <c r="R55" s="295" t="s">
        <v>66</v>
      </c>
      <c r="S55" s="575" t="s">
        <v>66</v>
      </c>
      <c r="T55" s="576" t="s">
        <v>66</v>
      </c>
    </row>
    <row r="56" spans="1:20">
      <c r="E56" s="364" t="str">
        <f>IF(LEN(F56)&lt;=5,F56&amp;" "&amp;I56&amp;IF(F56="LFT"," - "&amp;J56,"")&amp;" ("&amp;G56&amp;TEXT(H56,"0.00%")&amp;")",IF(LEFT(F56,3)="Cor","Títulos Corporativos - "&amp;J56&amp;IF(J56&lt;1," ano("," anos (")&amp;G56&amp;TEXT(H56,"0.00%")&amp;")","Títulos Bancários - "&amp;IF(J56&lt;1,J56*12&amp;" meses (",IF(J56=1,"1 ano (",IF(ISNUMBER(J56)*1,J56&amp;" anos (","Liquidez Diária (")))&amp;IF(G56="%CDI",TEXT(H56,"0.0%")&amp;" CDI)",G56&amp;TEXT(H56,"0.00%")&amp;")")))</f>
        <v>Títulos Bancários - 2 anos (14.10%)</v>
      </c>
      <c r="F56" s="379" t="s">
        <v>1868</v>
      </c>
      <c r="G56" s="379"/>
      <c r="H56" s="369">
        <f>MROUND('[2]Inputs Refs'!$CI26-0.2%,0.05%)</f>
        <v>0.14100000000000001</v>
      </c>
      <c r="I56" s="380">
        <f ca="1">EDATE(TODAY(),J56*12)</f>
        <v>45543</v>
      </c>
      <c r="J56" s="293">
        <v>2</v>
      </c>
      <c r="K56" s="382" t="s">
        <v>1078</v>
      </c>
      <c r="L56" s="379" t="s">
        <v>1011</v>
      </c>
      <c r="M56" s="379" t="s">
        <v>66</v>
      </c>
      <c r="N56" s="573" t="s">
        <v>951</v>
      </c>
      <c r="O56" s="293" t="s">
        <v>87</v>
      </c>
      <c r="P56" s="573" t="s">
        <v>66</v>
      </c>
      <c r="Q56" s="574" t="s">
        <v>66</v>
      </c>
      <c r="R56" s="295" t="s">
        <v>66</v>
      </c>
      <c r="S56" s="575" t="s">
        <v>66</v>
      </c>
      <c r="T56" s="576" t="s">
        <v>66</v>
      </c>
    </row>
    <row r="57" spans="1:20">
      <c r="E57" s="364" t="str">
        <f>IF(LEN(F57)&lt;=5,F57&amp;" "&amp;I57&amp;IF(F57="LFT"," - "&amp;J57,"")&amp;" ("&amp;G57&amp;TEXT(H57,"0.00%")&amp;")",IF(LEFT(F57,3)="Cor","Títulos Corporativos - "&amp;J57&amp;IF(J57&lt;1," ano("," anos (")&amp;G57&amp;TEXT(H57,"0.00%")&amp;")","Títulos Bancários - "&amp;IF(J57&lt;1,J57*12&amp;" meses (",IF(J57=1,"1 ano (",IF(ISNUMBER(J57)*1,J57&amp;" anos (","Liquidez Diária (")))&amp;IF(G57="%CDI",TEXT(H57,"0.0%")&amp;" CDI)",G57&amp;TEXT(H57,"0.00%")&amp;")")))</f>
        <v>Títulos Bancários - 3 anos (13.95%)</v>
      </c>
      <c r="F57" s="379" t="s">
        <v>1868</v>
      </c>
      <c r="G57" s="379"/>
      <c r="H57" s="369">
        <f>MROUND('[2]Inputs Refs'!$CI28-0.2%,0.05%)</f>
        <v>0.13950000000000001</v>
      </c>
      <c r="I57" s="380">
        <f ca="1">EDATE(TODAY(),J57*12)</f>
        <v>45908</v>
      </c>
      <c r="J57" s="293">
        <v>3</v>
      </c>
      <c r="K57" s="382" t="s">
        <v>1078</v>
      </c>
      <c r="L57" s="379" t="s">
        <v>1011</v>
      </c>
      <c r="M57" s="379" t="s">
        <v>66</v>
      </c>
      <c r="N57" s="573" t="s">
        <v>951</v>
      </c>
      <c r="O57" s="293" t="s">
        <v>87</v>
      </c>
      <c r="P57" s="573" t="s">
        <v>66</v>
      </c>
      <c r="Q57" s="574" t="s">
        <v>66</v>
      </c>
      <c r="R57" s="295" t="s">
        <v>66</v>
      </c>
      <c r="S57" s="575" t="s">
        <v>66</v>
      </c>
      <c r="T57" s="576" t="s">
        <v>66</v>
      </c>
    </row>
    <row r="58" spans="1:20" ht="5.25" customHeight="1">
      <c r="E58" s="297"/>
      <c r="H58" s="370"/>
      <c r="I58" s="376"/>
    </row>
    <row r="59" spans="1:20" s="282" customFormat="1">
      <c r="A59" s="300"/>
      <c r="B59" s="335" t="s">
        <v>1009</v>
      </c>
      <c r="C59" s="337" t="s">
        <v>1259</v>
      </c>
      <c r="D59" s="335" t="str">
        <f>B59&amp;" "&amp;C59</f>
        <v>Pré-fixado Média</v>
      </c>
      <c r="E59" s="289" t="s">
        <v>1899</v>
      </c>
      <c r="F59" s="289"/>
      <c r="G59" s="289"/>
      <c r="H59" s="371"/>
      <c r="I59" s="377"/>
      <c r="J59" s="290"/>
      <c r="K59" s="289"/>
      <c r="L59" s="289"/>
      <c r="M59" s="289"/>
      <c r="N59" s="289"/>
      <c r="O59" s="289"/>
      <c r="P59" s="289"/>
      <c r="Q59" s="289"/>
      <c r="R59" s="289"/>
      <c r="S59" s="319"/>
      <c r="T59" s="359"/>
    </row>
    <row r="60" spans="1:20">
      <c r="E60" s="364" t="str">
        <f t="shared" ref="E60:E65" si="3">IF(LEN(F60)&lt;=5,F60&amp;" "&amp;I60&amp;IF(F60="LFT"," - "&amp;J60,"")&amp;" ("&amp;G60&amp;TEXT(H60,"0.00%")&amp;")",IF(LEFT(F60,3)="Cor","Títulos Corporativos - "&amp;J60&amp;IF(J60&lt;1," ano("," anos (")&amp;G60&amp;TEXT(H60,"0.00%")&amp;")","Títulos Bancários - "&amp;IF(J60&lt;1,J60*12&amp;" meses (",IF(J60=1,"1 ano (",IF(ISNUMBER(J60)*1,J60&amp;" anos (","Liquidez Diária (")))&amp;IF(G60="%CDI",TEXT(H60,"0.0%")&amp;" CDI)",G60&amp;TEXT(H60,"0.00%")&amp;")")))</f>
        <v>NTN-F 2027 (11.80%)</v>
      </c>
      <c r="F60" s="379" t="s">
        <v>1866</v>
      </c>
      <c r="G60" s="293"/>
      <c r="H60" s="369">
        <f>MROUND('[2]Inputs Refs'!G66-0.15%,0.05%)</f>
        <v>0.11800000000000001</v>
      </c>
      <c r="I60" s="375">
        <f>'[2]Inputs Refs'!E66</f>
        <v>2027</v>
      </c>
      <c r="J60" s="368">
        <f>'[2]Inputs Refs'!F66</f>
        <v>3.5345861179884825</v>
      </c>
      <c r="K60" s="382" t="s">
        <v>1843</v>
      </c>
      <c r="L60" s="384" t="s">
        <v>1879</v>
      </c>
      <c r="M60" s="384" t="s">
        <v>66</v>
      </c>
      <c r="N60" s="573" t="s">
        <v>951</v>
      </c>
      <c r="O60" s="293" t="s">
        <v>87</v>
      </c>
      <c r="P60" s="573" t="s">
        <v>66</v>
      </c>
      <c r="Q60" s="574" t="s">
        <v>66</v>
      </c>
      <c r="R60" s="295" t="s">
        <v>66</v>
      </c>
      <c r="S60" s="575" t="s">
        <v>66</v>
      </c>
      <c r="T60" s="576" t="s">
        <v>66</v>
      </c>
    </row>
    <row r="61" spans="1:20">
      <c r="E61" s="364" t="str">
        <f t="shared" si="3"/>
        <v>NTN-F 2029 (12.00%)</v>
      </c>
      <c r="F61" s="379" t="s">
        <v>1866</v>
      </c>
      <c r="G61" s="293"/>
      <c r="H61" s="369">
        <f>MROUND('[2]Inputs Refs'!G67-0.15%,0.05%)</f>
        <v>0.12</v>
      </c>
      <c r="I61" s="375">
        <f>'[2]Inputs Refs'!E67</f>
        <v>2029</v>
      </c>
      <c r="J61" s="368">
        <f>'[2]Inputs Refs'!F67</f>
        <v>4.6852407670528837</v>
      </c>
      <c r="K61" s="382" t="s">
        <v>1843</v>
      </c>
      <c r="L61" s="384" t="s">
        <v>1879</v>
      </c>
      <c r="M61" s="384" t="s">
        <v>66</v>
      </c>
      <c r="N61" s="573" t="s">
        <v>951</v>
      </c>
      <c r="O61" s="293" t="s">
        <v>87</v>
      </c>
      <c r="P61" s="573" t="s">
        <v>66</v>
      </c>
      <c r="Q61" s="574" t="s">
        <v>66</v>
      </c>
      <c r="R61" s="295" t="s">
        <v>66</v>
      </c>
      <c r="S61" s="575" t="s">
        <v>66</v>
      </c>
      <c r="T61" s="576" t="s">
        <v>66</v>
      </c>
    </row>
    <row r="62" spans="1:20">
      <c r="E62" s="364" t="str">
        <f t="shared" si="3"/>
        <v>NTN-F 2031 (12.05%)</v>
      </c>
      <c r="F62" s="379" t="s">
        <v>1866</v>
      </c>
      <c r="G62" s="293"/>
      <c r="H62" s="369">
        <f>MROUND('[2]Inputs Refs'!G68-0.15%,0.05%)</f>
        <v>0.1205</v>
      </c>
      <c r="I62" s="375">
        <f>'[2]Inputs Refs'!E68</f>
        <v>2031</v>
      </c>
      <c r="J62" s="368">
        <f>'[2]Inputs Refs'!F68</f>
        <v>5.6041561249112064</v>
      </c>
      <c r="K62" s="382" t="s">
        <v>1843</v>
      </c>
      <c r="L62" s="384" t="s">
        <v>1879</v>
      </c>
      <c r="M62" s="384" t="s">
        <v>66</v>
      </c>
      <c r="N62" s="573" t="s">
        <v>951</v>
      </c>
      <c r="O62" s="293" t="s">
        <v>87</v>
      </c>
      <c r="P62" s="573" t="s">
        <v>66</v>
      </c>
      <c r="Q62" s="574" t="s">
        <v>66</v>
      </c>
      <c r="R62" s="295" t="s">
        <v>66</v>
      </c>
      <c r="S62" s="575" t="s">
        <v>66</v>
      </c>
      <c r="T62" s="576" t="s">
        <v>66</v>
      </c>
    </row>
    <row r="63" spans="1:20">
      <c r="E63" s="364" t="str">
        <f t="shared" si="3"/>
        <v>Títulos Bancários - 4 anos (14.15%)</v>
      </c>
      <c r="F63" s="379" t="s">
        <v>1868</v>
      </c>
      <c r="G63" s="379"/>
      <c r="H63" s="369">
        <f>MROUND('[2]Inputs Refs'!$CI30-0.2%,0.05%)</f>
        <v>0.14150000000000001</v>
      </c>
      <c r="I63" s="380">
        <f ca="1">EDATE(TODAY(),J63*12)</f>
        <v>46273</v>
      </c>
      <c r="J63" s="293">
        <v>4</v>
      </c>
      <c r="K63" s="382" t="s">
        <v>1843</v>
      </c>
      <c r="L63" s="379" t="s">
        <v>1011</v>
      </c>
      <c r="M63" s="379" t="s">
        <v>66</v>
      </c>
      <c r="N63" s="573" t="s">
        <v>951</v>
      </c>
      <c r="O63" s="293" t="s">
        <v>87</v>
      </c>
      <c r="P63" s="573" t="s">
        <v>66</v>
      </c>
      <c r="Q63" s="574" t="s">
        <v>66</v>
      </c>
      <c r="R63" s="295" t="s">
        <v>66</v>
      </c>
      <c r="S63" s="575" t="s">
        <v>66</v>
      </c>
      <c r="T63" s="576" t="s">
        <v>66</v>
      </c>
    </row>
    <row r="64" spans="1:20">
      <c r="E64" s="364" t="str">
        <f t="shared" si="3"/>
        <v>Títulos Bancários - 5 anos (14.35%)</v>
      </c>
      <c r="F64" s="379" t="s">
        <v>1868</v>
      </c>
      <c r="G64" s="379"/>
      <c r="H64" s="369">
        <f>MROUND('[2]Inputs Refs'!$CI32-0.2%,0.05%)</f>
        <v>0.14350000000000002</v>
      </c>
      <c r="I64" s="380">
        <f ca="1">EDATE(TODAY(),J64*12)</f>
        <v>46638</v>
      </c>
      <c r="J64" s="293">
        <v>5</v>
      </c>
      <c r="K64" s="382" t="s">
        <v>1843</v>
      </c>
      <c r="L64" s="379" t="s">
        <v>1011</v>
      </c>
      <c r="M64" s="379" t="s">
        <v>66</v>
      </c>
      <c r="N64" s="573" t="s">
        <v>951</v>
      </c>
      <c r="O64" s="293" t="s">
        <v>87</v>
      </c>
      <c r="P64" s="573" t="s">
        <v>66</v>
      </c>
      <c r="Q64" s="574" t="s">
        <v>66</v>
      </c>
      <c r="R64" s="295" t="s">
        <v>66</v>
      </c>
      <c r="S64" s="575" t="s">
        <v>66</v>
      </c>
      <c r="T64" s="576" t="s">
        <v>66</v>
      </c>
    </row>
    <row r="65" spans="1:20">
      <c r="E65" s="364" t="str">
        <f t="shared" si="3"/>
        <v>Títulos Bancários - 6 anos (14.55%)</v>
      </c>
      <c r="F65" s="379" t="s">
        <v>1868</v>
      </c>
      <c r="G65" s="379"/>
      <c r="H65" s="369">
        <f>MROUND('[2]Inputs Refs'!$CI34-0.2%,0.05%)</f>
        <v>0.14549999999999999</v>
      </c>
      <c r="I65" s="380">
        <f ca="1">EDATE(TODAY(),J65*12)</f>
        <v>47004</v>
      </c>
      <c r="J65" s="293">
        <v>6</v>
      </c>
      <c r="K65" s="382" t="s">
        <v>1843</v>
      </c>
      <c r="L65" s="379" t="s">
        <v>1011</v>
      </c>
      <c r="M65" s="379" t="s">
        <v>66</v>
      </c>
      <c r="N65" s="573" t="s">
        <v>951</v>
      </c>
      <c r="O65" s="293" t="s">
        <v>87</v>
      </c>
      <c r="P65" s="573" t="s">
        <v>66</v>
      </c>
      <c r="Q65" s="574" t="s">
        <v>66</v>
      </c>
      <c r="R65" s="295" t="s">
        <v>66</v>
      </c>
      <c r="S65" s="575" t="s">
        <v>66</v>
      </c>
      <c r="T65" s="576" t="s">
        <v>66</v>
      </c>
    </row>
    <row r="66" spans="1:20" ht="5.25" customHeight="1">
      <c r="E66" s="297"/>
    </row>
    <row r="67" spans="1:20" s="282" customFormat="1">
      <c r="A67" s="300"/>
      <c r="B67" s="335" t="s">
        <v>1009</v>
      </c>
      <c r="C67" s="337" t="s">
        <v>1260</v>
      </c>
      <c r="D67" s="335" t="str">
        <f>B67&amp;" "&amp;C67</f>
        <v>Pré-fixado Longa</v>
      </c>
      <c r="E67" s="289" t="s">
        <v>1889</v>
      </c>
      <c r="F67" s="289"/>
      <c r="G67" s="289"/>
      <c r="H67" s="289"/>
      <c r="I67" s="290"/>
      <c r="J67" s="290"/>
      <c r="K67" s="289"/>
      <c r="L67" s="289"/>
      <c r="M67" s="289"/>
      <c r="N67" s="289"/>
      <c r="O67" s="289"/>
      <c r="P67" s="289"/>
      <c r="Q67" s="289"/>
      <c r="R67" s="289"/>
      <c r="S67" s="319"/>
      <c r="T67" s="359"/>
    </row>
    <row r="68" spans="1:20">
      <c r="E68" s="292"/>
      <c r="F68" s="293"/>
      <c r="G68" s="293"/>
      <c r="H68" s="294"/>
      <c r="I68" s="293"/>
      <c r="J68" s="293"/>
      <c r="K68" s="295"/>
      <c r="L68" s="293"/>
      <c r="M68" s="293"/>
      <c r="N68" s="573"/>
      <c r="O68" s="293"/>
      <c r="P68" s="573"/>
      <c r="Q68" s="574"/>
      <c r="R68" s="295"/>
      <c r="S68" s="575"/>
      <c r="T68" s="576"/>
    </row>
    <row r="69" spans="1:20" s="282" customFormat="1" ht="11.25" customHeight="1">
      <c r="B69" s="335"/>
      <c r="C69" s="335"/>
      <c r="D69" s="335"/>
      <c r="I69" s="283"/>
      <c r="J69" s="283"/>
    </row>
    <row r="70" spans="1:20" s="282" customFormat="1">
      <c r="A70" s="300"/>
      <c r="B70" s="345"/>
      <c r="C70" s="335"/>
      <c r="D70" s="335"/>
      <c r="E70" s="284" t="s">
        <v>28</v>
      </c>
      <c r="F70" s="284"/>
      <c r="G70" s="284"/>
      <c r="H70" s="373"/>
      <c r="I70" s="378"/>
      <c r="J70" s="285"/>
      <c r="K70" s="284"/>
      <c r="L70" s="284"/>
      <c r="M70" s="284"/>
      <c r="N70" s="284"/>
      <c r="O70" s="284"/>
      <c r="P70" s="284"/>
      <c r="Q70" s="284"/>
      <c r="R70" s="284"/>
      <c r="S70" s="318"/>
      <c r="T70" s="356"/>
    </row>
    <row r="71" spans="1:20" s="282" customFormat="1" ht="3" customHeight="1">
      <c r="B71" s="335"/>
      <c r="C71" s="335"/>
      <c r="D71" s="335"/>
      <c r="H71" s="374"/>
      <c r="I71" s="287"/>
      <c r="J71" s="287"/>
    </row>
    <row r="72" spans="1:20" s="282" customFormat="1">
      <c r="A72" s="300"/>
      <c r="B72" s="335" t="s">
        <v>950</v>
      </c>
      <c r="C72" s="335" t="s">
        <v>951</v>
      </c>
      <c r="D72" s="335" t="str">
        <f>B72&amp;" "&amp;C72</f>
        <v>Long Only Brasil</v>
      </c>
      <c r="E72" s="289" t="s">
        <v>951</v>
      </c>
      <c r="F72" s="289"/>
      <c r="G72" s="289"/>
      <c r="H72" s="371"/>
      <c r="I72" s="377"/>
      <c r="J72" s="290"/>
      <c r="K72" s="289"/>
      <c r="L72" s="289"/>
      <c r="M72" s="289"/>
      <c r="N72" s="289"/>
      <c r="O72" s="289"/>
      <c r="P72" s="289"/>
      <c r="Q72" s="289"/>
      <c r="R72" s="289"/>
      <c r="S72" s="319"/>
      <c r="T72" s="359"/>
    </row>
    <row r="73" spans="1:20">
      <c r="E73" s="572" t="s">
        <v>1925</v>
      </c>
      <c r="F73" s="573" t="s">
        <v>1929</v>
      </c>
      <c r="G73" s="631" t="s">
        <v>66</v>
      </c>
      <c r="H73" s="632" t="s">
        <v>66</v>
      </c>
      <c r="I73" s="633" t="s">
        <v>66</v>
      </c>
      <c r="J73" s="634" t="s">
        <v>66</v>
      </c>
      <c r="K73" s="574" t="s">
        <v>1078</v>
      </c>
      <c r="L73" s="573" t="s">
        <v>1021</v>
      </c>
      <c r="M73" s="573" t="s">
        <v>66</v>
      </c>
      <c r="N73" s="573" t="s">
        <v>951</v>
      </c>
      <c r="O73" s="293" t="s">
        <v>87</v>
      </c>
      <c r="P73" s="573">
        <v>2</v>
      </c>
      <c r="Q73" s="574">
        <v>3.0000000000000001E-3</v>
      </c>
      <c r="R73" s="295">
        <v>0</v>
      </c>
      <c r="S73" s="575">
        <v>15220000000</v>
      </c>
      <c r="T73" s="576">
        <v>39784</v>
      </c>
    </row>
    <row r="74" spans="1:20" ht="5.25" customHeight="1">
      <c r="E74" s="297"/>
      <c r="H74" s="370"/>
      <c r="I74" s="376"/>
    </row>
    <row r="75" spans="1:20" s="282" customFormat="1">
      <c r="A75" s="300"/>
      <c r="B75" s="335" t="s">
        <v>28</v>
      </c>
      <c r="C75" s="335" t="s">
        <v>1040</v>
      </c>
      <c r="D75" s="335" t="str">
        <f>B75&amp;" "&amp;C75</f>
        <v>Renda Variável USA</v>
      </c>
      <c r="E75" s="289" t="s">
        <v>952</v>
      </c>
      <c r="F75" s="289"/>
      <c r="G75" s="289"/>
      <c r="H75" s="371"/>
      <c r="I75" s="377"/>
      <c r="J75" s="290"/>
      <c r="K75" s="289"/>
      <c r="L75" s="289"/>
      <c r="M75" s="289"/>
      <c r="N75" s="289"/>
      <c r="O75" s="289"/>
      <c r="P75" s="289"/>
      <c r="Q75" s="289"/>
      <c r="R75" s="289"/>
      <c r="S75" s="319"/>
      <c r="T75" s="359"/>
    </row>
    <row r="76" spans="1:20">
      <c r="E76" s="572" t="s">
        <v>762</v>
      </c>
      <c r="F76" s="573" t="s">
        <v>1929</v>
      </c>
      <c r="G76" s="631" t="s">
        <v>66</v>
      </c>
      <c r="H76" s="632" t="s">
        <v>66</v>
      </c>
      <c r="I76" s="633" t="s">
        <v>66</v>
      </c>
      <c r="J76" s="634" t="s">
        <v>66</v>
      </c>
      <c r="K76" s="382" t="s">
        <v>1843</v>
      </c>
      <c r="L76" s="573" t="s">
        <v>1021</v>
      </c>
      <c r="M76" s="573" t="s">
        <v>66</v>
      </c>
      <c r="N76" s="573" t="s">
        <v>951</v>
      </c>
      <c r="O76" s="573" t="s">
        <v>88</v>
      </c>
      <c r="P76" s="573">
        <v>2</v>
      </c>
      <c r="Q76" s="574">
        <v>2.3999999999999998E-3</v>
      </c>
      <c r="R76" s="295">
        <v>0</v>
      </c>
      <c r="S76" s="575">
        <v>3010000000</v>
      </c>
      <c r="T76" s="576">
        <v>41758</v>
      </c>
    </row>
    <row r="77" spans="1:20" ht="5.25" customHeight="1">
      <c r="E77" s="297"/>
      <c r="H77" s="370"/>
      <c r="I77" s="376"/>
    </row>
    <row r="78" spans="1:20" s="282" customFormat="1">
      <c r="A78" s="300"/>
      <c r="B78" s="335" t="s">
        <v>28</v>
      </c>
      <c r="C78" s="335" t="s">
        <v>955</v>
      </c>
      <c r="D78" s="335" t="str">
        <f>B78&amp;" "&amp;C78</f>
        <v>Renda Variável China</v>
      </c>
      <c r="E78" s="289" t="s">
        <v>955</v>
      </c>
      <c r="F78" s="289"/>
      <c r="G78" s="289"/>
      <c r="H78" s="371"/>
      <c r="I78" s="377"/>
      <c r="J78" s="290"/>
      <c r="K78" s="289"/>
      <c r="L78" s="289"/>
      <c r="M78" s="289"/>
      <c r="N78" s="289"/>
      <c r="O78" s="289"/>
      <c r="P78" s="289"/>
      <c r="Q78" s="289"/>
      <c r="R78" s="289"/>
      <c r="S78" s="319"/>
      <c r="T78" s="359"/>
    </row>
    <row r="79" spans="1:20">
      <c r="E79" s="572" t="s">
        <v>1926</v>
      </c>
      <c r="F79" s="573" t="s">
        <v>1929</v>
      </c>
      <c r="G79" s="631" t="s">
        <v>66</v>
      </c>
      <c r="H79" s="632" t="s">
        <v>66</v>
      </c>
      <c r="I79" s="633" t="s">
        <v>66</v>
      </c>
      <c r="J79" s="634" t="s">
        <v>66</v>
      </c>
      <c r="K79" s="382" t="s">
        <v>1843</v>
      </c>
      <c r="L79" s="573" t="s">
        <v>1021</v>
      </c>
      <c r="M79" s="573" t="s">
        <v>66</v>
      </c>
      <c r="N79" s="573" t="s">
        <v>951</v>
      </c>
      <c r="O79" s="293" t="s">
        <v>87</v>
      </c>
      <c r="P79" s="573">
        <v>2</v>
      </c>
      <c r="Q79" s="574">
        <v>8.8999999999999999E-3</v>
      </c>
      <c r="R79" s="295">
        <v>0</v>
      </c>
      <c r="S79" s="575">
        <v>484000000</v>
      </c>
      <c r="T79" s="576">
        <v>44186</v>
      </c>
    </row>
    <row r="80" spans="1:20" ht="5.25" customHeight="1">
      <c r="E80" s="297"/>
      <c r="H80" s="370"/>
      <c r="I80" s="376"/>
    </row>
    <row r="81" spans="1:20" s="282" customFormat="1">
      <c r="A81" s="300"/>
      <c r="B81" s="335" t="s">
        <v>28</v>
      </c>
      <c r="C81" s="335" t="s">
        <v>956</v>
      </c>
      <c r="D81" s="335" t="str">
        <f>B81&amp;" "&amp;C81</f>
        <v>Renda Variável Europa</v>
      </c>
      <c r="E81" s="289" t="s">
        <v>956</v>
      </c>
      <c r="F81" s="289"/>
      <c r="G81" s="289"/>
      <c r="H81" s="371"/>
      <c r="I81" s="377"/>
      <c r="J81" s="290"/>
      <c r="K81" s="289"/>
      <c r="L81" s="289"/>
      <c r="M81" s="289"/>
      <c r="N81" s="289"/>
      <c r="O81" s="289"/>
      <c r="P81" s="289"/>
      <c r="Q81" s="289"/>
      <c r="R81" s="289"/>
      <c r="S81" s="319"/>
      <c r="T81" s="359"/>
    </row>
    <row r="82" spans="1:20">
      <c r="E82" s="572" t="s">
        <v>1927</v>
      </c>
      <c r="F82" s="573" t="s">
        <v>1929</v>
      </c>
      <c r="G82" s="631" t="s">
        <v>66</v>
      </c>
      <c r="H82" s="632" t="s">
        <v>66</v>
      </c>
      <c r="I82" s="633" t="s">
        <v>66</v>
      </c>
      <c r="J82" s="634" t="s">
        <v>66</v>
      </c>
      <c r="K82" s="382" t="s">
        <v>1843</v>
      </c>
      <c r="L82" s="573" t="s">
        <v>1021</v>
      </c>
      <c r="M82" s="573" t="s">
        <v>66</v>
      </c>
      <c r="N82" s="573" t="s">
        <v>951</v>
      </c>
      <c r="O82" s="293" t="s">
        <v>87</v>
      </c>
      <c r="P82" s="573">
        <v>2</v>
      </c>
      <c r="Q82" s="574">
        <v>3.8999999999999998E-3</v>
      </c>
      <c r="R82" s="295">
        <v>0</v>
      </c>
      <c r="S82" s="575">
        <v>45310000</v>
      </c>
      <c r="T82" s="576">
        <v>44215</v>
      </c>
    </row>
    <row r="83" spans="1:20" ht="5.25" customHeight="1">
      <c r="E83" s="297"/>
      <c r="H83" s="370"/>
      <c r="I83" s="376"/>
    </row>
    <row r="84" spans="1:20" s="282" customFormat="1">
      <c r="A84" s="300"/>
      <c r="B84" s="335" t="s">
        <v>28</v>
      </c>
      <c r="C84" s="335" t="s">
        <v>954</v>
      </c>
      <c r="D84" s="335" t="str">
        <f>B84&amp;" "&amp;C84</f>
        <v>Renda Variável Global</v>
      </c>
      <c r="E84" s="289" t="s">
        <v>954</v>
      </c>
      <c r="F84" s="289"/>
      <c r="G84" s="289"/>
      <c r="H84" s="371"/>
      <c r="I84" s="377"/>
      <c r="J84" s="290"/>
      <c r="K84" s="289"/>
      <c r="L84" s="289"/>
      <c r="M84" s="289"/>
      <c r="N84" s="289"/>
      <c r="O84" s="289"/>
      <c r="P84" s="289"/>
      <c r="Q84" s="289"/>
      <c r="R84" s="289"/>
      <c r="S84" s="319"/>
      <c r="T84" s="359"/>
    </row>
    <row r="85" spans="1:20">
      <c r="E85" s="572" t="s">
        <v>1928</v>
      </c>
      <c r="F85" s="573" t="s">
        <v>1929</v>
      </c>
      <c r="G85" s="631" t="s">
        <v>66</v>
      </c>
      <c r="H85" s="632" t="s">
        <v>66</v>
      </c>
      <c r="I85" s="633" t="s">
        <v>66</v>
      </c>
      <c r="J85" s="634" t="s">
        <v>66</v>
      </c>
      <c r="K85" s="382" t="s">
        <v>1843</v>
      </c>
      <c r="L85" s="573" t="s">
        <v>1021</v>
      </c>
      <c r="M85" s="573" t="s">
        <v>66</v>
      </c>
      <c r="N85" s="573" t="s">
        <v>951</v>
      </c>
      <c r="O85" s="293" t="s">
        <v>87</v>
      </c>
      <c r="P85" s="573">
        <v>2</v>
      </c>
      <c r="Q85" s="574">
        <v>3.8E-3</v>
      </c>
      <c r="R85" s="295">
        <v>0</v>
      </c>
      <c r="S85" s="575">
        <v>50720000</v>
      </c>
      <c r="T85" s="576">
        <v>44489</v>
      </c>
    </row>
    <row r="86" spans="1:20" ht="5.25" customHeight="1">
      <c r="E86" s="297"/>
      <c r="H86" s="370"/>
      <c r="I86" s="376"/>
    </row>
    <row r="87" spans="1:20" s="282" customFormat="1">
      <c r="A87" s="300"/>
      <c r="B87" s="335" t="s">
        <v>28</v>
      </c>
      <c r="C87" s="335" t="s">
        <v>1046</v>
      </c>
      <c r="D87" s="335" t="str">
        <f>B87&amp;" "&amp;C87</f>
        <v>Renda Variável EM</v>
      </c>
      <c r="E87" s="289" t="s">
        <v>1046</v>
      </c>
      <c r="F87" s="289"/>
      <c r="G87" s="289"/>
      <c r="H87" s="371"/>
      <c r="I87" s="377"/>
      <c r="J87" s="290"/>
      <c r="K87" s="289"/>
      <c r="L87" s="289"/>
      <c r="M87" s="289"/>
      <c r="N87" s="289"/>
      <c r="O87" s="289"/>
      <c r="P87" s="289"/>
      <c r="Q87" s="289"/>
      <c r="R87" s="289"/>
      <c r="S87" s="319"/>
      <c r="T87" s="359"/>
    </row>
    <row r="88" spans="1:20">
      <c r="E88" s="572" t="s">
        <v>1930</v>
      </c>
      <c r="F88" s="573" t="s">
        <v>1929</v>
      </c>
      <c r="G88" s="631" t="s">
        <v>66</v>
      </c>
      <c r="H88" s="632" t="s">
        <v>66</v>
      </c>
      <c r="I88" s="633" t="s">
        <v>66</v>
      </c>
      <c r="J88" s="634" t="s">
        <v>66</v>
      </c>
      <c r="K88" s="382" t="s">
        <v>1843</v>
      </c>
      <c r="L88" s="573" t="s">
        <v>1021</v>
      </c>
      <c r="M88" s="573" t="s">
        <v>66</v>
      </c>
      <c r="N88" s="573" t="s">
        <v>951</v>
      </c>
      <c r="O88" s="293" t="s">
        <v>87</v>
      </c>
      <c r="P88" s="573">
        <v>2</v>
      </c>
      <c r="Q88" s="574">
        <v>0.01</v>
      </c>
      <c r="R88" s="295">
        <v>0</v>
      </c>
      <c r="S88" s="575">
        <v>13540000</v>
      </c>
      <c r="T88" s="576">
        <v>44375</v>
      </c>
    </row>
    <row r="89" spans="1:20" ht="5.25" customHeight="1">
      <c r="E89" s="297"/>
      <c r="H89" s="370"/>
      <c r="I89" s="376"/>
    </row>
    <row r="90" spans="1:20" s="282" customFormat="1" ht="11.25" customHeight="1">
      <c r="B90" s="335"/>
      <c r="C90" s="335"/>
      <c r="D90" s="335"/>
      <c r="I90" s="283"/>
      <c r="J90" s="283"/>
    </row>
    <row r="91" spans="1:20">
      <c r="B91" s="345" t="s">
        <v>1847</v>
      </c>
      <c r="C91" s="345"/>
    </row>
  </sheetData>
  <mergeCells count="1">
    <mergeCell ref="E2:H3"/>
  </mergeCells>
  <conditionalFormatting sqref="E33:M33">
    <cfRule type="expression" dxfId="176" priority="147">
      <formula>AND(E33&lt;&gt;"",#REF!="",OR(COLUMN(E33)=COLUMN(#REF!),COLUMN(E33)=COLUMN(#REF!)))</formula>
    </cfRule>
  </conditionalFormatting>
  <conditionalFormatting sqref="E42:M42">
    <cfRule type="expression" dxfId="175" priority="146">
      <formula>AND(E42&lt;&gt;"",#REF!="",OR(COLUMN(E42)=COLUMN(#REF!),COLUMN(E42)=COLUMN(#REF!)))</formula>
    </cfRule>
  </conditionalFormatting>
  <conditionalFormatting sqref="E58:M58 E74:M74 E77:M77 E83:M84 E80:M80 E89:M89 E86:M86 E85:F85 K85:M85">
    <cfRule type="expression" dxfId="174" priority="145">
      <formula>AND(E58&lt;&gt;"",#REF!="",OR(COLUMN(E58)=COLUMN(#REF!),COLUMN(E58)=COLUMN(#REF!)))</formula>
    </cfRule>
  </conditionalFormatting>
  <conditionalFormatting sqref="H60:J62 G29:H32 J38:J41 G38:H41 J46:J48 G46:H48 G55:K57 G63:J65 J29:K32 H53:K54 K60:K65 H44:J45 H35:J37 E25:F25 F26:F28 G28:J28 G25:K27 E25:E32 E35:E41 E44:E48 E53:E57 E60:E65 E68:G68 E66:G66 L68:M68 I66:M66 L25:M28 E13:G13 E12:H12 L14:M20 I12:M13 J14:K16 E14:I20">
    <cfRule type="expression" dxfId="173" priority="144">
      <formula>AND(E12&lt;&gt;"",#REF!="",OR(COLUMN(E12)=COLUMN(#REF!),COLUMN(E12)=COLUMN(#REF!)))</formula>
    </cfRule>
  </conditionalFormatting>
  <conditionalFormatting sqref="J68:K68 G35:G37 G44:G45 G60:G62 K35:K41 K44:K48 J18:K18 J17 J19:J20">
    <cfRule type="expression" dxfId="172" priority="141">
      <formula>AND(G17&lt;&gt;"",#REF!="",OR(COLUMN(G17)=COLUMN(#REF!),COLUMN(G17)=COLUMN(#REF!)))</formula>
    </cfRule>
  </conditionalFormatting>
  <conditionalFormatting sqref="I68">
    <cfRule type="expression" dxfId="171" priority="128">
      <formula>AND(I68&lt;&gt;"",#REF!="",OR(COLUMN(I68)=COLUMN(#REF!),COLUMN(I68)=COLUMN(#REF!)))</formula>
    </cfRule>
  </conditionalFormatting>
  <conditionalFormatting sqref="F35:F37">
    <cfRule type="expression" dxfId="170" priority="127">
      <formula>AND(F35&lt;&gt;"",#REF!="",OR(COLUMN(F35)=COLUMN(#REF!),COLUMN(F35)=COLUMN(#REF!)))</formula>
    </cfRule>
  </conditionalFormatting>
  <conditionalFormatting sqref="F44:F45">
    <cfRule type="expression" dxfId="169" priority="126">
      <formula>AND(F44&lt;&gt;"",#REF!="",OR(COLUMN(F44)=COLUMN(#REF!),COLUMN(F44)=COLUMN(#REF!)))</formula>
    </cfRule>
  </conditionalFormatting>
  <conditionalFormatting sqref="F53:F54">
    <cfRule type="expression" dxfId="168" priority="125">
      <formula>AND(F53&lt;&gt;"",#REF!="",OR(COLUMN(F53)=COLUMN(#REF!),COLUMN(F53)=COLUMN(#REF!)))</formula>
    </cfRule>
  </conditionalFormatting>
  <conditionalFormatting sqref="F60:F62">
    <cfRule type="expression" dxfId="167" priority="124">
      <formula>AND(F60&lt;&gt;"",#REF!="",OR(COLUMN(F60)=COLUMN(#REF!),COLUMN(F60)=COLUMN(#REF!)))</formula>
    </cfRule>
  </conditionalFormatting>
  <conditionalFormatting sqref="F29:F31">
    <cfRule type="expression" dxfId="166" priority="112">
      <formula>AND(F29&lt;&gt;"",#REF!="",OR(COLUMN(F29)=COLUMN(#REF!),COLUMN(F29)=COLUMN(#REF!)))</formula>
    </cfRule>
  </conditionalFormatting>
  <conditionalFormatting sqref="F32">
    <cfRule type="expression" dxfId="165" priority="111">
      <formula>AND(F32&lt;&gt;"",#REF!="",OR(COLUMN(F32)=COLUMN(#REF!),COLUMN(F32)=COLUMN(#REF!)))</formula>
    </cfRule>
  </conditionalFormatting>
  <conditionalFormatting sqref="I29:I32">
    <cfRule type="expression" dxfId="164" priority="110">
      <formula>AND(I29&lt;&gt;"",#REF!="",OR(COLUMN(I29)=COLUMN(#REF!),COLUMN(I29)=COLUMN(#REF!)))</formula>
    </cfRule>
  </conditionalFormatting>
  <conditionalFormatting sqref="F38">
    <cfRule type="expression" dxfId="163" priority="109">
      <formula>AND(F38&lt;&gt;"",#REF!="",OR(COLUMN(F38)=COLUMN(#REF!),COLUMN(F38)=COLUMN(#REF!)))</formula>
    </cfRule>
  </conditionalFormatting>
  <conditionalFormatting sqref="F39:F41">
    <cfRule type="expression" dxfId="162" priority="108">
      <formula>AND(F39&lt;&gt;"",#REF!="",OR(COLUMN(F39)=COLUMN(#REF!),COLUMN(F39)=COLUMN(#REF!)))</formula>
    </cfRule>
  </conditionalFormatting>
  <conditionalFormatting sqref="I38:I41">
    <cfRule type="expression" dxfId="161" priority="107">
      <formula>AND(I38&lt;&gt;"",#REF!="",OR(COLUMN(I38)=COLUMN(#REF!),COLUMN(I38)=COLUMN(#REF!)))</formula>
    </cfRule>
  </conditionalFormatting>
  <conditionalFormatting sqref="F46:F48">
    <cfRule type="expression" dxfId="160" priority="106">
      <formula>AND(F46&lt;&gt;"",#REF!="",OR(COLUMN(F46)=COLUMN(#REF!),COLUMN(F46)=COLUMN(#REF!)))</formula>
    </cfRule>
  </conditionalFormatting>
  <conditionalFormatting sqref="I46:I48">
    <cfRule type="expression" dxfId="159" priority="105">
      <formula>AND(I46&lt;&gt;"",#REF!="",OR(COLUMN(I46)=COLUMN(#REF!),COLUMN(I46)=COLUMN(#REF!)))</formula>
    </cfRule>
  </conditionalFormatting>
  <conditionalFormatting sqref="F55">
    <cfRule type="expression" dxfId="158" priority="104">
      <formula>AND(F55&lt;&gt;"",#REF!="",OR(COLUMN(F55)=COLUMN(#REF!),COLUMN(F55)=COLUMN(#REF!)))</formula>
    </cfRule>
  </conditionalFormatting>
  <conditionalFormatting sqref="F56">
    <cfRule type="expression" dxfId="157" priority="103">
      <formula>AND(F56&lt;&gt;"",#REF!="",OR(COLUMN(F56)=COLUMN(#REF!),COLUMN(F56)=COLUMN(#REF!)))</formula>
    </cfRule>
  </conditionalFormatting>
  <conditionalFormatting sqref="F57">
    <cfRule type="expression" dxfId="156" priority="102">
      <formula>AND(F57&lt;&gt;"",#REF!="",OR(COLUMN(F57)=COLUMN(#REF!),COLUMN(F57)=COLUMN(#REF!)))</formula>
    </cfRule>
  </conditionalFormatting>
  <conditionalFormatting sqref="G53:G54">
    <cfRule type="expression" dxfId="155" priority="100">
      <formula>AND(G53&lt;&gt;"",#REF!="",OR(COLUMN(G53)=COLUMN(#REF!),COLUMN(G53)=COLUMN(#REF!)))</formula>
    </cfRule>
  </conditionalFormatting>
  <conditionalFormatting sqref="I55:I57">
    <cfRule type="expression" dxfId="154" priority="99">
      <formula>AND(I55&lt;&gt;"",#REF!="",OR(COLUMN(I55)=COLUMN(#REF!),COLUMN(I55)=COLUMN(#REF!)))</formula>
    </cfRule>
  </conditionalFormatting>
  <conditionalFormatting sqref="F63">
    <cfRule type="expression" dxfId="153" priority="98">
      <formula>AND(F63&lt;&gt;"",#REF!="",OR(COLUMN(F63)=COLUMN(#REF!),COLUMN(F63)=COLUMN(#REF!)))</formula>
    </cfRule>
  </conditionalFormatting>
  <conditionalFormatting sqref="F64">
    <cfRule type="expression" dxfId="152" priority="97">
      <formula>AND(F64&lt;&gt;"",#REF!="",OR(COLUMN(F64)=COLUMN(#REF!),COLUMN(F64)=COLUMN(#REF!)))</formula>
    </cfRule>
  </conditionalFormatting>
  <conditionalFormatting sqref="F65">
    <cfRule type="expression" dxfId="151" priority="96">
      <formula>AND(F65&lt;&gt;"",#REF!="",OR(COLUMN(F65)=COLUMN(#REF!),COLUMN(F65)=COLUMN(#REF!)))</formula>
    </cfRule>
  </conditionalFormatting>
  <conditionalFormatting sqref="I63:I65">
    <cfRule type="expression" dxfId="150" priority="95">
      <formula>AND(I63&lt;&gt;"",#REF!="",OR(COLUMN(I63)=COLUMN(#REF!),COLUMN(I63)=COLUMN(#REF!)))</formula>
    </cfRule>
  </conditionalFormatting>
  <conditionalFormatting sqref="K20">
    <cfRule type="expression" dxfId="149" priority="91">
      <formula>AND(K20&lt;&gt;"",#REF!="",OR(COLUMN(K20)=COLUMN(#REF!),COLUMN(K20)=COLUMN(#REF!)))</formula>
    </cfRule>
  </conditionalFormatting>
  <conditionalFormatting sqref="K17">
    <cfRule type="expression" dxfId="148" priority="90">
      <formula>AND(K17&lt;&gt;"",#REF!="",OR(COLUMN(K17)=COLUMN(#REF!),COLUMN(K17)=COLUMN(#REF!)))</formula>
    </cfRule>
  </conditionalFormatting>
  <conditionalFormatting sqref="K19">
    <cfRule type="expression" dxfId="147" priority="89">
      <formula>AND(K19&lt;&gt;"",#REF!="",OR(COLUMN(K19)=COLUMN(#REF!),COLUMN(K19)=COLUMN(#REF!)))</formula>
    </cfRule>
  </conditionalFormatting>
  <conditionalFormatting sqref="K28">
    <cfRule type="expression" dxfId="146" priority="88">
      <formula>AND(K28&lt;&gt;"",#REF!="",OR(COLUMN(K28)=COLUMN(#REF!),COLUMN(K28)=COLUMN(#REF!)))</formula>
    </cfRule>
  </conditionalFormatting>
  <conditionalFormatting sqref="H73:K73 E73 E76 E79 E82 E85 H76:K76 H79:K79 H82:K82 H85:K85">
    <cfRule type="expression" dxfId="145" priority="77">
      <formula>AND(E73&lt;&gt;"",#REF!="",OR(COLUMN(E73)=COLUMN(#REF!),COLUMN(E73)=COLUMN(#REF!)))</formula>
    </cfRule>
  </conditionalFormatting>
  <conditionalFormatting sqref="F73">
    <cfRule type="expression" dxfId="144" priority="75">
      <formula>AND(F73&lt;&gt;"",#REF!="",OR(COLUMN(F73)=COLUMN(#REF!),COLUMN(F73)=COLUMN(#REF!)))</formula>
    </cfRule>
  </conditionalFormatting>
  <conditionalFormatting sqref="G73">
    <cfRule type="expression" dxfId="143" priority="70">
      <formula>AND(G73&lt;&gt;"",#REF!="",OR(COLUMN(G73)=COLUMN(#REF!),COLUMN(G73)=COLUMN(#REF!)))</formula>
    </cfRule>
  </conditionalFormatting>
  <conditionalFormatting sqref="F76">
    <cfRule type="expression" dxfId="142" priority="57">
      <formula>AND(F76&lt;&gt;"",#REF!="",OR(COLUMN(F76)=COLUMN(#REF!),COLUMN(F76)=COLUMN(#REF!)))</formula>
    </cfRule>
  </conditionalFormatting>
  <conditionalFormatting sqref="F79">
    <cfRule type="expression" dxfId="141" priority="56">
      <formula>AND(F79&lt;&gt;"",#REF!="",OR(COLUMN(F79)=COLUMN(#REF!),COLUMN(F79)=COLUMN(#REF!)))</formula>
    </cfRule>
  </conditionalFormatting>
  <conditionalFormatting sqref="F85">
    <cfRule type="expression" dxfId="140" priority="55">
      <formula>AND(F85&lt;&gt;"",#REF!="",OR(COLUMN(F85)=COLUMN(#REF!),COLUMN(F85)=COLUMN(#REF!)))</formula>
    </cfRule>
  </conditionalFormatting>
  <conditionalFormatting sqref="F82">
    <cfRule type="expression" dxfId="139" priority="54">
      <formula>AND(F82&lt;&gt;"",#REF!="",OR(COLUMN(F82)=COLUMN(#REF!),COLUMN(F82)=COLUMN(#REF!)))</formula>
    </cfRule>
  </conditionalFormatting>
  <conditionalFormatting sqref="L29:M32">
    <cfRule type="expression" dxfId="138" priority="41">
      <formula>AND(L29&lt;&gt;"",#REF!="",OR(COLUMN(L29)=COLUMN(#REF!),COLUMN(L29)=COLUMN(#REF!)))</formula>
    </cfRule>
  </conditionalFormatting>
  <conditionalFormatting sqref="L35:M37">
    <cfRule type="expression" dxfId="137" priority="40">
      <formula>AND(L35&lt;&gt;"",#REF!="",OR(COLUMN(L35)=COLUMN(#REF!),COLUMN(L35)=COLUMN(#REF!)))</formula>
    </cfRule>
  </conditionalFormatting>
  <conditionalFormatting sqref="L38:M41">
    <cfRule type="expression" dxfId="136" priority="39">
      <formula>AND(L38&lt;&gt;"",#REF!="",OR(COLUMN(L38)=COLUMN(#REF!),COLUMN(L38)=COLUMN(#REF!)))</formula>
    </cfRule>
  </conditionalFormatting>
  <conditionalFormatting sqref="L46:M48">
    <cfRule type="expression" dxfId="135" priority="38">
      <formula>AND(L46&lt;&gt;"",#REF!="",OR(COLUMN(L46)=COLUMN(#REF!),COLUMN(L46)=COLUMN(#REF!)))</formula>
    </cfRule>
  </conditionalFormatting>
  <conditionalFormatting sqref="L55:M57">
    <cfRule type="expression" dxfId="134" priority="37">
      <formula>AND(L55&lt;&gt;"",#REF!="",OR(COLUMN(L55)=COLUMN(#REF!),COLUMN(L55)=COLUMN(#REF!)))</formula>
    </cfRule>
  </conditionalFormatting>
  <conditionalFormatting sqref="L44:M45">
    <cfRule type="expression" dxfId="133" priority="36">
      <formula>AND(L44&lt;&gt;"",#REF!="",OR(COLUMN(L44)=COLUMN(#REF!),COLUMN(L44)=COLUMN(#REF!)))</formula>
    </cfRule>
  </conditionalFormatting>
  <conditionalFormatting sqref="L53:M54">
    <cfRule type="expression" dxfId="132" priority="35">
      <formula>AND(L53&lt;&gt;"",#REF!="",OR(COLUMN(L53)=COLUMN(#REF!),COLUMN(L53)=COLUMN(#REF!)))</formula>
    </cfRule>
  </conditionalFormatting>
  <conditionalFormatting sqref="L60:M62">
    <cfRule type="expression" dxfId="131" priority="34">
      <formula>AND(L60&lt;&gt;"",#REF!="",OR(COLUMN(L60)=COLUMN(#REF!),COLUMN(L60)=COLUMN(#REF!)))</formula>
    </cfRule>
  </conditionalFormatting>
  <conditionalFormatting sqref="L63:M65">
    <cfRule type="expression" dxfId="130" priority="33">
      <formula>AND(L63&lt;&gt;"",#REF!="",OR(COLUMN(L63)=COLUMN(#REF!),COLUMN(L63)=COLUMN(#REF!)))</formula>
    </cfRule>
  </conditionalFormatting>
  <conditionalFormatting sqref="L73:M73">
    <cfRule type="expression" dxfId="129" priority="32">
      <formula>AND(L73&lt;&gt;"",#REF!="",OR(COLUMN(L73)=COLUMN(#REF!),COLUMN(L73)=COLUMN(#REF!)))</formula>
    </cfRule>
  </conditionalFormatting>
  <conditionalFormatting sqref="L79:M79">
    <cfRule type="expression" dxfId="128" priority="31">
      <formula>AND(L79&lt;&gt;"",#REF!="",OR(COLUMN(L79)=COLUMN(#REF!),COLUMN(L79)=COLUMN(#REF!)))</formula>
    </cfRule>
  </conditionalFormatting>
  <conditionalFormatting sqref="L85:M85">
    <cfRule type="expression" dxfId="127" priority="30">
      <formula>AND(L85&lt;&gt;"",#REF!="",OR(COLUMN(L85)=COLUMN(#REF!),COLUMN(L85)=COLUMN(#REF!)))</formula>
    </cfRule>
  </conditionalFormatting>
  <conditionalFormatting sqref="L82:M82">
    <cfRule type="expression" dxfId="126" priority="29">
      <formula>AND(L82&lt;&gt;"",#REF!="",OR(COLUMN(L82)=COLUMN(#REF!),COLUMN(L82)=COLUMN(#REF!)))</formula>
    </cfRule>
  </conditionalFormatting>
  <conditionalFormatting sqref="L76:M76">
    <cfRule type="expression" dxfId="125" priority="28">
      <formula>AND(L76&lt;&gt;"",#REF!="",OR(COLUMN(L76)=COLUMN(#REF!),COLUMN(L76)=COLUMN(#REF!)))</formula>
    </cfRule>
  </conditionalFormatting>
  <conditionalFormatting sqref="K88 E88">
    <cfRule type="expression" dxfId="124" priority="15">
      <formula>AND(E88&lt;&gt;"",#REF!="",OR(COLUMN(E88)=COLUMN(#REF!),COLUMN(E88)=COLUMN(#REF!)))</formula>
    </cfRule>
  </conditionalFormatting>
  <conditionalFormatting sqref="F88">
    <cfRule type="expression" dxfId="123" priority="13">
      <formula>AND(F88&lt;&gt;"",#REF!="",OR(COLUMN(F88)=COLUMN(#REF!),COLUMN(F88)=COLUMN(#REF!)))</formula>
    </cfRule>
  </conditionalFormatting>
  <conditionalFormatting sqref="L88:M88">
    <cfRule type="expression" dxfId="122" priority="12">
      <formula>AND(L88&lt;&gt;"",#REF!="",OR(COLUMN(L88)=COLUMN(#REF!),COLUMN(L88)=COLUMN(#REF!)))</formula>
    </cfRule>
  </conditionalFormatting>
  <conditionalFormatting sqref="G76">
    <cfRule type="expression" dxfId="121" priority="11">
      <formula>AND(G76&lt;&gt;"",#REF!="",OR(COLUMN(G76)=COLUMN(#REF!),COLUMN(G76)=COLUMN(#REF!)))</formula>
    </cfRule>
  </conditionalFormatting>
  <conditionalFormatting sqref="G79">
    <cfRule type="expression" dxfId="120" priority="10">
      <formula>AND(G79&lt;&gt;"",#REF!="",OR(COLUMN(G79)=COLUMN(#REF!),COLUMN(G79)=COLUMN(#REF!)))</formula>
    </cfRule>
  </conditionalFormatting>
  <conditionalFormatting sqref="G82">
    <cfRule type="expression" dxfId="119" priority="9">
      <formula>AND(G82&lt;&gt;"",#REF!="",OR(COLUMN(G82)=COLUMN(#REF!),COLUMN(G82)=COLUMN(#REF!)))</formula>
    </cfRule>
  </conditionalFormatting>
  <conditionalFormatting sqref="G85">
    <cfRule type="expression" dxfId="118" priority="8">
      <formula>AND(G85&lt;&gt;"",#REF!="",OR(COLUMN(G85)=COLUMN(#REF!),COLUMN(G85)=COLUMN(#REF!)))</formula>
    </cfRule>
  </conditionalFormatting>
  <conditionalFormatting sqref="H88:J88">
    <cfRule type="expression" dxfId="117" priority="7">
      <formula>AND(H88&lt;&gt;"",#REF!="",OR(COLUMN(H88)=COLUMN(#REF!),COLUMN(H88)=COLUMN(#REF!)))</formula>
    </cfRule>
  </conditionalFormatting>
  <conditionalFormatting sqref="G88">
    <cfRule type="expression" dxfId="116" priority="6">
      <formula>AND(G88&lt;&gt;"",#REF!="",OR(COLUMN(G88)=COLUMN(#REF!),COLUMN(G88)=COLUMN(#REF!)))</formula>
    </cfRule>
  </conditionalFormatting>
  <conditionalFormatting sqref="H11:K12 E11:E12">
    <cfRule type="expression" dxfId="115" priority="5">
      <formula>AND(E11&lt;&gt;"",#REF!="",OR(COLUMN(E11)=COLUMN(#REF!),COLUMN(E11)=COLUMN(#REF!)))</formula>
    </cfRule>
  </conditionalFormatting>
  <conditionalFormatting sqref="F11:F12">
    <cfRule type="expression" dxfId="114" priority="4">
      <formula>AND(F11&lt;&gt;"",#REF!="",OR(COLUMN(F11)=COLUMN(#REF!),COLUMN(F11)=COLUMN(#REF!)))</formula>
    </cfRule>
  </conditionalFormatting>
  <conditionalFormatting sqref="L11:M12">
    <cfRule type="expression" dxfId="113" priority="2">
      <formula>AND(L11&lt;&gt;"",#REF!="",OR(COLUMN(L11)=COLUMN(#REF!),COLUMN(L11)=COLUMN(#REF!)))</formula>
    </cfRule>
  </conditionalFormatting>
  <conditionalFormatting sqref="G11:G12">
    <cfRule type="expression" dxfId="112" priority="1">
      <formula>AND(G11&lt;&gt;"",#REF!="",OR(COLUMN(G11)=COLUMN(#REF!),COLUMN(G11)=COLUMN(#REF!)))</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rgb="FF343A51"/>
  </sheetPr>
  <dimension ref="A1:AA256"/>
  <sheetViews>
    <sheetView showGridLines="0" zoomScale="80" zoomScaleNormal="80" workbookViewId="0">
      <pane xSplit="5" ySplit="9" topLeftCell="J177" activePane="bottomRight" state="frozen"/>
      <selection pane="topRight" activeCell="F1" sqref="F1"/>
      <selection pane="bottomLeft" activeCell="A10" sqref="A10"/>
      <selection pane="bottomRight" activeCell="N194" sqref="N194"/>
    </sheetView>
  </sheetViews>
  <sheetFormatPr defaultColWidth="10.69921875" defaultRowHeight="15"/>
  <cols>
    <col min="1" max="1" width="1" style="296" customWidth="1"/>
    <col min="2" max="2" width="7.8984375" style="337" hidden="1" customWidth="1"/>
    <col min="3" max="3" width="10.69921875" style="337" hidden="1" customWidth="1"/>
    <col min="4" max="4" width="9.59765625" style="337" hidden="1" customWidth="1"/>
    <col min="5" max="5" width="33.09765625" style="296" customWidth="1"/>
    <col min="6" max="6" width="7.5" style="296" customWidth="1"/>
    <col min="7" max="7" width="13.5" style="296" customWidth="1"/>
    <col min="8" max="8" width="5.3984375" style="296" customWidth="1"/>
    <col min="9" max="9" width="13.3984375" style="298" customWidth="1"/>
    <col min="10" max="10" width="4.69921875" style="296" customWidth="1"/>
    <col min="11" max="11" width="7.09765625" style="296" customWidth="1"/>
    <col min="12" max="12" width="5.3984375" style="296" customWidth="1"/>
    <col min="13" max="14" width="6.3984375" style="296" customWidth="1"/>
    <col min="15" max="15" width="8" style="296" customWidth="1"/>
    <col min="16" max="16" width="13.19921875" style="296" bestFit="1" customWidth="1"/>
    <col min="17" max="17" width="8.796875" style="296" customWidth="1"/>
    <col min="18" max="18" width="6.8984375" style="296" customWidth="1"/>
    <col min="19" max="19" width="7.8984375" style="296" customWidth="1"/>
    <col min="20" max="20" width="6.296875" style="296" customWidth="1"/>
    <col min="21" max="21" width="7.8984375" style="296" customWidth="1"/>
    <col min="22" max="22" width="6.296875" style="296" customWidth="1"/>
    <col min="23" max="23" width="7.8984375" style="296" customWidth="1"/>
    <col min="24" max="24" width="6.296875" style="296" customWidth="1"/>
    <col min="25" max="25" width="7.8984375" style="296" customWidth="1"/>
    <col min="26" max="26" width="8.296875" style="296" customWidth="1"/>
    <col min="27" max="27" width="6.296875" style="296" customWidth="1"/>
    <col min="28" max="16384" width="10.69921875" style="296"/>
  </cols>
  <sheetData>
    <row r="1" spans="1:27" ht="5.0999999999999996" customHeight="1"/>
    <row r="2" spans="1:27" s="322" customFormat="1" ht="31.5" customHeight="1" thickBot="1">
      <c r="B2" s="338"/>
      <c r="C2" s="338"/>
      <c r="D2" s="338"/>
      <c r="E2" s="645" t="s">
        <v>1846</v>
      </c>
      <c r="F2" s="645"/>
      <c r="I2" s="323"/>
    </row>
    <row r="3" spans="1:27" s="238" customFormat="1" ht="17.25" customHeight="1" thickBot="1">
      <c r="B3" s="339"/>
      <c r="C3" s="339"/>
      <c r="D3" s="339"/>
      <c r="E3" s="645"/>
      <c r="F3" s="645"/>
      <c r="H3" s="322"/>
      <c r="I3" s="321" t="s">
        <v>1845</v>
      </c>
      <c r="J3" s="646" t="s">
        <v>1939</v>
      </c>
      <c r="K3" s="647"/>
      <c r="L3" s="322"/>
    </row>
    <row r="4" spans="1:27" s="322" customFormat="1" ht="5.25" customHeight="1">
      <c r="B4" s="338"/>
      <c r="C4" s="338"/>
      <c r="D4" s="338"/>
      <c r="I4" s="249"/>
    </row>
    <row r="5" spans="1:27" s="280" customFormat="1" ht="5.25" customHeight="1">
      <c r="B5" s="145"/>
      <c r="C5" s="145"/>
      <c r="D5" s="145"/>
      <c r="I5" s="247"/>
    </row>
    <row r="6" spans="1:27" s="324" customFormat="1" ht="21.75" customHeight="1">
      <c r="B6" s="340"/>
      <c r="C6" s="340"/>
      <c r="D6" s="340"/>
      <c r="E6" s="325" t="s">
        <v>1836</v>
      </c>
      <c r="F6" s="325"/>
      <c r="G6" s="325"/>
      <c r="H6" s="325"/>
      <c r="I6" s="326"/>
      <c r="J6" s="325"/>
      <c r="K6" s="325"/>
      <c r="L6" s="325"/>
      <c r="M6" s="325"/>
      <c r="N6" s="325"/>
      <c r="O6" s="325"/>
      <c r="P6" s="325"/>
      <c r="Q6" s="325"/>
      <c r="R6" s="325"/>
      <c r="S6" s="325"/>
      <c r="T6" s="325"/>
      <c r="U6" s="325"/>
      <c r="V6" s="325"/>
      <c r="W6" s="325"/>
      <c r="X6" s="325"/>
      <c r="Y6" s="325"/>
      <c r="Z6" s="325"/>
      <c r="AA6" s="325"/>
    </row>
    <row r="7" spans="1:27" s="280" customFormat="1" ht="5.25" customHeight="1">
      <c r="B7" s="145"/>
      <c r="C7" s="145"/>
      <c r="D7" s="145"/>
      <c r="E7" s="143"/>
      <c r="I7" s="247"/>
    </row>
    <row r="8" spans="1:27" s="237" customFormat="1" ht="34.5" customHeight="1">
      <c r="B8" s="336" t="s">
        <v>1003</v>
      </c>
      <c r="C8" s="336" t="s">
        <v>1848</v>
      </c>
      <c r="D8" s="336" t="s">
        <v>1850</v>
      </c>
      <c r="E8" s="246" t="s">
        <v>1838</v>
      </c>
      <c r="F8" s="214" t="s">
        <v>1053</v>
      </c>
      <c r="G8" s="214" t="s">
        <v>62</v>
      </c>
      <c r="H8" s="214" t="s">
        <v>63</v>
      </c>
      <c r="I8" s="214" t="s">
        <v>1004</v>
      </c>
      <c r="J8" s="214" t="s">
        <v>1837</v>
      </c>
      <c r="K8" s="214" t="s">
        <v>1005</v>
      </c>
      <c r="L8" s="214" t="s">
        <v>15</v>
      </c>
      <c r="M8" s="214" t="s">
        <v>64</v>
      </c>
      <c r="N8" s="214" t="s">
        <v>1834</v>
      </c>
      <c r="O8" s="214" t="s">
        <v>1835</v>
      </c>
      <c r="P8" s="214" t="s">
        <v>1067</v>
      </c>
      <c r="Q8" s="214" t="s">
        <v>0</v>
      </c>
      <c r="R8" s="214" t="s">
        <v>1068</v>
      </c>
      <c r="S8" s="214" t="s">
        <v>1069</v>
      </c>
      <c r="T8" s="214" t="s">
        <v>1070</v>
      </c>
      <c r="U8" s="214" t="s">
        <v>1071</v>
      </c>
      <c r="V8" s="214" t="s">
        <v>1072</v>
      </c>
      <c r="W8" s="214" t="s">
        <v>1832</v>
      </c>
      <c r="X8" s="214" t="s">
        <v>1833</v>
      </c>
      <c r="Y8" s="214" t="s">
        <v>1073</v>
      </c>
      <c r="Z8" s="214" t="s">
        <v>1074</v>
      </c>
      <c r="AA8" s="214" t="s">
        <v>932</v>
      </c>
    </row>
    <row r="9" spans="1:27" s="282" customFormat="1" ht="7.5" customHeight="1">
      <c r="B9" s="335"/>
      <c r="C9" s="335"/>
      <c r="D9" s="335"/>
      <c r="E9" s="281"/>
      <c r="I9" s="283"/>
      <c r="P9" s="317"/>
    </row>
    <row r="10" spans="1:27" s="282" customFormat="1">
      <c r="A10" s="300"/>
      <c r="B10" s="335" t="s">
        <v>963</v>
      </c>
      <c r="C10" s="335" t="s">
        <v>66</v>
      </c>
      <c r="D10" s="335" t="str">
        <f>B10&amp;" "&amp;C10</f>
        <v>Pós-fixado -</v>
      </c>
      <c r="E10" s="284" t="s">
        <v>963</v>
      </c>
      <c r="F10" s="284"/>
      <c r="G10" s="284"/>
      <c r="H10" s="284"/>
      <c r="I10" s="285"/>
      <c r="J10" s="284"/>
      <c r="K10" s="284"/>
      <c r="L10" s="284"/>
      <c r="M10" s="284"/>
      <c r="N10" s="284"/>
      <c r="O10" s="284"/>
      <c r="P10" s="318"/>
      <c r="Q10" s="356"/>
      <c r="R10" s="284"/>
      <c r="S10" s="284"/>
      <c r="T10" s="284"/>
      <c r="U10" s="284"/>
      <c r="V10" s="284"/>
      <c r="W10" s="284"/>
      <c r="X10" s="284"/>
      <c r="Y10" s="284"/>
      <c r="Z10" s="284"/>
      <c r="AA10" s="286"/>
    </row>
    <row r="11" spans="1:27">
      <c r="E11" s="292" t="s">
        <v>1153</v>
      </c>
      <c r="F11" s="293">
        <v>2240988</v>
      </c>
      <c r="G11" s="294">
        <v>30921203000181</v>
      </c>
      <c r="H11" s="293" t="s">
        <v>1078</v>
      </c>
      <c r="I11" s="293" t="s">
        <v>1011</v>
      </c>
      <c r="J11" s="295" t="s">
        <v>1827</v>
      </c>
      <c r="K11" s="293" t="s">
        <v>951</v>
      </c>
      <c r="L11" s="293" t="s">
        <v>87</v>
      </c>
      <c r="M11" s="293">
        <v>1</v>
      </c>
      <c r="N11" s="295">
        <v>4.0000000000000001E-3</v>
      </c>
      <c r="O11" s="295">
        <v>1.1200000000000001E-3</v>
      </c>
      <c r="P11" s="315">
        <v>678184038.25</v>
      </c>
      <c r="Q11" s="357">
        <v>43336</v>
      </c>
      <c r="R11" s="353">
        <v>7.1499999999999994E-2</v>
      </c>
      <c r="S11" s="354">
        <v>1.1020000000000001</v>
      </c>
      <c r="T11" s="353">
        <v>0.1095</v>
      </c>
      <c r="U11" s="354">
        <v>1.1636</v>
      </c>
      <c r="V11" s="353">
        <v>0.16869999999999999</v>
      </c>
      <c r="W11" s="354">
        <v>1.3960999999999999</v>
      </c>
      <c r="X11" s="353">
        <v>0.19259999999999999</v>
      </c>
      <c r="Y11" s="354">
        <v>1.1428</v>
      </c>
      <c r="Z11" s="353">
        <v>1.6999999999999999E-3</v>
      </c>
      <c r="AA11" s="355">
        <v>8.090375830924069</v>
      </c>
    </row>
    <row r="12" spans="1:27">
      <c r="E12" s="292" t="s">
        <v>43</v>
      </c>
      <c r="F12" s="293">
        <v>1259133</v>
      </c>
      <c r="G12" s="294">
        <v>37806055000101</v>
      </c>
      <c r="H12" s="293" t="s">
        <v>1078</v>
      </c>
      <c r="I12" s="293" t="s">
        <v>1034</v>
      </c>
      <c r="J12" s="295" t="s">
        <v>1827</v>
      </c>
      <c r="K12" s="293" t="s">
        <v>951</v>
      </c>
      <c r="L12" s="293" t="s">
        <v>87</v>
      </c>
      <c r="M12" s="293">
        <v>91</v>
      </c>
      <c r="N12" s="295">
        <v>1.9400000000000001E-2</v>
      </c>
      <c r="O12" s="295">
        <v>6.4666666666666666E-3</v>
      </c>
      <c r="P12" s="315">
        <v>130950140.03</v>
      </c>
      <c r="Q12" s="357">
        <v>44069</v>
      </c>
      <c r="R12" s="353">
        <v>8.4900000000000003E-2</v>
      </c>
      <c r="S12" s="354">
        <v>1.3083</v>
      </c>
      <c r="T12" s="353">
        <v>0.13270000000000001</v>
      </c>
      <c r="U12" s="354">
        <v>1.4101999999999999</v>
      </c>
      <c r="V12" s="353" t="s">
        <v>66</v>
      </c>
      <c r="W12" s="354" t="s">
        <v>66</v>
      </c>
      <c r="X12" s="353" t="s">
        <v>66</v>
      </c>
      <c r="Y12" s="354" t="s">
        <v>66</v>
      </c>
      <c r="Z12" s="353">
        <v>1.5E-3</v>
      </c>
      <c r="AA12" s="355">
        <v>22.804494655070034</v>
      </c>
    </row>
    <row r="13" spans="1:27">
      <c r="E13" s="292" t="s">
        <v>1902</v>
      </c>
      <c r="F13" s="293">
        <v>545834</v>
      </c>
      <c r="G13" s="294">
        <v>32892819000105</v>
      </c>
      <c r="H13" s="293" t="s">
        <v>1078</v>
      </c>
      <c r="I13" s="293" t="s">
        <v>1011</v>
      </c>
      <c r="J13" s="295" t="s">
        <v>1827</v>
      </c>
      <c r="K13" s="293" t="s">
        <v>66</v>
      </c>
      <c r="L13" s="293" t="s">
        <v>87</v>
      </c>
      <c r="M13" s="293">
        <v>1</v>
      </c>
      <c r="N13" s="295">
        <v>8.9999999999999993E-3</v>
      </c>
      <c r="O13" s="295">
        <v>2.0999999999999994E-3</v>
      </c>
      <c r="P13" s="315">
        <v>62175858.450000003</v>
      </c>
      <c r="Q13" s="357">
        <v>44544</v>
      </c>
      <c r="R13" s="353">
        <v>9.1999999999999998E-2</v>
      </c>
      <c r="S13" s="354">
        <v>1.4167000000000001</v>
      </c>
      <c r="T13" s="353" t="s">
        <v>66</v>
      </c>
      <c r="U13" s="354" t="s">
        <v>66</v>
      </c>
      <c r="V13" s="353" t="s">
        <v>66</v>
      </c>
      <c r="W13" s="354" t="s">
        <v>66</v>
      </c>
      <c r="X13" s="353" t="s">
        <v>66</v>
      </c>
      <c r="Y13" s="354" t="s">
        <v>66</v>
      </c>
      <c r="Z13" s="353" t="s">
        <v>66</v>
      </c>
      <c r="AA13" s="355" t="s">
        <v>66</v>
      </c>
    </row>
    <row r="14" spans="1:27">
      <c r="E14" s="292" t="s">
        <v>1639</v>
      </c>
      <c r="F14" s="293">
        <v>1168670</v>
      </c>
      <c r="G14" s="294">
        <v>4839017000198</v>
      </c>
      <c r="H14" s="293" t="s">
        <v>1078</v>
      </c>
      <c r="I14" s="293" t="s">
        <v>1021</v>
      </c>
      <c r="J14" s="295" t="s">
        <v>1824</v>
      </c>
      <c r="K14" s="293" t="s">
        <v>951</v>
      </c>
      <c r="L14" s="293" t="s">
        <v>87</v>
      </c>
      <c r="M14" s="293">
        <v>0</v>
      </c>
      <c r="N14" s="295">
        <v>1.5E-3</v>
      </c>
      <c r="O14" s="295" t="s">
        <v>66</v>
      </c>
      <c r="P14" s="315">
        <v>1702566753.03</v>
      </c>
      <c r="Q14" s="357">
        <v>37293</v>
      </c>
      <c r="R14" s="353">
        <v>6.5500000000000003E-2</v>
      </c>
      <c r="S14" s="354">
        <v>1.0094000000000001</v>
      </c>
      <c r="T14" s="353">
        <v>9.5899999999999999E-2</v>
      </c>
      <c r="U14" s="354">
        <v>1.0187999999999999</v>
      </c>
      <c r="V14" s="353">
        <v>0.1183</v>
      </c>
      <c r="W14" s="354">
        <v>0.97919999999999996</v>
      </c>
      <c r="X14" s="353">
        <v>0.16339999999999999</v>
      </c>
      <c r="Y14" s="354">
        <v>0.96970000000000001</v>
      </c>
      <c r="Z14" s="353">
        <v>1.6999999999999999E-3</v>
      </c>
      <c r="AA14" s="355">
        <v>0.93168107111840359</v>
      </c>
    </row>
    <row r="15" spans="1:27">
      <c r="E15" s="292" t="s">
        <v>1665</v>
      </c>
      <c r="F15" s="293">
        <v>2150279</v>
      </c>
      <c r="G15" s="294">
        <v>29562673000117</v>
      </c>
      <c r="H15" s="293" t="s">
        <v>1078</v>
      </c>
      <c r="I15" s="293" t="s">
        <v>1011</v>
      </c>
      <c r="J15" s="295" t="s">
        <v>1827</v>
      </c>
      <c r="K15" s="293" t="s">
        <v>951</v>
      </c>
      <c r="L15" s="293" t="s">
        <v>87</v>
      </c>
      <c r="M15" s="293">
        <v>0</v>
      </c>
      <c r="N15" s="295">
        <v>0</v>
      </c>
      <c r="O15" s="295" t="s">
        <v>66</v>
      </c>
      <c r="P15" s="315">
        <v>3068815363.4000001</v>
      </c>
      <c r="Q15" s="357">
        <v>43228</v>
      </c>
      <c r="R15" s="353">
        <v>6.59E-2</v>
      </c>
      <c r="S15" s="354">
        <v>1.0146999999999999</v>
      </c>
      <c r="T15" s="353">
        <v>9.6299999999999997E-2</v>
      </c>
      <c r="U15" s="354">
        <v>1.0232000000000001</v>
      </c>
      <c r="V15" s="353">
        <v>0.1158</v>
      </c>
      <c r="W15" s="354">
        <v>0.95850000000000002</v>
      </c>
      <c r="X15" s="353">
        <v>0.16259999999999999</v>
      </c>
      <c r="Y15" s="354">
        <v>0.96509999999999996</v>
      </c>
      <c r="Z15" s="353">
        <v>1.6000000000000001E-3</v>
      </c>
      <c r="AA15" s="355">
        <v>1.231247328270576</v>
      </c>
    </row>
    <row r="16" spans="1:27">
      <c r="E16" s="292" t="s">
        <v>1156</v>
      </c>
      <c r="F16" s="293">
        <v>1051353</v>
      </c>
      <c r="G16" s="294">
        <v>32102131000176</v>
      </c>
      <c r="H16" s="293" t="s">
        <v>1843</v>
      </c>
      <c r="I16" s="293" t="s">
        <v>1011</v>
      </c>
      <c r="J16" s="295" t="s">
        <v>1827</v>
      </c>
      <c r="K16" s="293" t="s">
        <v>951</v>
      </c>
      <c r="L16" s="293" t="s">
        <v>87</v>
      </c>
      <c r="M16" s="293">
        <v>61</v>
      </c>
      <c r="N16" s="295">
        <v>7.0000000000000001E-3</v>
      </c>
      <c r="O16" s="295">
        <v>1.8666666666666666E-3</v>
      </c>
      <c r="P16" s="315">
        <v>464794313.37</v>
      </c>
      <c r="Q16" s="357">
        <v>43447</v>
      </c>
      <c r="R16" s="353">
        <v>0.08</v>
      </c>
      <c r="S16" s="354">
        <v>1.2317</v>
      </c>
      <c r="T16" s="353">
        <v>0.1258</v>
      </c>
      <c r="U16" s="354">
        <v>1.337</v>
      </c>
      <c r="V16" s="353">
        <v>0.21879999999999999</v>
      </c>
      <c r="W16" s="354">
        <v>1.8115000000000001</v>
      </c>
      <c r="X16" s="353">
        <v>0.25650000000000001</v>
      </c>
      <c r="Y16" s="354">
        <v>1.5223</v>
      </c>
      <c r="Z16" s="353">
        <v>2.8999999999999998E-3</v>
      </c>
      <c r="AA16" s="355">
        <v>9.8511839672746433</v>
      </c>
    </row>
    <row r="17" spans="5:27">
      <c r="E17" s="292" t="s">
        <v>180</v>
      </c>
      <c r="F17" s="293">
        <v>1901239</v>
      </c>
      <c r="G17" s="294">
        <v>34218678000167</v>
      </c>
      <c r="H17" s="293" t="s">
        <v>1843</v>
      </c>
      <c r="I17" s="293" t="s">
        <v>1034</v>
      </c>
      <c r="J17" s="295" t="s">
        <v>1827</v>
      </c>
      <c r="K17" s="293" t="s">
        <v>951</v>
      </c>
      <c r="L17" s="293" t="s">
        <v>87</v>
      </c>
      <c r="M17" s="293">
        <v>180</v>
      </c>
      <c r="N17" s="295">
        <v>1.0999999999999999E-2</v>
      </c>
      <c r="O17" s="295">
        <v>2.7499999999999998E-3</v>
      </c>
      <c r="P17" s="315">
        <v>305729235.14999998</v>
      </c>
      <c r="Q17" s="357">
        <v>43826</v>
      </c>
      <c r="R17" s="353">
        <v>8.1299999999999997E-2</v>
      </c>
      <c r="S17" s="354">
        <v>1.2528999999999999</v>
      </c>
      <c r="T17" s="353">
        <v>0.1288</v>
      </c>
      <c r="U17" s="354">
        <v>1.3685</v>
      </c>
      <c r="V17" s="353">
        <v>0.20449999999999999</v>
      </c>
      <c r="W17" s="354">
        <v>1.6931</v>
      </c>
      <c r="X17" s="353" t="s">
        <v>66</v>
      </c>
      <c r="Y17" s="354" t="s">
        <v>66</v>
      </c>
      <c r="Z17" s="353">
        <v>3.5000000000000001E-3</v>
      </c>
      <c r="AA17" s="355">
        <v>8.9863481232755422</v>
      </c>
    </row>
    <row r="18" spans="5:27">
      <c r="E18" s="292" t="s">
        <v>182</v>
      </c>
      <c r="F18" s="293">
        <v>769485</v>
      </c>
      <c r="G18" s="294">
        <v>17012208000123</v>
      </c>
      <c r="H18" s="293" t="s">
        <v>1843</v>
      </c>
      <c r="I18" s="293" t="s">
        <v>1011</v>
      </c>
      <c r="J18" s="295" t="s">
        <v>1827</v>
      </c>
      <c r="K18" s="293" t="s">
        <v>951</v>
      </c>
      <c r="L18" s="293" t="s">
        <v>87</v>
      </c>
      <c r="M18" s="293">
        <v>90</v>
      </c>
      <c r="N18" s="295">
        <v>1.0999999999999999E-2</v>
      </c>
      <c r="O18" s="295">
        <v>1.8333333333333331E-3</v>
      </c>
      <c r="P18" s="315">
        <v>832247070.64999998</v>
      </c>
      <c r="Q18" s="357">
        <v>41365</v>
      </c>
      <c r="R18" s="353">
        <v>8.1500000000000003E-2</v>
      </c>
      <c r="S18" s="354">
        <v>1.2545999999999999</v>
      </c>
      <c r="T18" s="353">
        <v>0.12889999999999999</v>
      </c>
      <c r="U18" s="354">
        <v>1.3705000000000001</v>
      </c>
      <c r="V18" s="353">
        <v>0.20499999999999999</v>
      </c>
      <c r="W18" s="354">
        <v>1.6966000000000001</v>
      </c>
      <c r="X18" s="353">
        <v>0.25929999999999997</v>
      </c>
      <c r="Y18" s="354">
        <v>1.5387999999999999</v>
      </c>
      <c r="Z18" s="353">
        <v>3.5000000000000001E-3</v>
      </c>
      <c r="AA18" s="355">
        <v>9.022406106689596</v>
      </c>
    </row>
    <row r="19" spans="5:27">
      <c r="E19" s="292" t="s">
        <v>989</v>
      </c>
      <c r="F19" s="293">
        <v>534573</v>
      </c>
      <c r="G19" s="294">
        <v>20146294000171</v>
      </c>
      <c r="H19" s="293" t="s">
        <v>1843</v>
      </c>
      <c r="I19" s="293" t="s">
        <v>1011</v>
      </c>
      <c r="J19" s="295" t="s">
        <v>1827</v>
      </c>
      <c r="K19" s="293" t="s">
        <v>951</v>
      </c>
      <c r="L19" s="293" t="s">
        <v>87</v>
      </c>
      <c r="M19" s="293">
        <v>45</v>
      </c>
      <c r="N19" s="295">
        <v>5.4999999999999997E-3</v>
      </c>
      <c r="O19" s="295">
        <v>1.6499999999999998E-3</v>
      </c>
      <c r="P19" s="315">
        <v>1250839867.7</v>
      </c>
      <c r="Q19" s="357">
        <v>41949</v>
      </c>
      <c r="R19" s="353">
        <v>7.7200000000000005E-2</v>
      </c>
      <c r="S19" s="354">
        <v>1.1893</v>
      </c>
      <c r="T19" s="353">
        <v>0.1154</v>
      </c>
      <c r="U19" s="354">
        <v>1.2267999999999999</v>
      </c>
      <c r="V19" s="353">
        <v>0.2026</v>
      </c>
      <c r="W19" s="354">
        <v>1.6771</v>
      </c>
      <c r="X19" s="353">
        <v>0.2417</v>
      </c>
      <c r="Y19" s="354">
        <v>1.4341999999999999</v>
      </c>
      <c r="Z19" s="353">
        <v>5.8999999999999999E-3</v>
      </c>
      <c r="AA19" s="355">
        <v>3.252860791496504</v>
      </c>
    </row>
    <row r="20" spans="5:27">
      <c r="E20" s="292" t="s">
        <v>827</v>
      </c>
      <c r="F20" s="293">
        <v>621845</v>
      </c>
      <c r="G20" s="294">
        <v>39469191000170</v>
      </c>
      <c r="H20" s="293" t="s">
        <v>1843</v>
      </c>
      <c r="I20" s="293" t="s">
        <v>1034</v>
      </c>
      <c r="J20" s="295" t="s">
        <v>1827</v>
      </c>
      <c r="K20" s="293" t="s">
        <v>951</v>
      </c>
      <c r="L20" s="293" t="s">
        <v>87</v>
      </c>
      <c r="M20" s="293">
        <v>151</v>
      </c>
      <c r="N20" s="295">
        <v>1.95E-2</v>
      </c>
      <c r="O20" s="295">
        <v>6.4999999999999997E-3</v>
      </c>
      <c r="P20" s="315">
        <v>52732680.189999998</v>
      </c>
      <c r="Q20" s="357">
        <v>44252</v>
      </c>
      <c r="R20" s="353">
        <v>8.5300000000000001E-2</v>
      </c>
      <c r="S20" s="354">
        <v>1.3146</v>
      </c>
      <c r="T20" s="353">
        <v>0.13639999999999999</v>
      </c>
      <c r="U20" s="354">
        <v>1.4497</v>
      </c>
      <c r="V20" s="353" t="s">
        <v>66</v>
      </c>
      <c r="W20" s="354" t="s">
        <v>66</v>
      </c>
      <c r="X20" s="353" t="s">
        <v>66</v>
      </c>
      <c r="Y20" s="354" t="s">
        <v>66</v>
      </c>
      <c r="Z20" s="353">
        <v>9.4000000000000004E-3</v>
      </c>
      <c r="AA20" s="355">
        <v>4.0353990972041611</v>
      </c>
    </row>
    <row r="21" spans="5:27">
      <c r="E21" s="292" t="s">
        <v>1465</v>
      </c>
      <c r="F21" s="293">
        <v>1590865</v>
      </c>
      <c r="G21" s="294">
        <v>34096240000153</v>
      </c>
      <c r="H21" s="293" t="s">
        <v>1843</v>
      </c>
      <c r="I21" s="293" t="s">
        <v>1034</v>
      </c>
      <c r="J21" s="295" t="s">
        <v>1827</v>
      </c>
      <c r="K21" s="293" t="s">
        <v>951</v>
      </c>
      <c r="L21" s="293" t="s">
        <v>87</v>
      </c>
      <c r="M21" s="293">
        <v>271</v>
      </c>
      <c r="N21" s="295">
        <v>0.02</v>
      </c>
      <c r="O21" s="295">
        <v>3.3333333333333331E-3</v>
      </c>
      <c r="P21" s="315">
        <v>68565816.290000007</v>
      </c>
      <c r="Q21" s="357">
        <v>43682</v>
      </c>
      <c r="R21" s="353">
        <v>7.8899999999999998E-2</v>
      </c>
      <c r="S21" s="354">
        <v>1.2156</v>
      </c>
      <c r="T21" s="353">
        <v>0.1232</v>
      </c>
      <c r="U21" s="354">
        <v>1.3097000000000001</v>
      </c>
      <c r="V21" s="353">
        <v>0.2198</v>
      </c>
      <c r="W21" s="354">
        <v>1.8191999999999999</v>
      </c>
      <c r="X21" s="353" t="s">
        <v>66</v>
      </c>
      <c r="Y21" s="354" t="s">
        <v>66</v>
      </c>
      <c r="Z21" s="353">
        <v>5.4999999999999997E-3</v>
      </c>
      <c r="AA21" s="355">
        <v>4.7623186010979133</v>
      </c>
    </row>
    <row r="22" spans="5:27">
      <c r="E22" s="292" t="s">
        <v>1466</v>
      </c>
      <c r="F22" s="293">
        <v>534197</v>
      </c>
      <c r="G22" s="294">
        <v>35420451000162</v>
      </c>
      <c r="H22" s="293" t="s">
        <v>1843</v>
      </c>
      <c r="I22" s="293" t="s">
        <v>1034</v>
      </c>
      <c r="J22" s="295" t="s">
        <v>1827</v>
      </c>
      <c r="K22" s="293" t="s">
        <v>1040</v>
      </c>
      <c r="L22" s="293" t="s">
        <v>87</v>
      </c>
      <c r="M22" s="293">
        <v>211</v>
      </c>
      <c r="N22" s="295">
        <v>0.02</v>
      </c>
      <c r="O22" s="295">
        <v>5.3333333333333332E-3</v>
      </c>
      <c r="P22" s="315">
        <v>28678543.829999998</v>
      </c>
      <c r="Q22" s="357">
        <v>43871</v>
      </c>
      <c r="R22" s="353">
        <v>9.06E-2</v>
      </c>
      <c r="S22" s="354">
        <v>1.3955</v>
      </c>
      <c r="T22" s="353">
        <v>0.18110000000000001</v>
      </c>
      <c r="U22" s="354">
        <v>1.925</v>
      </c>
      <c r="V22" s="353">
        <v>0.22520000000000001</v>
      </c>
      <c r="W22" s="354">
        <v>1.8643000000000001</v>
      </c>
      <c r="X22" s="353" t="s">
        <v>66</v>
      </c>
      <c r="Y22" s="354" t="s">
        <v>66</v>
      </c>
      <c r="Z22" s="353">
        <v>1.32E-2</v>
      </c>
      <c r="AA22" s="355">
        <v>5.8100177006880624</v>
      </c>
    </row>
    <row r="23" spans="5:27">
      <c r="E23" s="292" t="s">
        <v>1467</v>
      </c>
      <c r="F23" s="293">
        <v>519514</v>
      </c>
      <c r="G23" s="294">
        <v>30877877000126</v>
      </c>
      <c r="H23" s="293" t="s">
        <v>1843</v>
      </c>
      <c r="I23" s="293" t="s">
        <v>1034</v>
      </c>
      <c r="J23" s="295" t="s">
        <v>1827</v>
      </c>
      <c r="K23" s="293" t="s">
        <v>951</v>
      </c>
      <c r="L23" s="293" t="s">
        <v>87</v>
      </c>
      <c r="M23" s="293">
        <v>181</v>
      </c>
      <c r="N23" s="295">
        <v>0.02</v>
      </c>
      <c r="O23" s="295">
        <v>6.6666666666666662E-3</v>
      </c>
      <c r="P23" s="315">
        <v>57626773.799999997</v>
      </c>
      <c r="Q23" s="357">
        <v>43311</v>
      </c>
      <c r="R23" s="353">
        <v>8.1799999999999998E-2</v>
      </c>
      <c r="S23" s="354">
        <v>1.2605</v>
      </c>
      <c r="T23" s="353">
        <v>0.1431</v>
      </c>
      <c r="U23" s="354">
        <v>1.5212000000000001</v>
      </c>
      <c r="V23" s="353">
        <v>0.2026</v>
      </c>
      <c r="W23" s="354">
        <v>1.6769000000000001</v>
      </c>
      <c r="X23" s="353">
        <v>0.30659999999999998</v>
      </c>
      <c r="Y23" s="354">
        <v>1.8191999999999999</v>
      </c>
      <c r="Z23" s="353">
        <v>7.7999999999999996E-3</v>
      </c>
      <c r="AA23" s="355">
        <v>5.6279201621262889</v>
      </c>
    </row>
    <row r="24" spans="5:27">
      <c r="E24" s="292" t="s">
        <v>990</v>
      </c>
      <c r="F24" s="293">
        <v>3126998</v>
      </c>
      <c r="G24" s="294">
        <v>22672424000135</v>
      </c>
      <c r="H24" s="293" t="s">
        <v>1843</v>
      </c>
      <c r="I24" s="293" t="s">
        <v>1034</v>
      </c>
      <c r="J24" s="295" t="s">
        <v>1827</v>
      </c>
      <c r="K24" s="293" t="s">
        <v>951</v>
      </c>
      <c r="L24" s="293" t="s">
        <v>87</v>
      </c>
      <c r="M24" s="293">
        <v>181</v>
      </c>
      <c r="N24" s="295">
        <v>0.02</v>
      </c>
      <c r="O24" s="295">
        <v>6.6666666666666662E-3</v>
      </c>
      <c r="P24" s="315">
        <v>194684162.72999999</v>
      </c>
      <c r="Q24" s="357">
        <v>42276</v>
      </c>
      <c r="R24" s="353">
        <v>8.2100000000000006E-2</v>
      </c>
      <c r="S24" s="354">
        <v>1.2643</v>
      </c>
      <c r="T24" s="353">
        <v>0.14399999999999999</v>
      </c>
      <c r="U24" s="354">
        <v>1.5306999999999999</v>
      </c>
      <c r="V24" s="353">
        <v>0.2049</v>
      </c>
      <c r="W24" s="354">
        <v>1.696</v>
      </c>
      <c r="X24" s="353">
        <v>0.31019999999999998</v>
      </c>
      <c r="Y24" s="354">
        <v>1.8409</v>
      </c>
      <c r="Z24" s="353">
        <v>7.9000000000000008E-3</v>
      </c>
      <c r="AA24" s="355">
        <v>5.6482734647173158</v>
      </c>
    </row>
    <row r="25" spans="5:27">
      <c r="E25" s="292" t="s">
        <v>1617</v>
      </c>
      <c r="F25" s="293">
        <v>2305515</v>
      </c>
      <c r="G25" s="294">
        <v>17899612000160</v>
      </c>
      <c r="H25" s="293" t="s">
        <v>1843</v>
      </c>
      <c r="I25" s="293" t="s">
        <v>1011</v>
      </c>
      <c r="J25" s="295" t="s">
        <v>1827</v>
      </c>
      <c r="K25" s="293" t="s">
        <v>951</v>
      </c>
      <c r="L25" s="293" t="s">
        <v>87</v>
      </c>
      <c r="M25" s="293">
        <v>2</v>
      </c>
      <c r="N25" s="295">
        <v>8.0000000000000002E-3</v>
      </c>
      <c r="O25" s="295">
        <v>1.5999999999999999E-3</v>
      </c>
      <c r="P25" s="315">
        <v>419708476.26999998</v>
      </c>
      <c r="Q25" s="357">
        <v>41913</v>
      </c>
      <c r="R25" s="353">
        <v>6.7299999999999999E-2</v>
      </c>
      <c r="S25" s="354">
        <v>1.0367999999999999</v>
      </c>
      <c r="T25" s="353">
        <v>9.9299999999999999E-2</v>
      </c>
      <c r="U25" s="354">
        <v>1.0551999999999999</v>
      </c>
      <c r="V25" s="353">
        <v>0.13139999999999999</v>
      </c>
      <c r="W25" s="354">
        <v>1.0872999999999999</v>
      </c>
      <c r="X25" s="353">
        <v>0.186</v>
      </c>
      <c r="Y25" s="354">
        <v>1.1040000000000001</v>
      </c>
      <c r="Z25" s="353">
        <v>1.8E-3</v>
      </c>
      <c r="AA25" s="355">
        <v>2.58505077085846</v>
      </c>
    </row>
    <row r="26" spans="5:27">
      <c r="E26" s="292" t="s">
        <v>647</v>
      </c>
      <c r="F26" s="293">
        <v>613491</v>
      </c>
      <c r="G26" s="294">
        <v>14188162000100</v>
      </c>
      <c r="H26" s="293" t="s">
        <v>1843</v>
      </c>
      <c r="I26" s="293" t="s">
        <v>1011</v>
      </c>
      <c r="J26" s="295" t="s">
        <v>1827</v>
      </c>
      <c r="K26" s="293" t="s">
        <v>951</v>
      </c>
      <c r="L26" s="293" t="s">
        <v>87</v>
      </c>
      <c r="M26" s="293">
        <v>32</v>
      </c>
      <c r="N26" s="295">
        <v>3.0000000000000001E-3</v>
      </c>
      <c r="O26" s="295">
        <v>1.4E-3</v>
      </c>
      <c r="P26" s="315">
        <v>1777802550.48</v>
      </c>
      <c r="Q26" s="357">
        <v>40946</v>
      </c>
      <c r="R26" s="353">
        <v>7.46E-2</v>
      </c>
      <c r="S26" s="354">
        <v>1.1485000000000001</v>
      </c>
      <c r="T26" s="353">
        <v>0.11409999999999999</v>
      </c>
      <c r="U26" s="354">
        <v>1.2124999999999999</v>
      </c>
      <c r="V26" s="353">
        <v>0.18629999999999999</v>
      </c>
      <c r="W26" s="354">
        <v>1.5422</v>
      </c>
      <c r="X26" s="353">
        <v>0.19539999999999999</v>
      </c>
      <c r="Y26" s="354">
        <v>1.1597999999999999</v>
      </c>
      <c r="Z26" s="353">
        <v>2E-3</v>
      </c>
      <c r="AA26" s="355">
        <v>9.2537306185948776</v>
      </c>
    </row>
    <row r="27" spans="5:27">
      <c r="E27" s="292" t="s">
        <v>650</v>
      </c>
      <c r="F27" s="293">
        <v>396862</v>
      </c>
      <c r="G27" s="294">
        <v>35343590000130</v>
      </c>
      <c r="H27" s="293" t="s">
        <v>1843</v>
      </c>
      <c r="I27" s="293" t="s">
        <v>1011</v>
      </c>
      <c r="J27" s="295" t="s">
        <v>1827</v>
      </c>
      <c r="K27" s="293" t="s">
        <v>951</v>
      </c>
      <c r="L27" s="293" t="s">
        <v>87</v>
      </c>
      <c r="M27" s="293">
        <v>46</v>
      </c>
      <c r="N27" s="295">
        <v>6.0000000000000001E-3</v>
      </c>
      <c r="O27" s="295">
        <v>1.3998000000000001E-3</v>
      </c>
      <c r="P27" s="315">
        <v>264173468.21000001</v>
      </c>
      <c r="Q27" s="357">
        <v>43819</v>
      </c>
      <c r="R27" s="353">
        <v>7.3499999999999996E-2</v>
      </c>
      <c r="S27" s="354">
        <v>1.1329</v>
      </c>
      <c r="T27" s="353">
        <v>0.1106</v>
      </c>
      <c r="U27" s="354">
        <v>1.1757</v>
      </c>
      <c r="V27" s="353">
        <v>0.18729999999999999</v>
      </c>
      <c r="W27" s="354">
        <v>1.5501</v>
      </c>
      <c r="X27" s="353" t="s">
        <v>66</v>
      </c>
      <c r="Y27" s="354" t="s">
        <v>66</v>
      </c>
      <c r="Z27" s="353">
        <v>2.3E-3</v>
      </c>
      <c r="AA27" s="355">
        <v>6.5753209670541342</v>
      </c>
    </row>
    <row r="28" spans="5:27">
      <c r="E28" s="292" t="s">
        <v>791</v>
      </c>
      <c r="F28" s="293">
        <v>1093309</v>
      </c>
      <c r="G28" s="294">
        <v>35505971000178</v>
      </c>
      <c r="H28" s="293" t="s">
        <v>1843</v>
      </c>
      <c r="I28" s="293" t="s">
        <v>1011</v>
      </c>
      <c r="J28" s="295" t="s">
        <v>1827</v>
      </c>
      <c r="K28" s="293" t="s">
        <v>954</v>
      </c>
      <c r="L28" s="293" t="s">
        <v>87</v>
      </c>
      <c r="M28" s="293">
        <v>46</v>
      </c>
      <c r="N28" s="295">
        <v>6.0000000000000001E-3</v>
      </c>
      <c r="O28" s="295">
        <v>1.4E-3</v>
      </c>
      <c r="P28" s="315">
        <v>1457247341.4000001</v>
      </c>
      <c r="Q28" s="357">
        <v>43817</v>
      </c>
      <c r="R28" s="353">
        <v>7.3700000000000002E-2</v>
      </c>
      <c r="S28" s="354">
        <v>1.1347</v>
      </c>
      <c r="T28" s="353">
        <v>0.1109</v>
      </c>
      <c r="U28" s="354">
        <v>1.1782999999999999</v>
      </c>
      <c r="V28" s="353">
        <v>0.18820000000000001</v>
      </c>
      <c r="W28" s="354">
        <v>1.5580000000000001</v>
      </c>
      <c r="X28" s="353" t="s">
        <v>66</v>
      </c>
      <c r="Y28" s="354" t="s">
        <v>66</v>
      </c>
      <c r="Z28" s="353">
        <v>2.3E-3</v>
      </c>
      <c r="AA28" s="355">
        <v>6.6523575605915477</v>
      </c>
    </row>
    <row r="29" spans="5:27">
      <c r="E29" s="292" t="s">
        <v>792</v>
      </c>
      <c r="F29" s="293">
        <v>537091</v>
      </c>
      <c r="G29" s="294">
        <v>34781162000126</v>
      </c>
      <c r="H29" s="293" t="s">
        <v>1843</v>
      </c>
      <c r="I29" s="293" t="s">
        <v>1011</v>
      </c>
      <c r="J29" s="295" t="s">
        <v>1827</v>
      </c>
      <c r="K29" s="293" t="s">
        <v>954</v>
      </c>
      <c r="L29" s="293" t="s">
        <v>87</v>
      </c>
      <c r="M29" s="293">
        <v>46</v>
      </c>
      <c r="N29" s="295">
        <v>4.0000000000000001E-3</v>
      </c>
      <c r="O29" s="295">
        <v>1.3333333333333333E-3</v>
      </c>
      <c r="P29" s="315">
        <v>287839853.33999997</v>
      </c>
      <c r="Q29" s="357">
        <v>44355</v>
      </c>
      <c r="R29" s="353">
        <v>6.1199999999999997E-2</v>
      </c>
      <c r="S29" s="354">
        <v>0.94330000000000003</v>
      </c>
      <c r="T29" s="353">
        <v>9.4799999999999995E-2</v>
      </c>
      <c r="U29" s="354">
        <v>1.0076000000000001</v>
      </c>
      <c r="V29" s="353" t="s">
        <v>66</v>
      </c>
      <c r="W29" s="354" t="s">
        <v>66</v>
      </c>
      <c r="X29" s="353" t="s">
        <v>66</v>
      </c>
      <c r="Y29" s="354" t="s">
        <v>66</v>
      </c>
      <c r="Z29" s="353">
        <v>1.6799999999999999E-2</v>
      </c>
      <c r="AA29" s="355">
        <v>4.6995322680730159E-2</v>
      </c>
    </row>
    <row r="30" spans="5:27">
      <c r="E30" s="292" t="s">
        <v>1807</v>
      </c>
      <c r="F30" s="293">
        <v>4358302</v>
      </c>
      <c r="G30" s="294">
        <v>34687428000176</v>
      </c>
      <c r="H30" s="293" t="s">
        <v>1843</v>
      </c>
      <c r="I30" s="293" t="s">
        <v>962</v>
      </c>
      <c r="J30" s="295" t="s">
        <v>1827</v>
      </c>
      <c r="K30" s="293" t="s">
        <v>951</v>
      </c>
      <c r="L30" s="293" t="s">
        <v>87</v>
      </c>
      <c r="M30" s="293">
        <v>1</v>
      </c>
      <c r="N30" s="295">
        <v>8.0000000000000002E-3</v>
      </c>
      <c r="O30" s="295">
        <v>1.6000000000000001E-3</v>
      </c>
      <c r="P30" s="315">
        <v>11863175.189999999</v>
      </c>
      <c r="Q30" s="357">
        <v>44418</v>
      </c>
      <c r="R30" s="353">
        <v>6.7000000000000004E-2</v>
      </c>
      <c r="S30" s="354">
        <v>1.0314000000000001</v>
      </c>
      <c r="T30" s="353" t="s">
        <v>66</v>
      </c>
      <c r="U30" s="354" t="s">
        <v>66</v>
      </c>
      <c r="V30" s="353" t="s">
        <v>66</v>
      </c>
      <c r="W30" s="354" t="s">
        <v>66</v>
      </c>
      <c r="X30" s="353" t="s">
        <v>66</v>
      </c>
      <c r="Y30" s="354" t="s">
        <v>66</v>
      </c>
      <c r="Z30" s="353" t="s">
        <v>66</v>
      </c>
      <c r="AA30" s="355" t="s">
        <v>66</v>
      </c>
    </row>
    <row r="31" spans="5:27">
      <c r="E31" s="292" t="s">
        <v>45</v>
      </c>
      <c r="F31" s="293">
        <v>1164712</v>
      </c>
      <c r="G31" s="294">
        <v>37310657000165</v>
      </c>
      <c r="H31" s="293" t="s">
        <v>1843</v>
      </c>
      <c r="I31" s="293" t="s">
        <v>1011</v>
      </c>
      <c r="J31" s="295" t="s">
        <v>1827</v>
      </c>
      <c r="K31" s="293" t="s">
        <v>951</v>
      </c>
      <c r="L31" s="293" t="s">
        <v>87</v>
      </c>
      <c r="M31" s="293">
        <v>31</v>
      </c>
      <c r="N31" s="295">
        <v>7.6E-3</v>
      </c>
      <c r="O31" s="295">
        <v>1.5529333333333332E-3</v>
      </c>
      <c r="P31" s="315">
        <v>1239895372.24</v>
      </c>
      <c r="Q31" s="357">
        <v>44043</v>
      </c>
      <c r="R31" s="353">
        <v>6.4699999999999994E-2</v>
      </c>
      <c r="S31" s="354">
        <v>0.99719999999999998</v>
      </c>
      <c r="T31" s="353">
        <v>0.1055</v>
      </c>
      <c r="U31" s="354">
        <v>1.1217999999999999</v>
      </c>
      <c r="V31" s="353" t="s">
        <v>66</v>
      </c>
      <c r="W31" s="354" t="s">
        <v>66</v>
      </c>
      <c r="X31" s="353" t="s">
        <v>66</v>
      </c>
      <c r="Y31" s="354" t="s">
        <v>66</v>
      </c>
      <c r="Z31" s="353">
        <v>4.5999999999999999E-3</v>
      </c>
      <c r="AA31" s="355">
        <v>2.2749097129064659</v>
      </c>
    </row>
    <row r="32" spans="5:27">
      <c r="E32" s="292" t="s">
        <v>937</v>
      </c>
      <c r="F32" s="293">
        <v>564075</v>
      </c>
      <c r="G32" s="294">
        <v>41545099000194</v>
      </c>
      <c r="H32" s="293" t="s">
        <v>1843</v>
      </c>
      <c r="I32" s="293" t="s">
        <v>1011</v>
      </c>
      <c r="J32" s="295" t="s">
        <v>1827</v>
      </c>
      <c r="K32" s="293" t="s">
        <v>951</v>
      </c>
      <c r="L32" s="293" t="s">
        <v>87</v>
      </c>
      <c r="M32" s="293">
        <v>91</v>
      </c>
      <c r="N32" s="295">
        <v>1.1599999999999999E-2</v>
      </c>
      <c r="O32" s="295">
        <v>2.3702666666666661E-3</v>
      </c>
      <c r="P32" s="315">
        <v>160322036.61000001</v>
      </c>
      <c r="Q32" s="357">
        <v>44347</v>
      </c>
      <c r="R32" s="353">
        <v>5.7799999999999997E-2</v>
      </c>
      <c r="S32" s="354">
        <v>0.88959999999999995</v>
      </c>
      <c r="T32" s="353">
        <v>0.1047</v>
      </c>
      <c r="U32" s="354">
        <v>1.1133999999999999</v>
      </c>
      <c r="V32" s="353" t="s">
        <v>66</v>
      </c>
      <c r="W32" s="354" t="s">
        <v>66</v>
      </c>
      <c r="X32" s="353" t="s">
        <v>66</v>
      </c>
      <c r="Y32" s="354" t="s">
        <v>66</v>
      </c>
      <c r="Z32" s="353">
        <v>9.1000000000000004E-3</v>
      </c>
      <c r="AA32" s="355">
        <v>1.0703261259896257</v>
      </c>
    </row>
    <row r="33" spans="1:27">
      <c r="E33" s="292" t="s">
        <v>1421</v>
      </c>
      <c r="F33" s="293">
        <v>1051356</v>
      </c>
      <c r="G33" s="294">
        <v>20824446000148</v>
      </c>
      <c r="H33" s="293" t="s">
        <v>1843</v>
      </c>
      <c r="I33" s="293" t="s">
        <v>1011</v>
      </c>
      <c r="J33" s="295" t="s">
        <v>1827</v>
      </c>
      <c r="K33" s="293" t="s">
        <v>951</v>
      </c>
      <c r="L33" s="293" t="s">
        <v>87</v>
      </c>
      <c r="M33" s="293">
        <v>1</v>
      </c>
      <c r="N33" s="295">
        <v>6.0000000000000001E-3</v>
      </c>
      <c r="O33" s="295" t="s">
        <v>66</v>
      </c>
      <c r="P33" s="315">
        <v>520998535.47000003</v>
      </c>
      <c r="Q33" s="357">
        <v>41992</v>
      </c>
      <c r="R33" s="353">
        <v>7.5600000000000001E-2</v>
      </c>
      <c r="S33" s="354">
        <v>1.1641999999999999</v>
      </c>
      <c r="T33" s="353">
        <v>0.11260000000000001</v>
      </c>
      <c r="U33" s="354">
        <v>1.1963999999999999</v>
      </c>
      <c r="V33" s="353">
        <v>0.1958</v>
      </c>
      <c r="W33" s="354">
        <v>1.6208</v>
      </c>
      <c r="X33" s="353">
        <v>0.19950000000000001</v>
      </c>
      <c r="Y33" s="354">
        <v>1.1839</v>
      </c>
      <c r="Z33" s="353">
        <v>2E-3</v>
      </c>
      <c r="AA33" s="355">
        <v>8.2118756846723837</v>
      </c>
    </row>
    <row r="34" spans="1:27">
      <c r="E34" s="292" t="s">
        <v>416</v>
      </c>
      <c r="F34" s="293">
        <v>544499</v>
      </c>
      <c r="G34" s="294">
        <v>19488866000111</v>
      </c>
      <c r="H34" s="293" t="s">
        <v>1843</v>
      </c>
      <c r="I34" s="293" t="s">
        <v>1011</v>
      </c>
      <c r="J34" s="295" t="s">
        <v>1827</v>
      </c>
      <c r="K34" s="293" t="s">
        <v>951</v>
      </c>
      <c r="L34" s="293" t="s">
        <v>87</v>
      </c>
      <c r="M34" s="293">
        <v>1</v>
      </c>
      <c r="N34" s="295">
        <v>7.4999999999999997E-3</v>
      </c>
      <c r="O34" s="295">
        <v>1E-3</v>
      </c>
      <c r="P34" s="315">
        <v>557318833.03999996</v>
      </c>
      <c r="Q34" s="357">
        <v>42551</v>
      </c>
      <c r="R34" s="353">
        <v>7.5200000000000003E-2</v>
      </c>
      <c r="S34" s="354">
        <v>1.1585000000000001</v>
      </c>
      <c r="T34" s="353">
        <v>0.11119999999999999</v>
      </c>
      <c r="U34" s="354">
        <v>1.1816</v>
      </c>
      <c r="V34" s="353">
        <v>0.20830000000000001</v>
      </c>
      <c r="W34" s="354">
        <v>1.724</v>
      </c>
      <c r="X34" s="353">
        <v>0.1883</v>
      </c>
      <c r="Y34" s="354">
        <v>1.1173</v>
      </c>
      <c r="Z34" s="353">
        <v>2.8E-3</v>
      </c>
      <c r="AA34" s="355">
        <v>5.574901847253896</v>
      </c>
    </row>
    <row r="35" spans="1:27">
      <c r="E35" s="292" t="s">
        <v>1968</v>
      </c>
      <c r="F35" s="293" t="s">
        <v>66</v>
      </c>
      <c r="G35" s="294" t="s">
        <v>66</v>
      </c>
      <c r="H35" s="293" t="s">
        <v>1078</v>
      </c>
      <c r="I35" s="293" t="s">
        <v>1034</v>
      </c>
      <c r="J35" s="295" t="s">
        <v>66</v>
      </c>
      <c r="K35" s="293" t="s">
        <v>951</v>
      </c>
      <c r="L35" s="293" t="s">
        <v>87</v>
      </c>
      <c r="M35" s="293">
        <v>91</v>
      </c>
      <c r="N35" s="295">
        <v>2.5000000000000001E-3</v>
      </c>
      <c r="O35" s="295">
        <v>0</v>
      </c>
      <c r="P35" s="315">
        <v>60000000</v>
      </c>
      <c r="Q35" s="357">
        <v>42184</v>
      </c>
      <c r="R35" s="353" t="s">
        <v>66</v>
      </c>
      <c r="S35" s="354" t="s">
        <v>66</v>
      </c>
      <c r="T35" s="353" t="s">
        <v>66</v>
      </c>
      <c r="U35" s="354" t="s">
        <v>66</v>
      </c>
      <c r="V35" s="353" t="s">
        <v>66</v>
      </c>
      <c r="W35" s="354" t="s">
        <v>66</v>
      </c>
      <c r="X35" s="353" t="s">
        <v>66</v>
      </c>
      <c r="Y35" s="354" t="s">
        <v>66</v>
      </c>
      <c r="Z35" s="353" t="s">
        <v>66</v>
      </c>
      <c r="AA35" s="355" t="s">
        <v>66</v>
      </c>
    </row>
    <row r="36" spans="1:27">
      <c r="E36" s="292" t="s">
        <v>1882</v>
      </c>
      <c r="F36" s="293" t="s">
        <v>66</v>
      </c>
      <c r="G36" s="294" t="s">
        <v>66</v>
      </c>
      <c r="H36" s="293" t="s">
        <v>1078</v>
      </c>
      <c r="I36" s="293" t="s">
        <v>1879</v>
      </c>
      <c r="J36" s="295" t="s">
        <v>66</v>
      </c>
      <c r="K36" s="293" t="s">
        <v>951</v>
      </c>
      <c r="L36" s="293" t="s">
        <v>87</v>
      </c>
      <c r="M36" s="293">
        <v>0</v>
      </c>
      <c r="N36" s="295" t="s">
        <v>66</v>
      </c>
      <c r="O36" s="295" t="s">
        <v>66</v>
      </c>
      <c r="P36" s="315" t="s">
        <v>66</v>
      </c>
      <c r="Q36" s="357" t="s">
        <v>66</v>
      </c>
      <c r="R36" s="353" t="s">
        <v>66</v>
      </c>
      <c r="S36" s="354" t="s">
        <v>66</v>
      </c>
      <c r="T36" s="353" t="s">
        <v>66</v>
      </c>
      <c r="U36" s="354" t="s">
        <v>66</v>
      </c>
      <c r="V36" s="353" t="s">
        <v>66</v>
      </c>
      <c r="W36" s="354" t="s">
        <v>66</v>
      </c>
      <c r="X36" s="353" t="s">
        <v>66</v>
      </c>
      <c r="Y36" s="354" t="s">
        <v>66</v>
      </c>
      <c r="Z36" s="353" t="s">
        <v>66</v>
      </c>
      <c r="AA36" s="355" t="s">
        <v>66</v>
      </c>
    </row>
    <row r="37" spans="1:27">
      <c r="E37" s="292" t="s">
        <v>1870</v>
      </c>
      <c r="F37" s="293" t="s">
        <v>66</v>
      </c>
      <c r="G37" s="294" t="s">
        <v>66</v>
      </c>
      <c r="H37" s="293" t="s">
        <v>1078</v>
      </c>
      <c r="I37" s="293" t="s">
        <v>1011</v>
      </c>
      <c r="J37" s="295" t="s">
        <v>66</v>
      </c>
      <c r="K37" s="293" t="s">
        <v>951</v>
      </c>
      <c r="L37" s="293" t="s">
        <v>87</v>
      </c>
      <c r="M37" s="293">
        <v>0</v>
      </c>
      <c r="N37" s="295" t="s">
        <v>66</v>
      </c>
      <c r="O37" s="295" t="s">
        <v>66</v>
      </c>
      <c r="P37" s="315" t="s">
        <v>66</v>
      </c>
      <c r="Q37" s="357" t="s">
        <v>66</v>
      </c>
      <c r="R37" s="353" t="s">
        <v>66</v>
      </c>
      <c r="S37" s="354" t="s">
        <v>66</v>
      </c>
      <c r="T37" s="353" t="s">
        <v>66</v>
      </c>
      <c r="U37" s="354" t="s">
        <v>66</v>
      </c>
      <c r="V37" s="353" t="s">
        <v>66</v>
      </c>
      <c r="W37" s="354" t="s">
        <v>66</v>
      </c>
      <c r="X37" s="353" t="s">
        <v>66</v>
      </c>
      <c r="Y37" s="354" t="s">
        <v>66</v>
      </c>
      <c r="Z37" s="353" t="s">
        <v>66</v>
      </c>
      <c r="AA37" s="355" t="s">
        <v>66</v>
      </c>
    </row>
    <row r="38" spans="1:27">
      <c r="E38" s="292" t="s">
        <v>1871</v>
      </c>
      <c r="F38" s="293" t="s">
        <v>66</v>
      </c>
      <c r="G38" s="294" t="s">
        <v>66</v>
      </c>
      <c r="H38" s="293" t="s">
        <v>1078</v>
      </c>
      <c r="I38" s="293" t="s">
        <v>1011</v>
      </c>
      <c r="J38" s="295" t="s">
        <v>66</v>
      </c>
      <c r="K38" s="293" t="s">
        <v>951</v>
      </c>
      <c r="L38" s="293" t="s">
        <v>87</v>
      </c>
      <c r="M38" s="293" t="s">
        <v>66</v>
      </c>
      <c r="N38" s="295" t="s">
        <v>66</v>
      </c>
      <c r="O38" s="295" t="s">
        <v>66</v>
      </c>
      <c r="P38" s="315" t="s">
        <v>66</v>
      </c>
      <c r="Q38" s="357" t="s">
        <v>66</v>
      </c>
      <c r="R38" s="353" t="s">
        <v>66</v>
      </c>
      <c r="S38" s="354" t="s">
        <v>66</v>
      </c>
      <c r="T38" s="353" t="s">
        <v>66</v>
      </c>
      <c r="U38" s="354" t="s">
        <v>66</v>
      </c>
      <c r="V38" s="353" t="s">
        <v>66</v>
      </c>
      <c r="W38" s="354" t="s">
        <v>66</v>
      </c>
      <c r="X38" s="353" t="s">
        <v>66</v>
      </c>
      <c r="Y38" s="354" t="s">
        <v>66</v>
      </c>
      <c r="Z38" s="353" t="s">
        <v>66</v>
      </c>
      <c r="AA38" s="355" t="s">
        <v>66</v>
      </c>
    </row>
    <row r="39" spans="1:27">
      <c r="E39" s="292" t="s">
        <v>1872</v>
      </c>
      <c r="F39" s="293" t="s">
        <v>66</v>
      </c>
      <c r="G39" s="294" t="s">
        <v>66</v>
      </c>
      <c r="H39" s="293" t="s">
        <v>1078</v>
      </c>
      <c r="I39" s="293" t="s">
        <v>1011</v>
      </c>
      <c r="J39" s="295" t="s">
        <v>66</v>
      </c>
      <c r="K39" s="293" t="s">
        <v>951</v>
      </c>
      <c r="L39" s="293" t="s">
        <v>87</v>
      </c>
      <c r="M39" s="293" t="s">
        <v>66</v>
      </c>
      <c r="N39" s="295" t="s">
        <v>66</v>
      </c>
      <c r="O39" s="295" t="s">
        <v>66</v>
      </c>
      <c r="P39" s="315" t="s">
        <v>66</v>
      </c>
      <c r="Q39" s="357" t="s">
        <v>66</v>
      </c>
      <c r="R39" s="353" t="s">
        <v>66</v>
      </c>
      <c r="S39" s="354" t="s">
        <v>66</v>
      </c>
      <c r="T39" s="353" t="s">
        <v>66</v>
      </c>
      <c r="U39" s="354" t="s">
        <v>66</v>
      </c>
      <c r="V39" s="353" t="s">
        <v>66</v>
      </c>
      <c r="W39" s="354" t="s">
        <v>66</v>
      </c>
      <c r="X39" s="353" t="s">
        <v>66</v>
      </c>
      <c r="Y39" s="354" t="s">
        <v>66</v>
      </c>
      <c r="Z39" s="353" t="s">
        <v>66</v>
      </c>
      <c r="AA39" s="355" t="s">
        <v>66</v>
      </c>
    </row>
    <row r="40" spans="1:27">
      <c r="E40" s="292" t="s">
        <v>1873</v>
      </c>
      <c r="F40" s="293" t="s">
        <v>66</v>
      </c>
      <c r="G40" s="294" t="s">
        <v>66</v>
      </c>
      <c r="H40" s="293" t="s">
        <v>1078</v>
      </c>
      <c r="I40" s="293" t="s">
        <v>1011</v>
      </c>
      <c r="J40" s="295" t="s">
        <v>66</v>
      </c>
      <c r="K40" s="293" t="s">
        <v>951</v>
      </c>
      <c r="L40" s="293" t="s">
        <v>87</v>
      </c>
      <c r="M40" s="293" t="s">
        <v>66</v>
      </c>
      <c r="N40" s="295" t="s">
        <v>66</v>
      </c>
      <c r="O40" s="295" t="s">
        <v>66</v>
      </c>
      <c r="P40" s="315" t="s">
        <v>66</v>
      </c>
      <c r="Q40" s="357" t="s">
        <v>66</v>
      </c>
      <c r="R40" s="353" t="s">
        <v>66</v>
      </c>
      <c r="S40" s="354" t="s">
        <v>66</v>
      </c>
      <c r="T40" s="353" t="s">
        <v>66</v>
      </c>
      <c r="U40" s="354" t="s">
        <v>66</v>
      </c>
      <c r="V40" s="353" t="s">
        <v>66</v>
      </c>
      <c r="W40" s="354" t="s">
        <v>66</v>
      </c>
      <c r="X40" s="353" t="s">
        <v>66</v>
      </c>
      <c r="Y40" s="354" t="s">
        <v>66</v>
      </c>
      <c r="Z40" s="353" t="s">
        <v>66</v>
      </c>
      <c r="AA40" s="355" t="s">
        <v>66</v>
      </c>
    </row>
    <row r="41" spans="1:27">
      <c r="E41" s="292" t="s">
        <v>1940</v>
      </c>
      <c r="F41" s="293" t="s">
        <v>66</v>
      </c>
      <c r="G41" s="294" t="s">
        <v>66</v>
      </c>
      <c r="H41" s="293" t="s">
        <v>1843</v>
      </c>
      <c r="I41" s="293" t="s">
        <v>1011</v>
      </c>
      <c r="J41" s="295" t="s">
        <v>66</v>
      </c>
      <c r="K41" s="293" t="s">
        <v>951</v>
      </c>
      <c r="L41" s="293" t="s">
        <v>87</v>
      </c>
      <c r="M41" s="293" t="s">
        <v>66</v>
      </c>
      <c r="N41" s="295" t="s">
        <v>66</v>
      </c>
      <c r="O41" s="295" t="s">
        <v>66</v>
      </c>
      <c r="P41" s="315" t="s">
        <v>66</v>
      </c>
      <c r="Q41" s="357" t="s">
        <v>66</v>
      </c>
      <c r="R41" s="353" t="s">
        <v>66</v>
      </c>
      <c r="S41" s="354" t="s">
        <v>66</v>
      </c>
      <c r="T41" s="353" t="s">
        <v>66</v>
      </c>
      <c r="U41" s="354" t="s">
        <v>66</v>
      </c>
      <c r="V41" s="353" t="s">
        <v>66</v>
      </c>
      <c r="W41" s="354" t="s">
        <v>66</v>
      </c>
      <c r="X41" s="353" t="s">
        <v>66</v>
      </c>
      <c r="Y41" s="354" t="s">
        <v>66</v>
      </c>
      <c r="Z41" s="353" t="s">
        <v>66</v>
      </c>
      <c r="AA41" s="355" t="s">
        <v>66</v>
      </c>
    </row>
    <row r="42" spans="1:27">
      <c r="E42" s="292" t="s">
        <v>1874</v>
      </c>
      <c r="F42" s="293" t="s">
        <v>66</v>
      </c>
      <c r="G42" s="294" t="s">
        <v>66</v>
      </c>
      <c r="H42" s="293" t="s">
        <v>1078</v>
      </c>
      <c r="I42" s="293" t="s">
        <v>1011</v>
      </c>
      <c r="J42" s="295" t="s">
        <v>66</v>
      </c>
      <c r="K42" s="293" t="s">
        <v>951</v>
      </c>
      <c r="L42" s="293" t="s">
        <v>87</v>
      </c>
      <c r="M42" s="293" t="s">
        <v>66</v>
      </c>
      <c r="N42" s="295" t="s">
        <v>66</v>
      </c>
      <c r="O42" s="295" t="s">
        <v>66</v>
      </c>
      <c r="P42" s="315" t="s">
        <v>66</v>
      </c>
      <c r="Q42" s="357" t="s">
        <v>66</v>
      </c>
      <c r="R42" s="353" t="s">
        <v>66</v>
      </c>
      <c r="S42" s="354" t="s">
        <v>66</v>
      </c>
      <c r="T42" s="353" t="s">
        <v>66</v>
      </c>
      <c r="U42" s="354" t="s">
        <v>66</v>
      </c>
      <c r="V42" s="353" t="s">
        <v>66</v>
      </c>
      <c r="W42" s="354" t="s">
        <v>66</v>
      </c>
      <c r="X42" s="353" t="s">
        <v>66</v>
      </c>
      <c r="Y42" s="354" t="s">
        <v>66</v>
      </c>
      <c r="Z42" s="353" t="s">
        <v>66</v>
      </c>
      <c r="AA42" s="355" t="s">
        <v>66</v>
      </c>
    </row>
    <row r="43" spans="1:27">
      <c r="E43" s="292" t="s">
        <v>1875</v>
      </c>
      <c r="F43" s="293" t="s">
        <v>66</v>
      </c>
      <c r="G43" s="294" t="s">
        <v>66</v>
      </c>
      <c r="H43" s="293" t="s">
        <v>1078</v>
      </c>
      <c r="I43" s="293" t="s">
        <v>1011</v>
      </c>
      <c r="J43" s="295" t="s">
        <v>66</v>
      </c>
      <c r="K43" s="293" t="s">
        <v>951</v>
      </c>
      <c r="L43" s="293" t="s">
        <v>87</v>
      </c>
      <c r="M43" s="293" t="s">
        <v>66</v>
      </c>
      <c r="N43" s="295" t="s">
        <v>66</v>
      </c>
      <c r="O43" s="295" t="s">
        <v>66</v>
      </c>
      <c r="P43" s="315" t="s">
        <v>66</v>
      </c>
      <c r="Q43" s="357" t="s">
        <v>66</v>
      </c>
      <c r="R43" s="353" t="s">
        <v>66</v>
      </c>
      <c r="S43" s="354" t="s">
        <v>66</v>
      </c>
      <c r="T43" s="353" t="s">
        <v>66</v>
      </c>
      <c r="U43" s="354" t="s">
        <v>66</v>
      </c>
      <c r="V43" s="353" t="s">
        <v>66</v>
      </c>
      <c r="W43" s="354" t="s">
        <v>66</v>
      </c>
      <c r="X43" s="353" t="s">
        <v>66</v>
      </c>
      <c r="Y43" s="354" t="s">
        <v>66</v>
      </c>
      <c r="Z43" s="353" t="s">
        <v>66</v>
      </c>
      <c r="AA43" s="355" t="s">
        <v>66</v>
      </c>
    </row>
    <row r="44" spans="1:27">
      <c r="E44" s="292" t="s">
        <v>1941</v>
      </c>
      <c r="F44" s="293" t="s">
        <v>66</v>
      </c>
      <c r="G44" s="294" t="s">
        <v>66</v>
      </c>
      <c r="H44" s="293" t="s">
        <v>1843</v>
      </c>
      <c r="I44" s="293" t="s">
        <v>1011</v>
      </c>
      <c r="J44" s="295" t="s">
        <v>66</v>
      </c>
      <c r="K44" s="293" t="s">
        <v>951</v>
      </c>
      <c r="L44" s="293" t="s">
        <v>87</v>
      </c>
      <c r="M44" s="293" t="s">
        <v>66</v>
      </c>
      <c r="N44" s="295" t="s">
        <v>66</v>
      </c>
      <c r="O44" s="295" t="s">
        <v>66</v>
      </c>
      <c r="P44" s="315" t="s">
        <v>66</v>
      </c>
      <c r="Q44" s="357" t="s">
        <v>66</v>
      </c>
      <c r="R44" s="353" t="s">
        <v>66</v>
      </c>
      <c r="S44" s="354" t="s">
        <v>66</v>
      </c>
      <c r="T44" s="353" t="s">
        <v>66</v>
      </c>
      <c r="U44" s="354" t="s">
        <v>66</v>
      </c>
      <c r="V44" s="353" t="s">
        <v>66</v>
      </c>
      <c r="W44" s="354" t="s">
        <v>66</v>
      </c>
      <c r="X44" s="353" t="s">
        <v>66</v>
      </c>
      <c r="Y44" s="354" t="s">
        <v>66</v>
      </c>
      <c r="Z44" s="353" t="s">
        <v>66</v>
      </c>
      <c r="AA44" s="355" t="s">
        <v>66</v>
      </c>
    </row>
    <row r="45" spans="1:27" s="282" customFormat="1" ht="7.5" customHeight="1">
      <c r="B45" s="335"/>
      <c r="C45" s="335"/>
      <c r="D45" s="335"/>
      <c r="E45" s="297" t="s">
        <v>1916</v>
      </c>
      <c r="I45" s="283"/>
      <c r="P45" s="317"/>
      <c r="Q45" s="358"/>
      <c r="R45" s="353"/>
      <c r="S45" s="354"/>
      <c r="T45" s="353"/>
      <c r="U45" s="354"/>
      <c r="V45" s="353"/>
      <c r="W45" s="354"/>
      <c r="X45" s="353"/>
      <c r="Y45" s="354"/>
      <c r="Z45" s="353"/>
      <c r="AA45" s="355"/>
    </row>
    <row r="46" spans="1:27" s="282" customFormat="1">
      <c r="A46" s="300"/>
      <c r="B46" s="345" t="s">
        <v>20</v>
      </c>
      <c r="C46" s="335"/>
      <c r="D46" s="335"/>
      <c r="E46" s="284" t="s">
        <v>964</v>
      </c>
      <c r="F46" s="284"/>
      <c r="G46" s="284"/>
      <c r="H46" s="284"/>
      <c r="I46" s="285"/>
      <c r="J46" s="284"/>
      <c r="K46" s="284"/>
      <c r="L46" s="284"/>
      <c r="M46" s="284"/>
      <c r="N46" s="284"/>
      <c r="O46" s="284"/>
      <c r="P46" s="318"/>
      <c r="Q46" s="356"/>
      <c r="R46" s="284"/>
      <c r="S46" s="284"/>
      <c r="T46" s="284"/>
      <c r="U46" s="284"/>
      <c r="V46" s="284"/>
      <c r="W46" s="284"/>
      <c r="X46" s="284"/>
      <c r="Y46" s="284"/>
      <c r="Z46" s="284"/>
      <c r="AA46" s="286"/>
    </row>
    <row r="47" spans="1:27" s="282" customFormat="1" ht="3" customHeight="1">
      <c r="B47" s="335"/>
      <c r="C47" s="335"/>
      <c r="D47" s="335"/>
      <c r="I47" s="287"/>
      <c r="P47" s="317"/>
      <c r="Q47" s="358"/>
      <c r="AA47" s="288"/>
    </row>
    <row r="48" spans="1:27" s="282" customFormat="1">
      <c r="A48" s="300"/>
      <c r="B48" s="335" t="s">
        <v>964</v>
      </c>
      <c r="C48" s="335" t="s">
        <v>1113</v>
      </c>
      <c r="D48" s="335" t="str">
        <f>B48&amp;" "&amp;C48</f>
        <v>Inflação Curta</v>
      </c>
      <c r="E48" s="289" t="s">
        <v>1891</v>
      </c>
      <c r="F48" s="289"/>
      <c r="G48" s="289"/>
      <c r="H48" s="289"/>
      <c r="I48" s="290"/>
      <c r="J48" s="289"/>
      <c r="K48" s="289"/>
      <c r="L48" s="289"/>
      <c r="M48" s="289"/>
      <c r="N48" s="289"/>
      <c r="O48" s="289"/>
      <c r="P48" s="319"/>
      <c r="Q48" s="359"/>
      <c r="R48" s="289"/>
      <c r="S48" s="289"/>
      <c r="T48" s="289"/>
      <c r="U48" s="289"/>
      <c r="V48" s="289"/>
      <c r="W48" s="289"/>
      <c r="X48" s="289"/>
      <c r="Y48" s="289"/>
      <c r="Z48" s="289"/>
      <c r="AA48" s="291"/>
    </row>
    <row r="49" spans="1:27">
      <c r="E49" s="292" t="s">
        <v>1154</v>
      </c>
      <c r="F49" s="293">
        <v>548358</v>
      </c>
      <c r="G49" s="294">
        <v>30910199000156</v>
      </c>
      <c r="H49" s="293" t="s">
        <v>1078</v>
      </c>
      <c r="I49" s="293" t="s">
        <v>1042</v>
      </c>
      <c r="J49" s="295" t="s">
        <v>1827</v>
      </c>
      <c r="K49" s="293" t="s">
        <v>951</v>
      </c>
      <c r="L49" s="293" t="s">
        <v>87</v>
      </c>
      <c r="M49" s="293">
        <v>31</v>
      </c>
      <c r="N49" s="295">
        <v>7.0000000000000001E-3</v>
      </c>
      <c r="O49" s="295">
        <v>1.9600000000000004E-3</v>
      </c>
      <c r="P49" s="315">
        <v>693859571.40999997</v>
      </c>
      <c r="Q49" s="357">
        <v>43336</v>
      </c>
      <c r="R49" s="353">
        <v>6.6400000000000001E-2</v>
      </c>
      <c r="S49" s="354">
        <v>1.0227999999999999</v>
      </c>
      <c r="T49" s="353">
        <v>0.106</v>
      </c>
      <c r="U49" s="354">
        <v>1.1263000000000001</v>
      </c>
      <c r="V49" s="353">
        <v>0.2152</v>
      </c>
      <c r="W49" s="354">
        <v>1.7811999999999999</v>
      </c>
      <c r="X49" s="353">
        <v>0.28549999999999998</v>
      </c>
      <c r="Y49" s="354">
        <v>1.6942999999999999</v>
      </c>
      <c r="Z49" s="353">
        <v>3.4500000000000003E-2</v>
      </c>
      <c r="AA49" s="355">
        <v>0.33001511038195619</v>
      </c>
    </row>
    <row r="50" spans="1:27">
      <c r="E50" s="292" t="s">
        <v>1904</v>
      </c>
      <c r="F50" s="293">
        <v>2864856</v>
      </c>
      <c r="G50" s="294">
        <v>7539298000151</v>
      </c>
      <c r="H50" s="293" t="s">
        <v>1078</v>
      </c>
      <c r="I50" s="293" t="s">
        <v>1021</v>
      </c>
      <c r="J50" s="295" t="s">
        <v>1824</v>
      </c>
      <c r="K50" s="293" t="s">
        <v>951</v>
      </c>
      <c r="L50" s="293" t="s">
        <v>87</v>
      </c>
      <c r="M50" s="293">
        <v>1</v>
      </c>
      <c r="N50" s="295">
        <v>2E-3</v>
      </c>
      <c r="O50" s="295">
        <v>6.9999999999999999E-4</v>
      </c>
      <c r="P50" s="315">
        <v>1052685865.46</v>
      </c>
      <c r="Q50" s="357">
        <v>38700</v>
      </c>
      <c r="R50" s="353">
        <v>6.5199999999999994E-2</v>
      </c>
      <c r="S50" s="354">
        <v>1.004</v>
      </c>
      <c r="T50" s="353">
        <v>9.5100000000000004E-2</v>
      </c>
      <c r="U50" s="354">
        <v>1.0105</v>
      </c>
      <c r="V50" s="353">
        <v>0.15240000000000001</v>
      </c>
      <c r="W50" s="354">
        <v>1.2612000000000001</v>
      </c>
      <c r="X50" s="353">
        <v>0.24840000000000001</v>
      </c>
      <c r="Y50" s="354">
        <v>1.474</v>
      </c>
      <c r="Z50" s="353">
        <v>2.64E-2</v>
      </c>
      <c r="AA50" s="355">
        <v>4.7159705037398976E-2</v>
      </c>
    </row>
    <row r="51" spans="1:27">
      <c r="E51" s="292" t="s">
        <v>70</v>
      </c>
      <c r="F51" s="293">
        <v>538732</v>
      </c>
      <c r="G51" s="294">
        <v>13396703000122</v>
      </c>
      <c r="H51" s="293" t="s">
        <v>1078</v>
      </c>
      <c r="I51" s="293" t="s">
        <v>1021</v>
      </c>
      <c r="J51" s="295" t="s">
        <v>1824</v>
      </c>
      <c r="K51" s="293" t="s">
        <v>951</v>
      </c>
      <c r="L51" s="293" t="s">
        <v>87</v>
      </c>
      <c r="M51" s="293">
        <v>2</v>
      </c>
      <c r="N51" s="295">
        <v>9.5999999999999992E-3</v>
      </c>
      <c r="O51" s="295">
        <v>2.8799999999999997E-3</v>
      </c>
      <c r="P51" s="315">
        <v>2171496852.98</v>
      </c>
      <c r="Q51" s="357">
        <v>41142</v>
      </c>
      <c r="R51" s="353">
        <v>7.2800000000000004E-2</v>
      </c>
      <c r="S51" s="354">
        <v>1.1218999999999999</v>
      </c>
      <c r="T51" s="353">
        <v>9.1200000000000003E-2</v>
      </c>
      <c r="U51" s="354">
        <v>0.96960000000000002</v>
      </c>
      <c r="V51" s="353">
        <v>0.1447</v>
      </c>
      <c r="W51" s="354">
        <v>1.1976</v>
      </c>
      <c r="X51" s="353">
        <v>0.2339</v>
      </c>
      <c r="Y51" s="354">
        <v>1.3880999999999999</v>
      </c>
      <c r="Z51" s="353">
        <v>2.01E-2</v>
      </c>
      <c r="AA51" s="355">
        <v>-0.12065991334427256</v>
      </c>
    </row>
    <row r="52" spans="1:27">
      <c r="E52" s="292" t="s">
        <v>1942</v>
      </c>
      <c r="F52" s="293" t="s">
        <v>66</v>
      </c>
      <c r="G52" s="294" t="s">
        <v>66</v>
      </c>
      <c r="H52" s="293" t="s">
        <v>1843</v>
      </c>
      <c r="I52" s="293" t="s">
        <v>1879</v>
      </c>
      <c r="J52" s="295" t="s">
        <v>66</v>
      </c>
      <c r="K52" s="293" t="s">
        <v>951</v>
      </c>
      <c r="L52" s="293" t="s">
        <v>87</v>
      </c>
      <c r="M52" s="293" t="s">
        <v>66</v>
      </c>
      <c r="N52" s="295" t="s">
        <v>66</v>
      </c>
      <c r="O52" s="295" t="s">
        <v>66</v>
      </c>
      <c r="P52" s="315" t="s">
        <v>66</v>
      </c>
      <c r="Q52" s="357" t="s">
        <v>66</v>
      </c>
      <c r="R52" s="353" t="s">
        <v>66</v>
      </c>
      <c r="S52" s="354" t="s">
        <v>66</v>
      </c>
      <c r="T52" s="353" t="s">
        <v>66</v>
      </c>
      <c r="U52" s="354" t="s">
        <v>66</v>
      </c>
      <c r="V52" s="353" t="s">
        <v>66</v>
      </c>
      <c r="W52" s="354" t="s">
        <v>66</v>
      </c>
      <c r="X52" s="353" t="s">
        <v>66</v>
      </c>
      <c r="Y52" s="354" t="s">
        <v>66</v>
      </c>
      <c r="Z52" s="353" t="s">
        <v>66</v>
      </c>
      <c r="AA52" s="355" t="s">
        <v>66</v>
      </c>
    </row>
    <row r="53" spans="1:27">
      <c r="E53" s="292" t="s">
        <v>1943</v>
      </c>
      <c r="F53" s="293" t="s">
        <v>66</v>
      </c>
      <c r="G53" s="294" t="s">
        <v>66</v>
      </c>
      <c r="H53" s="293" t="s">
        <v>1843</v>
      </c>
      <c r="I53" s="293" t="s">
        <v>1879</v>
      </c>
      <c r="J53" s="295" t="s">
        <v>66</v>
      </c>
      <c r="K53" s="293" t="s">
        <v>951</v>
      </c>
      <c r="L53" s="293" t="s">
        <v>87</v>
      </c>
      <c r="M53" s="293" t="s">
        <v>66</v>
      </c>
      <c r="N53" s="295" t="s">
        <v>66</v>
      </c>
      <c r="O53" s="295" t="s">
        <v>66</v>
      </c>
      <c r="P53" s="315" t="s">
        <v>66</v>
      </c>
      <c r="Q53" s="357" t="s">
        <v>66</v>
      </c>
      <c r="R53" s="353" t="s">
        <v>66</v>
      </c>
      <c r="S53" s="354" t="s">
        <v>66</v>
      </c>
      <c r="T53" s="353" t="s">
        <v>66</v>
      </c>
      <c r="U53" s="354" t="s">
        <v>66</v>
      </c>
      <c r="V53" s="353" t="s">
        <v>66</v>
      </c>
      <c r="W53" s="354" t="s">
        <v>66</v>
      </c>
      <c r="X53" s="353" t="s">
        <v>66</v>
      </c>
      <c r="Y53" s="354" t="s">
        <v>66</v>
      </c>
      <c r="Z53" s="353" t="s">
        <v>66</v>
      </c>
      <c r="AA53" s="355" t="s">
        <v>66</v>
      </c>
    </row>
    <row r="54" spans="1:27">
      <c r="E54" s="292" t="s">
        <v>1944</v>
      </c>
      <c r="F54" s="293" t="s">
        <v>66</v>
      </c>
      <c r="G54" s="294" t="s">
        <v>66</v>
      </c>
      <c r="H54" s="293" t="s">
        <v>1843</v>
      </c>
      <c r="I54" s="293" t="s">
        <v>1879</v>
      </c>
      <c r="J54" s="295" t="s">
        <v>66</v>
      </c>
      <c r="K54" s="293" t="s">
        <v>951</v>
      </c>
      <c r="L54" s="293" t="s">
        <v>87</v>
      </c>
      <c r="M54" s="293" t="s">
        <v>66</v>
      </c>
      <c r="N54" s="295" t="s">
        <v>66</v>
      </c>
      <c r="O54" s="295" t="s">
        <v>66</v>
      </c>
      <c r="P54" s="315" t="s">
        <v>66</v>
      </c>
      <c r="Q54" s="357" t="s">
        <v>66</v>
      </c>
      <c r="R54" s="353" t="s">
        <v>66</v>
      </c>
      <c r="S54" s="354" t="s">
        <v>66</v>
      </c>
      <c r="T54" s="353" t="s">
        <v>66</v>
      </c>
      <c r="U54" s="354" t="s">
        <v>66</v>
      </c>
      <c r="V54" s="353" t="s">
        <v>66</v>
      </c>
      <c r="W54" s="354" t="s">
        <v>66</v>
      </c>
      <c r="X54" s="353" t="s">
        <v>66</v>
      </c>
      <c r="Y54" s="354" t="s">
        <v>66</v>
      </c>
      <c r="Z54" s="353" t="s">
        <v>66</v>
      </c>
      <c r="AA54" s="355" t="s">
        <v>66</v>
      </c>
    </row>
    <row r="55" spans="1:27">
      <c r="E55" s="292" t="s">
        <v>1931</v>
      </c>
      <c r="F55" s="293" t="s">
        <v>66</v>
      </c>
      <c r="G55" s="294" t="s">
        <v>66</v>
      </c>
      <c r="H55" s="293" t="s">
        <v>1078</v>
      </c>
      <c r="I55" s="293" t="s">
        <v>1879</v>
      </c>
      <c r="J55" s="295" t="s">
        <v>66</v>
      </c>
      <c r="K55" s="293" t="s">
        <v>951</v>
      </c>
      <c r="L55" s="293" t="s">
        <v>87</v>
      </c>
      <c r="M55" s="293" t="s">
        <v>66</v>
      </c>
      <c r="N55" s="295" t="s">
        <v>66</v>
      </c>
      <c r="O55" s="295" t="s">
        <v>66</v>
      </c>
      <c r="P55" s="315" t="s">
        <v>66</v>
      </c>
      <c r="Q55" s="357" t="s">
        <v>66</v>
      </c>
      <c r="R55" s="353" t="s">
        <v>66</v>
      </c>
      <c r="S55" s="354" t="s">
        <v>66</v>
      </c>
      <c r="T55" s="353" t="s">
        <v>66</v>
      </c>
      <c r="U55" s="354" t="s">
        <v>66</v>
      </c>
      <c r="V55" s="353" t="s">
        <v>66</v>
      </c>
      <c r="W55" s="354" t="s">
        <v>66</v>
      </c>
      <c r="X55" s="353" t="s">
        <v>66</v>
      </c>
      <c r="Y55" s="354" t="s">
        <v>66</v>
      </c>
      <c r="Z55" s="353" t="s">
        <v>66</v>
      </c>
      <c r="AA55" s="355" t="s">
        <v>66</v>
      </c>
    </row>
    <row r="56" spans="1:27">
      <c r="E56" s="292" t="s">
        <v>1945</v>
      </c>
      <c r="F56" s="293" t="s">
        <v>66</v>
      </c>
      <c r="G56" s="294" t="s">
        <v>66</v>
      </c>
      <c r="H56" s="293" t="s">
        <v>1843</v>
      </c>
      <c r="I56" s="293" t="s">
        <v>1011</v>
      </c>
      <c r="J56" s="295" t="s">
        <v>66</v>
      </c>
      <c r="K56" s="293" t="s">
        <v>951</v>
      </c>
      <c r="L56" s="293" t="s">
        <v>87</v>
      </c>
      <c r="M56" s="293" t="s">
        <v>66</v>
      </c>
      <c r="N56" s="295" t="s">
        <v>66</v>
      </c>
      <c r="O56" s="295" t="s">
        <v>66</v>
      </c>
      <c r="P56" s="315" t="s">
        <v>66</v>
      </c>
      <c r="Q56" s="357" t="s">
        <v>66</v>
      </c>
      <c r="R56" s="353" t="s">
        <v>66</v>
      </c>
      <c r="S56" s="354" t="s">
        <v>66</v>
      </c>
      <c r="T56" s="353" t="s">
        <v>66</v>
      </c>
      <c r="U56" s="354" t="s">
        <v>66</v>
      </c>
      <c r="V56" s="353" t="s">
        <v>66</v>
      </c>
      <c r="W56" s="354" t="s">
        <v>66</v>
      </c>
      <c r="X56" s="353" t="s">
        <v>66</v>
      </c>
      <c r="Y56" s="354" t="s">
        <v>66</v>
      </c>
      <c r="Z56" s="353" t="s">
        <v>66</v>
      </c>
      <c r="AA56" s="355" t="s">
        <v>66</v>
      </c>
    </row>
    <row r="57" spans="1:27">
      <c r="E57" s="292" t="s">
        <v>1946</v>
      </c>
      <c r="F57" s="293" t="s">
        <v>66</v>
      </c>
      <c r="G57" s="294" t="s">
        <v>66</v>
      </c>
      <c r="H57" s="293" t="s">
        <v>1843</v>
      </c>
      <c r="I57" s="293" t="s">
        <v>1011</v>
      </c>
      <c r="J57" s="295" t="s">
        <v>66</v>
      </c>
      <c r="K57" s="293" t="s">
        <v>951</v>
      </c>
      <c r="L57" s="293" t="s">
        <v>87</v>
      </c>
      <c r="M57" s="293" t="s">
        <v>66</v>
      </c>
      <c r="N57" s="295" t="s">
        <v>66</v>
      </c>
      <c r="O57" s="295" t="s">
        <v>66</v>
      </c>
      <c r="P57" s="315" t="s">
        <v>66</v>
      </c>
      <c r="Q57" s="357" t="s">
        <v>66</v>
      </c>
      <c r="R57" s="353" t="s">
        <v>66</v>
      </c>
      <c r="S57" s="354" t="s">
        <v>66</v>
      </c>
      <c r="T57" s="353" t="s">
        <v>66</v>
      </c>
      <c r="U57" s="354" t="s">
        <v>66</v>
      </c>
      <c r="V57" s="353" t="s">
        <v>66</v>
      </c>
      <c r="W57" s="354" t="s">
        <v>66</v>
      </c>
      <c r="X57" s="353" t="s">
        <v>66</v>
      </c>
      <c r="Y57" s="354" t="s">
        <v>66</v>
      </c>
      <c r="Z57" s="353" t="s">
        <v>66</v>
      </c>
      <c r="AA57" s="355" t="s">
        <v>66</v>
      </c>
    </row>
    <row r="58" spans="1:27">
      <c r="E58" s="292" t="s">
        <v>1947</v>
      </c>
      <c r="F58" s="293" t="s">
        <v>66</v>
      </c>
      <c r="G58" s="294" t="s">
        <v>66</v>
      </c>
      <c r="H58" s="293" t="s">
        <v>1843</v>
      </c>
      <c r="I58" s="293" t="s">
        <v>1011</v>
      </c>
      <c r="J58" s="295" t="s">
        <v>66</v>
      </c>
      <c r="K58" s="293" t="s">
        <v>951</v>
      </c>
      <c r="L58" s="293" t="s">
        <v>87</v>
      </c>
      <c r="M58" s="293" t="s">
        <v>66</v>
      </c>
      <c r="N58" s="295" t="s">
        <v>66</v>
      </c>
      <c r="O58" s="295" t="s">
        <v>66</v>
      </c>
      <c r="P58" s="315" t="s">
        <v>66</v>
      </c>
      <c r="Q58" s="357" t="s">
        <v>66</v>
      </c>
      <c r="R58" s="353" t="s">
        <v>66</v>
      </c>
      <c r="S58" s="354" t="s">
        <v>66</v>
      </c>
      <c r="T58" s="353" t="s">
        <v>66</v>
      </c>
      <c r="U58" s="354" t="s">
        <v>66</v>
      </c>
      <c r="V58" s="353" t="s">
        <v>66</v>
      </c>
      <c r="W58" s="354" t="s">
        <v>66</v>
      </c>
      <c r="X58" s="353" t="s">
        <v>66</v>
      </c>
      <c r="Y58" s="354" t="s">
        <v>66</v>
      </c>
      <c r="Z58" s="353" t="s">
        <v>66</v>
      </c>
      <c r="AA58" s="355" t="s">
        <v>66</v>
      </c>
    </row>
    <row r="59" spans="1:27">
      <c r="E59" s="292" t="s">
        <v>1932</v>
      </c>
      <c r="F59" s="293" t="s">
        <v>66</v>
      </c>
      <c r="G59" s="294" t="s">
        <v>66</v>
      </c>
      <c r="H59" s="293" t="s">
        <v>1078</v>
      </c>
      <c r="I59" s="293" t="s">
        <v>1011</v>
      </c>
      <c r="J59" s="295" t="s">
        <v>66</v>
      </c>
      <c r="K59" s="293" t="s">
        <v>951</v>
      </c>
      <c r="L59" s="293" t="s">
        <v>87</v>
      </c>
      <c r="M59" s="293" t="s">
        <v>66</v>
      </c>
      <c r="N59" s="295" t="s">
        <v>66</v>
      </c>
      <c r="O59" s="295" t="s">
        <v>66</v>
      </c>
      <c r="P59" s="315" t="s">
        <v>66</v>
      </c>
      <c r="Q59" s="357" t="s">
        <v>66</v>
      </c>
      <c r="R59" s="353" t="s">
        <v>66</v>
      </c>
      <c r="S59" s="354" t="s">
        <v>66</v>
      </c>
      <c r="T59" s="353" t="s">
        <v>66</v>
      </c>
      <c r="U59" s="354" t="s">
        <v>66</v>
      </c>
      <c r="V59" s="353" t="s">
        <v>66</v>
      </c>
      <c r="W59" s="354" t="s">
        <v>66</v>
      </c>
      <c r="X59" s="353" t="s">
        <v>66</v>
      </c>
      <c r="Y59" s="354" t="s">
        <v>66</v>
      </c>
      <c r="Z59" s="353" t="s">
        <v>66</v>
      </c>
      <c r="AA59" s="355" t="s">
        <v>66</v>
      </c>
    </row>
    <row r="60" spans="1:27" ht="5.25" customHeight="1">
      <c r="E60" s="297" t="s">
        <v>1916</v>
      </c>
      <c r="P60" s="320"/>
      <c r="Q60" s="360"/>
      <c r="AA60" s="299"/>
    </row>
    <row r="61" spans="1:27" s="282" customFormat="1">
      <c r="A61" s="300"/>
      <c r="B61" s="335" t="s">
        <v>964</v>
      </c>
      <c r="C61" s="337" t="s">
        <v>1259</v>
      </c>
      <c r="D61" s="335" t="str">
        <f>B61&amp;" "&amp;C61</f>
        <v>Inflação Média</v>
      </c>
      <c r="E61" s="289" t="s">
        <v>1898</v>
      </c>
      <c r="F61" s="289"/>
      <c r="G61" s="289"/>
      <c r="H61" s="289"/>
      <c r="I61" s="290"/>
      <c r="J61" s="289"/>
      <c r="K61" s="289"/>
      <c r="L61" s="289"/>
      <c r="M61" s="289"/>
      <c r="N61" s="289"/>
      <c r="O61" s="289"/>
      <c r="P61" s="319"/>
      <c r="Q61" s="359"/>
      <c r="R61" s="289"/>
      <c r="S61" s="289"/>
      <c r="T61" s="289"/>
      <c r="U61" s="289"/>
      <c r="V61" s="289"/>
      <c r="W61" s="289"/>
      <c r="X61" s="289"/>
      <c r="Y61" s="289"/>
      <c r="Z61" s="289"/>
      <c r="AA61" s="291"/>
    </row>
    <row r="62" spans="1:27">
      <c r="E62" s="292" t="s">
        <v>1933</v>
      </c>
      <c r="F62" s="293" t="s">
        <v>66</v>
      </c>
      <c r="G62" s="294" t="s">
        <v>66</v>
      </c>
      <c r="H62" s="293" t="s">
        <v>1078</v>
      </c>
      <c r="I62" s="293" t="s">
        <v>1879</v>
      </c>
      <c r="J62" s="295" t="s">
        <v>66</v>
      </c>
      <c r="K62" s="293" t="s">
        <v>951</v>
      </c>
      <c r="L62" s="293" t="s">
        <v>87</v>
      </c>
      <c r="M62" s="293" t="s">
        <v>66</v>
      </c>
      <c r="N62" s="295" t="s">
        <v>66</v>
      </c>
      <c r="O62" s="295" t="s">
        <v>66</v>
      </c>
      <c r="P62" s="315" t="s">
        <v>66</v>
      </c>
      <c r="Q62" s="357" t="s">
        <v>66</v>
      </c>
      <c r="R62" s="353" t="s">
        <v>66</v>
      </c>
      <c r="S62" s="354" t="s">
        <v>66</v>
      </c>
      <c r="T62" s="353" t="s">
        <v>66</v>
      </c>
      <c r="U62" s="354" t="s">
        <v>66</v>
      </c>
      <c r="V62" s="353" t="s">
        <v>66</v>
      </c>
      <c r="W62" s="354" t="s">
        <v>66</v>
      </c>
      <c r="X62" s="353" t="s">
        <v>66</v>
      </c>
      <c r="Y62" s="354" t="s">
        <v>66</v>
      </c>
      <c r="Z62" s="353" t="s">
        <v>66</v>
      </c>
      <c r="AA62" s="355" t="s">
        <v>66</v>
      </c>
    </row>
    <row r="63" spans="1:27">
      <c r="E63" s="292" t="s">
        <v>1934</v>
      </c>
      <c r="F63" s="293" t="s">
        <v>66</v>
      </c>
      <c r="G63" s="294" t="s">
        <v>66</v>
      </c>
      <c r="H63" s="293" t="s">
        <v>1078</v>
      </c>
      <c r="I63" s="293" t="s">
        <v>1879</v>
      </c>
      <c r="J63" s="295" t="s">
        <v>66</v>
      </c>
      <c r="K63" s="293" t="s">
        <v>951</v>
      </c>
      <c r="L63" s="293" t="s">
        <v>87</v>
      </c>
      <c r="M63" s="293" t="s">
        <v>66</v>
      </c>
      <c r="N63" s="295" t="s">
        <v>66</v>
      </c>
      <c r="O63" s="295" t="s">
        <v>66</v>
      </c>
      <c r="P63" s="315" t="s">
        <v>66</v>
      </c>
      <c r="Q63" s="357" t="s">
        <v>66</v>
      </c>
      <c r="R63" s="353" t="s">
        <v>66</v>
      </c>
      <c r="S63" s="354" t="s">
        <v>66</v>
      </c>
      <c r="T63" s="353" t="s">
        <v>66</v>
      </c>
      <c r="U63" s="354" t="s">
        <v>66</v>
      </c>
      <c r="V63" s="353" t="s">
        <v>66</v>
      </c>
      <c r="W63" s="354" t="s">
        <v>66</v>
      </c>
      <c r="X63" s="353" t="s">
        <v>66</v>
      </c>
      <c r="Y63" s="354" t="s">
        <v>66</v>
      </c>
      <c r="Z63" s="353" t="s">
        <v>66</v>
      </c>
      <c r="AA63" s="355" t="s">
        <v>66</v>
      </c>
    </row>
    <row r="64" spans="1:27">
      <c r="E64" s="292" t="s">
        <v>1935</v>
      </c>
      <c r="F64" s="293" t="s">
        <v>66</v>
      </c>
      <c r="G64" s="294" t="s">
        <v>66</v>
      </c>
      <c r="H64" s="293" t="s">
        <v>1078</v>
      </c>
      <c r="I64" s="293" t="s">
        <v>1879</v>
      </c>
      <c r="J64" s="295" t="s">
        <v>66</v>
      </c>
      <c r="K64" s="293" t="s">
        <v>951</v>
      </c>
      <c r="L64" s="293" t="s">
        <v>87</v>
      </c>
      <c r="M64" s="293" t="s">
        <v>66</v>
      </c>
      <c r="N64" s="295" t="s">
        <v>66</v>
      </c>
      <c r="O64" s="295" t="s">
        <v>66</v>
      </c>
      <c r="P64" s="315" t="s">
        <v>66</v>
      </c>
      <c r="Q64" s="357" t="s">
        <v>66</v>
      </c>
      <c r="R64" s="353" t="s">
        <v>66</v>
      </c>
      <c r="S64" s="354" t="s">
        <v>66</v>
      </c>
      <c r="T64" s="353" t="s">
        <v>66</v>
      </c>
      <c r="U64" s="354" t="s">
        <v>66</v>
      </c>
      <c r="V64" s="353" t="s">
        <v>66</v>
      </c>
      <c r="W64" s="354" t="s">
        <v>66</v>
      </c>
      <c r="X64" s="353" t="s">
        <v>66</v>
      </c>
      <c r="Y64" s="354" t="s">
        <v>66</v>
      </c>
      <c r="Z64" s="353" t="s">
        <v>66</v>
      </c>
      <c r="AA64" s="355" t="s">
        <v>66</v>
      </c>
    </row>
    <row r="65" spans="1:27">
      <c r="E65" s="292" t="s">
        <v>1876</v>
      </c>
      <c r="F65" s="293" t="s">
        <v>66</v>
      </c>
      <c r="G65" s="294" t="s">
        <v>66</v>
      </c>
      <c r="H65" s="293" t="s">
        <v>1078</v>
      </c>
      <c r="I65" s="293" t="s">
        <v>1011</v>
      </c>
      <c r="J65" s="295" t="s">
        <v>66</v>
      </c>
      <c r="K65" s="293" t="s">
        <v>951</v>
      </c>
      <c r="L65" s="293" t="s">
        <v>87</v>
      </c>
      <c r="M65" s="293" t="s">
        <v>66</v>
      </c>
      <c r="N65" s="295" t="s">
        <v>66</v>
      </c>
      <c r="O65" s="295" t="s">
        <v>66</v>
      </c>
      <c r="P65" s="315" t="s">
        <v>66</v>
      </c>
      <c r="Q65" s="357" t="s">
        <v>66</v>
      </c>
      <c r="R65" s="353" t="s">
        <v>66</v>
      </c>
      <c r="S65" s="354" t="s">
        <v>66</v>
      </c>
      <c r="T65" s="353" t="s">
        <v>66</v>
      </c>
      <c r="U65" s="354" t="s">
        <v>66</v>
      </c>
      <c r="V65" s="353" t="s">
        <v>66</v>
      </c>
      <c r="W65" s="354" t="s">
        <v>66</v>
      </c>
      <c r="X65" s="353" t="s">
        <v>66</v>
      </c>
      <c r="Y65" s="354" t="s">
        <v>66</v>
      </c>
      <c r="Z65" s="353" t="s">
        <v>66</v>
      </c>
      <c r="AA65" s="355" t="s">
        <v>66</v>
      </c>
    </row>
    <row r="66" spans="1:27">
      <c r="E66" s="292" t="s">
        <v>1877</v>
      </c>
      <c r="F66" s="293" t="s">
        <v>66</v>
      </c>
      <c r="G66" s="294" t="s">
        <v>66</v>
      </c>
      <c r="H66" s="293" t="s">
        <v>1078</v>
      </c>
      <c r="I66" s="293" t="s">
        <v>1011</v>
      </c>
      <c r="J66" s="295" t="s">
        <v>66</v>
      </c>
      <c r="K66" s="293" t="s">
        <v>951</v>
      </c>
      <c r="L66" s="293" t="s">
        <v>87</v>
      </c>
      <c r="M66" s="293" t="s">
        <v>66</v>
      </c>
      <c r="N66" s="295" t="s">
        <v>66</v>
      </c>
      <c r="O66" s="295" t="s">
        <v>66</v>
      </c>
      <c r="P66" s="315" t="s">
        <v>66</v>
      </c>
      <c r="Q66" s="357" t="s">
        <v>66</v>
      </c>
      <c r="R66" s="353" t="s">
        <v>66</v>
      </c>
      <c r="S66" s="354" t="s">
        <v>66</v>
      </c>
      <c r="T66" s="353" t="s">
        <v>66</v>
      </c>
      <c r="U66" s="354" t="s">
        <v>66</v>
      </c>
      <c r="V66" s="353" t="s">
        <v>66</v>
      </c>
      <c r="W66" s="354" t="s">
        <v>66</v>
      </c>
      <c r="X66" s="353" t="s">
        <v>66</v>
      </c>
      <c r="Y66" s="354" t="s">
        <v>66</v>
      </c>
      <c r="Z66" s="353" t="s">
        <v>66</v>
      </c>
      <c r="AA66" s="355" t="s">
        <v>66</v>
      </c>
    </row>
    <row r="67" spans="1:27">
      <c r="E67" s="292" t="s">
        <v>1936</v>
      </c>
      <c r="F67" s="293" t="s">
        <v>66</v>
      </c>
      <c r="G67" s="294" t="s">
        <v>66</v>
      </c>
      <c r="H67" s="293" t="s">
        <v>1078</v>
      </c>
      <c r="I67" s="293" t="s">
        <v>1011</v>
      </c>
      <c r="J67" s="295" t="s">
        <v>66</v>
      </c>
      <c r="K67" s="293" t="s">
        <v>951</v>
      </c>
      <c r="L67" s="293" t="s">
        <v>87</v>
      </c>
      <c r="M67" s="293" t="s">
        <v>66</v>
      </c>
      <c r="N67" s="295" t="s">
        <v>66</v>
      </c>
      <c r="O67" s="295" t="s">
        <v>66</v>
      </c>
      <c r="P67" s="315" t="s">
        <v>66</v>
      </c>
      <c r="Q67" s="357" t="s">
        <v>66</v>
      </c>
      <c r="R67" s="353" t="s">
        <v>66</v>
      </c>
      <c r="S67" s="354" t="s">
        <v>66</v>
      </c>
      <c r="T67" s="353" t="s">
        <v>66</v>
      </c>
      <c r="U67" s="354" t="s">
        <v>66</v>
      </c>
      <c r="V67" s="353" t="s">
        <v>66</v>
      </c>
      <c r="W67" s="354" t="s">
        <v>66</v>
      </c>
      <c r="X67" s="353" t="s">
        <v>66</v>
      </c>
      <c r="Y67" s="354" t="s">
        <v>66</v>
      </c>
      <c r="Z67" s="353" t="s">
        <v>66</v>
      </c>
      <c r="AA67" s="355" t="s">
        <v>66</v>
      </c>
    </row>
    <row r="68" spans="1:27">
      <c r="E68" s="292" t="s">
        <v>1948</v>
      </c>
      <c r="F68" s="293" t="s">
        <v>66</v>
      </c>
      <c r="G68" s="294" t="s">
        <v>66</v>
      </c>
      <c r="H68" s="293" t="s">
        <v>1843</v>
      </c>
      <c r="I68" s="293" t="s">
        <v>1011</v>
      </c>
      <c r="J68" s="295" t="s">
        <v>66</v>
      </c>
      <c r="K68" s="293" t="s">
        <v>951</v>
      </c>
      <c r="L68" s="293" t="s">
        <v>87</v>
      </c>
      <c r="M68" s="293" t="s">
        <v>66</v>
      </c>
      <c r="N68" s="295" t="s">
        <v>66</v>
      </c>
      <c r="O68" s="295" t="s">
        <v>66</v>
      </c>
      <c r="P68" s="315" t="s">
        <v>66</v>
      </c>
      <c r="Q68" s="357" t="s">
        <v>66</v>
      </c>
      <c r="R68" s="353" t="s">
        <v>66</v>
      </c>
      <c r="S68" s="354" t="s">
        <v>66</v>
      </c>
      <c r="T68" s="353" t="s">
        <v>66</v>
      </c>
      <c r="U68" s="354" t="s">
        <v>66</v>
      </c>
      <c r="V68" s="353" t="s">
        <v>66</v>
      </c>
      <c r="W68" s="354" t="s">
        <v>66</v>
      </c>
      <c r="X68" s="353" t="s">
        <v>66</v>
      </c>
      <c r="Y68" s="354" t="s">
        <v>66</v>
      </c>
      <c r="Z68" s="353" t="s">
        <v>66</v>
      </c>
      <c r="AA68" s="355" t="s">
        <v>66</v>
      </c>
    </row>
    <row r="69" spans="1:27" ht="5.25" customHeight="1">
      <c r="E69" s="297" t="s">
        <v>1916</v>
      </c>
      <c r="P69" s="320"/>
      <c r="Q69" s="360"/>
      <c r="AA69" s="299"/>
    </row>
    <row r="70" spans="1:27" s="282" customFormat="1">
      <c r="A70" s="300"/>
      <c r="B70" s="335" t="s">
        <v>964</v>
      </c>
      <c r="C70" s="337" t="s">
        <v>1260</v>
      </c>
      <c r="D70" s="335" t="str">
        <f>B70&amp;" "&amp;C70</f>
        <v>Inflação Longa</v>
      </c>
      <c r="E70" s="289" t="s">
        <v>1888</v>
      </c>
      <c r="F70" s="289"/>
      <c r="G70" s="289"/>
      <c r="H70" s="289"/>
      <c r="I70" s="290"/>
      <c r="J70" s="289"/>
      <c r="K70" s="289"/>
      <c r="L70" s="289"/>
      <c r="M70" s="289"/>
      <c r="N70" s="289"/>
      <c r="O70" s="289"/>
      <c r="P70" s="319"/>
      <c r="Q70" s="359"/>
      <c r="R70" s="289"/>
      <c r="S70" s="289"/>
      <c r="T70" s="289"/>
      <c r="U70" s="289"/>
      <c r="V70" s="289"/>
      <c r="W70" s="289"/>
      <c r="X70" s="289"/>
      <c r="Y70" s="289"/>
      <c r="Z70" s="289"/>
      <c r="AA70" s="291"/>
    </row>
    <row r="71" spans="1:27">
      <c r="E71" s="292" t="s">
        <v>1949</v>
      </c>
      <c r="F71" s="293" t="s">
        <v>66</v>
      </c>
      <c r="G71" s="294" t="s">
        <v>66</v>
      </c>
      <c r="H71" s="293" t="s">
        <v>1843</v>
      </c>
      <c r="I71" s="293" t="s">
        <v>1879</v>
      </c>
      <c r="J71" s="295" t="s">
        <v>66</v>
      </c>
      <c r="K71" s="293" t="s">
        <v>951</v>
      </c>
      <c r="L71" s="293" t="s">
        <v>87</v>
      </c>
      <c r="M71" s="293" t="s">
        <v>66</v>
      </c>
      <c r="N71" s="295" t="s">
        <v>66</v>
      </c>
      <c r="O71" s="295" t="s">
        <v>66</v>
      </c>
      <c r="P71" s="315" t="s">
        <v>66</v>
      </c>
      <c r="Q71" s="357" t="s">
        <v>66</v>
      </c>
      <c r="R71" s="353" t="s">
        <v>66</v>
      </c>
      <c r="S71" s="354" t="s">
        <v>66</v>
      </c>
      <c r="T71" s="353" t="s">
        <v>66</v>
      </c>
      <c r="U71" s="354" t="s">
        <v>66</v>
      </c>
      <c r="V71" s="353" t="s">
        <v>66</v>
      </c>
      <c r="W71" s="354" t="s">
        <v>66</v>
      </c>
      <c r="X71" s="353" t="s">
        <v>66</v>
      </c>
      <c r="Y71" s="354" t="s">
        <v>66</v>
      </c>
      <c r="Z71" s="353" t="s">
        <v>66</v>
      </c>
      <c r="AA71" s="355" t="s">
        <v>66</v>
      </c>
    </row>
    <row r="72" spans="1:27">
      <c r="E72" s="292" t="s">
        <v>1950</v>
      </c>
      <c r="F72" s="293" t="s">
        <v>66</v>
      </c>
      <c r="G72" s="294" t="s">
        <v>66</v>
      </c>
      <c r="H72" s="293" t="s">
        <v>1843</v>
      </c>
      <c r="I72" s="293" t="s">
        <v>1879</v>
      </c>
      <c r="J72" s="295" t="s">
        <v>66</v>
      </c>
      <c r="K72" s="293" t="s">
        <v>951</v>
      </c>
      <c r="L72" s="293" t="s">
        <v>87</v>
      </c>
      <c r="M72" s="293" t="s">
        <v>66</v>
      </c>
      <c r="N72" s="295" t="s">
        <v>66</v>
      </c>
      <c r="O72" s="295" t="s">
        <v>66</v>
      </c>
      <c r="P72" s="315" t="s">
        <v>66</v>
      </c>
      <c r="Q72" s="357" t="s">
        <v>66</v>
      </c>
      <c r="R72" s="353" t="s">
        <v>66</v>
      </c>
      <c r="S72" s="354" t="s">
        <v>66</v>
      </c>
      <c r="T72" s="353" t="s">
        <v>66</v>
      </c>
      <c r="U72" s="354" t="s">
        <v>66</v>
      </c>
      <c r="V72" s="353" t="s">
        <v>66</v>
      </c>
      <c r="W72" s="354" t="s">
        <v>66</v>
      </c>
      <c r="X72" s="353" t="s">
        <v>66</v>
      </c>
      <c r="Y72" s="354" t="s">
        <v>66</v>
      </c>
      <c r="Z72" s="353" t="s">
        <v>66</v>
      </c>
      <c r="AA72" s="355" t="s">
        <v>66</v>
      </c>
    </row>
    <row r="73" spans="1:27">
      <c r="E73" s="292" t="s">
        <v>1951</v>
      </c>
      <c r="F73" s="293" t="s">
        <v>66</v>
      </c>
      <c r="G73" s="294" t="s">
        <v>66</v>
      </c>
      <c r="H73" s="293" t="s">
        <v>1843</v>
      </c>
      <c r="I73" s="293" t="s">
        <v>1011</v>
      </c>
      <c r="J73" s="295" t="s">
        <v>66</v>
      </c>
      <c r="K73" s="293" t="s">
        <v>951</v>
      </c>
      <c r="L73" s="293" t="s">
        <v>87</v>
      </c>
      <c r="M73" s="293" t="s">
        <v>66</v>
      </c>
      <c r="N73" s="295" t="s">
        <v>66</v>
      </c>
      <c r="O73" s="295" t="s">
        <v>66</v>
      </c>
      <c r="P73" s="315" t="s">
        <v>66</v>
      </c>
      <c r="Q73" s="357" t="s">
        <v>66</v>
      </c>
      <c r="R73" s="353" t="s">
        <v>66</v>
      </c>
      <c r="S73" s="354" t="s">
        <v>66</v>
      </c>
      <c r="T73" s="353" t="s">
        <v>66</v>
      </c>
      <c r="U73" s="354" t="s">
        <v>66</v>
      </c>
      <c r="V73" s="353" t="s">
        <v>66</v>
      </c>
      <c r="W73" s="354" t="s">
        <v>66</v>
      </c>
      <c r="X73" s="353" t="s">
        <v>66</v>
      </c>
      <c r="Y73" s="354" t="s">
        <v>66</v>
      </c>
      <c r="Z73" s="353" t="s">
        <v>66</v>
      </c>
      <c r="AA73" s="355" t="s">
        <v>66</v>
      </c>
    </row>
    <row r="74" spans="1:27">
      <c r="E74" s="292" t="s">
        <v>1952</v>
      </c>
      <c r="F74" s="293" t="s">
        <v>66</v>
      </c>
      <c r="G74" s="294" t="s">
        <v>66</v>
      </c>
      <c r="H74" s="293" t="s">
        <v>1843</v>
      </c>
      <c r="I74" s="293" t="s">
        <v>1011</v>
      </c>
      <c r="J74" s="295" t="s">
        <v>66</v>
      </c>
      <c r="K74" s="293" t="s">
        <v>951</v>
      </c>
      <c r="L74" s="293" t="s">
        <v>87</v>
      </c>
      <c r="M74" s="293" t="s">
        <v>66</v>
      </c>
      <c r="N74" s="295" t="s">
        <v>66</v>
      </c>
      <c r="O74" s="295" t="s">
        <v>66</v>
      </c>
      <c r="P74" s="315" t="s">
        <v>66</v>
      </c>
      <c r="Q74" s="357" t="s">
        <v>66</v>
      </c>
      <c r="R74" s="353" t="s">
        <v>66</v>
      </c>
      <c r="S74" s="354" t="s">
        <v>66</v>
      </c>
      <c r="T74" s="353" t="s">
        <v>66</v>
      </c>
      <c r="U74" s="354" t="s">
        <v>66</v>
      </c>
      <c r="V74" s="353" t="s">
        <v>66</v>
      </c>
      <c r="W74" s="354" t="s">
        <v>66</v>
      </c>
      <c r="X74" s="353" t="s">
        <v>66</v>
      </c>
      <c r="Y74" s="354" t="s">
        <v>66</v>
      </c>
      <c r="Z74" s="353" t="s">
        <v>66</v>
      </c>
      <c r="AA74" s="355" t="s">
        <v>66</v>
      </c>
    </row>
    <row r="75" spans="1:27">
      <c r="E75" s="292" t="s">
        <v>1953</v>
      </c>
      <c r="F75" s="293" t="s">
        <v>66</v>
      </c>
      <c r="G75" s="294" t="s">
        <v>66</v>
      </c>
      <c r="H75" s="293" t="s">
        <v>1843</v>
      </c>
      <c r="I75" s="293" t="s">
        <v>1011</v>
      </c>
      <c r="J75" s="295" t="s">
        <v>66</v>
      </c>
      <c r="K75" s="293" t="s">
        <v>951</v>
      </c>
      <c r="L75" s="293" t="s">
        <v>87</v>
      </c>
      <c r="M75" s="293" t="s">
        <v>66</v>
      </c>
      <c r="N75" s="295" t="s">
        <v>66</v>
      </c>
      <c r="O75" s="295" t="s">
        <v>66</v>
      </c>
      <c r="P75" s="315" t="s">
        <v>66</v>
      </c>
      <c r="Q75" s="357" t="s">
        <v>66</v>
      </c>
      <c r="R75" s="353" t="s">
        <v>66</v>
      </c>
      <c r="S75" s="354" t="s">
        <v>66</v>
      </c>
      <c r="T75" s="353" t="s">
        <v>66</v>
      </c>
      <c r="U75" s="354" t="s">
        <v>66</v>
      </c>
      <c r="V75" s="353" t="s">
        <v>66</v>
      </c>
      <c r="W75" s="354" t="s">
        <v>66</v>
      </c>
      <c r="X75" s="353" t="s">
        <v>66</v>
      </c>
      <c r="Y75" s="354" t="s">
        <v>66</v>
      </c>
      <c r="Z75" s="353" t="s">
        <v>66</v>
      </c>
      <c r="AA75" s="355" t="s">
        <v>66</v>
      </c>
    </row>
    <row r="76" spans="1:27" s="282" customFormat="1" ht="7.5" customHeight="1">
      <c r="B76" s="335"/>
      <c r="C76" s="335"/>
      <c r="D76" s="335"/>
      <c r="E76" s="297" t="s">
        <v>1916</v>
      </c>
      <c r="I76" s="283"/>
      <c r="P76" s="317"/>
      <c r="Q76" s="358"/>
      <c r="AA76" s="288"/>
    </row>
    <row r="77" spans="1:27" s="282" customFormat="1">
      <c r="A77" s="300"/>
      <c r="B77" s="345" t="s">
        <v>20</v>
      </c>
      <c r="C77" s="335"/>
      <c r="D77" s="335"/>
      <c r="E77" s="284" t="s">
        <v>1009</v>
      </c>
      <c r="F77" s="284"/>
      <c r="G77" s="284"/>
      <c r="H77" s="284"/>
      <c r="I77" s="285"/>
      <c r="J77" s="284"/>
      <c r="K77" s="284"/>
      <c r="L77" s="284"/>
      <c r="M77" s="284"/>
      <c r="N77" s="284"/>
      <c r="O77" s="284"/>
      <c r="P77" s="318"/>
      <c r="Q77" s="356"/>
      <c r="R77" s="284"/>
      <c r="S77" s="284"/>
      <c r="T77" s="284"/>
      <c r="U77" s="284"/>
      <c r="V77" s="284"/>
      <c r="W77" s="284"/>
      <c r="X77" s="284"/>
      <c r="Y77" s="284"/>
      <c r="Z77" s="284"/>
      <c r="AA77" s="286"/>
    </row>
    <row r="78" spans="1:27" s="282" customFormat="1" ht="3" customHeight="1">
      <c r="B78" s="335"/>
      <c r="C78" s="335"/>
      <c r="D78" s="335"/>
      <c r="I78" s="287"/>
      <c r="P78" s="317"/>
      <c r="Q78" s="358"/>
      <c r="AA78" s="288"/>
    </row>
    <row r="79" spans="1:27" s="282" customFormat="1">
      <c r="A79" s="300"/>
      <c r="B79" s="335" t="s">
        <v>1009</v>
      </c>
      <c r="C79" s="335" t="s">
        <v>1113</v>
      </c>
      <c r="D79" s="335" t="str">
        <f>B79&amp;" "&amp;C79</f>
        <v>Pré-fixado Curta</v>
      </c>
      <c r="E79" s="289" t="s">
        <v>1892</v>
      </c>
      <c r="F79" s="289"/>
      <c r="G79" s="289"/>
      <c r="H79" s="289"/>
      <c r="I79" s="290"/>
      <c r="J79" s="289"/>
      <c r="K79" s="289"/>
      <c r="L79" s="289"/>
      <c r="M79" s="289"/>
      <c r="N79" s="289"/>
      <c r="O79" s="289"/>
      <c r="P79" s="319"/>
      <c r="Q79" s="359"/>
      <c r="R79" s="289"/>
      <c r="S79" s="289"/>
      <c r="T79" s="289"/>
      <c r="U79" s="289"/>
      <c r="V79" s="289"/>
      <c r="W79" s="289"/>
      <c r="X79" s="289"/>
      <c r="Y79" s="289"/>
      <c r="Z79" s="289"/>
      <c r="AA79" s="291"/>
    </row>
    <row r="80" spans="1:27">
      <c r="E80" s="292" t="s">
        <v>1522</v>
      </c>
      <c r="F80" s="293">
        <v>2386509</v>
      </c>
      <c r="G80" s="294">
        <v>30338686000196</v>
      </c>
      <c r="H80" s="293" t="s">
        <v>1843</v>
      </c>
      <c r="I80" s="293" t="s">
        <v>66</v>
      </c>
      <c r="J80" s="295" t="s">
        <v>1827</v>
      </c>
      <c r="K80" s="293" t="s">
        <v>954</v>
      </c>
      <c r="L80" s="293" t="s">
        <v>87</v>
      </c>
      <c r="M80" s="293">
        <v>12</v>
      </c>
      <c r="N80" s="295">
        <v>8.5000000000000006E-3</v>
      </c>
      <c r="O80" s="295">
        <v>5.6666666666666671E-3</v>
      </c>
      <c r="P80" s="315">
        <v>31003091.73</v>
      </c>
      <c r="Q80" s="357">
        <v>43311</v>
      </c>
      <c r="R80" s="353">
        <v>-3.32E-2</v>
      </c>
      <c r="S80" s="354">
        <v>-0.51100000000000001</v>
      </c>
      <c r="T80" s="353">
        <v>-5.7000000000000002E-3</v>
      </c>
      <c r="U80" s="354">
        <v>-6.0499999999999998E-2</v>
      </c>
      <c r="V80" s="353">
        <v>8.6400000000000005E-2</v>
      </c>
      <c r="W80" s="354">
        <v>0.71509999999999996</v>
      </c>
      <c r="X80" s="353">
        <v>8.72E-2</v>
      </c>
      <c r="Y80" s="354">
        <v>0.51759999999999995</v>
      </c>
      <c r="Z80" s="353">
        <v>5.0299999999999997E-2</v>
      </c>
      <c r="AA80" s="355">
        <v>-1.8781923577086816</v>
      </c>
    </row>
    <row r="81" spans="1:27">
      <c r="E81" s="292" t="s">
        <v>1954</v>
      </c>
      <c r="F81" s="293" t="s">
        <v>66</v>
      </c>
      <c r="G81" s="294" t="s">
        <v>66</v>
      </c>
      <c r="H81" s="293" t="s">
        <v>1843</v>
      </c>
      <c r="I81" s="293" t="s">
        <v>1879</v>
      </c>
      <c r="J81" s="295" t="s">
        <v>66</v>
      </c>
      <c r="K81" s="293" t="s">
        <v>951</v>
      </c>
      <c r="L81" s="293" t="s">
        <v>87</v>
      </c>
      <c r="M81" s="293" t="s">
        <v>66</v>
      </c>
      <c r="N81" s="295" t="s">
        <v>66</v>
      </c>
      <c r="O81" s="295" t="s">
        <v>66</v>
      </c>
      <c r="P81" s="315" t="s">
        <v>66</v>
      </c>
      <c r="Q81" s="357" t="s">
        <v>66</v>
      </c>
      <c r="R81" s="353" t="s">
        <v>66</v>
      </c>
      <c r="S81" s="354" t="s">
        <v>66</v>
      </c>
      <c r="T81" s="353" t="s">
        <v>66</v>
      </c>
      <c r="U81" s="354" t="s">
        <v>66</v>
      </c>
      <c r="V81" s="353" t="s">
        <v>66</v>
      </c>
      <c r="W81" s="354" t="s">
        <v>66</v>
      </c>
      <c r="X81" s="353" t="s">
        <v>66</v>
      </c>
      <c r="Y81" s="354" t="s">
        <v>66</v>
      </c>
      <c r="Z81" s="353" t="s">
        <v>66</v>
      </c>
      <c r="AA81" s="355" t="s">
        <v>66</v>
      </c>
    </row>
    <row r="82" spans="1:27">
      <c r="E82" s="292" t="s">
        <v>1955</v>
      </c>
      <c r="F82" s="293" t="s">
        <v>66</v>
      </c>
      <c r="G82" s="294" t="s">
        <v>66</v>
      </c>
      <c r="H82" s="293" t="s">
        <v>1843</v>
      </c>
      <c r="I82" s="293" t="s">
        <v>1879</v>
      </c>
      <c r="J82" s="295" t="s">
        <v>66</v>
      </c>
      <c r="K82" s="293" t="s">
        <v>951</v>
      </c>
      <c r="L82" s="293" t="s">
        <v>87</v>
      </c>
      <c r="M82" s="293" t="s">
        <v>66</v>
      </c>
      <c r="N82" s="295" t="s">
        <v>66</v>
      </c>
      <c r="O82" s="295" t="s">
        <v>66</v>
      </c>
      <c r="P82" s="315" t="s">
        <v>66</v>
      </c>
      <c r="Q82" s="357" t="s">
        <v>66</v>
      </c>
      <c r="R82" s="353" t="s">
        <v>66</v>
      </c>
      <c r="S82" s="354" t="s">
        <v>66</v>
      </c>
      <c r="T82" s="353" t="s">
        <v>66</v>
      </c>
      <c r="U82" s="354" t="s">
        <v>66</v>
      </c>
      <c r="V82" s="353" t="s">
        <v>66</v>
      </c>
      <c r="W82" s="354" t="s">
        <v>66</v>
      </c>
      <c r="X82" s="353" t="s">
        <v>66</v>
      </c>
      <c r="Y82" s="354" t="s">
        <v>66</v>
      </c>
      <c r="Z82" s="353" t="s">
        <v>66</v>
      </c>
      <c r="AA82" s="355" t="s">
        <v>66</v>
      </c>
    </row>
    <row r="83" spans="1:27">
      <c r="E83" s="292" t="s">
        <v>1956</v>
      </c>
      <c r="F83" s="293" t="s">
        <v>66</v>
      </c>
      <c r="G83" s="294" t="s">
        <v>66</v>
      </c>
      <c r="H83" s="293" t="s">
        <v>1843</v>
      </c>
      <c r="I83" s="293" t="s">
        <v>1011</v>
      </c>
      <c r="J83" s="295" t="s">
        <v>66</v>
      </c>
      <c r="K83" s="293" t="s">
        <v>951</v>
      </c>
      <c r="L83" s="293" t="s">
        <v>87</v>
      </c>
      <c r="M83" s="293" t="s">
        <v>66</v>
      </c>
      <c r="N83" s="295" t="s">
        <v>66</v>
      </c>
      <c r="O83" s="295" t="s">
        <v>66</v>
      </c>
      <c r="P83" s="315" t="s">
        <v>66</v>
      </c>
      <c r="Q83" s="357" t="s">
        <v>66</v>
      </c>
      <c r="R83" s="353" t="s">
        <v>66</v>
      </c>
      <c r="S83" s="354" t="s">
        <v>66</v>
      </c>
      <c r="T83" s="353" t="s">
        <v>66</v>
      </c>
      <c r="U83" s="354" t="s">
        <v>66</v>
      </c>
      <c r="V83" s="353" t="s">
        <v>66</v>
      </c>
      <c r="W83" s="354" t="s">
        <v>66</v>
      </c>
      <c r="X83" s="353" t="s">
        <v>66</v>
      </c>
      <c r="Y83" s="354" t="s">
        <v>66</v>
      </c>
      <c r="Z83" s="353" t="s">
        <v>66</v>
      </c>
      <c r="AA83" s="355" t="s">
        <v>66</v>
      </c>
    </row>
    <row r="84" spans="1:27">
      <c r="E84" s="292" t="s">
        <v>1937</v>
      </c>
      <c r="F84" s="293" t="s">
        <v>66</v>
      </c>
      <c r="G84" s="294" t="s">
        <v>66</v>
      </c>
      <c r="H84" s="293" t="s">
        <v>1078</v>
      </c>
      <c r="I84" s="293" t="s">
        <v>1011</v>
      </c>
      <c r="J84" s="295" t="s">
        <v>66</v>
      </c>
      <c r="K84" s="293" t="s">
        <v>951</v>
      </c>
      <c r="L84" s="293" t="s">
        <v>87</v>
      </c>
      <c r="M84" s="293" t="s">
        <v>66</v>
      </c>
      <c r="N84" s="295" t="s">
        <v>66</v>
      </c>
      <c r="O84" s="295" t="s">
        <v>66</v>
      </c>
      <c r="P84" s="315" t="s">
        <v>66</v>
      </c>
      <c r="Q84" s="357" t="s">
        <v>66</v>
      </c>
      <c r="R84" s="353" t="s">
        <v>66</v>
      </c>
      <c r="S84" s="354" t="s">
        <v>66</v>
      </c>
      <c r="T84" s="353" t="s">
        <v>66</v>
      </c>
      <c r="U84" s="354" t="s">
        <v>66</v>
      </c>
      <c r="V84" s="353" t="s">
        <v>66</v>
      </c>
      <c r="W84" s="354" t="s">
        <v>66</v>
      </c>
      <c r="X84" s="353" t="s">
        <v>66</v>
      </c>
      <c r="Y84" s="354" t="s">
        <v>66</v>
      </c>
      <c r="Z84" s="353" t="s">
        <v>66</v>
      </c>
      <c r="AA84" s="355" t="s">
        <v>66</v>
      </c>
    </row>
    <row r="85" spans="1:27">
      <c r="E85" s="292" t="s">
        <v>1938</v>
      </c>
      <c r="F85" s="293" t="s">
        <v>66</v>
      </c>
      <c r="G85" s="294" t="s">
        <v>66</v>
      </c>
      <c r="H85" s="293" t="s">
        <v>1078</v>
      </c>
      <c r="I85" s="293" t="s">
        <v>1011</v>
      </c>
      <c r="J85" s="295" t="s">
        <v>66</v>
      </c>
      <c r="K85" s="293" t="s">
        <v>951</v>
      </c>
      <c r="L85" s="293" t="s">
        <v>87</v>
      </c>
      <c r="M85" s="293" t="s">
        <v>66</v>
      </c>
      <c r="N85" s="295" t="s">
        <v>66</v>
      </c>
      <c r="O85" s="295" t="s">
        <v>66</v>
      </c>
      <c r="P85" s="315" t="s">
        <v>66</v>
      </c>
      <c r="Q85" s="357" t="s">
        <v>66</v>
      </c>
      <c r="R85" s="353" t="s">
        <v>66</v>
      </c>
      <c r="S85" s="354" t="s">
        <v>66</v>
      </c>
      <c r="T85" s="353" t="s">
        <v>66</v>
      </c>
      <c r="U85" s="354" t="s">
        <v>66</v>
      </c>
      <c r="V85" s="353" t="s">
        <v>66</v>
      </c>
      <c r="W85" s="354" t="s">
        <v>66</v>
      </c>
      <c r="X85" s="353" t="s">
        <v>66</v>
      </c>
      <c r="Y85" s="354" t="s">
        <v>66</v>
      </c>
      <c r="Z85" s="353" t="s">
        <v>66</v>
      </c>
      <c r="AA85" s="355" t="s">
        <v>66</v>
      </c>
    </row>
    <row r="86" spans="1:27" ht="5.25" customHeight="1">
      <c r="E86" s="297" t="s">
        <v>1916</v>
      </c>
      <c r="P86" s="320"/>
      <c r="Q86" s="360"/>
      <c r="AA86" s="299"/>
    </row>
    <row r="87" spans="1:27" s="282" customFormat="1">
      <c r="A87" s="300"/>
      <c r="B87" s="335" t="s">
        <v>1009</v>
      </c>
      <c r="C87" s="337" t="s">
        <v>1259</v>
      </c>
      <c r="D87" s="335" t="str">
        <f>B87&amp;" "&amp;C87</f>
        <v>Pré-fixado Média</v>
      </c>
      <c r="E87" s="289" t="s">
        <v>1899</v>
      </c>
      <c r="F87" s="289"/>
      <c r="G87" s="289"/>
      <c r="H87" s="289"/>
      <c r="I87" s="290"/>
      <c r="J87" s="289"/>
      <c r="K87" s="289"/>
      <c r="L87" s="289"/>
      <c r="M87" s="289"/>
      <c r="N87" s="289"/>
      <c r="O87" s="289"/>
      <c r="P87" s="319"/>
      <c r="Q87" s="359"/>
      <c r="R87" s="289"/>
      <c r="S87" s="289"/>
      <c r="T87" s="289"/>
      <c r="U87" s="289"/>
      <c r="V87" s="289"/>
      <c r="W87" s="289"/>
      <c r="X87" s="289"/>
      <c r="Y87" s="289"/>
      <c r="Z87" s="289"/>
      <c r="AA87" s="291"/>
    </row>
    <row r="88" spans="1:27">
      <c r="E88" s="292" t="s">
        <v>1957</v>
      </c>
      <c r="F88" s="293" t="s">
        <v>66</v>
      </c>
      <c r="G88" s="294" t="s">
        <v>66</v>
      </c>
      <c r="H88" s="293" t="s">
        <v>1843</v>
      </c>
      <c r="I88" s="293" t="s">
        <v>1879</v>
      </c>
      <c r="J88" s="295" t="s">
        <v>66</v>
      </c>
      <c r="K88" s="293" t="s">
        <v>951</v>
      </c>
      <c r="L88" s="293" t="s">
        <v>87</v>
      </c>
      <c r="M88" s="293" t="s">
        <v>66</v>
      </c>
      <c r="N88" s="295" t="s">
        <v>66</v>
      </c>
      <c r="O88" s="295" t="s">
        <v>66</v>
      </c>
      <c r="P88" s="315" t="s">
        <v>66</v>
      </c>
      <c r="Q88" s="357" t="s">
        <v>66</v>
      </c>
      <c r="R88" s="353" t="s">
        <v>66</v>
      </c>
      <c r="S88" s="354" t="s">
        <v>66</v>
      </c>
      <c r="T88" s="353" t="s">
        <v>66</v>
      </c>
      <c r="U88" s="354" t="s">
        <v>66</v>
      </c>
      <c r="V88" s="353" t="s">
        <v>66</v>
      </c>
      <c r="W88" s="354" t="s">
        <v>66</v>
      </c>
      <c r="X88" s="353" t="s">
        <v>66</v>
      </c>
      <c r="Y88" s="354" t="s">
        <v>66</v>
      </c>
      <c r="Z88" s="353" t="s">
        <v>66</v>
      </c>
      <c r="AA88" s="355" t="s">
        <v>66</v>
      </c>
    </row>
    <row r="89" spans="1:27">
      <c r="E89" s="292" t="s">
        <v>1958</v>
      </c>
      <c r="F89" s="293" t="s">
        <v>66</v>
      </c>
      <c r="G89" s="294" t="s">
        <v>66</v>
      </c>
      <c r="H89" s="293" t="s">
        <v>1843</v>
      </c>
      <c r="I89" s="293" t="s">
        <v>1879</v>
      </c>
      <c r="J89" s="295" t="s">
        <v>66</v>
      </c>
      <c r="K89" s="293" t="s">
        <v>951</v>
      </c>
      <c r="L89" s="293" t="s">
        <v>87</v>
      </c>
      <c r="M89" s="293" t="s">
        <v>66</v>
      </c>
      <c r="N89" s="295" t="s">
        <v>66</v>
      </c>
      <c r="O89" s="295" t="s">
        <v>66</v>
      </c>
      <c r="P89" s="315" t="s">
        <v>66</v>
      </c>
      <c r="Q89" s="357" t="s">
        <v>66</v>
      </c>
      <c r="R89" s="353" t="s">
        <v>66</v>
      </c>
      <c r="S89" s="354" t="s">
        <v>66</v>
      </c>
      <c r="T89" s="353" t="s">
        <v>66</v>
      </c>
      <c r="U89" s="354" t="s">
        <v>66</v>
      </c>
      <c r="V89" s="353" t="s">
        <v>66</v>
      </c>
      <c r="W89" s="354" t="s">
        <v>66</v>
      </c>
      <c r="X89" s="353" t="s">
        <v>66</v>
      </c>
      <c r="Y89" s="354" t="s">
        <v>66</v>
      </c>
      <c r="Z89" s="353" t="s">
        <v>66</v>
      </c>
      <c r="AA89" s="355" t="s">
        <v>66</v>
      </c>
    </row>
    <row r="90" spans="1:27">
      <c r="E90" s="292" t="s">
        <v>1959</v>
      </c>
      <c r="F90" s="293" t="s">
        <v>66</v>
      </c>
      <c r="G90" s="294" t="s">
        <v>66</v>
      </c>
      <c r="H90" s="293" t="s">
        <v>1843</v>
      </c>
      <c r="I90" s="293" t="s">
        <v>1879</v>
      </c>
      <c r="J90" s="295" t="s">
        <v>66</v>
      </c>
      <c r="K90" s="293" t="s">
        <v>951</v>
      </c>
      <c r="L90" s="293" t="s">
        <v>87</v>
      </c>
      <c r="M90" s="293" t="s">
        <v>66</v>
      </c>
      <c r="N90" s="295" t="s">
        <v>66</v>
      </c>
      <c r="O90" s="295" t="s">
        <v>66</v>
      </c>
      <c r="P90" s="315" t="s">
        <v>66</v>
      </c>
      <c r="Q90" s="357" t="s">
        <v>66</v>
      </c>
      <c r="R90" s="353" t="s">
        <v>66</v>
      </c>
      <c r="S90" s="354" t="s">
        <v>66</v>
      </c>
      <c r="T90" s="353" t="s">
        <v>66</v>
      </c>
      <c r="U90" s="354" t="s">
        <v>66</v>
      </c>
      <c r="V90" s="353" t="s">
        <v>66</v>
      </c>
      <c r="W90" s="354" t="s">
        <v>66</v>
      </c>
      <c r="X90" s="353" t="s">
        <v>66</v>
      </c>
      <c r="Y90" s="354" t="s">
        <v>66</v>
      </c>
      <c r="Z90" s="353" t="s">
        <v>66</v>
      </c>
      <c r="AA90" s="355" t="s">
        <v>66</v>
      </c>
    </row>
    <row r="91" spans="1:27">
      <c r="E91" s="292" t="s">
        <v>1960</v>
      </c>
      <c r="F91" s="293" t="s">
        <v>66</v>
      </c>
      <c r="G91" s="294" t="s">
        <v>66</v>
      </c>
      <c r="H91" s="293" t="s">
        <v>1843</v>
      </c>
      <c r="I91" s="293" t="s">
        <v>1011</v>
      </c>
      <c r="J91" s="295" t="s">
        <v>66</v>
      </c>
      <c r="K91" s="293" t="s">
        <v>951</v>
      </c>
      <c r="L91" s="293" t="s">
        <v>87</v>
      </c>
      <c r="M91" s="293" t="s">
        <v>66</v>
      </c>
      <c r="N91" s="295" t="s">
        <v>66</v>
      </c>
      <c r="O91" s="295" t="s">
        <v>66</v>
      </c>
      <c r="P91" s="315" t="s">
        <v>66</v>
      </c>
      <c r="Q91" s="357" t="s">
        <v>66</v>
      </c>
      <c r="R91" s="353" t="s">
        <v>66</v>
      </c>
      <c r="S91" s="354" t="s">
        <v>66</v>
      </c>
      <c r="T91" s="353" t="s">
        <v>66</v>
      </c>
      <c r="U91" s="354" t="s">
        <v>66</v>
      </c>
      <c r="V91" s="353" t="s">
        <v>66</v>
      </c>
      <c r="W91" s="354" t="s">
        <v>66</v>
      </c>
      <c r="X91" s="353" t="s">
        <v>66</v>
      </c>
      <c r="Y91" s="354" t="s">
        <v>66</v>
      </c>
      <c r="Z91" s="353" t="s">
        <v>66</v>
      </c>
      <c r="AA91" s="355" t="s">
        <v>66</v>
      </c>
    </row>
    <row r="92" spans="1:27">
      <c r="E92" s="292" t="s">
        <v>1961</v>
      </c>
      <c r="F92" s="293" t="s">
        <v>66</v>
      </c>
      <c r="G92" s="294" t="s">
        <v>66</v>
      </c>
      <c r="H92" s="293" t="s">
        <v>1843</v>
      </c>
      <c r="I92" s="293" t="s">
        <v>1011</v>
      </c>
      <c r="J92" s="295" t="s">
        <v>66</v>
      </c>
      <c r="K92" s="293" t="s">
        <v>951</v>
      </c>
      <c r="L92" s="293" t="s">
        <v>87</v>
      </c>
      <c r="M92" s="293" t="s">
        <v>66</v>
      </c>
      <c r="N92" s="295" t="s">
        <v>66</v>
      </c>
      <c r="O92" s="295" t="s">
        <v>66</v>
      </c>
      <c r="P92" s="315" t="s">
        <v>66</v>
      </c>
      <c r="Q92" s="357" t="s">
        <v>66</v>
      </c>
      <c r="R92" s="353" t="s">
        <v>66</v>
      </c>
      <c r="S92" s="354" t="s">
        <v>66</v>
      </c>
      <c r="T92" s="353" t="s">
        <v>66</v>
      </c>
      <c r="U92" s="354" t="s">
        <v>66</v>
      </c>
      <c r="V92" s="353" t="s">
        <v>66</v>
      </c>
      <c r="W92" s="354" t="s">
        <v>66</v>
      </c>
      <c r="X92" s="353" t="s">
        <v>66</v>
      </c>
      <c r="Y92" s="354" t="s">
        <v>66</v>
      </c>
      <c r="Z92" s="353" t="s">
        <v>66</v>
      </c>
      <c r="AA92" s="355" t="s">
        <v>66</v>
      </c>
    </row>
    <row r="93" spans="1:27">
      <c r="E93" s="292" t="s">
        <v>1962</v>
      </c>
      <c r="F93" s="293" t="s">
        <v>66</v>
      </c>
      <c r="G93" s="294" t="s">
        <v>66</v>
      </c>
      <c r="H93" s="293" t="s">
        <v>1843</v>
      </c>
      <c r="I93" s="293" t="s">
        <v>1011</v>
      </c>
      <c r="J93" s="295" t="s">
        <v>66</v>
      </c>
      <c r="K93" s="293" t="s">
        <v>951</v>
      </c>
      <c r="L93" s="293" t="s">
        <v>87</v>
      </c>
      <c r="M93" s="293" t="s">
        <v>66</v>
      </c>
      <c r="N93" s="295" t="s">
        <v>66</v>
      </c>
      <c r="O93" s="295" t="s">
        <v>66</v>
      </c>
      <c r="P93" s="315" t="s">
        <v>66</v>
      </c>
      <c r="Q93" s="357" t="s">
        <v>66</v>
      </c>
      <c r="R93" s="353" t="s">
        <v>66</v>
      </c>
      <c r="S93" s="354" t="s">
        <v>66</v>
      </c>
      <c r="T93" s="353" t="s">
        <v>66</v>
      </c>
      <c r="U93" s="354" t="s">
        <v>66</v>
      </c>
      <c r="V93" s="353" t="s">
        <v>66</v>
      </c>
      <c r="W93" s="354" t="s">
        <v>66</v>
      </c>
      <c r="X93" s="353" t="s">
        <v>66</v>
      </c>
      <c r="Y93" s="354" t="s">
        <v>66</v>
      </c>
      <c r="Z93" s="353" t="s">
        <v>66</v>
      </c>
      <c r="AA93" s="355" t="s">
        <v>66</v>
      </c>
    </row>
    <row r="94" spans="1:27" ht="5.25" customHeight="1">
      <c r="E94" s="297" t="s">
        <v>1916</v>
      </c>
      <c r="P94" s="320"/>
      <c r="Q94" s="360"/>
      <c r="AA94" s="299"/>
    </row>
    <row r="95" spans="1:27" s="282" customFormat="1">
      <c r="A95" s="300"/>
      <c r="B95" s="335" t="s">
        <v>1009</v>
      </c>
      <c r="C95" s="337" t="s">
        <v>1260</v>
      </c>
      <c r="D95" s="335" t="str">
        <f>B95&amp;" "&amp;C95</f>
        <v>Pré-fixado Longa</v>
      </c>
      <c r="E95" s="289" t="s">
        <v>1889</v>
      </c>
      <c r="F95" s="289"/>
      <c r="G95" s="289"/>
      <c r="H95" s="289"/>
      <c r="I95" s="290"/>
      <c r="J95" s="289"/>
      <c r="K95" s="289"/>
      <c r="L95" s="289"/>
      <c r="M95" s="289"/>
      <c r="N95" s="289"/>
      <c r="O95" s="289"/>
      <c r="P95" s="319"/>
      <c r="Q95" s="359"/>
      <c r="R95" s="289"/>
      <c r="S95" s="289"/>
      <c r="T95" s="289"/>
      <c r="U95" s="289"/>
      <c r="V95" s="289"/>
      <c r="W95" s="289"/>
      <c r="X95" s="289"/>
      <c r="Y95" s="289"/>
      <c r="Z95" s="289"/>
      <c r="AA95" s="291"/>
    </row>
    <row r="96" spans="1:27">
      <c r="E96" s="292"/>
      <c r="F96" s="293"/>
      <c r="G96" s="294"/>
      <c r="H96" s="293"/>
      <c r="I96" s="293"/>
      <c r="J96" s="295"/>
      <c r="K96" s="293"/>
      <c r="L96" s="293"/>
      <c r="M96" s="293"/>
      <c r="N96" s="295"/>
      <c r="O96" s="295"/>
      <c r="P96" s="315"/>
      <c r="Q96" s="357"/>
      <c r="R96" s="353"/>
      <c r="S96" s="354"/>
      <c r="T96" s="353"/>
      <c r="U96" s="354"/>
      <c r="V96" s="353"/>
      <c r="W96" s="354"/>
      <c r="X96" s="353"/>
      <c r="Y96" s="354"/>
      <c r="Z96" s="353"/>
      <c r="AA96" s="355"/>
    </row>
    <row r="97" spans="1:27" s="282" customFormat="1" ht="11.25" customHeight="1">
      <c r="B97" s="335"/>
      <c r="C97" s="335"/>
      <c r="D97" s="335"/>
      <c r="E97" s="297" t="s">
        <v>1916</v>
      </c>
      <c r="I97" s="283"/>
      <c r="P97" s="317"/>
      <c r="Q97" s="358"/>
      <c r="AA97" s="288"/>
    </row>
    <row r="98" spans="1:27" s="324" customFormat="1" ht="21.75" customHeight="1">
      <c r="B98" s="345" t="s">
        <v>20</v>
      </c>
      <c r="C98" s="340"/>
      <c r="D98" s="340"/>
      <c r="E98" s="325" t="s">
        <v>1839</v>
      </c>
      <c r="F98" s="325"/>
      <c r="G98" s="325"/>
      <c r="H98" s="325"/>
      <c r="I98" s="326"/>
      <c r="J98" s="325"/>
      <c r="K98" s="325"/>
      <c r="L98" s="325"/>
      <c r="M98" s="325"/>
      <c r="N98" s="325"/>
      <c r="O98" s="325"/>
      <c r="P98" s="350"/>
      <c r="Q98" s="361"/>
      <c r="R98" s="325"/>
      <c r="S98" s="325"/>
      <c r="T98" s="325"/>
      <c r="U98" s="325"/>
      <c r="V98" s="325"/>
      <c r="W98" s="325"/>
      <c r="X98" s="325"/>
      <c r="Y98" s="325"/>
      <c r="Z98" s="325"/>
      <c r="AA98" s="325"/>
    </row>
    <row r="99" spans="1:27" s="128" customFormat="1" ht="5.25" customHeight="1">
      <c r="B99" s="145"/>
      <c r="C99" s="145"/>
      <c r="D99" s="145"/>
      <c r="I99" s="144"/>
      <c r="P99" s="351"/>
    </row>
    <row r="100" spans="1:27" s="237" customFormat="1" ht="34.5" customHeight="1">
      <c r="B100" s="334"/>
      <c r="C100" s="334"/>
      <c r="D100" s="334"/>
      <c r="E100" s="246" t="s">
        <v>1838</v>
      </c>
      <c r="F100" s="214" t="s">
        <v>1053</v>
      </c>
      <c r="G100" s="214" t="s">
        <v>62</v>
      </c>
      <c r="H100" s="214" t="s">
        <v>63</v>
      </c>
      <c r="I100" s="214" t="s">
        <v>1004</v>
      </c>
      <c r="J100" s="214" t="s">
        <v>1837</v>
      </c>
      <c r="K100" s="214" t="s">
        <v>1005</v>
      </c>
      <c r="L100" s="214" t="s">
        <v>15</v>
      </c>
      <c r="M100" s="214" t="s">
        <v>64</v>
      </c>
      <c r="N100" s="214" t="s">
        <v>1834</v>
      </c>
      <c r="O100" s="214" t="s">
        <v>1835</v>
      </c>
      <c r="P100" s="214" t="s">
        <v>1067</v>
      </c>
      <c r="Q100" s="214" t="s">
        <v>0</v>
      </c>
      <c r="R100" s="214" t="s">
        <v>1068</v>
      </c>
      <c r="S100" s="214" t="s">
        <v>1069</v>
      </c>
      <c r="T100" s="214" t="s">
        <v>1070</v>
      </c>
      <c r="U100" s="214" t="s">
        <v>1071</v>
      </c>
      <c r="V100" s="214" t="s">
        <v>1072</v>
      </c>
      <c r="W100" s="214" t="s">
        <v>1832</v>
      </c>
      <c r="X100" s="214" t="s">
        <v>1833</v>
      </c>
      <c r="Y100" s="214" t="s">
        <v>1073</v>
      </c>
      <c r="Z100" s="214" t="s">
        <v>1074</v>
      </c>
      <c r="AA100" s="214" t="s">
        <v>932</v>
      </c>
    </row>
    <row r="101" spans="1:27" s="282" customFormat="1" ht="7.5" customHeight="1">
      <c r="B101" s="335"/>
      <c r="C101" s="335"/>
      <c r="D101" s="335"/>
      <c r="E101" s="281"/>
      <c r="I101" s="283"/>
      <c r="P101" s="317"/>
    </row>
    <row r="102" spans="1:27" s="282" customFormat="1">
      <c r="A102" s="300"/>
      <c r="B102" s="335" t="s">
        <v>958</v>
      </c>
      <c r="C102" s="335" t="s">
        <v>66</v>
      </c>
      <c r="D102" s="335" t="str">
        <f>B102&amp;" "&amp;C102</f>
        <v>Macro -</v>
      </c>
      <c r="E102" s="284" t="s">
        <v>958</v>
      </c>
      <c r="F102" s="284"/>
      <c r="G102" s="284"/>
      <c r="H102" s="284"/>
      <c r="I102" s="285"/>
      <c r="J102" s="284"/>
      <c r="K102" s="284"/>
      <c r="L102" s="284"/>
      <c r="M102" s="284"/>
      <c r="N102" s="284"/>
      <c r="O102" s="284"/>
      <c r="P102" s="318"/>
      <c r="Q102" s="356"/>
      <c r="R102" s="284"/>
      <c r="S102" s="284"/>
      <c r="T102" s="284"/>
      <c r="U102" s="284"/>
      <c r="V102" s="284"/>
      <c r="W102" s="284"/>
      <c r="X102" s="284"/>
      <c r="Y102" s="284"/>
      <c r="Z102" s="284"/>
      <c r="AA102" s="286"/>
    </row>
    <row r="103" spans="1:27">
      <c r="E103" s="292" t="s">
        <v>1103</v>
      </c>
      <c r="F103" s="293">
        <v>823384</v>
      </c>
      <c r="G103" s="294">
        <v>43984537000146</v>
      </c>
      <c r="H103" s="293" t="s">
        <v>1078</v>
      </c>
      <c r="I103" s="293" t="s">
        <v>962</v>
      </c>
      <c r="J103" s="295" t="s">
        <v>1827</v>
      </c>
      <c r="K103" s="293" t="s">
        <v>954</v>
      </c>
      <c r="L103" s="293" t="s">
        <v>87</v>
      </c>
      <c r="M103" s="293">
        <v>31</v>
      </c>
      <c r="N103" s="295">
        <v>0.02</v>
      </c>
      <c r="O103" s="295">
        <v>4.0000000000000001E-3</v>
      </c>
      <c r="P103" s="315">
        <v>237195108.99000001</v>
      </c>
      <c r="Q103" s="357">
        <v>44510</v>
      </c>
      <c r="R103" s="353">
        <v>0.12959999999999999</v>
      </c>
      <c r="S103" s="354">
        <v>1.9961</v>
      </c>
      <c r="T103" s="353" t="s">
        <v>66</v>
      </c>
      <c r="U103" s="354" t="s">
        <v>66</v>
      </c>
      <c r="V103" s="353" t="s">
        <v>66</v>
      </c>
      <c r="W103" s="354" t="s">
        <v>66</v>
      </c>
      <c r="X103" s="353" t="s">
        <v>66</v>
      </c>
      <c r="Y103" s="354" t="s">
        <v>66</v>
      </c>
      <c r="Z103" s="353" t="s">
        <v>66</v>
      </c>
      <c r="AA103" s="355" t="s">
        <v>66</v>
      </c>
    </row>
    <row r="104" spans="1:27">
      <c r="E104" s="292" t="s">
        <v>1369</v>
      </c>
      <c r="F104" s="293">
        <v>632191</v>
      </c>
      <c r="G104" s="294">
        <v>37287419000186</v>
      </c>
      <c r="H104" s="293" t="s">
        <v>1078</v>
      </c>
      <c r="I104" s="293" t="s">
        <v>962</v>
      </c>
      <c r="J104" s="295" t="s">
        <v>1827</v>
      </c>
      <c r="K104" s="293" t="s">
        <v>954</v>
      </c>
      <c r="L104" s="293" t="s">
        <v>87</v>
      </c>
      <c r="M104" s="293">
        <v>31</v>
      </c>
      <c r="N104" s="295">
        <v>1.9E-2</v>
      </c>
      <c r="O104" s="295">
        <v>5.0666666666666664E-3</v>
      </c>
      <c r="P104" s="315">
        <v>560073067.16999996</v>
      </c>
      <c r="Q104" s="357">
        <v>44012</v>
      </c>
      <c r="R104" s="353">
        <v>0.12570000000000001</v>
      </c>
      <c r="S104" s="354">
        <v>1.9356</v>
      </c>
      <c r="T104" s="353">
        <v>0.19539999999999999</v>
      </c>
      <c r="U104" s="354">
        <v>2.0771999999999999</v>
      </c>
      <c r="V104" s="353">
        <v>0.249</v>
      </c>
      <c r="W104" s="354">
        <v>2.0613000000000001</v>
      </c>
      <c r="X104" s="353" t="s">
        <v>66</v>
      </c>
      <c r="Y104" s="354" t="s">
        <v>66</v>
      </c>
      <c r="Z104" s="353">
        <v>3.8600000000000002E-2</v>
      </c>
      <c r="AA104" s="355">
        <v>2.314419111315952</v>
      </c>
    </row>
    <row r="105" spans="1:27">
      <c r="E105" s="292" t="s">
        <v>823</v>
      </c>
      <c r="F105" s="293">
        <v>632170</v>
      </c>
      <c r="G105" s="294">
        <v>35828684000107</v>
      </c>
      <c r="H105" s="293" t="s">
        <v>1078</v>
      </c>
      <c r="I105" s="293" t="s">
        <v>962</v>
      </c>
      <c r="J105" s="295" t="s">
        <v>1827</v>
      </c>
      <c r="K105" s="293" t="s">
        <v>954</v>
      </c>
      <c r="L105" s="293" t="s">
        <v>87</v>
      </c>
      <c r="M105" s="293">
        <v>31</v>
      </c>
      <c r="N105" s="295">
        <v>1.9E-2</v>
      </c>
      <c r="O105" s="295">
        <v>5.0672999999999994E-3</v>
      </c>
      <c r="P105" s="315">
        <v>467190092.18000001</v>
      </c>
      <c r="Q105" s="357">
        <v>44012</v>
      </c>
      <c r="R105" s="353">
        <v>0.12640000000000001</v>
      </c>
      <c r="S105" s="354">
        <v>1.9477</v>
      </c>
      <c r="T105" s="353">
        <v>0.1966</v>
      </c>
      <c r="U105" s="354">
        <v>2.0901000000000001</v>
      </c>
      <c r="V105" s="353">
        <v>0.25090000000000001</v>
      </c>
      <c r="W105" s="354">
        <v>2.0766</v>
      </c>
      <c r="X105" s="353" t="s">
        <v>66</v>
      </c>
      <c r="Y105" s="354" t="s">
        <v>66</v>
      </c>
      <c r="Z105" s="353">
        <v>3.9100000000000003E-2</v>
      </c>
      <c r="AA105" s="355">
        <v>2.3137704712463107</v>
      </c>
    </row>
    <row r="106" spans="1:27">
      <c r="E106" s="292" t="s">
        <v>76</v>
      </c>
      <c r="F106" s="293">
        <v>2081382</v>
      </c>
      <c r="G106" s="294">
        <v>15799713000134</v>
      </c>
      <c r="H106" s="293" t="s">
        <v>1078</v>
      </c>
      <c r="I106" s="293" t="s">
        <v>962</v>
      </c>
      <c r="J106" s="295" t="s">
        <v>1827</v>
      </c>
      <c r="K106" s="293" t="s">
        <v>954</v>
      </c>
      <c r="L106" s="293" t="s">
        <v>87</v>
      </c>
      <c r="M106" s="293">
        <v>31</v>
      </c>
      <c r="N106" s="295">
        <v>1.9574999999999999E-2</v>
      </c>
      <c r="O106" s="295">
        <v>4.8937499999999997E-3</v>
      </c>
      <c r="P106" s="315">
        <v>5007516994.1999998</v>
      </c>
      <c r="Q106" s="357">
        <v>41243</v>
      </c>
      <c r="R106" s="353">
        <v>0.1134</v>
      </c>
      <c r="S106" s="354">
        <v>1.7464</v>
      </c>
      <c r="T106" s="353">
        <v>0.19409999999999999</v>
      </c>
      <c r="U106" s="354">
        <v>2.0632000000000001</v>
      </c>
      <c r="V106" s="353">
        <v>0.2467</v>
      </c>
      <c r="W106" s="354">
        <v>2.0423</v>
      </c>
      <c r="X106" s="353">
        <v>0.4924</v>
      </c>
      <c r="Y106" s="354">
        <v>2.9220999999999999</v>
      </c>
      <c r="Z106" s="353">
        <v>6.4199999999999993E-2</v>
      </c>
      <c r="AA106" s="355">
        <v>1.3955493230601284</v>
      </c>
    </row>
    <row r="107" spans="1:27">
      <c r="E107" s="292" t="s">
        <v>1388</v>
      </c>
      <c r="F107" s="293">
        <v>1914717</v>
      </c>
      <c r="G107" s="294">
        <v>26822047000124</v>
      </c>
      <c r="H107" s="293" t="s">
        <v>1078</v>
      </c>
      <c r="I107" s="293" t="s">
        <v>962</v>
      </c>
      <c r="J107" s="295" t="s">
        <v>1827</v>
      </c>
      <c r="K107" s="293" t="s">
        <v>954</v>
      </c>
      <c r="L107" s="293" t="s">
        <v>87</v>
      </c>
      <c r="M107" s="293">
        <v>31</v>
      </c>
      <c r="N107" s="295">
        <v>1.9599999999999999E-2</v>
      </c>
      <c r="O107" s="295">
        <v>4.8999999999999998E-3</v>
      </c>
      <c r="P107" s="315">
        <v>397879279.51999998</v>
      </c>
      <c r="Q107" s="357">
        <v>42836</v>
      </c>
      <c r="R107" s="353">
        <v>0.1129</v>
      </c>
      <c r="S107" s="354">
        <v>1.7392000000000001</v>
      </c>
      <c r="T107" s="353">
        <v>0.19220000000000001</v>
      </c>
      <c r="U107" s="354">
        <v>2.0432999999999999</v>
      </c>
      <c r="V107" s="353">
        <v>0.24440000000000001</v>
      </c>
      <c r="W107" s="354">
        <v>2.0228999999999999</v>
      </c>
      <c r="X107" s="353">
        <v>0.48770000000000002</v>
      </c>
      <c r="Y107" s="354">
        <v>2.8944000000000001</v>
      </c>
      <c r="Z107" s="353">
        <v>6.4000000000000001E-2</v>
      </c>
      <c r="AA107" s="355">
        <v>1.3746880984598548</v>
      </c>
    </row>
    <row r="108" spans="1:27">
      <c r="E108" s="292" t="s">
        <v>852</v>
      </c>
      <c r="F108" s="293">
        <v>2820307</v>
      </c>
      <c r="G108" s="294">
        <v>12831360000114</v>
      </c>
      <c r="H108" s="293" t="s">
        <v>1078</v>
      </c>
      <c r="I108" s="293" t="s">
        <v>962</v>
      </c>
      <c r="J108" s="295" t="s">
        <v>1827</v>
      </c>
      <c r="K108" s="293" t="s">
        <v>954</v>
      </c>
      <c r="L108" s="293" t="s">
        <v>87</v>
      </c>
      <c r="M108" s="293">
        <v>61</v>
      </c>
      <c r="N108" s="295">
        <v>7.0000000000000001E-3</v>
      </c>
      <c r="O108" s="295">
        <v>3.16666E-3</v>
      </c>
      <c r="P108" s="315">
        <v>951036823.32000005</v>
      </c>
      <c r="Q108" s="357">
        <v>40513</v>
      </c>
      <c r="R108" s="353">
        <v>0.20169999999999999</v>
      </c>
      <c r="S108" s="354">
        <v>3.1071</v>
      </c>
      <c r="T108" s="353">
        <v>0.28689999999999999</v>
      </c>
      <c r="U108" s="354">
        <v>3.0491000000000001</v>
      </c>
      <c r="V108" s="353">
        <v>0.4012</v>
      </c>
      <c r="W108" s="354">
        <v>3.3210000000000002</v>
      </c>
      <c r="X108" s="353">
        <v>0.47649999999999998</v>
      </c>
      <c r="Y108" s="354">
        <v>2.8275999999999999</v>
      </c>
      <c r="Z108" s="353">
        <v>7.3599999999999999E-2</v>
      </c>
      <c r="AA108" s="355">
        <v>2.2425434684974981</v>
      </c>
    </row>
    <row r="109" spans="1:27">
      <c r="E109" s="292" t="s">
        <v>997</v>
      </c>
      <c r="F109" s="293">
        <v>545167</v>
      </c>
      <c r="G109" s="294">
        <v>29127763000180</v>
      </c>
      <c r="H109" s="293" t="s">
        <v>1078</v>
      </c>
      <c r="I109" s="293" t="s">
        <v>962</v>
      </c>
      <c r="J109" s="295" t="s">
        <v>1827</v>
      </c>
      <c r="K109" s="293" t="s">
        <v>954</v>
      </c>
      <c r="L109" s="293" t="s">
        <v>87</v>
      </c>
      <c r="M109" s="293">
        <v>61</v>
      </c>
      <c r="N109" s="295">
        <v>0.02</v>
      </c>
      <c r="O109" s="295">
        <v>3.3333333333333331E-3</v>
      </c>
      <c r="P109" s="315" t="s">
        <v>66</v>
      </c>
      <c r="Q109" s="357">
        <v>43159</v>
      </c>
      <c r="R109" s="353" t="s">
        <v>66</v>
      </c>
      <c r="S109" s="354" t="s">
        <v>66</v>
      </c>
      <c r="T109" s="353" t="s">
        <v>66</v>
      </c>
      <c r="U109" s="354" t="s">
        <v>66</v>
      </c>
      <c r="V109" s="353" t="s">
        <v>66</v>
      </c>
      <c r="W109" s="354" t="s">
        <v>66</v>
      </c>
      <c r="X109" s="353" t="s">
        <v>66</v>
      </c>
      <c r="Y109" s="354" t="s">
        <v>66</v>
      </c>
      <c r="Z109" s="353" t="s">
        <v>66</v>
      </c>
      <c r="AA109" s="355" t="s">
        <v>66</v>
      </c>
    </row>
    <row r="110" spans="1:27">
      <c r="E110" s="292" t="s">
        <v>998</v>
      </c>
      <c r="F110" s="293">
        <v>952646</v>
      </c>
      <c r="G110" s="294">
        <v>29148660000104</v>
      </c>
      <c r="H110" s="293" t="s">
        <v>1078</v>
      </c>
      <c r="I110" s="293" t="s">
        <v>962</v>
      </c>
      <c r="J110" s="295" t="s">
        <v>1827</v>
      </c>
      <c r="K110" s="293" t="s">
        <v>954</v>
      </c>
      <c r="L110" s="293" t="s">
        <v>87</v>
      </c>
      <c r="M110" s="293">
        <v>31</v>
      </c>
      <c r="N110" s="295">
        <v>1.9E-2</v>
      </c>
      <c r="O110" s="295">
        <v>4.7499999999999999E-3</v>
      </c>
      <c r="P110" s="315">
        <v>167687446.18000001</v>
      </c>
      <c r="Q110" s="357">
        <v>43188</v>
      </c>
      <c r="R110" s="353">
        <v>0.13750000000000001</v>
      </c>
      <c r="S110" s="354">
        <v>2.1181000000000001</v>
      </c>
      <c r="T110" s="353">
        <v>0.19550000000000001</v>
      </c>
      <c r="U110" s="354">
        <v>2.0775999999999999</v>
      </c>
      <c r="V110" s="353">
        <v>0.22489999999999999</v>
      </c>
      <c r="W110" s="354">
        <v>1.8613</v>
      </c>
      <c r="X110" s="353">
        <v>0.39939999999999998</v>
      </c>
      <c r="Y110" s="354">
        <v>2.3698999999999999</v>
      </c>
      <c r="Z110" s="353">
        <v>3.6999999999999998E-2</v>
      </c>
      <c r="AA110" s="355">
        <v>2.4169236301055204</v>
      </c>
    </row>
    <row r="111" spans="1:27">
      <c r="E111" s="292" t="s">
        <v>725</v>
      </c>
      <c r="F111" s="293">
        <v>527140</v>
      </c>
      <c r="G111" s="294">
        <v>30593439000136</v>
      </c>
      <c r="H111" s="293" t="s">
        <v>1078</v>
      </c>
      <c r="I111" s="293" t="s">
        <v>962</v>
      </c>
      <c r="J111" s="295" t="s">
        <v>1827</v>
      </c>
      <c r="K111" s="293" t="s">
        <v>954</v>
      </c>
      <c r="L111" s="293" t="s">
        <v>87</v>
      </c>
      <c r="M111" s="293">
        <v>61</v>
      </c>
      <c r="N111" s="295">
        <v>1.9E-2</v>
      </c>
      <c r="O111" s="295">
        <v>1.2666666666666666E-3</v>
      </c>
      <c r="P111" s="315">
        <v>782573318.95000005</v>
      </c>
      <c r="Q111" s="357">
        <v>43462</v>
      </c>
      <c r="R111" s="353">
        <v>0.22600000000000001</v>
      </c>
      <c r="S111" s="354">
        <v>3.4817</v>
      </c>
      <c r="T111" s="353">
        <v>0.32729999999999998</v>
      </c>
      <c r="U111" s="354">
        <v>3.4790000000000001</v>
      </c>
      <c r="V111" s="353">
        <v>0.3851</v>
      </c>
      <c r="W111" s="354">
        <v>3.1877</v>
      </c>
      <c r="X111" s="353">
        <v>0.80400000000000005</v>
      </c>
      <c r="Y111" s="354">
        <v>4.7712000000000003</v>
      </c>
      <c r="Z111" s="353">
        <v>7.3999999999999996E-2</v>
      </c>
      <c r="AA111" s="355">
        <v>2.6497147948217981</v>
      </c>
    </row>
    <row r="112" spans="1:27">
      <c r="E112" s="292" t="s">
        <v>111</v>
      </c>
      <c r="F112" s="293">
        <v>545851</v>
      </c>
      <c r="G112" s="294">
        <v>21983042000160</v>
      </c>
      <c r="H112" s="293" t="s">
        <v>1843</v>
      </c>
      <c r="I112" s="293" t="s">
        <v>962</v>
      </c>
      <c r="J112" s="295" t="s">
        <v>1827</v>
      </c>
      <c r="K112" s="293" t="s">
        <v>954</v>
      </c>
      <c r="L112" s="293" t="s">
        <v>87</v>
      </c>
      <c r="M112" s="293">
        <v>18</v>
      </c>
      <c r="N112" s="295">
        <v>1.9E-2</v>
      </c>
      <c r="O112" s="295">
        <v>3.7999999999999996E-3</v>
      </c>
      <c r="P112" s="315">
        <v>711611021.73000002</v>
      </c>
      <c r="Q112" s="357">
        <v>42153</v>
      </c>
      <c r="R112" s="353">
        <v>4.24E-2</v>
      </c>
      <c r="S112" s="354">
        <v>0.65300000000000002</v>
      </c>
      <c r="T112" s="353">
        <v>7.0300000000000001E-2</v>
      </c>
      <c r="U112" s="354">
        <v>0.74680000000000002</v>
      </c>
      <c r="V112" s="353">
        <v>9.4200000000000006E-2</v>
      </c>
      <c r="W112" s="354">
        <v>0.77990000000000004</v>
      </c>
      <c r="X112" s="353">
        <v>0.14960000000000001</v>
      </c>
      <c r="Y112" s="354">
        <v>0.88800000000000001</v>
      </c>
      <c r="Z112" s="353">
        <v>1.6500000000000001E-2</v>
      </c>
      <c r="AA112" s="355">
        <v>-1.3248608775057409</v>
      </c>
    </row>
    <row r="113" spans="5:27">
      <c r="E113" s="292" t="s">
        <v>1093</v>
      </c>
      <c r="F113" s="293">
        <v>1176352</v>
      </c>
      <c r="G113" s="294">
        <v>29177012000178</v>
      </c>
      <c r="H113" s="293" t="s">
        <v>1843</v>
      </c>
      <c r="I113" s="293" t="s">
        <v>962</v>
      </c>
      <c r="J113" s="295" t="s">
        <v>1827</v>
      </c>
      <c r="K113" s="293" t="s">
        <v>954</v>
      </c>
      <c r="L113" s="293" t="s">
        <v>87</v>
      </c>
      <c r="M113" s="293">
        <v>30</v>
      </c>
      <c r="N113" s="295">
        <v>1.9E-2</v>
      </c>
      <c r="O113" s="295">
        <v>3.8E-3</v>
      </c>
      <c r="P113" s="315">
        <v>194846265.84</v>
      </c>
      <c r="Q113" s="357">
        <v>43235</v>
      </c>
      <c r="R113" s="353">
        <v>0.1343</v>
      </c>
      <c r="S113" s="354">
        <v>2.0687000000000002</v>
      </c>
      <c r="T113" s="353">
        <v>0.1827</v>
      </c>
      <c r="U113" s="354">
        <v>1.9415</v>
      </c>
      <c r="V113" s="353">
        <v>0.24970000000000001</v>
      </c>
      <c r="W113" s="354">
        <v>2.0670000000000002</v>
      </c>
      <c r="X113" s="353">
        <v>0.32990000000000003</v>
      </c>
      <c r="Y113" s="354">
        <v>1.958</v>
      </c>
      <c r="Z113" s="353">
        <v>4.2299999999999997E-2</v>
      </c>
      <c r="AA113" s="355">
        <v>1.8628979506973837</v>
      </c>
    </row>
    <row r="114" spans="5:27">
      <c r="E114" s="292" t="s">
        <v>115</v>
      </c>
      <c r="F114" s="293">
        <v>1262618</v>
      </c>
      <c r="G114" s="294">
        <v>23565803000199</v>
      </c>
      <c r="H114" s="293" t="s">
        <v>1843</v>
      </c>
      <c r="I114" s="293" t="s">
        <v>962</v>
      </c>
      <c r="J114" s="295" t="s">
        <v>1827</v>
      </c>
      <c r="K114" s="293" t="s">
        <v>954</v>
      </c>
      <c r="L114" s="293" t="s">
        <v>87</v>
      </c>
      <c r="M114" s="293">
        <v>30</v>
      </c>
      <c r="N114" s="295">
        <v>1.9E-2</v>
      </c>
      <c r="O114" s="295">
        <v>3.8E-3</v>
      </c>
      <c r="P114" s="315">
        <v>3374752953.3800001</v>
      </c>
      <c r="Q114" s="357">
        <v>42366</v>
      </c>
      <c r="R114" s="353">
        <v>0.13500000000000001</v>
      </c>
      <c r="S114" s="354">
        <v>2.0790000000000002</v>
      </c>
      <c r="T114" s="353">
        <v>0.18340000000000001</v>
      </c>
      <c r="U114" s="354">
        <v>1.9497</v>
      </c>
      <c r="V114" s="353">
        <v>0.25090000000000001</v>
      </c>
      <c r="W114" s="354">
        <v>2.077</v>
      </c>
      <c r="X114" s="353">
        <v>0.33139999999999997</v>
      </c>
      <c r="Y114" s="354">
        <v>1.9663999999999999</v>
      </c>
      <c r="Z114" s="353">
        <v>4.2599999999999999E-2</v>
      </c>
      <c r="AA114" s="355">
        <v>1.8651055090406587</v>
      </c>
    </row>
    <row r="115" spans="5:27">
      <c r="E115" s="292" t="s">
        <v>124</v>
      </c>
      <c r="F115" s="293">
        <v>2153626</v>
      </c>
      <c r="G115" s="294">
        <v>34774662000130</v>
      </c>
      <c r="H115" s="293" t="s">
        <v>1843</v>
      </c>
      <c r="I115" s="293" t="s">
        <v>962</v>
      </c>
      <c r="J115" s="295" t="s">
        <v>1827</v>
      </c>
      <c r="K115" s="293" t="s">
        <v>954</v>
      </c>
      <c r="L115" s="293" t="s">
        <v>87</v>
      </c>
      <c r="M115" s="293">
        <v>31</v>
      </c>
      <c r="N115" s="295">
        <v>1.9199999999999998E-2</v>
      </c>
      <c r="O115" s="295">
        <v>4.7999999999999996E-3</v>
      </c>
      <c r="P115" s="315">
        <v>297718992.82999998</v>
      </c>
      <c r="Q115" s="357">
        <v>43738</v>
      </c>
      <c r="R115" s="353">
        <v>7.0400000000000004E-2</v>
      </c>
      <c r="S115" s="354">
        <v>1.0845</v>
      </c>
      <c r="T115" s="353">
        <v>9.3100000000000002E-2</v>
      </c>
      <c r="U115" s="354">
        <v>0.98919999999999997</v>
      </c>
      <c r="V115" s="353">
        <v>0.1477</v>
      </c>
      <c r="W115" s="354">
        <v>1.2229000000000001</v>
      </c>
      <c r="X115" s="353" t="s">
        <v>66</v>
      </c>
      <c r="Y115" s="354" t="s">
        <v>66</v>
      </c>
      <c r="Z115" s="353">
        <v>4.4699999999999997E-2</v>
      </c>
      <c r="AA115" s="355">
        <v>1.5303510776864299E-3</v>
      </c>
    </row>
    <row r="116" spans="5:27">
      <c r="E116" s="292" t="s">
        <v>154</v>
      </c>
      <c r="F116" s="293">
        <v>1907141</v>
      </c>
      <c r="G116" s="294">
        <v>30998100000110</v>
      </c>
      <c r="H116" s="293" t="s">
        <v>1843</v>
      </c>
      <c r="I116" s="293" t="s">
        <v>962</v>
      </c>
      <c r="J116" s="295" t="s">
        <v>1827</v>
      </c>
      <c r="K116" s="293" t="s">
        <v>954</v>
      </c>
      <c r="L116" s="293" t="s">
        <v>87</v>
      </c>
      <c r="M116" s="293">
        <v>46</v>
      </c>
      <c r="N116" s="295">
        <v>0.01</v>
      </c>
      <c r="O116" s="295">
        <v>5.4000000000000003E-3</v>
      </c>
      <c r="P116" s="315" t="s">
        <v>66</v>
      </c>
      <c r="Q116" s="357">
        <v>43532</v>
      </c>
      <c r="R116" s="353" t="s">
        <v>66</v>
      </c>
      <c r="S116" s="354" t="s">
        <v>66</v>
      </c>
      <c r="T116" s="353" t="s">
        <v>66</v>
      </c>
      <c r="U116" s="354" t="s">
        <v>66</v>
      </c>
      <c r="V116" s="353" t="s">
        <v>66</v>
      </c>
      <c r="W116" s="354" t="s">
        <v>66</v>
      </c>
      <c r="X116" s="353" t="s">
        <v>66</v>
      </c>
      <c r="Y116" s="354" t="s">
        <v>66</v>
      </c>
      <c r="Z116" s="353" t="s">
        <v>66</v>
      </c>
      <c r="AA116" s="355" t="s">
        <v>66</v>
      </c>
    </row>
    <row r="117" spans="5:27">
      <c r="E117" s="292" t="s">
        <v>1143</v>
      </c>
      <c r="F117" s="293">
        <v>1042015</v>
      </c>
      <c r="G117" s="294">
        <v>44417227000102</v>
      </c>
      <c r="H117" s="293" t="s">
        <v>1843</v>
      </c>
      <c r="I117" s="293" t="s">
        <v>962</v>
      </c>
      <c r="J117" s="295" t="s">
        <v>1827</v>
      </c>
      <c r="K117" s="293" t="s">
        <v>954</v>
      </c>
      <c r="L117" s="293" t="s">
        <v>87</v>
      </c>
      <c r="M117" s="293">
        <v>46</v>
      </c>
      <c r="N117" s="295">
        <v>1.6E-2</v>
      </c>
      <c r="O117" s="295">
        <v>5.4000000000000003E-3</v>
      </c>
      <c r="P117" s="315">
        <v>18142921.809999999</v>
      </c>
      <c r="Q117" s="357">
        <v>44552</v>
      </c>
      <c r="R117" s="353">
        <v>8.9300000000000004E-2</v>
      </c>
      <c r="S117" s="354">
        <v>1.3748</v>
      </c>
      <c r="T117" s="353" t="s">
        <v>66</v>
      </c>
      <c r="U117" s="354" t="s">
        <v>66</v>
      </c>
      <c r="V117" s="353" t="s">
        <v>66</v>
      </c>
      <c r="W117" s="354" t="s">
        <v>66</v>
      </c>
      <c r="X117" s="353" t="s">
        <v>66</v>
      </c>
      <c r="Y117" s="354" t="s">
        <v>66</v>
      </c>
      <c r="Z117" s="353" t="s">
        <v>66</v>
      </c>
      <c r="AA117" s="355" t="s">
        <v>66</v>
      </c>
    </row>
    <row r="118" spans="5:27">
      <c r="E118" s="292" t="s">
        <v>758</v>
      </c>
      <c r="F118" s="293">
        <v>534882</v>
      </c>
      <c r="G118" s="294">
        <v>20226378000115</v>
      </c>
      <c r="H118" s="293" t="s">
        <v>1843</v>
      </c>
      <c r="I118" s="293" t="s">
        <v>962</v>
      </c>
      <c r="J118" s="295" t="s">
        <v>1827</v>
      </c>
      <c r="K118" s="293" t="s">
        <v>66</v>
      </c>
      <c r="L118" s="293" t="s">
        <v>87</v>
      </c>
      <c r="M118" s="293">
        <v>31</v>
      </c>
      <c r="N118" s="295">
        <v>0.02</v>
      </c>
      <c r="O118" s="295">
        <v>4.0000000000000001E-3</v>
      </c>
      <c r="P118" s="315">
        <v>915367802.10000002</v>
      </c>
      <c r="Q118" s="357">
        <v>41852</v>
      </c>
      <c r="R118" s="353">
        <v>9.1200000000000003E-2</v>
      </c>
      <c r="S118" s="354">
        <v>1.4052</v>
      </c>
      <c r="T118" s="353">
        <v>0.1124</v>
      </c>
      <c r="U118" s="354">
        <v>1.1946000000000001</v>
      </c>
      <c r="V118" s="353">
        <v>0.2858</v>
      </c>
      <c r="W118" s="354">
        <v>2.3660000000000001</v>
      </c>
      <c r="X118" s="353">
        <v>0.22689999999999999</v>
      </c>
      <c r="Y118" s="354">
        <v>1.3463000000000001</v>
      </c>
      <c r="Z118" s="353">
        <v>7.7700000000000005E-2</v>
      </c>
      <c r="AA118" s="355">
        <v>0.25243717270068927</v>
      </c>
    </row>
    <row r="119" spans="5:27">
      <c r="E119" s="292" t="s">
        <v>47</v>
      </c>
      <c r="F119" s="293">
        <v>833308</v>
      </c>
      <c r="G119" s="294">
        <v>8893082000152</v>
      </c>
      <c r="H119" s="293" t="s">
        <v>1843</v>
      </c>
      <c r="I119" s="293" t="s">
        <v>962</v>
      </c>
      <c r="J119" s="295" t="s">
        <v>1827</v>
      </c>
      <c r="K119" s="293" t="s">
        <v>954</v>
      </c>
      <c r="L119" s="293" t="s">
        <v>87</v>
      </c>
      <c r="M119" s="293">
        <v>30</v>
      </c>
      <c r="N119" s="295">
        <v>1.975E-2</v>
      </c>
      <c r="O119" s="295">
        <v>3.9499999999999995E-3</v>
      </c>
      <c r="P119" s="315">
        <v>1035603558.66</v>
      </c>
      <c r="Q119" s="357">
        <v>39629</v>
      </c>
      <c r="R119" s="353">
        <v>0.1376</v>
      </c>
      <c r="S119" s="354">
        <v>2.1196000000000002</v>
      </c>
      <c r="T119" s="353">
        <v>0.1608</v>
      </c>
      <c r="U119" s="354">
        <v>1.7090000000000001</v>
      </c>
      <c r="V119" s="353">
        <v>0.24379999999999999</v>
      </c>
      <c r="W119" s="354">
        <v>2.0183</v>
      </c>
      <c r="X119" s="353">
        <v>0.33879999999999999</v>
      </c>
      <c r="Y119" s="354">
        <v>2.0106999999999999</v>
      </c>
      <c r="Z119" s="353">
        <v>4.07E-2</v>
      </c>
      <c r="AA119" s="355">
        <v>1.4734128705527543</v>
      </c>
    </row>
    <row r="120" spans="5:27">
      <c r="E120" s="292" t="s">
        <v>994</v>
      </c>
      <c r="F120" s="293">
        <v>534714</v>
      </c>
      <c r="G120" s="294">
        <v>30556738000109</v>
      </c>
      <c r="H120" s="293" t="s">
        <v>1843</v>
      </c>
      <c r="I120" s="293" t="s">
        <v>962</v>
      </c>
      <c r="J120" s="295" t="s">
        <v>1827</v>
      </c>
      <c r="K120" s="293" t="s">
        <v>954</v>
      </c>
      <c r="L120" s="293" t="s">
        <v>87</v>
      </c>
      <c r="M120" s="293">
        <v>90</v>
      </c>
      <c r="N120" s="295">
        <v>1.975E-2</v>
      </c>
      <c r="O120" s="295">
        <v>3.9500000000000004E-3</v>
      </c>
      <c r="P120" s="315">
        <v>612077606.28999996</v>
      </c>
      <c r="Q120" s="357">
        <v>43375</v>
      </c>
      <c r="R120" s="353">
        <v>0.1797</v>
      </c>
      <c r="S120" s="354">
        <v>2.7673999999999999</v>
      </c>
      <c r="T120" s="353">
        <v>0.20369999999999999</v>
      </c>
      <c r="U120" s="354">
        <v>2.1646000000000001</v>
      </c>
      <c r="V120" s="353">
        <v>0.33050000000000002</v>
      </c>
      <c r="W120" s="354">
        <v>2.7357999999999998</v>
      </c>
      <c r="X120" s="353">
        <v>0.4587</v>
      </c>
      <c r="Y120" s="354">
        <v>2.7221000000000002</v>
      </c>
      <c r="Z120" s="353">
        <v>5.9799999999999999E-2</v>
      </c>
      <c r="AA120" s="355">
        <v>1.6271026556384292</v>
      </c>
    </row>
    <row r="121" spans="5:27">
      <c r="E121" s="292" t="s">
        <v>1433</v>
      </c>
      <c r="F121" s="293">
        <v>1327075</v>
      </c>
      <c r="G121" s="294">
        <v>32300350000160</v>
      </c>
      <c r="H121" s="293" t="s">
        <v>1843</v>
      </c>
      <c r="I121" s="293" t="s">
        <v>962</v>
      </c>
      <c r="J121" s="295" t="s">
        <v>1827</v>
      </c>
      <c r="K121" s="293" t="s">
        <v>66</v>
      </c>
      <c r="L121" s="293" t="s">
        <v>87</v>
      </c>
      <c r="M121" s="293">
        <v>31</v>
      </c>
      <c r="N121" s="295">
        <v>0.02</v>
      </c>
      <c r="O121" s="295">
        <v>2.6666666666666666E-3</v>
      </c>
      <c r="P121" s="315">
        <v>447232772.41000003</v>
      </c>
      <c r="Q121" s="357">
        <v>43507</v>
      </c>
      <c r="R121" s="353">
        <v>8.9499999999999996E-2</v>
      </c>
      <c r="S121" s="354">
        <v>1.3793</v>
      </c>
      <c r="T121" s="353">
        <v>0.1099</v>
      </c>
      <c r="U121" s="354">
        <v>1.1677</v>
      </c>
      <c r="V121" s="353">
        <v>0.11609999999999999</v>
      </c>
      <c r="W121" s="354">
        <v>0.96099999999999997</v>
      </c>
      <c r="X121" s="353">
        <v>0.23119999999999999</v>
      </c>
      <c r="Y121" s="354">
        <v>1.3718999999999999</v>
      </c>
      <c r="Z121" s="353">
        <v>2.23E-2</v>
      </c>
      <c r="AA121" s="355">
        <v>0.6527072069768135</v>
      </c>
    </row>
    <row r="122" spans="5:27">
      <c r="E122" s="292" t="s">
        <v>1444</v>
      </c>
      <c r="F122" s="293">
        <v>3183994</v>
      </c>
      <c r="G122" s="294">
        <v>17429959000140</v>
      </c>
      <c r="H122" s="293" t="s">
        <v>1843</v>
      </c>
      <c r="I122" s="293" t="s">
        <v>962</v>
      </c>
      <c r="J122" s="295" t="s">
        <v>1827</v>
      </c>
      <c r="K122" s="293" t="s">
        <v>954</v>
      </c>
      <c r="L122" s="293" t="s">
        <v>87</v>
      </c>
      <c r="M122" s="293">
        <v>31</v>
      </c>
      <c r="N122" s="295">
        <v>0.02</v>
      </c>
      <c r="O122" s="295">
        <v>4.0000000000000001E-3</v>
      </c>
      <c r="P122" s="315">
        <v>85792769.409999996</v>
      </c>
      <c r="Q122" s="357">
        <v>41332</v>
      </c>
      <c r="R122" s="353">
        <v>0.1012</v>
      </c>
      <c r="S122" s="354">
        <v>1.5581</v>
      </c>
      <c r="T122" s="353">
        <v>0.1414</v>
      </c>
      <c r="U122" s="354">
        <v>1.5026999999999999</v>
      </c>
      <c r="V122" s="353">
        <v>0.24260000000000001</v>
      </c>
      <c r="W122" s="354">
        <v>2.0078</v>
      </c>
      <c r="X122" s="353">
        <v>0.24940000000000001</v>
      </c>
      <c r="Y122" s="354">
        <v>1.4798</v>
      </c>
      <c r="Z122" s="353">
        <v>4.36E-2</v>
      </c>
      <c r="AA122" s="355">
        <v>0.99226097449441275</v>
      </c>
    </row>
    <row r="123" spans="5:27">
      <c r="E123" s="292" t="s">
        <v>435</v>
      </c>
      <c r="F123" s="293">
        <v>541624</v>
      </c>
      <c r="G123" s="294">
        <v>12105992000109</v>
      </c>
      <c r="H123" s="293" t="s">
        <v>1843</v>
      </c>
      <c r="I123" s="293" t="s">
        <v>962</v>
      </c>
      <c r="J123" s="295" t="s">
        <v>1827</v>
      </c>
      <c r="K123" s="293" t="s">
        <v>954</v>
      </c>
      <c r="L123" s="293" t="s">
        <v>87</v>
      </c>
      <c r="M123" s="293">
        <v>61</v>
      </c>
      <c r="N123" s="295">
        <v>0.02</v>
      </c>
      <c r="O123" s="295" t="s">
        <v>66</v>
      </c>
      <c r="P123" s="315">
        <v>2427350683.1300001</v>
      </c>
      <c r="Q123" s="357">
        <v>40422</v>
      </c>
      <c r="R123" s="353">
        <v>0.129</v>
      </c>
      <c r="S123" s="354">
        <v>1.9865999999999999</v>
      </c>
      <c r="T123" s="353">
        <v>0.184</v>
      </c>
      <c r="U123" s="354">
        <v>1.9554</v>
      </c>
      <c r="V123" s="353">
        <v>0.3579</v>
      </c>
      <c r="W123" s="354">
        <v>2.9628000000000001</v>
      </c>
      <c r="X123" s="353">
        <v>0.32150000000000001</v>
      </c>
      <c r="Y123" s="354">
        <v>1.9077</v>
      </c>
      <c r="Z123" s="353">
        <v>7.3700000000000002E-2</v>
      </c>
      <c r="AA123" s="355">
        <v>1.1083000150432749</v>
      </c>
    </row>
    <row r="124" spans="5:27">
      <c r="E124" s="292" t="s">
        <v>457</v>
      </c>
      <c r="F124" s="293">
        <v>1078067</v>
      </c>
      <c r="G124" s="294">
        <v>30586677000114</v>
      </c>
      <c r="H124" s="293" t="s">
        <v>1843</v>
      </c>
      <c r="I124" s="293" t="s">
        <v>962</v>
      </c>
      <c r="J124" s="295" t="s">
        <v>1827</v>
      </c>
      <c r="K124" s="293" t="s">
        <v>954</v>
      </c>
      <c r="L124" s="293" t="s">
        <v>87</v>
      </c>
      <c r="M124" s="293">
        <v>31</v>
      </c>
      <c r="N124" s="295">
        <v>1.9E-2</v>
      </c>
      <c r="O124" s="295">
        <v>3.8E-3</v>
      </c>
      <c r="P124" s="315">
        <v>583679200.12</v>
      </c>
      <c r="Q124" s="357">
        <v>43280</v>
      </c>
      <c r="R124" s="353">
        <v>0.18149999999999999</v>
      </c>
      <c r="S124" s="354">
        <v>2.7949000000000002</v>
      </c>
      <c r="T124" s="353">
        <v>0.2157</v>
      </c>
      <c r="U124" s="354">
        <v>2.2930000000000001</v>
      </c>
      <c r="V124" s="353">
        <v>0.27950000000000003</v>
      </c>
      <c r="W124" s="354">
        <v>2.3138999999999998</v>
      </c>
      <c r="X124" s="353">
        <v>0.40389999999999998</v>
      </c>
      <c r="Y124" s="354">
        <v>2.3967999999999998</v>
      </c>
      <c r="Z124" s="353">
        <v>5.67E-2</v>
      </c>
      <c r="AA124" s="355">
        <v>1.88927703699306</v>
      </c>
    </row>
    <row r="125" spans="5:27">
      <c r="E125" s="292" t="s">
        <v>1458</v>
      </c>
      <c r="F125" s="293">
        <v>522053</v>
      </c>
      <c r="G125" s="294">
        <v>30338679000194</v>
      </c>
      <c r="H125" s="293" t="s">
        <v>1843</v>
      </c>
      <c r="I125" s="293" t="s">
        <v>962</v>
      </c>
      <c r="J125" s="295" t="s">
        <v>1827</v>
      </c>
      <c r="K125" s="293" t="s">
        <v>954</v>
      </c>
      <c r="L125" s="293" t="s">
        <v>87</v>
      </c>
      <c r="M125" s="293">
        <v>31</v>
      </c>
      <c r="N125" s="295">
        <v>1.9E-2</v>
      </c>
      <c r="O125" s="295">
        <v>4.7499999999999999E-3</v>
      </c>
      <c r="P125" s="315">
        <v>1240183154.96</v>
      </c>
      <c r="Q125" s="357">
        <v>43280</v>
      </c>
      <c r="R125" s="353">
        <v>0.18060000000000001</v>
      </c>
      <c r="S125" s="354">
        <v>2.782</v>
      </c>
      <c r="T125" s="353">
        <v>0.21479999999999999</v>
      </c>
      <c r="U125" s="354">
        <v>2.2835000000000001</v>
      </c>
      <c r="V125" s="353">
        <v>0.27829999999999999</v>
      </c>
      <c r="W125" s="354">
        <v>2.3033000000000001</v>
      </c>
      <c r="X125" s="353">
        <v>0.40129999999999999</v>
      </c>
      <c r="Y125" s="354">
        <v>2.3812000000000002</v>
      </c>
      <c r="Z125" s="353">
        <v>5.62E-2</v>
      </c>
      <c r="AA125" s="355">
        <v>1.8920194264705463</v>
      </c>
    </row>
    <row r="126" spans="5:27">
      <c r="E126" s="292" t="s">
        <v>485</v>
      </c>
      <c r="F126" s="293">
        <v>808351</v>
      </c>
      <c r="G126" s="294">
        <v>32397723000162</v>
      </c>
      <c r="H126" s="293" t="s">
        <v>1843</v>
      </c>
      <c r="I126" s="293" t="s">
        <v>962</v>
      </c>
      <c r="J126" s="295" t="s">
        <v>1827</v>
      </c>
      <c r="K126" s="293" t="s">
        <v>954</v>
      </c>
      <c r="L126" s="293" t="s">
        <v>87</v>
      </c>
      <c r="M126" s="293">
        <v>31</v>
      </c>
      <c r="N126" s="295">
        <v>0.02</v>
      </c>
      <c r="O126" s="295" t="s">
        <v>66</v>
      </c>
      <c r="P126" s="315">
        <v>963322299.99000001</v>
      </c>
      <c r="Q126" s="357">
        <v>43497</v>
      </c>
      <c r="R126" s="353">
        <v>0.17019999999999999</v>
      </c>
      <c r="S126" s="354">
        <v>2.6212</v>
      </c>
      <c r="T126" s="353">
        <v>0.1245</v>
      </c>
      <c r="U126" s="354">
        <v>1.3230999999999999</v>
      </c>
      <c r="V126" s="353">
        <v>0.1996</v>
      </c>
      <c r="W126" s="354">
        <v>1.6525000000000001</v>
      </c>
      <c r="X126" s="353">
        <v>0.47239999999999999</v>
      </c>
      <c r="Y126" s="354">
        <v>2.8031999999999999</v>
      </c>
      <c r="Z126" s="353">
        <v>0.13089999999999999</v>
      </c>
      <c r="AA126" s="355">
        <v>0.27486878861062275</v>
      </c>
    </row>
    <row r="127" spans="5:27">
      <c r="E127" s="292" t="s">
        <v>1526</v>
      </c>
      <c r="F127" s="293">
        <v>564000</v>
      </c>
      <c r="G127" s="294">
        <v>35342982000184</v>
      </c>
      <c r="H127" s="293" t="s">
        <v>1843</v>
      </c>
      <c r="I127" s="293" t="s">
        <v>962</v>
      </c>
      <c r="J127" s="295" t="s">
        <v>1827</v>
      </c>
      <c r="K127" s="293" t="s">
        <v>951</v>
      </c>
      <c r="L127" s="293" t="s">
        <v>87</v>
      </c>
      <c r="M127" s="293">
        <v>32</v>
      </c>
      <c r="N127" s="295">
        <v>0.02</v>
      </c>
      <c r="O127" s="295">
        <v>5.0000000000000001E-3</v>
      </c>
      <c r="P127" s="315">
        <v>241093499.77000001</v>
      </c>
      <c r="Q127" s="357">
        <v>43844</v>
      </c>
      <c r="R127" s="353">
        <v>6.7400000000000002E-2</v>
      </c>
      <c r="S127" s="354">
        <v>1.0374000000000001</v>
      </c>
      <c r="T127" s="353">
        <v>8.2000000000000003E-2</v>
      </c>
      <c r="U127" s="354">
        <v>0.87180000000000002</v>
      </c>
      <c r="V127" s="353">
        <v>0.12529999999999999</v>
      </c>
      <c r="W127" s="354">
        <v>1.0371999999999999</v>
      </c>
      <c r="X127" s="353" t="s">
        <v>66</v>
      </c>
      <c r="Y127" s="354" t="s">
        <v>66</v>
      </c>
      <c r="Z127" s="353">
        <v>3.39E-2</v>
      </c>
      <c r="AA127" s="355">
        <v>-0.31034874082211383</v>
      </c>
    </row>
    <row r="128" spans="5:27">
      <c r="E128" s="292" t="s">
        <v>1663</v>
      </c>
      <c r="F128" s="293">
        <v>1612732</v>
      </c>
      <c r="G128" s="294">
        <v>45126795000117</v>
      </c>
      <c r="H128" s="293" t="s">
        <v>1843</v>
      </c>
      <c r="I128" s="293" t="s">
        <v>962</v>
      </c>
      <c r="J128" s="295" t="s">
        <v>1827</v>
      </c>
      <c r="K128" s="293" t="s">
        <v>954</v>
      </c>
      <c r="L128" s="293" t="s">
        <v>87</v>
      </c>
      <c r="M128" s="293">
        <v>30</v>
      </c>
      <c r="N128" s="295">
        <v>1.9E-2</v>
      </c>
      <c r="O128" s="295">
        <v>5.0666666666666664E-3</v>
      </c>
      <c r="P128" s="315">
        <v>144898688.34999999</v>
      </c>
      <c r="Q128" s="357">
        <v>44617</v>
      </c>
      <c r="R128" s="353" t="s">
        <v>66</v>
      </c>
      <c r="S128" s="354" t="s">
        <v>66</v>
      </c>
      <c r="T128" s="353" t="s">
        <v>66</v>
      </c>
      <c r="U128" s="354" t="s">
        <v>66</v>
      </c>
      <c r="V128" s="353" t="s">
        <v>66</v>
      </c>
      <c r="W128" s="354" t="s">
        <v>66</v>
      </c>
      <c r="X128" s="353" t="s">
        <v>66</v>
      </c>
      <c r="Y128" s="354" t="s">
        <v>66</v>
      </c>
      <c r="Z128" s="353" t="s">
        <v>66</v>
      </c>
      <c r="AA128" s="355" t="s">
        <v>66</v>
      </c>
    </row>
    <row r="129" spans="1:27">
      <c r="E129" s="292" t="s">
        <v>731</v>
      </c>
      <c r="F129" s="293">
        <v>2805517</v>
      </c>
      <c r="G129" s="294">
        <v>24140275000199</v>
      </c>
      <c r="H129" s="293" t="s">
        <v>1843</v>
      </c>
      <c r="I129" s="293" t="s">
        <v>962</v>
      </c>
      <c r="J129" s="295" t="s">
        <v>1827</v>
      </c>
      <c r="K129" s="293" t="s">
        <v>954</v>
      </c>
      <c r="L129" s="293" t="s">
        <v>87</v>
      </c>
      <c r="M129" s="293">
        <v>47</v>
      </c>
      <c r="N129" s="295">
        <v>0.01</v>
      </c>
      <c r="O129" s="295">
        <v>3.0000000000000001E-3</v>
      </c>
      <c r="P129" s="315">
        <v>417784223.23000002</v>
      </c>
      <c r="Q129" s="357">
        <v>42564</v>
      </c>
      <c r="R129" s="353">
        <v>8.5000000000000006E-2</v>
      </c>
      <c r="S129" s="354">
        <v>1.3093999999999999</v>
      </c>
      <c r="T129" s="353">
        <v>7.8E-2</v>
      </c>
      <c r="U129" s="354">
        <v>0.82920000000000005</v>
      </c>
      <c r="V129" s="353">
        <v>0.17699999999999999</v>
      </c>
      <c r="W129" s="354">
        <v>1.4650000000000001</v>
      </c>
      <c r="X129" s="353">
        <v>0.24779999999999999</v>
      </c>
      <c r="Y129" s="354">
        <v>1.4704999999999999</v>
      </c>
      <c r="Z129" s="353">
        <v>5.5800000000000002E-2</v>
      </c>
      <c r="AA129" s="355">
        <v>-0.23771049909344968</v>
      </c>
    </row>
    <row r="130" spans="1:27" ht="5.25" customHeight="1">
      <c r="E130" s="297" t="s">
        <v>1916</v>
      </c>
      <c r="P130" s="320"/>
      <c r="Q130" s="360"/>
      <c r="AA130" s="299"/>
    </row>
    <row r="131" spans="1:27" s="282" customFormat="1">
      <c r="A131" s="300"/>
      <c r="B131" s="345" t="s">
        <v>20</v>
      </c>
      <c r="C131" s="335"/>
      <c r="D131" s="335"/>
      <c r="E131" s="284" t="s">
        <v>959</v>
      </c>
      <c r="F131" s="284"/>
      <c r="G131" s="284"/>
      <c r="H131" s="284"/>
      <c r="I131" s="285"/>
      <c r="J131" s="284"/>
      <c r="K131" s="284"/>
      <c r="L131" s="284"/>
      <c r="M131" s="284"/>
      <c r="N131" s="284"/>
      <c r="O131" s="284"/>
      <c r="P131" s="318"/>
      <c r="Q131" s="356"/>
      <c r="R131" s="284"/>
      <c r="S131" s="284"/>
      <c r="T131" s="284"/>
      <c r="U131" s="284"/>
      <c r="V131" s="284"/>
      <c r="W131" s="284"/>
      <c r="X131" s="284"/>
      <c r="Y131" s="284"/>
      <c r="Z131" s="284"/>
      <c r="AA131" s="286"/>
    </row>
    <row r="132" spans="1:27" s="282" customFormat="1" ht="3" customHeight="1">
      <c r="B132" s="335"/>
      <c r="C132" s="335"/>
      <c r="D132" s="335"/>
      <c r="I132" s="287"/>
      <c r="P132" s="317"/>
      <c r="Q132" s="358"/>
      <c r="AA132" s="288"/>
    </row>
    <row r="133" spans="1:27" s="282" customFormat="1">
      <c r="A133" s="327"/>
      <c r="B133" s="335" t="s">
        <v>959</v>
      </c>
      <c r="C133" s="335" t="s">
        <v>953</v>
      </c>
      <c r="D133" s="335" t="str">
        <f>B133&amp;" "&amp;C133</f>
        <v>Descorrelacionados Quant</v>
      </c>
      <c r="E133" s="289" t="s">
        <v>953</v>
      </c>
      <c r="F133" s="289"/>
      <c r="G133" s="289"/>
      <c r="H133" s="289"/>
      <c r="I133" s="290"/>
      <c r="J133" s="289"/>
      <c r="K133" s="289"/>
      <c r="L133" s="289"/>
      <c r="M133" s="289"/>
      <c r="N133" s="289"/>
      <c r="O133" s="289"/>
      <c r="P133" s="319"/>
      <c r="Q133" s="359"/>
      <c r="R133" s="289"/>
      <c r="S133" s="289"/>
      <c r="T133" s="289"/>
      <c r="U133" s="289"/>
      <c r="V133" s="289"/>
      <c r="W133" s="289"/>
      <c r="X133" s="289"/>
      <c r="Y133" s="289"/>
      <c r="Z133" s="289"/>
      <c r="AA133" s="291"/>
    </row>
    <row r="134" spans="1:27">
      <c r="E134" s="292" t="s">
        <v>363</v>
      </c>
      <c r="F134" s="293">
        <v>2790954</v>
      </c>
      <c r="G134" s="294">
        <v>11052478000181</v>
      </c>
      <c r="H134" s="293" t="s">
        <v>1078</v>
      </c>
      <c r="I134" s="293" t="s">
        <v>953</v>
      </c>
      <c r="J134" s="295" t="s">
        <v>1827</v>
      </c>
      <c r="K134" s="293" t="s">
        <v>954</v>
      </c>
      <c r="L134" s="293" t="s">
        <v>87</v>
      </c>
      <c r="M134" s="293">
        <v>33</v>
      </c>
      <c r="N134" s="295">
        <v>9.4999999999999998E-3</v>
      </c>
      <c r="O134" s="295">
        <v>1.9E-3</v>
      </c>
      <c r="P134" s="315">
        <v>645756992.07000005</v>
      </c>
      <c r="Q134" s="357">
        <v>40975</v>
      </c>
      <c r="R134" s="353">
        <v>7.5499999999999998E-2</v>
      </c>
      <c r="S134" s="354">
        <v>1.1636</v>
      </c>
      <c r="T134" s="353">
        <v>0.14080000000000001</v>
      </c>
      <c r="U134" s="354">
        <v>1.4965999999999999</v>
      </c>
      <c r="V134" s="353">
        <v>0.15490000000000001</v>
      </c>
      <c r="W134" s="354">
        <v>1.282</v>
      </c>
      <c r="X134" s="353">
        <v>0.33239999999999997</v>
      </c>
      <c r="Y134" s="354">
        <v>1.9722</v>
      </c>
      <c r="Z134" s="353">
        <v>5.74E-2</v>
      </c>
      <c r="AA134" s="355">
        <v>0.75711667622517687</v>
      </c>
    </row>
    <row r="135" spans="1:27">
      <c r="E135" s="292" t="s">
        <v>300</v>
      </c>
      <c r="F135" s="293">
        <v>1166361</v>
      </c>
      <c r="G135" s="294">
        <v>34702572000134</v>
      </c>
      <c r="H135" s="293" t="s">
        <v>1843</v>
      </c>
      <c r="I135" s="293" t="s">
        <v>953</v>
      </c>
      <c r="J135" s="295" t="s">
        <v>1827</v>
      </c>
      <c r="K135" s="293" t="s">
        <v>954</v>
      </c>
      <c r="L135" s="293" t="s">
        <v>87</v>
      </c>
      <c r="M135" s="293">
        <v>18</v>
      </c>
      <c r="N135" s="295">
        <v>0.02</v>
      </c>
      <c r="O135" s="295">
        <v>4.0000000000000001E-3</v>
      </c>
      <c r="P135" s="315">
        <v>165933666.28999999</v>
      </c>
      <c r="Q135" s="357">
        <v>43887</v>
      </c>
      <c r="R135" s="353">
        <v>9.5100000000000004E-2</v>
      </c>
      <c r="S135" s="354">
        <v>1.4650000000000001</v>
      </c>
      <c r="T135" s="353">
        <v>0.18890000000000001</v>
      </c>
      <c r="U135" s="354">
        <v>2.0083000000000002</v>
      </c>
      <c r="V135" s="353">
        <v>0.46839999999999998</v>
      </c>
      <c r="W135" s="354">
        <v>3.8769</v>
      </c>
      <c r="X135" s="353" t="s">
        <v>66</v>
      </c>
      <c r="Y135" s="354" t="s">
        <v>66</v>
      </c>
      <c r="Z135" s="353">
        <v>9.2700000000000005E-2</v>
      </c>
      <c r="AA135" s="355">
        <v>0.94351555040897306</v>
      </c>
    </row>
    <row r="136" spans="1:27">
      <c r="E136" s="292" t="s">
        <v>362</v>
      </c>
      <c r="F136" s="293">
        <v>1240090</v>
      </c>
      <c r="G136" s="294">
        <v>29826089000121</v>
      </c>
      <c r="H136" s="293" t="s">
        <v>1843</v>
      </c>
      <c r="I136" s="293" t="s">
        <v>953</v>
      </c>
      <c r="J136" s="295" t="s">
        <v>1827</v>
      </c>
      <c r="K136" s="293" t="s">
        <v>954</v>
      </c>
      <c r="L136" s="293" t="s">
        <v>87</v>
      </c>
      <c r="M136" s="293">
        <v>13</v>
      </c>
      <c r="N136" s="295">
        <v>1.4500000000000001E-2</v>
      </c>
      <c r="O136" s="295">
        <v>2.8999999999999998E-3</v>
      </c>
      <c r="P136" s="315">
        <v>286218588.75999999</v>
      </c>
      <c r="Q136" s="357">
        <v>43307</v>
      </c>
      <c r="R136" s="353">
        <v>1.15E-2</v>
      </c>
      <c r="S136" s="354">
        <v>0.17649999999999999</v>
      </c>
      <c r="T136" s="353">
        <v>7.3000000000000001E-3</v>
      </c>
      <c r="U136" s="354">
        <v>7.7799999999999994E-2</v>
      </c>
      <c r="V136" s="353">
        <v>6.6400000000000001E-2</v>
      </c>
      <c r="W136" s="354">
        <v>0.54979999999999996</v>
      </c>
      <c r="X136" s="353">
        <v>0.18459999999999999</v>
      </c>
      <c r="Y136" s="354">
        <v>1.0952999999999999</v>
      </c>
      <c r="Z136" s="353">
        <v>7.2800000000000004E-2</v>
      </c>
      <c r="AA136" s="355">
        <v>-1.0981841725365442</v>
      </c>
    </row>
    <row r="137" spans="1:27" ht="5.25" customHeight="1">
      <c r="E137" s="297" t="s">
        <v>1916</v>
      </c>
      <c r="P137" s="320"/>
      <c r="Q137" s="360"/>
      <c r="AA137" s="299"/>
    </row>
    <row r="138" spans="1:27" s="282" customFormat="1">
      <c r="A138" s="327"/>
      <c r="B138" s="335" t="s">
        <v>959</v>
      </c>
      <c r="C138" s="335" t="s">
        <v>960</v>
      </c>
      <c r="D138" s="335" t="str">
        <f>B138&amp;" "&amp;C138</f>
        <v>Descorrelacionados Long &amp; Short</v>
      </c>
      <c r="E138" s="289" t="s">
        <v>960</v>
      </c>
      <c r="F138" s="289"/>
      <c r="G138" s="289"/>
      <c r="H138" s="289"/>
      <c r="I138" s="290"/>
      <c r="J138" s="289"/>
      <c r="K138" s="289"/>
      <c r="L138" s="289"/>
      <c r="M138" s="289"/>
      <c r="N138" s="289"/>
      <c r="O138" s="289"/>
      <c r="P138" s="319"/>
      <c r="Q138" s="359"/>
      <c r="R138" s="289"/>
      <c r="S138" s="289"/>
      <c r="T138" s="289"/>
      <c r="U138" s="289"/>
      <c r="V138" s="289"/>
      <c r="W138" s="289"/>
      <c r="X138" s="289"/>
      <c r="Y138" s="289"/>
      <c r="Z138" s="289"/>
      <c r="AA138" s="291"/>
    </row>
    <row r="139" spans="1:27">
      <c r="E139" s="292" t="s">
        <v>1621</v>
      </c>
      <c r="F139" s="293">
        <v>1171012</v>
      </c>
      <c r="G139" s="294">
        <v>20501983000157</v>
      </c>
      <c r="H139" s="293" t="s">
        <v>1078</v>
      </c>
      <c r="I139" s="293" t="s">
        <v>960</v>
      </c>
      <c r="J139" s="295" t="s">
        <v>1827</v>
      </c>
      <c r="K139" s="293" t="s">
        <v>951</v>
      </c>
      <c r="L139" s="293" t="s">
        <v>87</v>
      </c>
      <c r="M139" s="293">
        <v>16</v>
      </c>
      <c r="N139" s="295">
        <v>0.02</v>
      </c>
      <c r="O139" s="295">
        <v>4.0000000000000001E-3</v>
      </c>
      <c r="P139" s="315">
        <v>24383330.059999999</v>
      </c>
      <c r="Q139" s="357">
        <v>41914</v>
      </c>
      <c r="R139" s="353">
        <v>7.0800000000000002E-2</v>
      </c>
      <c r="S139" s="354">
        <v>1.0899000000000001</v>
      </c>
      <c r="T139" s="353">
        <v>0.1065</v>
      </c>
      <c r="U139" s="354">
        <v>1.1322000000000001</v>
      </c>
      <c r="V139" s="353">
        <v>0.13719999999999999</v>
      </c>
      <c r="W139" s="354">
        <v>1.1358999999999999</v>
      </c>
      <c r="X139" s="353">
        <v>0.26050000000000001</v>
      </c>
      <c r="Y139" s="354">
        <v>1.5457000000000001</v>
      </c>
      <c r="Z139" s="353">
        <v>1.7000000000000001E-2</v>
      </c>
      <c r="AA139" s="355">
        <v>0.67279075335050875</v>
      </c>
    </row>
    <row r="140" spans="1:27">
      <c r="E140" s="292" t="s">
        <v>1092</v>
      </c>
      <c r="F140" s="293">
        <v>545860</v>
      </c>
      <c r="G140" s="294">
        <v>18860059000115</v>
      </c>
      <c r="H140" s="293" t="s">
        <v>1843</v>
      </c>
      <c r="I140" s="293" t="s">
        <v>960</v>
      </c>
      <c r="J140" s="295" t="s">
        <v>1827</v>
      </c>
      <c r="K140" s="293" t="s">
        <v>951</v>
      </c>
      <c r="L140" s="293" t="s">
        <v>87</v>
      </c>
      <c r="M140" s="293">
        <v>5</v>
      </c>
      <c r="N140" s="295">
        <v>1.9E-2</v>
      </c>
      <c r="O140" s="295">
        <v>4.7499999999999999E-3</v>
      </c>
      <c r="P140" s="315">
        <v>791453804.34000003</v>
      </c>
      <c r="Q140" s="357">
        <v>41547</v>
      </c>
      <c r="R140" s="353">
        <v>9.4299999999999995E-2</v>
      </c>
      <c r="S140" s="354">
        <v>1.4527000000000001</v>
      </c>
      <c r="T140" s="353">
        <v>0.1295</v>
      </c>
      <c r="U140" s="354">
        <v>1.3759999999999999</v>
      </c>
      <c r="V140" s="353">
        <v>0.16830000000000001</v>
      </c>
      <c r="W140" s="354">
        <v>1.3935</v>
      </c>
      <c r="X140" s="353">
        <v>0.22170000000000001</v>
      </c>
      <c r="Y140" s="354">
        <v>1.3154999999999999</v>
      </c>
      <c r="Z140" s="353">
        <v>2.1600000000000001E-2</v>
      </c>
      <c r="AA140" s="355">
        <v>1.4861280001962831</v>
      </c>
    </row>
    <row r="141" spans="1:27">
      <c r="E141" s="292" t="s">
        <v>1523</v>
      </c>
      <c r="F141" s="293">
        <v>2561728</v>
      </c>
      <c r="G141" s="294">
        <v>31353372000125</v>
      </c>
      <c r="H141" s="293" t="s">
        <v>1843</v>
      </c>
      <c r="I141" s="293" t="s">
        <v>960</v>
      </c>
      <c r="J141" s="295" t="s">
        <v>1827</v>
      </c>
      <c r="K141" s="293" t="s">
        <v>951</v>
      </c>
      <c r="L141" s="293" t="s">
        <v>87</v>
      </c>
      <c r="M141" s="293">
        <v>15</v>
      </c>
      <c r="N141" s="295">
        <v>0.02</v>
      </c>
      <c r="O141" s="295">
        <v>5.0000000000000001E-3</v>
      </c>
      <c r="P141" s="315">
        <v>53837003.880000003</v>
      </c>
      <c r="Q141" s="357">
        <v>43425</v>
      </c>
      <c r="R141" s="353">
        <v>6.1100000000000002E-2</v>
      </c>
      <c r="S141" s="354">
        <v>0.94099999999999995</v>
      </c>
      <c r="T141" s="353">
        <v>7.9000000000000001E-2</v>
      </c>
      <c r="U141" s="354">
        <v>0.84019999999999995</v>
      </c>
      <c r="V141" s="353">
        <v>0.1045</v>
      </c>
      <c r="W141" s="354">
        <v>0.86509999999999998</v>
      </c>
      <c r="X141" s="353">
        <v>0.1772</v>
      </c>
      <c r="Y141" s="354">
        <v>1.0518000000000001</v>
      </c>
      <c r="Z141" s="353">
        <v>2.0199999999999999E-2</v>
      </c>
      <c r="AA141" s="355">
        <v>-0.67600926461553712</v>
      </c>
    </row>
    <row r="142" spans="1:27">
      <c r="E142" s="292" t="s">
        <v>1620</v>
      </c>
      <c r="F142" s="293">
        <v>1403114</v>
      </c>
      <c r="G142" s="294">
        <v>19366052000104</v>
      </c>
      <c r="H142" s="293" t="s">
        <v>1843</v>
      </c>
      <c r="I142" s="293" t="s">
        <v>960</v>
      </c>
      <c r="J142" s="295" t="s">
        <v>1827</v>
      </c>
      <c r="K142" s="293" t="s">
        <v>951</v>
      </c>
      <c r="L142" s="293" t="s">
        <v>87</v>
      </c>
      <c r="M142" s="293">
        <v>91</v>
      </c>
      <c r="N142" s="295">
        <v>1.9449999999999999E-2</v>
      </c>
      <c r="O142" s="295">
        <v>3.8899999999999994E-3</v>
      </c>
      <c r="P142" s="315">
        <v>1484183121.55</v>
      </c>
      <c r="Q142" s="357">
        <v>42163</v>
      </c>
      <c r="R142" s="353">
        <v>8.43E-2</v>
      </c>
      <c r="S142" s="354">
        <v>1.2989999999999999</v>
      </c>
      <c r="T142" s="353">
        <v>0.1363</v>
      </c>
      <c r="U142" s="354">
        <v>1.4491000000000001</v>
      </c>
      <c r="V142" s="353">
        <v>0.1951</v>
      </c>
      <c r="W142" s="354">
        <v>1.6149</v>
      </c>
      <c r="X142" s="353">
        <v>0.43430000000000002</v>
      </c>
      <c r="Y142" s="354">
        <v>2.5773000000000001</v>
      </c>
      <c r="Z142" s="353">
        <v>0.03</v>
      </c>
      <c r="AA142" s="355">
        <v>1.2788119872695776</v>
      </c>
    </row>
    <row r="143" spans="1:27">
      <c r="E143" s="292" t="s">
        <v>632</v>
      </c>
      <c r="F143" s="293">
        <v>1140597</v>
      </c>
      <c r="G143" s="294">
        <v>7279819000189</v>
      </c>
      <c r="H143" s="293" t="s">
        <v>1843</v>
      </c>
      <c r="I143" s="293" t="s">
        <v>960</v>
      </c>
      <c r="J143" s="295" t="s">
        <v>1827</v>
      </c>
      <c r="K143" s="293" t="s">
        <v>951</v>
      </c>
      <c r="L143" s="293" t="s">
        <v>87</v>
      </c>
      <c r="M143" s="293">
        <v>16</v>
      </c>
      <c r="N143" s="295">
        <v>0.02</v>
      </c>
      <c r="O143" s="295">
        <v>4.0000000000000001E-3</v>
      </c>
      <c r="P143" s="315">
        <v>152429763.56</v>
      </c>
      <c r="Q143" s="357">
        <v>38468</v>
      </c>
      <c r="R143" s="353">
        <v>7.0900000000000005E-2</v>
      </c>
      <c r="S143" s="354">
        <v>1.0916999999999999</v>
      </c>
      <c r="T143" s="353">
        <v>0.1071</v>
      </c>
      <c r="U143" s="354">
        <v>1.1382000000000001</v>
      </c>
      <c r="V143" s="353">
        <v>0.1389</v>
      </c>
      <c r="W143" s="354">
        <v>1.1496</v>
      </c>
      <c r="X143" s="353">
        <v>0.26390000000000002</v>
      </c>
      <c r="Y143" s="354">
        <v>1.5657000000000001</v>
      </c>
      <c r="Z143" s="353">
        <v>1.72E-2</v>
      </c>
      <c r="AA143" s="355">
        <v>0.69669133182316623</v>
      </c>
    </row>
    <row r="144" spans="1:27">
      <c r="E144" s="292" t="s">
        <v>1624</v>
      </c>
      <c r="F144" s="293">
        <v>1043586</v>
      </c>
      <c r="G144" s="294">
        <v>30934725000118</v>
      </c>
      <c r="H144" s="293" t="s">
        <v>1843</v>
      </c>
      <c r="I144" s="293" t="s">
        <v>960</v>
      </c>
      <c r="J144" s="295" t="s">
        <v>1827</v>
      </c>
      <c r="K144" s="293" t="s">
        <v>951</v>
      </c>
      <c r="L144" s="293" t="s">
        <v>87</v>
      </c>
      <c r="M144" s="293">
        <v>32</v>
      </c>
      <c r="N144" s="295">
        <v>6.4999999999999997E-3</v>
      </c>
      <c r="O144" s="295">
        <v>4.3333333333333331E-3</v>
      </c>
      <c r="P144" s="315">
        <v>12303675.9</v>
      </c>
      <c r="Q144" s="357">
        <v>43370</v>
      </c>
      <c r="R144" s="353">
        <v>8.8999999999999999E-3</v>
      </c>
      <c r="S144" s="354">
        <v>0.13739999999999999</v>
      </c>
      <c r="T144" s="353">
        <v>-4.0000000000000001E-3</v>
      </c>
      <c r="U144" s="354">
        <v>-4.2500000000000003E-2</v>
      </c>
      <c r="V144" s="353">
        <v>0.14680000000000001</v>
      </c>
      <c r="W144" s="354">
        <v>1.2151000000000001</v>
      </c>
      <c r="X144" s="353">
        <v>0.30130000000000001</v>
      </c>
      <c r="Y144" s="354">
        <v>1.788</v>
      </c>
      <c r="Z144" s="353">
        <v>0.1007</v>
      </c>
      <c r="AA144" s="355">
        <v>-0.88246875969066152</v>
      </c>
    </row>
    <row r="145" spans="1:27">
      <c r="E145" s="292" t="s">
        <v>638</v>
      </c>
      <c r="F145" s="293">
        <v>944381</v>
      </c>
      <c r="G145" s="294">
        <v>25423215000146</v>
      </c>
      <c r="H145" s="293" t="s">
        <v>1843</v>
      </c>
      <c r="I145" s="293" t="s">
        <v>960</v>
      </c>
      <c r="J145" s="295" t="s">
        <v>1827</v>
      </c>
      <c r="K145" s="293" t="s">
        <v>951</v>
      </c>
      <c r="L145" s="293" t="s">
        <v>87</v>
      </c>
      <c r="M145" s="293">
        <v>17</v>
      </c>
      <c r="N145" s="295">
        <v>1.8499999999999999E-2</v>
      </c>
      <c r="O145" s="295">
        <v>3.6999999999999993E-3</v>
      </c>
      <c r="P145" s="315">
        <v>249713983.02000001</v>
      </c>
      <c r="Q145" s="357">
        <v>42677</v>
      </c>
      <c r="R145" s="353">
        <v>1.2E-2</v>
      </c>
      <c r="S145" s="354">
        <v>0.1847</v>
      </c>
      <c r="T145" s="353">
        <v>2.3999999999999998E-3</v>
      </c>
      <c r="U145" s="354">
        <v>2.5399999999999999E-2</v>
      </c>
      <c r="V145" s="353">
        <v>0.16159999999999999</v>
      </c>
      <c r="W145" s="354">
        <v>1.3375999999999999</v>
      </c>
      <c r="X145" s="353">
        <v>0.32550000000000001</v>
      </c>
      <c r="Y145" s="354">
        <v>1.9317</v>
      </c>
      <c r="Z145" s="353">
        <v>0.10150000000000001</v>
      </c>
      <c r="AA145" s="355">
        <v>-0.81152679840167263</v>
      </c>
    </row>
    <row r="146" spans="1:27">
      <c r="E146" s="292" t="s">
        <v>996</v>
      </c>
      <c r="F146" s="293">
        <v>763598</v>
      </c>
      <c r="G146" s="294">
        <v>18772290000157</v>
      </c>
      <c r="H146" s="293" t="s">
        <v>1843</v>
      </c>
      <c r="I146" s="293" t="s">
        <v>960</v>
      </c>
      <c r="J146" s="295" t="s">
        <v>1827</v>
      </c>
      <c r="K146" s="293" t="s">
        <v>951</v>
      </c>
      <c r="L146" s="293" t="s">
        <v>87</v>
      </c>
      <c r="M146" s="293">
        <v>15</v>
      </c>
      <c r="N146" s="295">
        <v>1.8499999999999999E-2</v>
      </c>
      <c r="O146" s="295">
        <v>4.6249999999999998E-3</v>
      </c>
      <c r="P146" s="315">
        <v>496593045.50999999</v>
      </c>
      <c r="Q146" s="357">
        <v>41577</v>
      </c>
      <c r="R146" s="353">
        <v>5.0900000000000001E-2</v>
      </c>
      <c r="S146" s="354">
        <v>0.78400000000000003</v>
      </c>
      <c r="T146" s="353">
        <v>7.1400000000000005E-2</v>
      </c>
      <c r="U146" s="354">
        <v>0.75880000000000003</v>
      </c>
      <c r="V146" s="353">
        <v>0.1512</v>
      </c>
      <c r="W146" s="354">
        <v>1.2515000000000001</v>
      </c>
      <c r="X146" s="353">
        <v>0.28549999999999998</v>
      </c>
      <c r="Y146" s="354">
        <v>1.6940999999999999</v>
      </c>
      <c r="Z146" s="353">
        <v>4.7100000000000003E-2</v>
      </c>
      <c r="AA146" s="355">
        <v>-0.42190247280351434</v>
      </c>
    </row>
    <row r="147" spans="1:27">
      <c r="E147" s="292" t="s">
        <v>1676</v>
      </c>
      <c r="F147" s="293">
        <v>1565414</v>
      </c>
      <c r="G147" s="294">
        <v>26831831000107</v>
      </c>
      <c r="H147" s="293" t="s">
        <v>1843</v>
      </c>
      <c r="I147" s="293" t="s">
        <v>960</v>
      </c>
      <c r="J147" s="295" t="s">
        <v>1827</v>
      </c>
      <c r="K147" s="293" t="s">
        <v>951</v>
      </c>
      <c r="L147" s="293" t="s">
        <v>87</v>
      </c>
      <c r="M147" s="293">
        <v>32</v>
      </c>
      <c r="N147" s="295">
        <v>1.9E-2</v>
      </c>
      <c r="O147" s="295">
        <v>3.8E-3</v>
      </c>
      <c r="P147" s="315">
        <v>61877179.899999999</v>
      </c>
      <c r="Q147" s="357">
        <v>42893</v>
      </c>
      <c r="R147" s="353">
        <v>1.41E-2</v>
      </c>
      <c r="S147" s="354">
        <v>0.21790000000000001</v>
      </c>
      <c r="T147" s="353">
        <v>-8.1199999999999994E-2</v>
      </c>
      <c r="U147" s="354">
        <v>-0.86319999999999997</v>
      </c>
      <c r="V147" s="353">
        <v>-2.8899999999999999E-2</v>
      </c>
      <c r="W147" s="354">
        <v>-0.23899999999999999</v>
      </c>
      <c r="X147" s="353">
        <v>9.5600000000000004E-2</v>
      </c>
      <c r="Y147" s="354">
        <v>0.56710000000000005</v>
      </c>
      <c r="Z147" s="353">
        <v>7.9899999999999999E-2</v>
      </c>
      <c r="AA147" s="355">
        <v>-2.1449917864236929</v>
      </c>
    </row>
    <row r="148" spans="1:27" ht="5.25" customHeight="1">
      <c r="A148" s="327"/>
      <c r="B148" s="335"/>
      <c r="C148" s="335"/>
      <c r="D148" s="335"/>
      <c r="E148" s="297" t="s">
        <v>1916</v>
      </c>
      <c r="P148" s="320"/>
      <c r="Q148" s="360"/>
      <c r="AA148" s="299"/>
    </row>
    <row r="149" spans="1:27" s="282" customFormat="1">
      <c r="A149" s="327"/>
      <c r="B149" s="335" t="s">
        <v>959</v>
      </c>
      <c r="C149" s="335" t="s">
        <v>962</v>
      </c>
      <c r="D149" s="335" t="str">
        <f>B149&amp;" "&amp;C149</f>
        <v>Descorrelacionados Multiestratégia</v>
      </c>
      <c r="E149" s="289" t="s">
        <v>962</v>
      </c>
      <c r="F149" s="289"/>
      <c r="G149" s="289"/>
      <c r="H149" s="289"/>
      <c r="I149" s="290"/>
      <c r="J149" s="289"/>
      <c r="K149" s="289"/>
      <c r="L149" s="289"/>
      <c r="M149" s="289"/>
      <c r="N149" s="289"/>
      <c r="O149" s="289"/>
      <c r="P149" s="319"/>
      <c r="Q149" s="359"/>
      <c r="R149" s="289"/>
      <c r="S149" s="289"/>
      <c r="T149" s="289"/>
      <c r="U149" s="289"/>
      <c r="V149" s="289"/>
      <c r="W149" s="289"/>
      <c r="X149" s="289"/>
      <c r="Y149" s="289"/>
      <c r="Z149" s="289"/>
      <c r="AA149" s="291"/>
    </row>
    <row r="150" spans="1:27">
      <c r="E150" s="292"/>
      <c r="F150" s="293"/>
      <c r="G150" s="294"/>
      <c r="H150" s="293"/>
      <c r="I150" s="293"/>
      <c r="J150" s="295"/>
      <c r="K150" s="293"/>
      <c r="L150" s="293"/>
      <c r="M150" s="293"/>
      <c r="N150" s="295"/>
      <c r="O150" s="295"/>
      <c r="P150" s="315"/>
      <c r="Q150" s="357"/>
      <c r="R150" s="353"/>
      <c r="S150" s="354"/>
      <c r="T150" s="353"/>
      <c r="U150" s="354"/>
      <c r="V150" s="353"/>
      <c r="W150" s="354"/>
      <c r="X150" s="353"/>
      <c r="Y150" s="354"/>
      <c r="Z150" s="353"/>
      <c r="AA150" s="355"/>
    </row>
    <row r="151" spans="1:27" ht="5.25" customHeight="1">
      <c r="E151" s="297" t="s">
        <v>1916</v>
      </c>
      <c r="P151" s="320"/>
      <c r="Q151" s="360"/>
      <c r="AA151" s="299"/>
    </row>
    <row r="152" spans="1:27" s="282" customFormat="1">
      <c r="A152" s="327"/>
      <c r="B152" s="335" t="s">
        <v>959</v>
      </c>
      <c r="C152" s="335" t="s">
        <v>961</v>
      </c>
      <c r="D152" s="335" t="str">
        <f>B152&amp;" "&amp;C152</f>
        <v>Descorrelacionados Arbitragem</v>
      </c>
      <c r="E152" s="289" t="s">
        <v>961</v>
      </c>
      <c r="F152" s="289"/>
      <c r="G152" s="289"/>
      <c r="H152" s="289"/>
      <c r="I152" s="290"/>
      <c r="J152" s="289"/>
      <c r="K152" s="289"/>
      <c r="L152" s="289"/>
      <c r="M152" s="289"/>
      <c r="N152" s="289"/>
      <c r="O152" s="289"/>
      <c r="P152" s="319"/>
      <c r="Q152" s="359"/>
      <c r="R152" s="289"/>
      <c r="S152" s="289"/>
      <c r="T152" s="289"/>
      <c r="U152" s="289"/>
      <c r="V152" s="289"/>
      <c r="W152" s="289"/>
      <c r="X152" s="289"/>
      <c r="Y152" s="289"/>
      <c r="Z152" s="289"/>
      <c r="AA152" s="291"/>
    </row>
    <row r="153" spans="1:27">
      <c r="E153" s="292" t="s">
        <v>112</v>
      </c>
      <c r="F153" s="293">
        <v>991423</v>
      </c>
      <c r="G153" s="294">
        <v>35618055000144</v>
      </c>
      <c r="H153" s="293" t="s">
        <v>1843</v>
      </c>
      <c r="I153" s="293" t="s">
        <v>961</v>
      </c>
      <c r="J153" s="295" t="s">
        <v>1827</v>
      </c>
      <c r="K153" s="293" t="s">
        <v>954</v>
      </c>
      <c r="L153" s="293" t="s">
        <v>87</v>
      </c>
      <c r="M153" s="293">
        <v>18</v>
      </c>
      <c r="N153" s="295">
        <v>1.9E-2</v>
      </c>
      <c r="O153" s="295">
        <v>3.7999999999999996E-3</v>
      </c>
      <c r="P153" s="315">
        <v>471733482.60000002</v>
      </c>
      <c r="Q153" s="357">
        <v>43826</v>
      </c>
      <c r="R153" s="353">
        <v>1.2500000000000001E-2</v>
      </c>
      <c r="S153" s="354">
        <v>0.1923</v>
      </c>
      <c r="T153" s="353">
        <v>4.58E-2</v>
      </c>
      <c r="U153" s="354">
        <v>0.48649999999999999</v>
      </c>
      <c r="V153" s="353">
        <v>9.7000000000000003E-2</v>
      </c>
      <c r="W153" s="354">
        <v>0.80310000000000004</v>
      </c>
      <c r="X153" s="353" t="s">
        <v>66</v>
      </c>
      <c r="Y153" s="354" t="s">
        <v>66</v>
      </c>
      <c r="Z153" s="353">
        <v>4.9200000000000001E-2</v>
      </c>
      <c r="AA153" s="355">
        <v>-0.89297476487760674</v>
      </c>
    </row>
    <row r="154" spans="1:27">
      <c r="E154" s="292" t="s">
        <v>1193</v>
      </c>
      <c r="F154" s="293">
        <v>1564249</v>
      </c>
      <c r="G154" s="294">
        <v>33361657000133</v>
      </c>
      <c r="H154" s="293" t="s">
        <v>1843</v>
      </c>
      <c r="I154" s="293" t="s">
        <v>961</v>
      </c>
      <c r="J154" s="295" t="s">
        <v>1827</v>
      </c>
      <c r="K154" s="293" t="s">
        <v>954</v>
      </c>
      <c r="L154" s="293" t="s">
        <v>66</v>
      </c>
      <c r="M154" s="293">
        <v>5</v>
      </c>
      <c r="N154" s="295">
        <v>8.9999999999999993E-3</v>
      </c>
      <c r="O154" s="295">
        <v>5.3333999999999994E-3</v>
      </c>
      <c r="P154" s="315">
        <v>237563194.33000001</v>
      </c>
      <c r="Q154" s="357">
        <v>43641</v>
      </c>
      <c r="R154" s="353">
        <v>2.5000000000000001E-2</v>
      </c>
      <c r="S154" s="354">
        <v>0.38440000000000002</v>
      </c>
      <c r="T154" s="353">
        <v>5.6000000000000001E-2</v>
      </c>
      <c r="U154" s="354">
        <v>0.5948</v>
      </c>
      <c r="V154" s="353">
        <v>0.13009999999999999</v>
      </c>
      <c r="W154" s="354">
        <v>1.077</v>
      </c>
      <c r="X154" s="353">
        <v>0.17530000000000001</v>
      </c>
      <c r="Y154" s="354">
        <v>1.0402</v>
      </c>
      <c r="Z154" s="353">
        <v>6.3700000000000007E-2</v>
      </c>
      <c r="AA154" s="355">
        <v>-0.52566202484560876</v>
      </c>
    </row>
    <row r="155" spans="1:27">
      <c r="E155" s="292" t="s">
        <v>532</v>
      </c>
      <c r="F155" s="293">
        <v>925780</v>
      </c>
      <c r="G155" s="294">
        <v>26396708000105</v>
      </c>
      <c r="H155" s="293" t="s">
        <v>1843</v>
      </c>
      <c r="I155" s="293" t="s">
        <v>961</v>
      </c>
      <c r="J155" s="295" t="s">
        <v>1827</v>
      </c>
      <c r="K155" s="293" t="s">
        <v>954</v>
      </c>
      <c r="L155" s="293" t="s">
        <v>87</v>
      </c>
      <c r="M155" s="293">
        <v>31</v>
      </c>
      <c r="N155" s="295">
        <v>0.02</v>
      </c>
      <c r="O155" s="295" t="s">
        <v>66</v>
      </c>
      <c r="P155" s="315">
        <v>314721099.06</v>
      </c>
      <c r="Q155" s="357">
        <v>42718</v>
      </c>
      <c r="R155" s="353">
        <v>9.2799999999999994E-2</v>
      </c>
      <c r="S155" s="354">
        <v>1.4295</v>
      </c>
      <c r="T155" s="353">
        <v>0.16750000000000001</v>
      </c>
      <c r="U155" s="354">
        <v>1.7806999999999999</v>
      </c>
      <c r="V155" s="353">
        <v>0.18940000000000001</v>
      </c>
      <c r="W155" s="354">
        <v>1.5678000000000001</v>
      </c>
      <c r="X155" s="353">
        <v>0.152</v>
      </c>
      <c r="Y155" s="354">
        <v>0.9022</v>
      </c>
      <c r="Z155" s="353">
        <v>7.3200000000000001E-2</v>
      </c>
      <c r="AA155" s="355">
        <v>0.92467383394590075</v>
      </c>
    </row>
    <row r="156" spans="1:27" s="282" customFormat="1" ht="11.25" customHeight="1">
      <c r="B156" s="335"/>
      <c r="C156" s="335"/>
      <c r="D156" s="335"/>
      <c r="E156" s="297" t="s">
        <v>1916</v>
      </c>
      <c r="I156" s="283"/>
      <c r="P156" s="317"/>
      <c r="Q156" s="358"/>
      <c r="AA156" s="288"/>
    </row>
    <row r="157" spans="1:27" s="324" customFormat="1" ht="21.75" customHeight="1">
      <c r="B157" s="345" t="s">
        <v>20</v>
      </c>
      <c r="C157" s="340"/>
      <c r="D157" s="340"/>
      <c r="E157" s="325" t="s">
        <v>1840</v>
      </c>
      <c r="F157" s="325"/>
      <c r="G157" s="325"/>
      <c r="H157" s="325"/>
      <c r="I157" s="326"/>
      <c r="J157" s="325"/>
      <c r="K157" s="325"/>
      <c r="L157" s="325"/>
      <c r="M157" s="325"/>
      <c r="N157" s="325"/>
      <c r="O157" s="325"/>
      <c r="P157" s="350"/>
      <c r="Q157" s="361"/>
      <c r="R157" s="325"/>
      <c r="S157" s="325"/>
      <c r="T157" s="325"/>
      <c r="U157" s="325"/>
      <c r="V157" s="325"/>
      <c r="W157" s="325"/>
      <c r="X157" s="325"/>
      <c r="Y157" s="325"/>
      <c r="Z157" s="325"/>
      <c r="AA157" s="325"/>
    </row>
    <row r="158" spans="1:27" s="128" customFormat="1" ht="5.25" customHeight="1">
      <c r="B158" s="145"/>
      <c r="C158" s="145"/>
      <c r="D158" s="145"/>
      <c r="I158" s="248"/>
      <c r="P158" s="351"/>
    </row>
    <row r="159" spans="1:27" s="237" customFormat="1" ht="34.5" customHeight="1">
      <c r="B159" s="334"/>
      <c r="C159" s="334"/>
      <c r="D159" s="334"/>
      <c r="E159" s="246" t="s">
        <v>1838</v>
      </c>
      <c r="F159" s="214" t="s">
        <v>1053</v>
      </c>
      <c r="G159" s="214" t="s">
        <v>62</v>
      </c>
      <c r="H159" s="214" t="s">
        <v>63</v>
      </c>
      <c r="I159" s="214" t="s">
        <v>1004</v>
      </c>
      <c r="J159" s="214" t="s">
        <v>1837</v>
      </c>
      <c r="K159" s="214" t="s">
        <v>1005</v>
      </c>
      <c r="L159" s="214" t="s">
        <v>15</v>
      </c>
      <c r="M159" s="214" t="s">
        <v>64</v>
      </c>
      <c r="N159" s="214" t="s">
        <v>1834</v>
      </c>
      <c r="O159" s="214" t="s">
        <v>1835</v>
      </c>
      <c r="P159" s="214" t="s">
        <v>1067</v>
      </c>
      <c r="Q159" s="214" t="s">
        <v>0</v>
      </c>
      <c r="R159" s="214" t="s">
        <v>1068</v>
      </c>
      <c r="S159" s="214" t="s">
        <v>1069</v>
      </c>
      <c r="T159" s="214" t="s">
        <v>1070</v>
      </c>
      <c r="U159" s="214" t="s">
        <v>1071</v>
      </c>
      <c r="V159" s="214" t="s">
        <v>1072</v>
      </c>
      <c r="W159" s="214" t="s">
        <v>1832</v>
      </c>
      <c r="X159" s="214" t="s">
        <v>1833</v>
      </c>
      <c r="Y159" s="214" t="s">
        <v>1073</v>
      </c>
      <c r="Z159" s="214" t="s">
        <v>1074</v>
      </c>
      <c r="AA159" s="214" t="s">
        <v>932</v>
      </c>
    </row>
    <row r="160" spans="1:27" s="282" customFormat="1" ht="7.5" customHeight="1">
      <c r="B160" s="335"/>
      <c r="C160" s="335"/>
      <c r="D160" s="335"/>
      <c r="E160" s="281"/>
      <c r="I160" s="283"/>
      <c r="P160" s="317"/>
    </row>
    <row r="161" spans="1:27" s="282" customFormat="1">
      <c r="A161" s="300"/>
      <c r="B161" s="345" t="s">
        <v>20</v>
      </c>
      <c r="C161" s="335"/>
      <c r="D161" s="335"/>
      <c r="E161" s="284" t="s">
        <v>951</v>
      </c>
      <c r="F161" s="284"/>
      <c r="G161" s="284"/>
      <c r="H161" s="284"/>
      <c r="I161" s="285"/>
      <c r="J161" s="284"/>
      <c r="K161" s="284"/>
      <c r="L161" s="284"/>
      <c r="M161" s="284"/>
      <c r="N161" s="284"/>
      <c r="O161" s="284"/>
      <c r="P161" s="318"/>
      <c r="Q161" s="356"/>
      <c r="R161" s="284"/>
      <c r="S161" s="284"/>
      <c r="T161" s="284"/>
      <c r="U161" s="284"/>
      <c r="V161" s="284"/>
      <c r="W161" s="284"/>
      <c r="X161" s="284"/>
      <c r="Y161" s="284"/>
      <c r="Z161" s="284"/>
      <c r="AA161" s="286"/>
    </row>
    <row r="162" spans="1:27" s="282" customFormat="1" ht="3" customHeight="1">
      <c r="B162" s="335"/>
      <c r="C162" s="335"/>
      <c r="D162" s="335"/>
      <c r="I162" s="287"/>
      <c r="P162" s="317"/>
      <c r="Q162" s="358"/>
      <c r="AA162" s="288"/>
    </row>
    <row r="163" spans="1:27" s="282" customFormat="1">
      <c r="A163" s="327"/>
      <c r="B163" s="335" t="s">
        <v>950</v>
      </c>
      <c r="C163" s="335" t="s">
        <v>951</v>
      </c>
      <c r="D163" s="335" t="str">
        <f>B163&amp;" "&amp;C163</f>
        <v>Long Only Brasil</v>
      </c>
      <c r="E163" s="289" t="s">
        <v>950</v>
      </c>
      <c r="F163" s="289"/>
      <c r="G163" s="289"/>
      <c r="H163" s="289"/>
      <c r="I163" s="290"/>
      <c r="J163" s="289"/>
      <c r="K163" s="289"/>
      <c r="L163" s="289"/>
      <c r="M163" s="289"/>
      <c r="N163" s="289"/>
      <c r="O163" s="289"/>
      <c r="P163" s="319"/>
      <c r="Q163" s="359"/>
      <c r="R163" s="289"/>
      <c r="S163" s="289"/>
      <c r="T163" s="289"/>
      <c r="U163" s="289"/>
      <c r="V163" s="289"/>
      <c r="W163" s="289"/>
      <c r="X163" s="289"/>
      <c r="Y163" s="289"/>
      <c r="Z163" s="289"/>
      <c r="AA163" s="291"/>
    </row>
    <row r="164" spans="1:27">
      <c r="E164" s="292" t="s">
        <v>1734</v>
      </c>
      <c r="F164" s="293">
        <v>4105530</v>
      </c>
      <c r="G164" s="294">
        <v>46329524000121</v>
      </c>
      <c r="H164" s="293" t="s">
        <v>1078</v>
      </c>
      <c r="I164" s="293" t="s">
        <v>66</v>
      </c>
      <c r="J164" s="295" t="s">
        <v>1827</v>
      </c>
      <c r="K164" s="293" t="s">
        <v>951</v>
      </c>
      <c r="L164" s="293" t="s">
        <v>87</v>
      </c>
      <c r="M164" s="293">
        <v>62</v>
      </c>
      <c r="N164" s="295">
        <v>0</v>
      </c>
      <c r="O164" s="295" t="s">
        <v>66</v>
      </c>
      <c r="P164" s="315">
        <v>69965084.129999995</v>
      </c>
      <c r="Q164" s="357">
        <v>44725</v>
      </c>
      <c r="R164" s="353" t="s">
        <v>66</v>
      </c>
      <c r="S164" s="354" t="s">
        <v>66</v>
      </c>
      <c r="T164" s="353" t="s">
        <v>66</v>
      </c>
      <c r="U164" s="354" t="s">
        <v>66</v>
      </c>
      <c r="V164" s="353" t="s">
        <v>66</v>
      </c>
      <c r="W164" s="354" t="s">
        <v>66</v>
      </c>
      <c r="X164" s="353" t="s">
        <v>66</v>
      </c>
      <c r="Y164" s="354" t="s">
        <v>66</v>
      </c>
      <c r="Z164" s="353" t="s">
        <v>66</v>
      </c>
      <c r="AA164" s="355" t="s">
        <v>66</v>
      </c>
    </row>
    <row r="165" spans="1:27">
      <c r="E165" s="292" t="s">
        <v>1666</v>
      </c>
      <c r="F165" s="293">
        <v>1521041</v>
      </c>
      <c r="G165" s="294">
        <v>29177024000100</v>
      </c>
      <c r="H165" s="293" t="s">
        <v>1078</v>
      </c>
      <c r="I165" s="293" t="s">
        <v>1820</v>
      </c>
      <c r="J165" s="295" t="s">
        <v>1824</v>
      </c>
      <c r="K165" s="293" t="s">
        <v>951</v>
      </c>
      <c r="L165" s="293" t="s">
        <v>87</v>
      </c>
      <c r="M165" s="293">
        <v>32</v>
      </c>
      <c r="N165" s="295">
        <v>0.02</v>
      </c>
      <c r="O165" s="295">
        <v>5.3333333333333332E-3</v>
      </c>
      <c r="P165" s="315">
        <v>331957362.70999998</v>
      </c>
      <c r="Q165" s="357">
        <v>43216</v>
      </c>
      <c r="R165" s="353">
        <v>2.3300000000000001E-2</v>
      </c>
      <c r="S165" s="354">
        <v>0.35949999999999999</v>
      </c>
      <c r="T165" s="353">
        <v>-2.35E-2</v>
      </c>
      <c r="U165" s="354">
        <v>-0.24979999999999999</v>
      </c>
      <c r="V165" s="353">
        <v>1.0367999999999999</v>
      </c>
      <c r="W165" s="354">
        <v>8.5818999999999992</v>
      </c>
      <c r="X165" s="353">
        <v>1.4147000000000001</v>
      </c>
      <c r="Y165" s="354">
        <v>8.3953000000000007</v>
      </c>
      <c r="Z165" s="353">
        <v>0.23880000000000001</v>
      </c>
      <c r="AA165" s="355">
        <v>-0.35715769656508428</v>
      </c>
    </row>
    <row r="166" spans="1:27">
      <c r="E166" s="292" t="s">
        <v>1667</v>
      </c>
      <c r="F166" s="293">
        <v>3136950</v>
      </c>
      <c r="G166" s="294">
        <v>35471498000155</v>
      </c>
      <c r="H166" s="293" t="s">
        <v>1078</v>
      </c>
      <c r="I166" s="293" t="s">
        <v>1820</v>
      </c>
      <c r="J166" s="295" t="s">
        <v>1824</v>
      </c>
      <c r="K166" s="293" t="s">
        <v>951</v>
      </c>
      <c r="L166" s="293" t="s">
        <v>87</v>
      </c>
      <c r="M166" s="293">
        <v>62</v>
      </c>
      <c r="N166" s="295">
        <v>0.02</v>
      </c>
      <c r="O166" s="295">
        <v>5.3333333333333332E-3</v>
      </c>
      <c r="P166" s="315">
        <v>535436299.11000001</v>
      </c>
      <c r="Q166" s="357">
        <v>43896</v>
      </c>
      <c r="R166" s="353">
        <v>-3.4799999999999998E-2</v>
      </c>
      <c r="S166" s="354">
        <v>-0.53610000000000002</v>
      </c>
      <c r="T166" s="353">
        <v>-0.14199999999999999</v>
      </c>
      <c r="U166" s="354">
        <v>-1.5098</v>
      </c>
      <c r="V166" s="353">
        <v>0.67720000000000002</v>
      </c>
      <c r="W166" s="354">
        <v>5.6055999999999999</v>
      </c>
      <c r="X166" s="353" t="s">
        <v>66</v>
      </c>
      <c r="Y166" s="354" t="s">
        <v>66</v>
      </c>
      <c r="Z166" s="353">
        <v>0.2571</v>
      </c>
      <c r="AA166" s="355">
        <v>-0.81714254274203646</v>
      </c>
    </row>
    <row r="167" spans="1:27">
      <c r="E167" s="292" t="s">
        <v>57</v>
      </c>
      <c r="F167" s="293">
        <v>573046</v>
      </c>
      <c r="G167" s="294">
        <v>26269603000187</v>
      </c>
      <c r="H167" s="293" t="s">
        <v>1078</v>
      </c>
      <c r="I167" s="293" t="s">
        <v>1820</v>
      </c>
      <c r="J167" s="295" t="s">
        <v>1827</v>
      </c>
      <c r="K167" s="293" t="s">
        <v>951</v>
      </c>
      <c r="L167" s="293" t="s">
        <v>87</v>
      </c>
      <c r="M167" s="293">
        <v>32</v>
      </c>
      <c r="N167" s="295">
        <v>1.9E-2</v>
      </c>
      <c r="O167" s="295">
        <v>3.1666666666666666E-3</v>
      </c>
      <c r="P167" s="315">
        <v>547832151.64999998</v>
      </c>
      <c r="Q167" s="357">
        <v>42888</v>
      </c>
      <c r="R167" s="353">
        <v>-4.3700000000000003E-2</v>
      </c>
      <c r="S167" s="354">
        <v>-0.67300000000000004</v>
      </c>
      <c r="T167" s="353">
        <v>-0.251</v>
      </c>
      <c r="U167" s="354">
        <v>-2.6680999999999999</v>
      </c>
      <c r="V167" s="353">
        <v>-9.5899999999999999E-2</v>
      </c>
      <c r="W167" s="354">
        <v>-0.79359999999999997</v>
      </c>
      <c r="X167" s="353">
        <v>0.16309999999999999</v>
      </c>
      <c r="Y167" s="354">
        <v>0.96809999999999996</v>
      </c>
      <c r="Z167" s="353">
        <v>0.2472</v>
      </c>
      <c r="AA167" s="355">
        <v>-1.4090348926642502</v>
      </c>
    </row>
    <row r="168" spans="1:27">
      <c r="E168" s="292" t="s">
        <v>84</v>
      </c>
      <c r="F168" s="293">
        <v>1166935</v>
      </c>
      <c r="G168" s="294">
        <v>34581406000127</v>
      </c>
      <c r="H168" s="293" t="s">
        <v>1843</v>
      </c>
      <c r="I168" s="293" t="s">
        <v>66</v>
      </c>
      <c r="J168" s="295" t="s">
        <v>1827</v>
      </c>
      <c r="K168" s="293" t="s">
        <v>951</v>
      </c>
      <c r="L168" s="293" t="s">
        <v>87</v>
      </c>
      <c r="M168" s="293">
        <v>62</v>
      </c>
      <c r="N168" s="295">
        <v>1.8499999999999999E-2</v>
      </c>
      <c r="O168" s="295">
        <v>2.2839506172839504E-3</v>
      </c>
      <c r="P168" s="315">
        <v>310052658.30000001</v>
      </c>
      <c r="Q168" s="357">
        <v>43725</v>
      </c>
      <c r="R168" s="353">
        <v>-9.8599999999999993E-2</v>
      </c>
      <c r="S168" s="354">
        <v>-1.5194000000000001</v>
      </c>
      <c r="T168" s="353">
        <v>-0.3553</v>
      </c>
      <c r="U168" s="354">
        <v>-3.7766000000000002</v>
      </c>
      <c r="V168" s="353">
        <v>-0.18820000000000001</v>
      </c>
      <c r="W168" s="354">
        <v>-1.5579000000000001</v>
      </c>
      <c r="X168" s="353" t="s">
        <v>66</v>
      </c>
      <c r="Y168" s="354" t="s">
        <v>66</v>
      </c>
      <c r="Z168" s="353">
        <v>0.2465</v>
      </c>
      <c r="AA168" s="355">
        <v>-2.0209048479264586</v>
      </c>
    </row>
    <row r="169" spans="1:27">
      <c r="E169" s="292" t="s">
        <v>1670</v>
      </c>
      <c r="F169" s="293">
        <v>544819</v>
      </c>
      <c r="G169" s="294">
        <v>8968733000126</v>
      </c>
      <c r="H169" s="293" t="s">
        <v>1843</v>
      </c>
      <c r="I169" s="293" t="s">
        <v>1820</v>
      </c>
      <c r="J169" s="295" t="s">
        <v>1824</v>
      </c>
      <c r="K169" s="293" t="s">
        <v>951</v>
      </c>
      <c r="L169" s="293" t="s">
        <v>87</v>
      </c>
      <c r="M169" s="293">
        <v>32</v>
      </c>
      <c r="N169" s="295">
        <v>0.02</v>
      </c>
      <c r="O169" s="295">
        <v>5.3333333333333332E-3</v>
      </c>
      <c r="P169" s="315">
        <v>237588974.84</v>
      </c>
      <c r="Q169" s="357">
        <v>43298</v>
      </c>
      <c r="R169" s="353">
        <v>-2.1299999999999999E-2</v>
      </c>
      <c r="S169" s="354">
        <v>-0.32879999999999998</v>
      </c>
      <c r="T169" s="353">
        <v>-0.1285</v>
      </c>
      <c r="U169" s="354">
        <v>-1.3656999999999999</v>
      </c>
      <c r="V169" s="353">
        <v>0.79520000000000002</v>
      </c>
      <c r="W169" s="354">
        <v>6.5827</v>
      </c>
      <c r="X169" s="353">
        <v>0.89019999999999999</v>
      </c>
      <c r="Y169" s="354">
        <v>5.2827000000000002</v>
      </c>
      <c r="Z169" s="353">
        <v>0.2331</v>
      </c>
      <c r="AA169" s="355">
        <v>-0.85916269058702621</v>
      </c>
    </row>
    <row r="170" spans="1:27">
      <c r="E170" s="292" t="s">
        <v>1721</v>
      </c>
      <c r="F170" s="293">
        <v>2496987</v>
      </c>
      <c r="G170" s="294">
        <v>41681126000156</v>
      </c>
      <c r="H170" s="293" t="s">
        <v>1843</v>
      </c>
      <c r="I170" s="293" t="s">
        <v>1820</v>
      </c>
      <c r="J170" s="295" t="s">
        <v>1827</v>
      </c>
      <c r="K170" s="293" t="s">
        <v>951</v>
      </c>
      <c r="L170" s="293" t="s">
        <v>87</v>
      </c>
      <c r="M170" s="293">
        <v>47</v>
      </c>
      <c r="N170" s="295">
        <v>0.01</v>
      </c>
      <c r="O170" s="295">
        <v>4.5000000000000005E-3</v>
      </c>
      <c r="P170" s="315">
        <v>37468872.240000002</v>
      </c>
      <c r="Q170" s="357">
        <v>44375</v>
      </c>
      <c r="R170" s="353">
        <v>-0.12640000000000001</v>
      </c>
      <c r="S170" s="354">
        <v>-1.9466000000000001</v>
      </c>
      <c r="T170" s="353">
        <v>-0.30959999999999999</v>
      </c>
      <c r="U170" s="354">
        <v>-3.2911999999999999</v>
      </c>
      <c r="V170" s="353" t="s">
        <v>66</v>
      </c>
      <c r="W170" s="354" t="s">
        <v>66</v>
      </c>
      <c r="X170" s="353" t="s">
        <v>66</v>
      </c>
      <c r="Y170" s="354" t="s">
        <v>66</v>
      </c>
      <c r="Z170" s="353">
        <v>0.22700000000000001</v>
      </c>
      <c r="AA170" s="355">
        <v>-1.9144297589047685</v>
      </c>
    </row>
    <row r="171" spans="1:27">
      <c r="E171" s="292" t="s">
        <v>1925</v>
      </c>
      <c r="F171" s="293" t="s">
        <v>66</v>
      </c>
      <c r="G171" s="294" t="s">
        <v>66</v>
      </c>
      <c r="H171" s="293" t="s">
        <v>1078</v>
      </c>
      <c r="I171" s="293" t="s">
        <v>1021</v>
      </c>
      <c r="J171" s="295" t="s">
        <v>66</v>
      </c>
      <c r="K171" s="293" t="s">
        <v>951</v>
      </c>
      <c r="L171" s="293" t="s">
        <v>87</v>
      </c>
      <c r="M171" s="293">
        <v>2</v>
      </c>
      <c r="N171" s="295">
        <v>3.0000000000000001E-3</v>
      </c>
      <c r="O171" s="295">
        <v>0</v>
      </c>
      <c r="P171" s="315">
        <v>15220000000</v>
      </c>
      <c r="Q171" s="357">
        <v>39784</v>
      </c>
      <c r="R171" s="353" t="s">
        <v>66</v>
      </c>
      <c r="S171" s="354" t="s">
        <v>66</v>
      </c>
      <c r="T171" s="353" t="s">
        <v>66</v>
      </c>
      <c r="U171" s="354" t="s">
        <v>66</v>
      </c>
      <c r="V171" s="353" t="s">
        <v>66</v>
      </c>
      <c r="W171" s="354" t="s">
        <v>66</v>
      </c>
      <c r="X171" s="353" t="s">
        <v>66</v>
      </c>
      <c r="Y171" s="354" t="s">
        <v>66</v>
      </c>
      <c r="Z171" s="353" t="s">
        <v>66</v>
      </c>
      <c r="AA171" s="355" t="s">
        <v>66</v>
      </c>
    </row>
    <row r="172" spans="1:27" ht="5.25" customHeight="1">
      <c r="E172" s="297" t="s">
        <v>1916</v>
      </c>
      <c r="P172" s="320"/>
      <c r="Q172" s="360"/>
      <c r="AA172" s="299"/>
    </row>
    <row r="173" spans="1:27" s="282" customFormat="1">
      <c r="A173" s="327"/>
      <c r="B173" s="335" t="s">
        <v>957</v>
      </c>
      <c r="C173" s="335" t="s">
        <v>66</v>
      </c>
      <c r="D173" s="335" t="str">
        <f>B173&amp;" "&amp;C173</f>
        <v>Long Bias -</v>
      </c>
      <c r="E173" s="289" t="s">
        <v>957</v>
      </c>
      <c r="F173" s="289"/>
      <c r="G173" s="289"/>
      <c r="H173" s="289"/>
      <c r="I173" s="290"/>
      <c r="J173" s="289"/>
      <c r="K173" s="289"/>
      <c r="L173" s="289"/>
      <c r="M173" s="289"/>
      <c r="N173" s="289"/>
      <c r="O173" s="289"/>
      <c r="P173" s="319"/>
      <c r="Q173" s="359"/>
      <c r="R173" s="289"/>
      <c r="S173" s="289"/>
      <c r="T173" s="289"/>
      <c r="U173" s="289"/>
      <c r="V173" s="289"/>
      <c r="W173" s="289"/>
      <c r="X173" s="289"/>
      <c r="Y173" s="289"/>
      <c r="Z173" s="289"/>
      <c r="AA173" s="291"/>
    </row>
    <row r="174" spans="1:27">
      <c r="E174" s="292" t="s">
        <v>992</v>
      </c>
      <c r="F174" s="293">
        <v>613656</v>
      </c>
      <c r="G174" s="294">
        <v>32073525000143</v>
      </c>
      <c r="H174" s="293" t="s">
        <v>1078</v>
      </c>
      <c r="I174" s="293" t="s">
        <v>1038</v>
      </c>
      <c r="J174" s="295" t="s">
        <v>1827</v>
      </c>
      <c r="K174" s="293" t="s">
        <v>951</v>
      </c>
      <c r="L174" s="293" t="s">
        <v>87</v>
      </c>
      <c r="M174" s="293">
        <v>32</v>
      </c>
      <c r="N174" s="295">
        <v>1.9E-2</v>
      </c>
      <c r="O174" s="295">
        <v>4.7499999999999999E-3</v>
      </c>
      <c r="P174" s="315">
        <v>698979696.60000002</v>
      </c>
      <c r="Q174" s="357">
        <v>43461</v>
      </c>
      <c r="R174" s="353">
        <v>0.107</v>
      </c>
      <c r="S174" s="354">
        <v>1.6487000000000001</v>
      </c>
      <c r="T174" s="353">
        <v>6.5199999999999994E-2</v>
      </c>
      <c r="U174" s="354">
        <v>0.69269999999999998</v>
      </c>
      <c r="V174" s="353">
        <v>0.32650000000000001</v>
      </c>
      <c r="W174" s="354">
        <v>2.7029999999999998</v>
      </c>
      <c r="X174" s="353">
        <v>0.60860000000000003</v>
      </c>
      <c r="Y174" s="354">
        <v>3.6116000000000001</v>
      </c>
      <c r="Z174" s="353">
        <v>0.16919999999999999</v>
      </c>
      <c r="AA174" s="355">
        <v>-7.3991250093418254E-2</v>
      </c>
    </row>
    <row r="175" spans="1:27">
      <c r="E175" s="292" t="s">
        <v>993</v>
      </c>
      <c r="F175" s="293">
        <v>1093317</v>
      </c>
      <c r="G175" s="294">
        <v>28470590000135</v>
      </c>
      <c r="H175" s="293" t="s">
        <v>1078</v>
      </c>
      <c r="I175" s="293" t="s">
        <v>1038</v>
      </c>
      <c r="J175" s="295" t="s">
        <v>1827</v>
      </c>
      <c r="K175" s="293" t="s">
        <v>951</v>
      </c>
      <c r="L175" s="293" t="s">
        <v>87</v>
      </c>
      <c r="M175" s="293">
        <v>10</v>
      </c>
      <c r="N175" s="295">
        <v>1.4999999999999999E-2</v>
      </c>
      <c r="O175" s="295">
        <v>4.0000000000000001E-3</v>
      </c>
      <c r="P175" s="315">
        <v>57017807.829999998</v>
      </c>
      <c r="Q175" s="357">
        <v>43003</v>
      </c>
      <c r="R175" s="353">
        <v>-4.1700000000000001E-2</v>
      </c>
      <c r="S175" s="354">
        <v>-0.64290000000000003</v>
      </c>
      <c r="T175" s="353">
        <v>-6.9900000000000004E-2</v>
      </c>
      <c r="U175" s="354">
        <v>-0.74329999999999996</v>
      </c>
      <c r="V175" s="353">
        <v>0.1144</v>
      </c>
      <c r="W175" s="354">
        <v>0.94730000000000003</v>
      </c>
      <c r="X175" s="353">
        <v>0.379</v>
      </c>
      <c r="Y175" s="354">
        <v>2.2492999999999999</v>
      </c>
      <c r="Z175" s="353">
        <v>0.16300000000000001</v>
      </c>
      <c r="AA175" s="355">
        <v>-0.91480831464912749</v>
      </c>
    </row>
    <row r="176" spans="1:27">
      <c r="E176" s="292" t="s">
        <v>1516</v>
      </c>
      <c r="F176" s="293">
        <v>2886063</v>
      </c>
      <c r="G176" s="294">
        <v>37467515000106</v>
      </c>
      <c r="H176" s="293" t="s">
        <v>1078</v>
      </c>
      <c r="I176" s="293" t="s">
        <v>1038</v>
      </c>
      <c r="J176" s="295" t="s">
        <v>1827</v>
      </c>
      <c r="K176" s="293" t="s">
        <v>951</v>
      </c>
      <c r="L176" s="293" t="s">
        <v>87</v>
      </c>
      <c r="M176" s="293">
        <v>32</v>
      </c>
      <c r="N176" s="295">
        <v>1.7999999999999999E-2</v>
      </c>
      <c r="O176" s="295">
        <v>3.5999999999999995E-3</v>
      </c>
      <c r="P176" s="315">
        <v>263761875.12</v>
      </c>
      <c r="Q176" s="357">
        <v>44225</v>
      </c>
      <c r="R176" s="353">
        <v>9.7100000000000006E-2</v>
      </c>
      <c r="S176" s="354">
        <v>1.4951000000000001</v>
      </c>
      <c r="T176" s="353">
        <v>-6.5699999999999995E-2</v>
      </c>
      <c r="U176" s="354">
        <v>-0.69840000000000002</v>
      </c>
      <c r="V176" s="353" t="s">
        <v>66</v>
      </c>
      <c r="W176" s="354" t="s">
        <v>66</v>
      </c>
      <c r="X176" s="353" t="s">
        <v>66</v>
      </c>
      <c r="Y176" s="354" t="s">
        <v>66</v>
      </c>
      <c r="Z176" s="353">
        <v>0.16889999999999999</v>
      </c>
      <c r="AA176" s="355">
        <v>-0.85067251400560284</v>
      </c>
    </row>
    <row r="177" spans="1:27">
      <c r="E177" s="292" t="s">
        <v>54</v>
      </c>
      <c r="F177" s="293">
        <v>512161</v>
      </c>
      <c r="G177" s="294">
        <v>28581159000166</v>
      </c>
      <c r="H177" s="293" t="s">
        <v>1078</v>
      </c>
      <c r="I177" s="293" t="s">
        <v>1038</v>
      </c>
      <c r="J177" s="295" t="s">
        <v>1827</v>
      </c>
      <c r="K177" s="293" t="s">
        <v>951</v>
      </c>
      <c r="L177" s="293" t="s">
        <v>87</v>
      </c>
      <c r="M177" s="293">
        <v>32</v>
      </c>
      <c r="N177" s="295">
        <v>1.9E-2</v>
      </c>
      <c r="O177" s="295">
        <v>4.7499999999999999E-3</v>
      </c>
      <c r="P177" s="315">
        <v>63593568.259999998</v>
      </c>
      <c r="Q177" s="357">
        <v>43188</v>
      </c>
      <c r="R177" s="353">
        <v>7.8899999999999998E-2</v>
      </c>
      <c r="S177" s="354">
        <v>1.2150000000000001</v>
      </c>
      <c r="T177" s="353">
        <v>-6.1199999999999997E-2</v>
      </c>
      <c r="U177" s="354">
        <v>-0.65039999999999998</v>
      </c>
      <c r="V177" s="353">
        <v>0.14069999999999999</v>
      </c>
      <c r="W177" s="354">
        <v>1.1648000000000001</v>
      </c>
      <c r="X177" s="353">
        <v>0.308</v>
      </c>
      <c r="Y177" s="354">
        <v>1.8277000000000001</v>
      </c>
      <c r="Z177" s="353">
        <v>0.12939999999999999</v>
      </c>
      <c r="AA177" s="355">
        <v>-1.1183444581466386</v>
      </c>
    </row>
    <row r="178" spans="1:27">
      <c r="E178" s="292" t="s">
        <v>290</v>
      </c>
      <c r="F178" s="293">
        <v>521264</v>
      </c>
      <c r="G178" s="294">
        <v>41907541000185</v>
      </c>
      <c r="H178" s="293" t="s">
        <v>1843</v>
      </c>
      <c r="I178" s="293" t="s">
        <v>1038</v>
      </c>
      <c r="J178" s="295" t="s">
        <v>1827</v>
      </c>
      <c r="K178" s="293" t="s">
        <v>951</v>
      </c>
      <c r="L178" s="293" t="s">
        <v>87</v>
      </c>
      <c r="M178" s="293">
        <v>32</v>
      </c>
      <c r="N178" s="295">
        <v>0.02</v>
      </c>
      <c r="O178" s="295">
        <v>4.0000000000000001E-3</v>
      </c>
      <c r="P178" s="315">
        <v>378099542.50999999</v>
      </c>
      <c r="Q178" s="357">
        <v>44349</v>
      </c>
      <c r="R178" s="353">
        <v>1.1299999999999999E-2</v>
      </c>
      <c r="S178" s="354">
        <v>0.17449999999999999</v>
      </c>
      <c r="T178" s="353">
        <v>-4.2799999999999998E-2</v>
      </c>
      <c r="U178" s="354">
        <v>-0.45540000000000003</v>
      </c>
      <c r="V178" s="353" t="s">
        <v>66</v>
      </c>
      <c r="W178" s="354" t="s">
        <v>66</v>
      </c>
      <c r="X178" s="353" t="s">
        <v>66</v>
      </c>
      <c r="Y178" s="354" t="s">
        <v>66</v>
      </c>
      <c r="Z178" s="353">
        <v>0.10639999999999999</v>
      </c>
      <c r="AA178" s="355">
        <v>-1.2040389859218747</v>
      </c>
    </row>
    <row r="179" spans="1:27">
      <c r="E179" s="292" t="s">
        <v>80</v>
      </c>
      <c r="F179" s="293">
        <v>2491268</v>
      </c>
      <c r="G179" s="294">
        <v>30317454000151</v>
      </c>
      <c r="H179" s="293" t="s">
        <v>1843</v>
      </c>
      <c r="I179" s="293" t="s">
        <v>1820</v>
      </c>
      <c r="J179" s="295" t="s">
        <v>1827</v>
      </c>
      <c r="K179" s="293" t="s">
        <v>951</v>
      </c>
      <c r="L179" s="293" t="s">
        <v>87</v>
      </c>
      <c r="M179" s="293">
        <v>32</v>
      </c>
      <c r="N179" s="295">
        <v>1.8499999999999999E-2</v>
      </c>
      <c r="O179" s="295">
        <v>4.6249999999999998E-3</v>
      </c>
      <c r="P179" s="315">
        <v>931858042.26999998</v>
      </c>
      <c r="Q179" s="357">
        <v>43250</v>
      </c>
      <c r="R179" s="353">
        <v>-1.41E-2</v>
      </c>
      <c r="S179" s="354">
        <v>-0.21759999999999999</v>
      </c>
      <c r="T179" s="353">
        <v>-0.1217</v>
      </c>
      <c r="U179" s="354">
        <v>-1.2930999999999999</v>
      </c>
      <c r="V179" s="353">
        <v>8.6E-3</v>
      </c>
      <c r="W179" s="354">
        <v>7.1499999999999994E-2</v>
      </c>
      <c r="X179" s="353">
        <v>0.23280000000000001</v>
      </c>
      <c r="Y179" s="354">
        <v>1.3812</v>
      </c>
      <c r="Z179" s="353">
        <v>0.109</v>
      </c>
      <c r="AA179" s="355">
        <v>-1.9611580722272322</v>
      </c>
    </row>
    <row r="180" spans="1:27">
      <c r="E180" s="292" t="s">
        <v>304</v>
      </c>
      <c r="F180" s="293">
        <v>1402018</v>
      </c>
      <c r="G180" s="294">
        <v>40920066000114</v>
      </c>
      <c r="H180" s="293" t="s">
        <v>1843</v>
      </c>
      <c r="I180" s="293" t="s">
        <v>953</v>
      </c>
      <c r="J180" s="295" t="s">
        <v>1827</v>
      </c>
      <c r="K180" s="293" t="s">
        <v>951</v>
      </c>
      <c r="L180" s="293" t="s">
        <v>87</v>
      </c>
      <c r="M180" s="293">
        <v>32</v>
      </c>
      <c r="N180" s="295">
        <v>0.02</v>
      </c>
      <c r="O180" s="295">
        <v>4.0000000000000001E-3</v>
      </c>
      <c r="P180" s="315">
        <v>106314065.69</v>
      </c>
      <c r="Q180" s="357">
        <v>44277</v>
      </c>
      <c r="R180" s="353">
        <v>7.4399999999999994E-2</v>
      </c>
      <c r="S180" s="354">
        <v>1.1453</v>
      </c>
      <c r="T180" s="353">
        <v>0.1008</v>
      </c>
      <c r="U180" s="354">
        <v>1.0718000000000001</v>
      </c>
      <c r="V180" s="353" t="s">
        <v>66</v>
      </c>
      <c r="W180" s="354" t="s">
        <v>66</v>
      </c>
      <c r="X180" s="353" t="s">
        <v>66</v>
      </c>
      <c r="Y180" s="354" t="s">
        <v>66</v>
      </c>
      <c r="Z180" s="353">
        <v>0.10340000000000001</v>
      </c>
      <c r="AA180" s="355">
        <v>0.11100662047943778</v>
      </c>
    </row>
    <row r="181" spans="1:27">
      <c r="E181" s="292" t="s">
        <v>1664</v>
      </c>
      <c r="F181" s="293">
        <v>3008116</v>
      </c>
      <c r="G181" s="294">
        <v>45126753000186</v>
      </c>
      <c r="H181" s="293" t="s">
        <v>1843</v>
      </c>
      <c r="I181" s="293" t="s">
        <v>1038</v>
      </c>
      <c r="J181" s="295" t="s">
        <v>1827</v>
      </c>
      <c r="K181" s="293" t="s">
        <v>951</v>
      </c>
      <c r="L181" s="293" t="s">
        <v>87</v>
      </c>
      <c r="M181" s="293">
        <v>30</v>
      </c>
      <c r="N181" s="295">
        <v>1.9E-2</v>
      </c>
      <c r="O181" s="295" t="s">
        <v>66</v>
      </c>
      <c r="P181" s="315">
        <v>52155445.530000001</v>
      </c>
      <c r="Q181" s="357">
        <v>44617</v>
      </c>
      <c r="R181" s="353" t="s">
        <v>66</v>
      </c>
      <c r="S181" s="354" t="s">
        <v>66</v>
      </c>
      <c r="T181" s="353" t="s">
        <v>66</v>
      </c>
      <c r="U181" s="354" t="s">
        <v>66</v>
      </c>
      <c r="V181" s="353" t="s">
        <v>66</v>
      </c>
      <c r="W181" s="354" t="s">
        <v>66</v>
      </c>
      <c r="X181" s="353" t="s">
        <v>66</v>
      </c>
      <c r="Y181" s="354" t="s">
        <v>66</v>
      </c>
      <c r="Z181" s="353" t="s">
        <v>66</v>
      </c>
      <c r="AA181" s="355" t="s">
        <v>66</v>
      </c>
    </row>
    <row r="182" spans="1:27" ht="5.25" customHeight="1">
      <c r="E182" s="297" t="s">
        <v>1916</v>
      </c>
      <c r="P182" s="320"/>
      <c r="Q182" s="360"/>
      <c r="AA182" s="299"/>
    </row>
    <row r="183" spans="1:27" s="282" customFormat="1">
      <c r="A183" s="327"/>
      <c r="B183" s="335" t="s">
        <v>32</v>
      </c>
      <c r="C183" s="335" t="s">
        <v>66</v>
      </c>
      <c r="D183" s="335" t="str">
        <f>B183&amp;" "&amp;C183</f>
        <v>Alternativos -</v>
      </c>
      <c r="E183" s="289" t="s">
        <v>32</v>
      </c>
      <c r="F183" s="289"/>
      <c r="G183" s="289"/>
      <c r="H183" s="289"/>
      <c r="I183" s="290"/>
      <c r="J183" s="289"/>
      <c r="K183" s="289"/>
      <c r="L183" s="289"/>
      <c r="M183" s="289"/>
      <c r="N183" s="289"/>
      <c r="O183" s="289"/>
      <c r="P183" s="319"/>
      <c r="Q183" s="359"/>
      <c r="R183" s="289"/>
      <c r="S183" s="289"/>
      <c r="T183" s="289"/>
      <c r="U183" s="289"/>
      <c r="V183" s="289"/>
      <c r="W183" s="289"/>
      <c r="X183" s="289"/>
      <c r="Y183" s="289"/>
      <c r="Z183" s="289"/>
      <c r="AA183" s="291"/>
    </row>
    <row r="184" spans="1:27">
      <c r="E184" s="292"/>
      <c r="F184" s="293"/>
      <c r="G184" s="294"/>
      <c r="H184" s="293"/>
      <c r="I184" s="293"/>
      <c r="J184" s="295"/>
      <c r="K184" s="293"/>
      <c r="L184" s="293"/>
      <c r="M184" s="293"/>
      <c r="N184" s="295"/>
      <c r="O184" s="295"/>
      <c r="P184" s="315"/>
      <c r="Q184" s="357"/>
      <c r="R184" s="353"/>
      <c r="S184" s="354"/>
      <c r="T184" s="353"/>
      <c r="U184" s="354"/>
      <c r="V184" s="353"/>
      <c r="W184" s="354"/>
      <c r="X184" s="353"/>
      <c r="Y184" s="354"/>
      <c r="Z184" s="353"/>
      <c r="AA184" s="355"/>
    </row>
    <row r="185" spans="1:27" s="282" customFormat="1" ht="7.5" customHeight="1">
      <c r="B185" s="335"/>
      <c r="C185" s="335"/>
      <c r="D185" s="335"/>
      <c r="E185" s="297" t="s">
        <v>1916</v>
      </c>
      <c r="I185" s="283"/>
      <c r="P185" s="317"/>
      <c r="Q185" s="358"/>
      <c r="AA185" s="288"/>
    </row>
    <row r="186" spans="1:27" s="282" customFormat="1">
      <c r="B186" s="345" t="s">
        <v>20</v>
      </c>
      <c r="C186" s="335"/>
      <c r="D186" s="335"/>
      <c r="E186" s="284" t="s">
        <v>973</v>
      </c>
      <c r="F186" s="284"/>
      <c r="G186" s="284"/>
      <c r="H186" s="284"/>
      <c r="I186" s="285"/>
      <c r="J186" s="284"/>
      <c r="K186" s="284"/>
      <c r="L186" s="284"/>
      <c r="M186" s="284"/>
      <c r="N186" s="284"/>
      <c r="O186" s="284"/>
      <c r="P186" s="318"/>
      <c r="Q186" s="356"/>
      <c r="R186" s="284"/>
      <c r="S186" s="284"/>
      <c r="T186" s="284"/>
      <c r="U186" s="284"/>
      <c r="V186" s="284"/>
      <c r="W186" s="284"/>
      <c r="X186" s="284"/>
      <c r="Y186" s="284"/>
      <c r="Z186" s="284"/>
      <c r="AA186" s="286"/>
    </row>
    <row r="187" spans="1:27" s="282" customFormat="1" ht="3" customHeight="1">
      <c r="B187" s="335"/>
      <c r="C187" s="335"/>
      <c r="D187" s="335"/>
      <c r="I187" s="287"/>
      <c r="P187" s="317"/>
      <c r="Q187" s="358"/>
      <c r="AA187" s="288"/>
    </row>
    <row r="188" spans="1:27" s="282" customFormat="1">
      <c r="A188" s="327"/>
      <c r="B188" s="335" t="s">
        <v>28</v>
      </c>
      <c r="C188" s="335" t="s">
        <v>1040</v>
      </c>
      <c r="D188" s="335" t="str">
        <f>B188&amp;" "&amp;C188</f>
        <v>Renda Variável USA</v>
      </c>
      <c r="E188" s="289" t="s">
        <v>952</v>
      </c>
      <c r="F188" s="289"/>
      <c r="G188" s="289"/>
      <c r="H188" s="289"/>
      <c r="I188" s="290"/>
      <c r="J188" s="289"/>
      <c r="K188" s="289"/>
      <c r="L188" s="289"/>
      <c r="M188" s="289"/>
      <c r="N188" s="289"/>
      <c r="O188" s="289"/>
      <c r="P188" s="319"/>
      <c r="Q188" s="359"/>
      <c r="R188" s="289"/>
      <c r="S188" s="289"/>
      <c r="T188" s="289"/>
      <c r="U188" s="289"/>
      <c r="V188" s="289"/>
      <c r="W188" s="289"/>
      <c r="X188" s="289"/>
      <c r="Y188" s="289"/>
      <c r="Z188" s="289"/>
      <c r="AA188" s="291"/>
    </row>
    <row r="189" spans="1:27">
      <c r="E189" s="292" t="s">
        <v>732</v>
      </c>
      <c r="F189" s="293">
        <v>2552972</v>
      </c>
      <c r="G189" s="294">
        <v>17453850000148</v>
      </c>
      <c r="H189" s="293" t="s">
        <v>1078</v>
      </c>
      <c r="I189" s="293" t="s">
        <v>1021</v>
      </c>
      <c r="J189" s="295" t="s">
        <v>1824</v>
      </c>
      <c r="K189" s="293" t="s">
        <v>1040</v>
      </c>
      <c r="L189" s="293" t="s">
        <v>88</v>
      </c>
      <c r="M189" s="293">
        <v>1</v>
      </c>
      <c r="N189" s="295">
        <v>0.01</v>
      </c>
      <c r="O189" s="295">
        <v>2.6666666666666666E-3</v>
      </c>
      <c r="P189" s="315">
        <v>1386235989.8299999</v>
      </c>
      <c r="Q189" s="357">
        <v>41394</v>
      </c>
      <c r="R189" s="353">
        <v>-9.2700000000000005E-2</v>
      </c>
      <c r="S189" s="354">
        <v>-1.4283999999999999</v>
      </c>
      <c r="T189" s="353">
        <v>1.06E-2</v>
      </c>
      <c r="U189" s="354">
        <v>0.11219999999999999</v>
      </c>
      <c r="V189" s="353">
        <v>0.38729999999999998</v>
      </c>
      <c r="W189" s="354">
        <v>3.2061000000000002</v>
      </c>
      <c r="X189" s="353">
        <v>0.45550000000000002</v>
      </c>
      <c r="Y189" s="354">
        <v>2.7029999999999998</v>
      </c>
      <c r="Z189" s="353">
        <v>0.2041</v>
      </c>
      <c r="AA189" s="355">
        <v>-0.28724889934680103</v>
      </c>
    </row>
    <row r="190" spans="1:27">
      <c r="E190" s="292" t="s">
        <v>762</v>
      </c>
      <c r="F190" s="293" t="s">
        <v>66</v>
      </c>
      <c r="G190" s="294" t="s">
        <v>66</v>
      </c>
      <c r="H190" s="293" t="s">
        <v>1843</v>
      </c>
      <c r="I190" s="293" t="s">
        <v>1021</v>
      </c>
      <c r="J190" s="295" t="s">
        <v>66</v>
      </c>
      <c r="K190" s="293" t="s">
        <v>951</v>
      </c>
      <c r="L190" s="293" t="s">
        <v>88</v>
      </c>
      <c r="M190" s="293">
        <v>2</v>
      </c>
      <c r="N190" s="295">
        <v>2.3999999999999998E-3</v>
      </c>
      <c r="O190" s="295">
        <v>0</v>
      </c>
      <c r="P190" s="315">
        <v>3010000000</v>
      </c>
      <c r="Q190" s="357">
        <v>41758</v>
      </c>
      <c r="R190" s="353" t="s">
        <v>66</v>
      </c>
      <c r="S190" s="354" t="s">
        <v>66</v>
      </c>
      <c r="T190" s="353" t="s">
        <v>66</v>
      </c>
      <c r="U190" s="354" t="s">
        <v>66</v>
      </c>
      <c r="V190" s="353" t="s">
        <v>66</v>
      </c>
      <c r="W190" s="354" t="s">
        <v>66</v>
      </c>
      <c r="X190" s="353" t="s">
        <v>66</v>
      </c>
      <c r="Y190" s="354" t="s">
        <v>66</v>
      </c>
      <c r="Z190" s="353" t="s">
        <v>66</v>
      </c>
      <c r="AA190" s="355" t="s">
        <v>66</v>
      </c>
    </row>
    <row r="191" spans="1:27" ht="5.25" customHeight="1">
      <c r="E191" s="297" t="s">
        <v>1916</v>
      </c>
      <c r="P191" s="320"/>
      <c r="Q191" s="360"/>
      <c r="AA191" s="299"/>
    </row>
    <row r="192" spans="1:27" s="282" customFormat="1">
      <c r="A192" s="327"/>
      <c r="B192" s="335" t="s">
        <v>28</v>
      </c>
      <c r="C192" s="337" t="s">
        <v>955</v>
      </c>
      <c r="D192" s="335" t="str">
        <f>B192&amp;" "&amp;C192</f>
        <v>Renda Variável China</v>
      </c>
      <c r="E192" s="289" t="s">
        <v>955</v>
      </c>
      <c r="F192" s="289"/>
      <c r="G192" s="289"/>
      <c r="H192" s="289"/>
      <c r="I192" s="290"/>
      <c r="J192" s="289"/>
      <c r="K192" s="289"/>
      <c r="L192" s="289"/>
      <c r="M192" s="289"/>
      <c r="N192" s="289"/>
      <c r="O192" s="289"/>
      <c r="P192" s="319"/>
      <c r="Q192" s="359"/>
      <c r="R192" s="289"/>
      <c r="S192" s="289"/>
      <c r="T192" s="289"/>
      <c r="U192" s="289"/>
      <c r="V192" s="289"/>
      <c r="W192" s="289"/>
      <c r="X192" s="289"/>
      <c r="Y192" s="289"/>
      <c r="Z192" s="289"/>
      <c r="AA192" s="291"/>
    </row>
    <row r="193" spans="1:27">
      <c r="E193" s="292" t="s">
        <v>1098</v>
      </c>
      <c r="F193" s="293">
        <v>1176350</v>
      </c>
      <c r="G193" s="294">
        <v>45295229000139</v>
      </c>
      <c r="H193" s="293" t="s">
        <v>1078</v>
      </c>
      <c r="I193" s="293" t="s">
        <v>66</v>
      </c>
      <c r="J193" s="295" t="s">
        <v>1827</v>
      </c>
      <c r="K193" s="293" t="s">
        <v>955</v>
      </c>
      <c r="L193" s="293" t="s">
        <v>87</v>
      </c>
      <c r="M193" s="293">
        <v>122</v>
      </c>
      <c r="N193" s="295">
        <v>7.4999999999999997E-3</v>
      </c>
      <c r="O193" s="295">
        <v>5.3E-3</v>
      </c>
      <c r="P193" s="315">
        <v>9004404.6300000008</v>
      </c>
      <c r="Q193" s="357">
        <v>44614</v>
      </c>
      <c r="R193" s="353" t="s">
        <v>66</v>
      </c>
      <c r="S193" s="354" t="s">
        <v>66</v>
      </c>
      <c r="T193" s="353" t="s">
        <v>66</v>
      </c>
      <c r="U193" s="354" t="s">
        <v>66</v>
      </c>
      <c r="V193" s="353" t="s">
        <v>66</v>
      </c>
      <c r="W193" s="354" t="s">
        <v>66</v>
      </c>
      <c r="X193" s="353" t="s">
        <v>66</v>
      </c>
      <c r="Y193" s="354" t="s">
        <v>66</v>
      </c>
      <c r="Z193" s="353" t="s">
        <v>66</v>
      </c>
      <c r="AA193" s="355" t="s">
        <v>66</v>
      </c>
    </row>
    <row r="194" spans="1:27">
      <c r="E194" s="292" t="s">
        <v>898</v>
      </c>
      <c r="F194" s="293">
        <v>3500882</v>
      </c>
      <c r="G194" s="294">
        <v>43096273000194</v>
      </c>
      <c r="H194" s="293" t="s">
        <v>1078</v>
      </c>
      <c r="I194" s="293" t="s">
        <v>66</v>
      </c>
      <c r="J194" s="295" t="s">
        <v>1827</v>
      </c>
      <c r="K194" s="293" t="s">
        <v>955</v>
      </c>
      <c r="L194" s="293" t="s">
        <v>87</v>
      </c>
      <c r="M194" s="293">
        <v>122</v>
      </c>
      <c r="N194" s="295">
        <v>7.4999999999999997E-3</v>
      </c>
      <c r="O194" s="295">
        <v>5.3E-3</v>
      </c>
      <c r="P194" s="315">
        <v>32193868.960000001</v>
      </c>
      <c r="Q194" s="357">
        <v>44434</v>
      </c>
      <c r="R194" s="353">
        <v>-6.4699999999999994E-2</v>
      </c>
      <c r="S194" s="354">
        <v>-0.99629999999999996</v>
      </c>
      <c r="T194" s="353" t="s">
        <v>66</v>
      </c>
      <c r="U194" s="354" t="s">
        <v>66</v>
      </c>
      <c r="V194" s="353" t="s">
        <v>66</v>
      </c>
      <c r="W194" s="354" t="s">
        <v>66</v>
      </c>
      <c r="X194" s="353" t="s">
        <v>66</v>
      </c>
      <c r="Y194" s="354" t="s">
        <v>66</v>
      </c>
      <c r="Z194" s="353" t="s">
        <v>66</v>
      </c>
      <c r="AA194" s="355" t="s">
        <v>66</v>
      </c>
    </row>
    <row r="195" spans="1:27">
      <c r="E195" s="292" t="s">
        <v>904</v>
      </c>
      <c r="F195" s="293">
        <v>541620</v>
      </c>
      <c r="G195" s="294">
        <v>41063334000191</v>
      </c>
      <c r="H195" s="293" t="s">
        <v>1843</v>
      </c>
      <c r="I195" s="293" t="s">
        <v>1021</v>
      </c>
      <c r="J195" s="295" t="s">
        <v>1824</v>
      </c>
      <c r="K195" s="293" t="s">
        <v>955</v>
      </c>
      <c r="L195" s="293" t="s">
        <v>88</v>
      </c>
      <c r="M195" s="293">
        <v>5</v>
      </c>
      <c r="N195" s="295">
        <v>0.01</v>
      </c>
      <c r="O195" s="295">
        <v>8.0000000000000002E-3</v>
      </c>
      <c r="P195" s="315">
        <v>4487429.49</v>
      </c>
      <c r="Q195" s="357">
        <v>44364</v>
      </c>
      <c r="R195" s="353">
        <v>-0.27800000000000002</v>
      </c>
      <c r="S195" s="354">
        <v>-4.2817999999999996</v>
      </c>
      <c r="T195" s="353">
        <v>-0.2777</v>
      </c>
      <c r="U195" s="354">
        <v>-2.9516</v>
      </c>
      <c r="V195" s="353" t="s">
        <v>66</v>
      </c>
      <c r="W195" s="354" t="s">
        <v>66</v>
      </c>
      <c r="X195" s="353" t="s">
        <v>66</v>
      </c>
      <c r="Y195" s="354" t="s">
        <v>66</v>
      </c>
      <c r="Z195" s="353">
        <v>0.26229999999999998</v>
      </c>
      <c r="AA195" s="355">
        <v>-1.4520992388099134</v>
      </c>
    </row>
    <row r="196" spans="1:27">
      <c r="E196" s="292" t="s">
        <v>1926</v>
      </c>
      <c r="F196" s="293" t="s">
        <v>66</v>
      </c>
      <c r="G196" s="294" t="s">
        <v>66</v>
      </c>
      <c r="H196" s="293" t="s">
        <v>1843</v>
      </c>
      <c r="I196" s="293" t="s">
        <v>1021</v>
      </c>
      <c r="J196" s="295" t="s">
        <v>66</v>
      </c>
      <c r="K196" s="293" t="s">
        <v>951</v>
      </c>
      <c r="L196" s="293" t="s">
        <v>87</v>
      </c>
      <c r="M196" s="293">
        <v>2</v>
      </c>
      <c r="N196" s="295">
        <v>8.8999999999999999E-3</v>
      </c>
      <c r="O196" s="295">
        <v>0</v>
      </c>
      <c r="P196" s="315">
        <v>484000000</v>
      </c>
      <c r="Q196" s="357">
        <v>44186</v>
      </c>
      <c r="R196" s="353" t="s">
        <v>66</v>
      </c>
      <c r="S196" s="354" t="s">
        <v>66</v>
      </c>
      <c r="T196" s="353" t="s">
        <v>66</v>
      </c>
      <c r="U196" s="354" t="s">
        <v>66</v>
      </c>
      <c r="V196" s="353" t="s">
        <v>66</v>
      </c>
      <c r="W196" s="354" t="s">
        <v>66</v>
      </c>
      <c r="X196" s="353" t="s">
        <v>66</v>
      </c>
      <c r="Y196" s="354" t="s">
        <v>66</v>
      </c>
      <c r="Z196" s="353" t="s">
        <v>66</v>
      </c>
      <c r="AA196" s="355" t="s">
        <v>66</v>
      </c>
    </row>
    <row r="197" spans="1:27" ht="5.25" customHeight="1">
      <c r="E197" s="297" t="s">
        <v>1916</v>
      </c>
      <c r="P197" s="320"/>
      <c r="Q197" s="360"/>
      <c r="AA197" s="299"/>
    </row>
    <row r="198" spans="1:27" s="282" customFormat="1">
      <c r="A198" s="327"/>
      <c r="B198" s="335" t="s">
        <v>28</v>
      </c>
      <c r="C198" s="337" t="s">
        <v>956</v>
      </c>
      <c r="D198" s="335" t="str">
        <f>B198&amp;" "&amp;C198</f>
        <v>Renda Variável Europa</v>
      </c>
      <c r="E198" s="289" t="s">
        <v>956</v>
      </c>
      <c r="F198" s="289"/>
      <c r="G198" s="289"/>
      <c r="H198" s="289"/>
      <c r="I198" s="290"/>
      <c r="J198" s="289"/>
      <c r="K198" s="289"/>
      <c r="L198" s="289"/>
      <c r="M198" s="289"/>
      <c r="N198" s="289"/>
      <c r="O198" s="289"/>
      <c r="P198" s="319"/>
      <c r="Q198" s="359"/>
      <c r="R198" s="289"/>
      <c r="S198" s="289"/>
      <c r="T198" s="289"/>
      <c r="U198" s="289"/>
      <c r="V198" s="289"/>
      <c r="W198" s="289"/>
      <c r="X198" s="289"/>
      <c r="Y198" s="289"/>
      <c r="Z198" s="289"/>
      <c r="AA198" s="291"/>
    </row>
    <row r="199" spans="1:27">
      <c r="E199" s="292" t="s">
        <v>1927</v>
      </c>
      <c r="F199" s="293" t="s">
        <v>66</v>
      </c>
      <c r="G199" s="294" t="s">
        <v>66</v>
      </c>
      <c r="H199" s="293" t="s">
        <v>1843</v>
      </c>
      <c r="I199" s="293" t="s">
        <v>1021</v>
      </c>
      <c r="J199" s="295" t="s">
        <v>66</v>
      </c>
      <c r="K199" s="293" t="s">
        <v>951</v>
      </c>
      <c r="L199" s="293" t="s">
        <v>87</v>
      </c>
      <c r="M199" s="293">
        <v>2</v>
      </c>
      <c r="N199" s="295">
        <v>3.8999999999999998E-3</v>
      </c>
      <c r="O199" s="295">
        <v>0</v>
      </c>
      <c r="P199" s="315">
        <v>45310000</v>
      </c>
      <c r="Q199" s="357">
        <v>44215</v>
      </c>
      <c r="R199" s="353" t="s">
        <v>66</v>
      </c>
      <c r="S199" s="354" t="s">
        <v>66</v>
      </c>
      <c r="T199" s="353" t="s">
        <v>66</v>
      </c>
      <c r="U199" s="354" t="s">
        <v>66</v>
      </c>
      <c r="V199" s="353" t="s">
        <v>66</v>
      </c>
      <c r="W199" s="354" t="s">
        <v>66</v>
      </c>
      <c r="X199" s="353" t="s">
        <v>66</v>
      </c>
      <c r="Y199" s="354" t="s">
        <v>66</v>
      </c>
      <c r="Z199" s="353" t="s">
        <v>66</v>
      </c>
      <c r="AA199" s="355" t="s">
        <v>66</v>
      </c>
    </row>
    <row r="200" spans="1:27" s="282" customFormat="1" ht="5.25" customHeight="1">
      <c r="B200" s="335"/>
      <c r="C200" s="335"/>
      <c r="D200" s="335"/>
      <c r="E200" s="297" t="s">
        <v>1916</v>
      </c>
      <c r="I200" s="287"/>
      <c r="P200" s="317"/>
      <c r="Q200" s="358"/>
      <c r="AA200" s="288"/>
    </row>
    <row r="201" spans="1:27" s="282" customFormat="1">
      <c r="A201" s="327"/>
      <c r="B201" s="335" t="s">
        <v>28</v>
      </c>
      <c r="C201" s="335" t="s">
        <v>954</v>
      </c>
      <c r="D201" s="335" t="str">
        <f>B201&amp;" "&amp;C201</f>
        <v>Renda Variável Global</v>
      </c>
      <c r="E201" s="289" t="s">
        <v>954</v>
      </c>
      <c r="F201" s="289"/>
      <c r="G201" s="289"/>
      <c r="H201" s="289"/>
      <c r="I201" s="290"/>
      <c r="J201" s="289"/>
      <c r="K201" s="289"/>
      <c r="L201" s="289"/>
      <c r="M201" s="289"/>
      <c r="N201" s="289"/>
      <c r="O201" s="289"/>
      <c r="P201" s="319"/>
      <c r="Q201" s="359"/>
      <c r="R201" s="289"/>
      <c r="S201" s="289"/>
      <c r="T201" s="289"/>
      <c r="U201" s="289"/>
      <c r="V201" s="289"/>
      <c r="W201" s="289"/>
      <c r="X201" s="289"/>
      <c r="Y201" s="289"/>
      <c r="Z201" s="289"/>
      <c r="AA201" s="291"/>
    </row>
    <row r="202" spans="1:27">
      <c r="E202" s="292" t="s">
        <v>807</v>
      </c>
      <c r="F202" s="293">
        <v>545875</v>
      </c>
      <c r="G202" s="294">
        <v>41373608000149</v>
      </c>
      <c r="H202" s="293" t="s">
        <v>1843</v>
      </c>
      <c r="I202" s="293" t="s">
        <v>1049</v>
      </c>
      <c r="J202" s="295" t="s">
        <v>1827</v>
      </c>
      <c r="K202" s="293" t="s">
        <v>954</v>
      </c>
      <c r="L202" s="293" t="s">
        <v>88</v>
      </c>
      <c r="M202" s="293">
        <v>6</v>
      </c>
      <c r="N202" s="295">
        <v>8.9999999999999993E-3</v>
      </c>
      <c r="O202" s="295">
        <v>4.0001999999999989E-3</v>
      </c>
      <c r="P202" s="315">
        <v>31930536.620000001</v>
      </c>
      <c r="Q202" s="357">
        <v>44313</v>
      </c>
      <c r="R202" s="353">
        <v>-0.1636</v>
      </c>
      <c r="S202" s="354">
        <v>-2.5196000000000001</v>
      </c>
      <c r="T202" s="353">
        <v>0.2114</v>
      </c>
      <c r="U202" s="354">
        <v>2.2464</v>
      </c>
      <c r="V202" s="353" t="s">
        <v>66</v>
      </c>
      <c r="W202" s="354" t="s">
        <v>66</v>
      </c>
      <c r="X202" s="353" t="s">
        <v>66</v>
      </c>
      <c r="Y202" s="354" t="s">
        <v>66</v>
      </c>
      <c r="Z202" s="353">
        <v>0.4798</v>
      </c>
      <c r="AA202" s="355">
        <v>0.4557974398053749</v>
      </c>
    </row>
    <row r="203" spans="1:27">
      <c r="E203" s="292" t="s">
        <v>817</v>
      </c>
      <c r="F203" s="293">
        <v>2508999</v>
      </c>
      <c r="G203" s="294">
        <v>40503169000189</v>
      </c>
      <c r="H203" s="293" t="s">
        <v>1843</v>
      </c>
      <c r="I203" s="293" t="s">
        <v>1049</v>
      </c>
      <c r="J203" s="295" t="s">
        <v>1827</v>
      </c>
      <c r="K203" s="293" t="s">
        <v>954</v>
      </c>
      <c r="L203" s="293" t="s">
        <v>87</v>
      </c>
      <c r="M203" s="293">
        <v>6</v>
      </c>
      <c r="N203" s="295">
        <v>2.5000000000000001E-3</v>
      </c>
      <c r="O203" s="295">
        <v>1.1111666666666666E-3</v>
      </c>
      <c r="P203" s="315">
        <v>68869455.390000001</v>
      </c>
      <c r="Q203" s="357">
        <v>44225</v>
      </c>
      <c r="R203" s="353">
        <v>-0.13220000000000001</v>
      </c>
      <c r="S203" s="354">
        <v>-2.0356000000000001</v>
      </c>
      <c r="T203" s="353">
        <v>0.1162</v>
      </c>
      <c r="U203" s="354">
        <v>1.2356</v>
      </c>
      <c r="V203" s="353" t="s">
        <v>66</v>
      </c>
      <c r="W203" s="354" t="s">
        <v>66</v>
      </c>
      <c r="X203" s="353" t="s">
        <v>66</v>
      </c>
      <c r="Y203" s="354" t="s">
        <v>66</v>
      </c>
      <c r="Z203" s="353">
        <v>0.5333</v>
      </c>
      <c r="AA203" s="355">
        <v>0.29857047508321105</v>
      </c>
    </row>
    <row r="204" spans="1:27">
      <c r="E204" s="292" t="s">
        <v>1928</v>
      </c>
      <c r="F204" s="293" t="s">
        <v>66</v>
      </c>
      <c r="G204" s="294" t="s">
        <v>66</v>
      </c>
      <c r="H204" s="293" t="s">
        <v>1843</v>
      </c>
      <c r="I204" s="293" t="s">
        <v>1021</v>
      </c>
      <c r="J204" s="295" t="s">
        <v>66</v>
      </c>
      <c r="K204" s="293" t="s">
        <v>951</v>
      </c>
      <c r="L204" s="293" t="s">
        <v>87</v>
      </c>
      <c r="M204" s="293">
        <v>2</v>
      </c>
      <c r="N204" s="295">
        <v>3.8E-3</v>
      </c>
      <c r="O204" s="295">
        <v>0</v>
      </c>
      <c r="P204" s="315">
        <v>50720000</v>
      </c>
      <c r="Q204" s="357">
        <v>44489</v>
      </c>
      <c r="R204" s="353" t="s">
        <v>66</v>
      </c>
      <c r="S204" s="354" t="s">
        <v>66</v>
      </c>
      <c r="T204" s="353" t="s">
        <v>66</v>
      </c>
      <c r="U204" s="354" t="s">
        <v>66</v>
      </c>
      <c r="V204" s="353" t="s">
        <v>66</v>
      </c>
      <c r="W204" s="354" t="s">
        <v>66</v>
      </c>
      <c r="X204" s="353" t="s">
        <v>66</v>
      </c>
      <c r="Y204" s="354" t="s">
        <v>66</v>
      </c>
      <c r="Z204" s="353" t="s">
        <v>66</v>
      </c>
      <c r="AA204" s="355" t="s">
        <v>66</v>
      </c>
    </row>
    <row r="205" spans="1:27" ht="5.25" customHeight="1">
      <c r="E205" s="297" t="s">
        <v>1916</v>
      </c>
      <c r="P205" s="320"/>
      <c r="Q205" s="360"/>
      <c r="AA205" s="299"/>
    </row>
    <row r="206" spans="1:27" s="282" customFormat="1">
      <c r="A206" s="327"/>
      <c r="B206" s="335" t="s">
        <v>28</v>
      </c>
      <c r="C206" s="337" t="s">
        <v>1046</v>
      </c>
      <c r="D206" s="335" t="str">
        <f>B206&amp;" "&amp;C206</f>
        <v>Renda Variável EM</v>
      </c>
      <c r="E206" s="289" t="s">
        <v>1046</v>
      </c>
      <c r="F206" s="289"/>
      <c r="G206" s="289"/>
      <c r="H206" s="289"/>
      <c r="I206" s="290"/>
      <c r="J206" s="289"/>
      <c r="K206" s="289"/>
      <c r="L206" s="289"/>
      <c r="M206" s="289"/>
      <c r="N206" s="289"/>
      <c r="O206" s="289"/>
      <c r="P206" s="319"/>
      <c r="Q206" s="359"/>
      <c r="R206" s="289"/>
      <c r="S206" s="289"/>
      <c r="T206" s="289"/>
      <c r="U206" s="289"/>
      <c r="V206" s="289"/>
      <c r="W206" s="289"/>
      <c r="X206" s="289"/>
      <c r="Y206" s="289"/>
      <c r="Z206" s="289"/>
      <c r="AA206" s="291"/>
    </row>
    <row r="207" spans="1:27">
      <c r="E207" s="292" t="s">
        <v>1269</v>
      </c>
      <c r="F207" s="293">
        <v>1170868</v>
      </c>
      <c r="G207" s="294">
        <v>31964074000171</v>
      </c>
      <c r="H207" s="293" t="s">
        <v>1843</v>
      </c>
      <c r="I207" s="293" t="s">
        <v>66</v>
      </c>
      <c r="J207" s="295" t="s">
        <v>1824</v>
      </c>
      <c r="K207" s="293" t="s">
        <v>1046</v>
      </c>
      <c r="L207" s="293" t="s">
        <v>66</v>
      </c>
      <c r="M207" s="293">
        <v>5</v>
      </c>
      <c r="N207" s="295">
        <v>0.01</v>
      </c>
      <c r="O207" s="295">
        <v>4.0000000000000001E-3</v>
      </c>
      <c r="P207" s="315">
        <v>61183358.600000001</v>
      </c>
      <c r="Q207" s="357">
        <v>43445</v>
      </c>
      <c r="R207" s="353">
        <v>-0.32340000000000002</v>
      </c>
      <c r="S207" s="354">
        <v>-4.9808000000000003</v>
      </c>
      <c r="T207" s="353">
        <v>-0.23139999999999999</v>
      </c>
      <c r="U207" s="354">
        <v>-2.4597000000000002</v>
      </c>
      <c r="V207" s="353">
        <v>6.13E-2</v>
      </c>
      <c r="W207" s="354">
        <v>0.50760000000000005</v>
      </c>
      <c r="X207" s="353">
        <v>0.56340000000000001</v>
      </c>
      <c r="Y207" s="354">
        <v>3.3431999999999999</v>
      </c>
      <c r="Z207" s="353">
        <v>0.21840000000000001</v>
      </c>
      <c r="AA207" s="355">
        <v>-1.5076973504387197</v>
      </c>
    </row>
    <row r="208" spans="1:27">
      <c r="E208" s="292" t="s">
        <v>1930</v>
      </c>
      <c r="F208" s="293" t="s">
        <v>66</v>
      </c>
      <c r="G208" s="294" t="s">
        <v>66</v>
      </c>
      <c r="H208" s="293" t="s">
        <v>1843</v>
      </c>
      <c r="I208" s="293" t="s">
        <v>1021</v>
      </c>
      <c r="J208" s="295" t="s">
        <v>66</v>
      </c>
      <c r="K208" s="293" t="s">
        <v>951</v>
      </c>
      <c r="L208" s="293" t="s">
        <v>87</v>
      </c>
      <c r="M208" s="293">
        <v>2</v>
      </c>
      <c r="N208" s="295">
        <v>0.01</v>
      </c>
      <c r="O208" s="295">
        <v>0</v>
      </c>
      <c r="P208" s="315">
        <v>13540000</v>
      </c>
      <c r="Q208" s="357">
        <v>44375</v>
      </c>
      <c r="R208" s="353" t="s">
        <v>66</v>
      </c>
      <c r="S208" s="354" t="s">
        <v>66</v>
      </c>
      <c r="T208" s="353" t="s">
        <v>66</v>
      </c>
      <c r="U208" s="354" t="s">
        <v>66</v>
      </c>
      <c r="V208" s="353" t="s">
        <v>66</v>
      </c>
      <c r="W208" s="354" t="s">
        <v>66</v>
      </c>
      <c r="X208" s="353" t="s">
        <v>66</v>
      </c>
      <c r="Y208" s="354" t="s">
        <v>66</v>
      </c>
      <c r="Z208" s="353" t="s">
        <v>66</v>
      </c>
      <c r="AA208" s="355" t="s">
        <v>66</v>
      </c>
    </row>
    <row r="209" spans="1:27" s="300" customFormat="1" ht="9" customHeight="1">
      <c r="B209" s="335"/>
      <c r="C209" s="335"/>
      <c r="D209" s="335"/>
      <c r="E209" s="297" t="s">
        <v>1916</v>
      </c>
      <c r="I209" s="301"/>
      <c r="P209" s="349"/>
      <c r="Q209" s="362"/>
      <c r="AA209" s="302"/>
    </row>
    <row r="210" spans="1:27" s="300" customFormat="1">
      <c r="A210" s="327"/>
      <c r="B210" s="345" t="s">
        <v>1847</v>
      </c>
      <c r="C210" s="335"/>
      <c r="D210" s="335"/>
      <c r="I210" s="301"/>
    </row>
    <row r="211" spans="1:27" s="300" customFormat="1">
      <c r="B211" s="335"/>
      <c r="C211" s="335"/>
      <c r="D211" s="335"/>
      <c r="I211" s="301"/>
    </row>
    <row r="212" spans="1:27" ht="21.75" hidden="1" customHeight="1">
      <c r="E212" s="303" t="s">
        <v>739</v>
      </c>
      <c r="I212" s="304"/>
    </row>
    <row r="213" spans="1:27" ht="18.75" hidden="1" customHeight="1">
      <c r="E213" s="305" t="s">
        <v>740</v>
      </c>
      <c r="I213" s="304"/>
    </row>
    <row r="214" spans="1:27" ht="18.75" hidden="1" customHeight="1">
      <c r="E214" s="305" t="s">
        <v>741</v>
      </c>
      <c r="I214" s="304"/>
    </row>
    <row r="215" spans="1:27" ht="18.75" hidden="1" customHeight="1">
      <c r="E215" s="305" t="s">
        <v>742</v>
      </c>
      <c r="I215" s="304"/>
    </row>
    <row r="216" spans="1:27" ht="18.75" hidden="1" customHeight="1">
      <c r="E216" s="305" t="s">
        <v>743</v>
      </c>
      <c r="I216" s="304"/>
    </row>
    <row r="217" spans="1:27" ht="18.75" hidden="1" customHeight="1">
      <c r="E217" s="305" t="s">
        <v>744</v>
      </c>
      <c r="I217" s="304"/>
    </row>
    <row r="218" spans="1:27" ht="18.75" hidden="1" customHeight="1">
      <c r="E218" s="306" t="s">
        <v>745</v>
      </c>
      <c r="I218" s="304"/>
    </row>
    <row r="219" spans="1:27" ht="18.75" hidden="1" customHeight="1">
      <c r="E219" s="307" t="s">
        <v>746</v>
      </c>
      <c r="I219" s="304"/>
    </row>
    <row r="220" spans="1:27" ht="18.75" hidden="1" customHeight="1">
      <c r="E220" s="307" t="s">
        <v>747</v>
      </c>
      <c r="I220" s="304"/>
    </row>
    <row r="221" spans="1:27" ht="18.75" hidden="1" customHeight="1">
      <c r="E221" s="307" t="s">
        <v>748</v>
      </c>
      <c r="I221" s="304"/>
    </row>
    <row r="222" spans="1:27" ht="19.5" hidden="1" customHeight="1">
      <c r="E222" s="308" t="s">
        <v>749</v>
      </c>
      <c r="I222" s="304"/>
    </row>
    <row r="223" spans="1:27" ht="18.75" hidden="1" customHeight="1">
      <c r="E223" s="309" t="s">
        <v>750</v>
      </c>
      <c r="I223" s="304"/>
    </row>
    <row r="224" spans="1:27" ht="18.75" hidden="1" customHeight="1">
      <c r="E224" s="309" t="s">
        <v>751</v>
      </c>
      <c r="I224" s="304"/>
    </row>
    <row r="225" spans="5:9" ht="18.75" hidden="1" customHeight="1">
      <c r="E225" s="309" t="s">
        <v>752</v>
      </c>
      <c r="I225" s="304"/>
    </row>
    <row r="226" spans="5:9" ht="19.5" hidden="1" customHeight="1">
      <c r="E226" s="310" t="s">
        <v>753</v>
      </c>
      <c r="I226" s="304"/>
    </row>
    <row r="227" spans="5:9" ht="18.75" hidden="1" customHeight="1">
      <c r="E227" s="311" t="s">
        <v>754</v>
      </c>
      <c r="I227" s="304"/>
    </row>
    <row r="228" spans="5:9" ht="18.75" hidden="1" customHeight="1">
      <c r="E228" s="312" t="s">
        <v>755</v>
      </c>
      <c r="I228" s="304"/>
    </row>
    <row r="229" spans="5:9" ht="18.75" hidden="1" customHeight="1">
      <c r="I229" s="304"/>
    </row>
    <row r="230" spans="5:9" ht="18.75" hidden="1" customHeight="1">
      <c r="F230" s="313"/>
    </row>
    <row r="231" spans="5:9" ht="21.75" hidden="1" customHeight="1">
      <c r="E231" s="303" t="s">
        <v>739</v>
      </c>
      <c r="F231" s="313"/>
    </row>
    <row r="232" spans="5:9" ht="18.75" hidden="1" customHeight="1">
      <c r="E232" s="305" t="s">
        <v>740</v>
      </c>
      <c r="F232" s="313"/>
    </row>
    <row r="233" spans="5:9" ht="18.75" hidden="1" customHeight="1">
      <c r="E233" s="305" t="s">
        <v>741</v>
      </c>
      <c r="F233" s="313"/>
    </row>
    <row r="234" spans="5:9" ht="19.5" hidden="1" customHeight="1">
      <c r="E234" s="314" t="s">
        <v>742</v>
      </c>
      <c r="F234" s="313"/>
    </row>
    <row r="235" spans="5:9" ht="18.75" hidden="1" customHeight="1">
      <c r="E235" s="307" t="s">
        <v>747</v>
      </c>
      <c r="F235" s="313"/>
    </row>
    <row r="236" spans="5:9" ht="18.75" hidden="1" customHeight="1">
      <c r="E236" s="307" t="s">
        <v>748</v>
      </c>
      <c r="F236" s="313"/>
    </row>
    <row r="237" spans="5:9" ht="19.5" hidden="1" customHeight="1">
      <c r="E237" s="308" t="s">
        <v>749</v>
      </c>
      <c r="F237" s="313"/>
    </row>
    <row r="238" spans="5:9" ht="18.75" hidden="1" customHeight="1">
      <c r="F238" s="313"/>
    </row>
    <row r="239" spans="5:9" ht="18.75" hidden="1" customHeight="1">
      <c r="F239" s="313"/>
    </row>
    <row r="240" spans="5:9" ht="21.75" hidden="1" customHeight="1">
      <c r="E240" s="303" t="s">
        <v>739</v>
      </c>
      <c r="F240" s="313"/>
    </row>
    <row r="241" spans="5:9" ht="18.75" hidden="1" customHeight="1">
      <c r="E241" s="305" t="s">
        <v>740</v>
      </c>
      <c r="F241" s="313"/>
    </row>
    <row r="242" spans="5:9" ht="18.75" hidden="1" customHeight="1">
      <c r="E242" s="305" t="s">
        <v>741</v>
      </c>
      <c r="F242" s="313"/>
    </row>
    <row r="243" spans="5:9" ht="19.5" hidden="1" customHeight="1">
      <c r="E243" s="314" t="s">
        <v>742</v>
      </c>
      <c r="F243" s="313"/>
    </row>
    <row r="244" spans="5:9" ht="18.75" hidden="1" customHeight="1">
      <c r="E244" s="307" t="s">
        <v>747</v>
      </c>
      <c r="F244" s="313"/>
    </row>
    <row r="245" spans="5:9" ht="18.75" hidden="1" customHeight="1">
      <c r="E245" s="307" t="s">
        <v>748</v>
      </c>
      <c r="F245" s="313"/>
    </row>
    <row r="246" spans="5:9" ht="19.5" hidden="1" customHeight="1">
      <c r="E246" s="308" t="s">
        <v>749</v>
      </c>
      <c r="F246" s="313"/>
    </row>
    <row r="247" spans="5:9" ht="18.75" hidden="1" customHeight="1">
      <c r="F247" s="313"/>
    </row>
    <row r="248" spans="5:9" ht="18.75" hidden="1" customHeight="1">
      <c r="F248" s="313"/>
    </row>
    <row r="249" spans="5:9" ht="21.75" hidden="1" customHeight="1">
      <c r="E249" s="303" t="s">
        <v>739</v>
      </c>
      <c r="F249" s="313"/>
    </row>
    <row r="250" spans="5:9" ht="18.75" hidden="1" customHeight="1">
      <c r="E250" s="305" t="s">
        <v>740</v>
      </c>
      <c r="F250" s="313"/>
    </row>
    <row r="251" spans="5:9" ht="18.75" hidden="1" customHeight="1">
      <c r="E251" s="305" t="s">
        <v>741</v>
      </c>
      <c r="F251" s="313"/>
    </row>
    <row r="252" spans="5:9" ht="19.5" hidden="1" customHeight="1">
      <c r="E252" s="314" t="s">
        <v>742</v>
      </c>
      <c r="F252" s="313"/>
    </row>
    <row r="253" spans="5:9" ht="18.75" hidden="1" customHeight="1">
      <c r="E253" s="307" t="s">
        <v>747</v>
      </c>
      <c r="F253" s="313"/>
    </row>
    <row r="254" spans="5:9" ht="18.75" hidden="1" customHeight="1">
      <c r="E254" s="307" t="s">
        <v>748</v>
      </c>
      <c r="F254" s="313"/>
    </row>
    <row r="255" spans="5:9" ht="19.5" hidden="1" customHeight="1">
      <c r="E255" s="308" t="s">
        <v>749</v>
      </c>
      <c r="F255" s="313"/>
    </row>
    <row r="256" spans="5:9">
      <c r="I256" s="304"/>
    </row>
  </sheetData>
  <mergeCells count="2">
    <mergeCell ref="E2:F3"/>
    <mergeCell ref="J3:K3"/>
  </mergeCells>
  <conditionalFormatting sqref="I60:J60 F60">
    <cfRule type="expression" dxfId="111" priority="165">
      <formula>AND(F60&lt;&gt;"",#REF!="",OR(COLUMN(F60)=COLUMN(#REF!),COLUMN(F60)=COLUMN(#REF!)))</formula>
    </cfRule>
  </conditionalFormatting>
  <conditionalFormatting sqref="I69:J69 F69">
    <cfRule type="expression" dxfId="110" priority="164">
      <formula>AND(F69&lt;&gt;"",#REF!="",OR(COLUMN(F69)=COLUMN(#REF!),COLUMN(F69)=COLUMN(#REF!)))</formula>
    </cfRule>
  </conditionalFormatting>
  <conditionalFormatting sqref="I86:J86 F86">
    <cfRule type="expression" dxfId="109" priority="163">
      <formula>AND(F86&lt;&gt;"",#REF!="",OR(COLUMN(F86)=COLUMN(#REF!),COLUMN(F86)=COLUMN(#REF!)))</formula>
    </cfRule>
  </conditionalFormatting>
  <conditionalFormatting sqref="I94:J94 F94 I172:J172 F172 I182:J182 F182 I197:J197 F197 I151:J151 F151 E209 I11:J44 E11:F44 I189:J191 I202:J205 E200:E205">
    <cfRule type="expression" dxfId="108" priority="162">
      <formula>AND(E11&lt;&gt;"",#REF!="",OR(COLUMN(E11)=COLUMN(#REF!),COLUMN(E11)=COLUMN(#REF!)))</formula>
    </cfRule>
  </conditionalFormatting>
  <conditionalFormatting sqref="I130:J130 E130:F130">
    <cfRule type="expression" dxfId="107" priority="161">
      <formula>AND(E130&lt;&gt;"",#REF!="",OR(COLUMN(E130)=COLUMN(#REF!),COLUMN(E130)=COLUMN(#REF!)))</formula>
    </cfRule>
  </conditionalFormatting>
  <conditionalFormatting sqref="I137:J137 F137">
    <cfRule type="expression" dxfId="106" priority="160">
      <formula>AND(F137&lt;&gt;"",#REF!="",OR(COLUMN(F137)=COLUMN(#REF!),COLUMN(F137)=COLUMN(#REF!)))</formula>
    </cfRule>
  </conditionalFormatting>
  <conditionalFormatting sqref="I96:J96 E96:F96 F191 F205 I199:J199 E199:F199 I184:J184 E184:F184 I134:J136 E134:F136 I153:J155 E153:F155 E189:F190 E202:F204">
    <cfRule type="expression" dxfId="105" priority="159">
      <formula>AND(E96&lt;&gt;"",#REF!="",OR(COLUMN(E96)=COLUMN(#REF!),COLUMN(E96)=COLUMN(#REF!)))</formula>
    </cfRule>
  </conditionalFormatting>
  <conditionalFormatting sqref="I148:J148 F148">
    <cfRule type="expression" dxfId="104" priority="138">
      <formula>AND(F148&lt;&gt;"",#REF!="",OR(COLUMN(F148)=COLUMN(#REF!),COLUMN(F148)=COLUMN(#REF!)))</formula>
    </cfRule>
  </conditionalFormatting>
  <conditionalFormatting sqref="I207:J208 E207:F208">
    <cfRule type="expression" dxfId="103" priority="131">
      <formula>AND(E207&lt;&gt;"",#REF!="",OR(COLUMN(E207)=COLUMN(#REF!),COLUMN(E207)=COLUMN(#REF!)))</formula>
    </cfRule>
  </conditionalFormatting>
  <conditionalFormatting sqref="I150:J150 E150:F150">
    <cfRule type="expression" dxfId="102" priority="29">
      <formula>AND(E150&lt;&gt;"",#REF!="",OR(COLUMN(E150)=COLUMN(#REF!),COLUMN(E150)=COLUMN(#REF!)))</formula>
    </cfRule>
  </conditionalFormatting>
  <conditionalFormatting sqref="I139:J147 E139:F147">
    <cfRule type="expression" dxfId="101" priority="28">
      <formula>AND(E139&lt;&gt;"",#REF!="",OR(COLUMN(E139)=COLUMN(#REF!),COLUMN(E139)=COLUMN(#REF!)))</formula>
    </cfRule>
  </conditionalFormatting>
  <conditionalFormatting sqref="I71:J75 E71:F75">
    <cfRule type="expression" dxfId="100" priority="26">
      <formula>AND(E71&lt;&gt;"",#REF!="",OR(COLUMN(E71)=COLUMN(#REF!),COLUMN(E71)=COLUMN(#REF!)))</formula>
    </cfRule>
  </conditionalFormatting>
  <conditionalFormatting sqref="I88:J93 E88:F93">
    <cfRule type="expression" dxfId="99" priority="24">
      <formula>AND(E88&lt;&gt;"",#REF!="",OR(COLUMN(E88)=COLUMN(#REF!),COLUMN(E88)=COLUMN(#REF!)))</formula>
    </cfRule>
  </conditionalFormatting>
  <conditionalFormatting sqref="I193:J196 E193:F196">
    <cfRule type="expression" dxfId="98" priority="23">
      <formula>AND(E193&lt;&gt;"",#REF!="",OR(COLUMN(E193)=COLUMN(#REF!),COLUMN(E193)=COLUMN(#REF!)))</formula>
    </cfRule>
  </conditionalFormatting>
  <conditionalFormatting sqref="I164:J171 E164:F171">
    <cfRule type="expression" dxfId="97" priority="22">
      <formula>AND(E164&lt;&gt;"",#REF!="",OR(COLUMN(E164)=COLUMN(#REF!),COLUMN(E164)=COLUMN(#REF!)))</formula>
    </cfRule>
  </conditionalFormatting>
  <conditionalFormatting sqref="I49:J59 E49:F59">
    <cfRule type="expression" dxfId="96" priority="20">
      <formula>AND(E49&lt;&gt;"",#REF!="",OR(COLUMN(E49)=COLUMN(#REF!),COLUMN(E49)=COLUMN(#REF!)))</formula>
    </cfRule>
  </conditionalFormatting>
  <conditionalFormatting sqref="I103:J129 E103:F129">
    <cfRule type="expression" dxfId="95" priority="19">
      <formula>AND(E103&lt;&gt;"",#REF!="",OR(COLUMN(E103)=COLUMN(#REF!),COLUMN(E103)=COLUMN(#REF!)))</formula>
    </cfRule>
  </conditionalFormatting>
  <conditionalFormatting sqref="I174:J181 E174:F181">
    <cfRule type="expression" dxfId="94" priority="18">
      <formula>AND(E174&lt;&gt;"",#REF!="",OR(COLUMN(E174)=COLUMN(#REF!),COLUMN(E174)=COLUMN(#REF!)))</formula>
    </cfRule>
  </conditionalFormatting>
  <conditionalFormatting sqref="E197 E191 E185 E182 E172 E156 E151 E148 E137 E45 E60 E69 E76 E86 E94 E97">
    <cfRule type="expression" dxfId="93" priority="11">
      <formula>AND(E45&lt;&gt;"",#REF!="",OR(COLUMN(E45)=COLUMN(#REF!),COLUMN(E45)=COLUMN(#REF!)))</formula>
    </cfRule>
  </conditionalFormatting>
  <conditionalFormatting sqref="I62:J68 E62:F68">
    <cfRule type="expression" dxfId="92" priority="6">
      <formula>AND(E62&lt;&gt;"",#REF!="",OR(COLUMN(E62)=COLUMN(#REF!),COLUMN(E62)=COLUMN(#REF!)))</formula>
    </cfRule>
  </conditionalFormatting>
  <conditionalFormatting sqref="I80:J85 E80:F85">
    <cfRule type="expression" dxfId="91" priority="5">
      <formula>AND(E80&lt;&gt;"",#REF!="",OR(COLUMN(E80)=COLUMN(#REF!),COLUMN(E80)=COLUMN(#REF!)))</formula>
    </cfRule>
  </conditionalFormatting>
  <dataValidations count="1">
    <dataValidation type="list" allowBlank="1" showInputMessage="1" showErrorMessage="1" sqref="J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topLeftCell="B1" zoomScale="80" zoomScaleNormal="80" workbookViewId="0">
      <selection activeCell="S12" sqref="S12"/>
    </sheetView>
  </sheetViews>
  <sheetFormatPr defaultColWidth="10.69921875" defaultRowHeight="18.75"/>
  <cols>
    <col min="1" max="1" width="3.296875" style="629" customWidth="1"/>
    <col min="2" max="2" width="19.5" style="151" customWidth="1"/>
    <col min="3" max="4" width="7.796875" style="208" customWidth="1"/>
    <col min="5" max="7" width="7.796875" style="151" customWidth="1"/>
    <col min="8" max="11" width="7.796875" style="208" customWidth="1"/>
    <col min="12" max="12" width="7.796875" style="151" customWidth="1"/>
    <col min="13" max="16" width="7.796875" style="208" customWidth="1"/>
    <col min="17" max="17" width="7.796875" style="151" customWidth="1"/>
    <col min="18" max="21" width="7.796875" style="208" customWidth="1"/>
    <col min="22" max="22" width="7.796875" style="151" customWidth="1"/>
    <col min="23" max="27" width="7.796875" style="208" customWidth="1"/>
    <col min="28" max="28" width="18.09765625" style="151" customWidth="1"/>
    <col min="29" max="16384" width="10.69921875" style="151"/>
  </cols>
  <sheetData>
    <row r="1" spans="1:28" ht="5.0999999999999996" customHeight="1">
      <c r="A1" s="584"/>
      <c r="B1" s="2"/>
      <c r="C1" s="150"/>
      <c r="D1" s="150"/>
      <c r="E1" s="2"/>
      <c r="F1" s="2"/>
      <c r="G1" s="2"/>
      <c r="H1" s="150"/>
      <c r="I1" s="150"/>
      <c r="J1" s="150"/>
      <c r="K1" s="150"/>
      <c r="L1" s="2"/>
      <c r="M1" s="150"/>
      <c r="N1" s="150"/>
      <c r="O1" s="150"/>
      <c r="P1" s="150"/>
      <c r="Q1" s="2"/>
      <c r="R1" s="150"/>
      <c r="S1" s="150"/>
      <c r="T1" s="150"/>
      <c r="U1" s="150"/>
      <c r="V1" s="2"/>
      <c r="W1" s="150"/>
      <c r="X1" s="150"/>
      <c r="Y1" s="150"/>
      <c r="Z1" s="150"/>
      <c r="AA1" s="150"/>
      <c r="AB1" s="2"/>
    </row>
    <row r="2" spans="1:28" ht="30.75">
      <c r="A2" s="584"/>
      <c r="B2" s="2"/>
      <c r="C2" s="150"/>
      <c r="D2" s="150"/>
      <c r="E2" s="2"/>
      <c r="F2" s="2"/>
      <c r="G2" s="2"/>
      <c r="H2" s="150"/>
      <c r="I2" s="150"/>
      <c r="J2" s="150"/>
      <c r="K2" s="150"/>
      <c r="L2" s="2"/>
      <c r="M2" s="150"/>
      <c r="N2" s="150"/>
      <c r="O2" s="150"/>
      <c r="P2" s="150"/>
      <c r="Q2" s="2"/>
      <c r="R2" s="150"/>
      <c r="S2" s="150"/>
      <c r="T2" s="150"/>
      <c r="U2" s="150"/>
      <c r="V2" s="2"/>
      <c r="W2" s="150"/>
      <c r="X2" s="150"/>
      <c r="Y2" s="150"/>
      <c r="Z2" s="150"/>
      <c r="AA2" s="150"/>
      <c r="AB2" s="2"/>
    </row>
    <row r="3" spans="1:28" ht="30.75">
      <c r="A3" s="585"/>
      <c r="B3" s="153" t="s">
        <v>983</v>
      </c>
      <c r="C3" s="155"/>
      <c r="D3" s="155"/>
      <c r="E3" s="51"/>
      <c r="F3" s="51"/>
      <c r="G3" s="51"/>
      <c r="H3" s="155"/>
      <c r="I3" s="155"/>
      <c r="J3" s="155"/>
      <c r="K3" s="155"/>
      <c r="L3" s="51"/>
      <c r="M3" s="155"/>
      <c r="N3" s="155"/>
      <c r="O3" s="155"/>
      <c r="P3" s="155"/>
      <c r="Q3" s="51"/>
      <c r="R3" s="155"/>
      <c r="S3" s="155"/>
      <c r="T3" s="155"/>
      <c r="U3" s="155"/>
      <c r="V3" s="51"/>
      <c r="W3" s="155"/>
      <c r="X3" s="155"/>
      <c r="Y3" s="155"/>
      <c r="Z3" s="155"/>
      <c r="AA3" s="155"/>
      <c r="AB3" s="51"/>
    </row>
    <row r="4" spans="1:28" ht="5.25" customHeight="1">
      <c r="A4" s="585"/>
      <c r="B4" s="51"/>
      <c r="C4" s="156"/>
      <c r="D4" s="156"/>
      <c r="E4" s="157"/>
      <c r="F4" s="157"/>
      <c r="G4" s="157"/>
      <c r="H4" s="156"/>
      <c r="I4" s="156"/>
      <c r="J4" s="156"/>
      <c r="K4" s="156"/>
      <c r="L4" s="157"/>
      <c r="M4" s="156"/>
      <c r="N4" s="156"/>
      <c r="O4" s="156"/>
      <c r="P4" s="156"/>
      <c r="Q4" s="157"/>
      <c r="R4" s="156"/>
      <c r="S4" s="156"/>
      <c r="T4" s="156"/>
      <c r="U4" s="156"/>
      <c r="V4" s="157"/>
      <c r="W4" s="156"/>
      <c r="X4" s="156"/>
      <c r="Y4" s="156"/>
      <c r="Z4" s="156"/>
      <c r="AA4" s="156"/>
      <c r="AB4" s="51"/>
    </row>
    <row r="5" spans="1:28" s="160" customFormat="1" ht="33" customHeight="1">
      <c r="A5" s="586"/>
      <c r="B5" s="659"/>
      <c r="C5" s="657" t="s">
        <v>984</v>
      </c>
      <c r="D5" s="658"/>
      <c r="E5" s="658"/>
      <c r="F5" s="658"/>
      <c r="G5" s="660"/>
      <c r="H5" s="658" t="s">
        <v>1963</v>
      </c>
      <c r="I5" s="658"/>
      <c r="J5" s="658"/>
      <c r="K5" s="658"/>
      <c r="L5" s="658"/>
      <c r="M5" s="657" t="s">
        <v>985</v>
      </c>
      <c r="N5" s="658"/>
      <c r="O5" s="658"/>
      <c r="P5" s="658"/>
      <c r="Q5" s="660"/>
      <c r="R5" s="658" t="s">
        <v>986</v>
      </c>
      <c r="S5" s="658"/>
      <c r="T5" s="658"/>
      <c r="U5" s="658"/>
      <c r="V5" s="658"/>
      <c r="W5" s="657" t="s">
        <v>987</v>
      </c>
      <c r="X5" s="658"/>
      <c r="Y5" s="658"/>
      <c r="Z5" s="658"/>
      <c r="AA5" s="658"/>
      <c r="AB5" s="159"/>
    </row>
    <row r="6" spans="1:28" s="160" customFormat="1" ht="5.25" customHeight="1">
      <c r="A6" s="587"/>
      <c r="B6" s="659"/>
      <c r="C6" s="162"/>
      <c r="D6" s="164"/>
      <c r="E6" s="165"/>
      <c r="F6" s="165"/>
      <c r="G6" s="163"/>
      <c r="H6" s="164"/>
      <c r="I6" s="164"/>
      <c r="J6" s="164"/>
      <c r="K6" s="164"/>
      <c r="L6" s="165"/>
      <c r="M6" s="162"/>
      <c r="N6" s="164"/>
      <c r="O6" s="164"/>
      <c r="P6" s="164"/>
      <c r="Q6" s="163"/>
      <c r="R6" s="164"/>
      <c r="S6" s="164"/>
      <c r="T6" s="164"/>
      <c r="U6" s="164"/>
      <c r="V6" s="165"/>
      <c r="W6" s="162"/>
      <c r="X6" s="164"/>
      <c r="Y6" s="164"/>
      <c r="Z6" s="164"/>
      <c r="AA6" s="165"/>
      <c r="AB6" s="189"/>
    </row>
    <row r="7" spans="1:28" s="594" customFormat="1" ht="19.5" customHeight="1" thickBot="1">
      <c r="A7" s="588"/>
      <c r="B7" s="659"/>
      <c r="C7" s="589" t="s">
        <v>1964</v>
      </c>
      <c r="D7" s="590" t="s">
        <v>1965</v>
      </c>
      <c r="E7" s="591" t="s">
        <v>1843</v>
      </c>
      <c r="F7" s="591" t="s">
        <v>1966</v>
      </c>
      <c r="G7" s="592" t="s">
        <v>1967</v>
      </c>
      <c r="H7" s="589" t="s">
        <v>1964</v>
      </c>
      <c r="I7" s="590" t="s">
        <v>1965</v>
      </c>
      <c r="J7" s="591" t="s">
        <v>1843</v>
      </c>
      <c r="K7" s="591" t="s">
        <v>1966</v>
      </c>
      <c r="L7" s="592" t="s">
        <v>1967</v>
      </c>
      <c r="M7" s="589" t="s">
        <v>1964</v>
      </c>
      <c r="N7" s="590" t="s">
        <v>1965</v>
      </c>
      <c r="O7" s="591" t="s">
        <v>1843</v>
      </c>
      <c r="P7" s="591" t="s">
        <v>1966</v>
      </c>
      <c r="Q7" s="592" t="s">
        <v>1967</v>
      </c>
      <c r="R7" s="589" t="s">
        <v>1964</v>
      </c>
      <c r="S7" s="590" t="s">
        <v>1965</v>
      </c>
      <c r="T7" s="591" t="s">
        <v>1843</v>
      </c>
      <c r="U7" s="591" t="s">
        <v>1966</v>
      </c>
      <c r="V7" s="592" t="s">
        <v>1967</v>
      </c>
      <c r="W7" s="589" t="s">
        <v>1964</v>
      </c>
      <c r="X7" s="590" t="s">
        <v>1965</v>
      </c>
      <c r="Y7" s="591" t="s">
        <v>1843</v>
      </c>
      <c r="Z7" s="591" t="s">
        <v>1966</v>
      </c>
      <c r="AA7" s="593" t="s">
        <v>1967</v>
      </c>
    </row>
    <row r="8" spans="1:28" s="176" customFormat="1" ht="20.25" thickTop="1" thickBot="1">
      <c r="A8" s="595"/>
      <c r="B8" s="175" t="s">
        <v>19</v>
      </c>
      <c r="C8" s="596">
        <f>'[3]Asset Allocation Estrutural'!C8</f>
        <v>0.85</v>
      </c>
      <c r="D8" s="597">
        <f>'[3]Asset Allocation Estrutural'!D8</f>
        <v>0.92500000000000004</v>
      </c>
      <c r="E8" s="598">
        <f>'[3]Asset Allocation Estrutural'!E8</f>
        <v>1</v>
      </c>
      <c r="F8" s="597">
        <f>'[3]Asset Allocation Estrutural'!F8</f>
        <v>1</v>
      </c>
      <c r="G8" s="597">
        <f>'[3]Asset Allocation Estrutural'!G8</f>
        <v>1</v>
      </c>
      <c r="H8" s="596">
        <f>'[3]Asset Allocation Estrutural'!H8</f>
        <v>0.73</v>
      </c>
      <c r="I8" s="597">
        <f>'[3]Asset Allocation Estrutural'!I8</f>
        <v>0.79</v>
      </c>
      <c r="J8" s="598">
        <f>'[3]Asset Allocation Estrutural'!J8</f>
        <v>0.85</v>
      </c>
      <c r="K8" s="597">
        <f>'[3]Asset Allocation Estrutural'!K8</f>
        <v>0.91</v>
      </c>
      <c r="L8" s="597">
        <f>'[3]Asset Allocation Estrutural'!L8</f>
        <v>0.97</v>
      </c>
      <c r="M8" s="596">
        <f>'[3]Asset Allocation Estrutural'!M8</f>
        <v>0.55000000000000004</v>
      </c>
      <c r="N8" s="597">
        <f>'[3]Asset Allocation Estrutural'!N8</f>
        <v>0.625</v>
      </c>
      <c r="O8" s="598">
        <f>'[3]Asset Allocation Estrutural'!O8</f>
        <v>0.7</v>
      </c>
      <c r="P8" s="597">
        <f>'[3]Asset Allocation Estrutural'!P8</f>
        <v>0.77500000000000002</v>
      </c>
      <c r="Q8" s="597">
        <f>'[3]Asset Allocation Estrutural'!Q8</f>
        <v>0.85</v>
      </c>
      <c r="R8" s="596">
        <f>'[3]Asset Allocation Estrutural'!R8</f>
        <v>0.35000000000000003</v>
      </c>
      <c r="S8" s="597">
        <f>'[3]Asset Allocation Estrutural'!S8</f>
        <v>0.42499999999999999</v>
      </c>
      <c r="T8" s="598">
        <f>'[3]Asset Allocation Estrutural'!T8</f>
        <v>0.5</v>
      </c>
      <c r="U8" s="597">
        <f>'[3]Asset Allocation Estrutural'!U8</f>
        <v>0.57500000000000007</v>
      </c>
      <c r="V8" s="597">
        <f>'[3]Asset Allocation Estrutural'!V8</f>
        <v>0.65</v>
      </c>
      <c r="W8" s="596">
        <f>'[3]Asset Allocation Estrutural'!W8</f>
        <v>0.15</v>
      </c>
      <c r="X8" s="597">
        <f>'[3]Asset Allocation Estrutural'!X8</f>
        <v>0.22500000000000001</v>
      </c>
      <c r="Y8" s="598">
        <f>'[3]Asset Allocation Estrutural'!Y8</f>
        <v>0.3</v>
      </c>
      <c r="Z8" s="597">
        <f>'[3]Asset Allocation Estrutural'!Z8</f>
        <v>0.4</v>
      </c>
      <c r="AA8" s="597">
        <f>'[3]Asset Allocation Estrutural'!AA8</f>
        <v>0.5</v>
      </c>
    </row>
    <row r="9" spans="1:28" s="176" customFormat="1" ht="20.25" thickTop="1" thickBot="1">
      <c r="A9" s="599"/>
      <c r="B9" s="178" t="s">
        <v>963</v>
      </c>
      <c r="C9" s="600">
        <f>'[3]Asset Allocation Estrutural'!C9</f>
        <v>0.82</v>
      </c>
      <c r="D9" s="601">
        <f>'[3]Asset Allocation Estrutural'!D9</f>
        <v>0.83499999999999996</v>
      </c>
      <c r="E9" s="602">
        <f>'[3]Asset Allocation Estrutural'!E9</f>
        <v>0.85</v>
      </c>
      <c r="F9" s="601">
        <f>'[3]Asset Allocation Estrutural'!F9</f>
        <v>0.93</v>
      </c>
      <c r="G9" s="603">
        <f>'[3]Asset Allocation Estrutural'!G9</f>
        <v>0.96</v>
      </c>
      <c r="H9" s="600">
        <f>'[3]Asset Allocation Estrutural'!H9</f>
        <v>0.6</v>
      </c>
      <c r="I9" s="601">
        <f>'[3]Asset Allocation Estrutural'!I9</f>
        <v>0.65</v>
      </c>
      <c r="J9" s="602">
        <f>'[3]Asset Allocation Estrutural'!J9</f>
        <v>0.7</v>
      </c>
      <c r="K9" s="601">
        <f>'[3]Asset Allocation Estrutural'!K9</f>
        <v>0.77500000000000002</v>
      </c>
      <c r="L9" s="603">
        <f>'[3]Asset Allocation Estrutural'!L9</f>
        <v>0.85</v>
      </c>
      <c r="M9" s="600">
        <f>'[3]Asset Allocation Estrutural'!M9</f>
        <v>0.45</v>
      </c>
      <c r="N9" s="601">
        <f>'[3]Asset Allocation Estrutural'!N9</f>
        <v>0.52500000000000002</v>
      </c>
      <c r="O9" s="602">
        <f>'[3]Asset Allocation Estrutural'!O9</f>
        <v>0.6</v>
      </c>
      <c r="P9" s="601">
        <f>'[3]Asset Allocation Estrutural'!P9</f>
        <v>0.67500000000000004</v>
      </c>
      <c r="Q9" s="603">
        <f>'[3]Asset Allocation Estrutural'!Q9</f>
        <v>0.75</v>
      </c>
      <c r="R9" s="600">
        <f>'[3]Asset Allocation Estrutural'!R9</f>
        <v>0.15</v>
      </c>
      <c r="S9" s="601">
        <f>'[3]Asset Allocation Estrutural'!S9</f>
        <v>0.22500000000000001</v>
      </c>
      <c r="T9" s="602">
        <f>'[3]Asset Allocation Estrutural'!T9</f>
        <v>0.30000000000000004</v>
      </c>
      <c r="U9" s="601">
        <f>'[3]Asset Allocation Estrutural'!U9</f>
        <v>0.375</v>
      </c>
      <c r="V9" s="603">
        <f>'[3]Asset Allocation Estrutural'!V9</f>
        <v>0.45</v>
      </c>
      <c r="W9" s="600">
        <f>'[3]Asset Allocation Estrutural'!W9</f>
        <v>0.08</v>
      </c>
      <c r="X9" s="601">
        <f>'[3]Asset Allocation Estrutural'!X9</f>
        <v>0.115</v>
      </c>
      <c r="Y9" s="602">
        <f>'[3]Asset Allocation Estrutural'!Y9</f>
        <v>0.15</v>
      </c>
      <c r="Z9" s="601">
        <f>'[3]Asset Allocation Estrutural'!Z9</f>
        <v>0.1</v>
      </c>
      <c r="AA9" s="601">
        <f>'[3]Asset Allocation Estrutural'!AA9</f>
        <v>0.17</v>
      </c>
    </row>
    <row r="10" spans="1:28" s="176" customFormat="1" ht="20.25" thickTop="1" thickBot="1">
      <c r="A10" s="599"/>
      <c r="B10" s="178" t="s">
        <v>964</v>
      </c>
      <c r="C10" s="600">
        <f>'[3]Asset Allocation Estrutural'!C10</f>
        <v>0.04</v>
      </c>
      <c r="D10" s="601">
        <f>'[3]Asset Allocation Estrutural'!D10</f>
        <v>9.5000000000000001E-2</v>
      </c>
      <c r="E10" s="602">
        <f>'[3]Asset Allocation Estrutural'!E10</f>
        <v>0.15</v>
      </c>
      <c r="F10" s="601">
        <f>'[3]Asset Allocation Estrutural'!F10</f>
        <v>0.16500000000000001</v>
      </c>
      <c r="G10" s="603">
        <f>'[3]Asset Allocation Estrutural'!G10</f>
        <v>0.18</v>
      </c>
      <c r="H10" s="600">
        <f>'[3]Asset Allocation Estrutural'!H10</f>
        <v>0.08</v>
      </c>
      <c r="I10" s="601">
        <f>'[3]Asset Allocation Estrutural'!I10</f>
        <v>0.115</v>
      </c>
      <c r="J10" s="602">
        <f>'[3]Asset Allocation Estrutural'!J10</f>
        <v>0.15</v>
      </c>
      <c r="K10" s="601">
        <f>'[3]Asset Allocation Estrutural'!K10</f>
        <v>0.185</v>
      </c>
      <c r="L10" s="603">
        <f>'[3]Asset Allocation Estrutural'!L10</f>
        <v>0.22</v>
      </c>
      <c r="M10" s="600">
        <f>'[3]Asset Allocation Estrutural'!M10</f>
        <v>0.05</v>
      </c>
      <c r="N10" s="601">
        <f>'[3]Asset Allocation Estrutural'!N10</f>
        <v>7.4999999999999997E-2</v>
      </c>
      <c r="O10" s="602">
        <f>'[3]Asset Allocation Estrutural'!O10</f>
        <v>0.1</v>
      </c>
      <c r="P10" s="601">
        <f>'[3]Asset Allocation Estrutural'!P10</f>
        <v>0.125</v>
      </c>
      <c r="Q10" s="603">
        <f>'[3]Asset Allocation Estrutural'!Q10</f>
        <v>0.15</v>
      </c>
      <c r="R10" s="600">
        <f>'[3]Asset Allocation Estrutural'!R10</f>
        <v>0.1</v>
      </c>
      <c r="S10" s="601">
        <f>'[3]Asset Allocation Estrutural'!S10</f>
        <v>0.15</v>
      </c>
      <c r="T10" s="602">
        <f>'[3]Asset Allocation Estrutural'!T10</f>
        <v>0.2</v>
      </c>
      <c r="U10" s="601">
        <f>'[3]Asset Allocation Estrutural'!U10</f>
        <v>0.25</v>
      </c>
      <c r="V10" s="603">
        <f>'[3]Asset Allocation Estrutural'!V10</f>
        <v>0.3</v>
      </c>
      <c r="W10" s="600">
        <f>'[3]Asset Allocation Estrutural'!W10</f>
        <v>0.08</v>
      </c>
      <c r="X10" s="601">
        <f>'[3]Asset Allocation Estrutural'!X10</f>
        <v>0.115</v>
      </c>
      <c r="Y10" s="602">
        <f>'[3]Asset Allocation Estrutural'!Y10</f>
        <v>0.15</v>
      </c>
      <c r="Z10" s="601">
        <f>'[3]Asset Allocation Estrutural'!Z10</f>
        <v>0.185</v>
      </c>
      <c r="AA10" s="601">
        <f>'[3]Asset Allocation Estrutural'!AA10</f>
        <v>0.22</v>
      </c>
    </row>
    <row r="11" spans="1:28" s="176" customFormat="1" ht="20.25" thickTop="1" thickBot="1">
      <c r="A11" s="599"/>
      <c r="B11" s="178" t="s">
        <v>1009</v>
      </c>
      <c r="C11" s="600">
        <f>'[3]Asset Allocation Estrutural'!C11</f>
        <v>0</v>
      </c>
      <c r="D11" s="601">
        <f>'[3]Asset Allocation Estrutural'!D11</f>
        <v>0</v>
      </c>
      <c r="E11" s="602">
        <f>'[3]Asset Allocation Estrutural'!E11</f>
        <v>0</v>
      </c>
      <c r="F11" s="601">
        <f>'[3]Asset Allocation Estrutural'!F11</f>
        <v>0.04</v>
      </c>
      <c r="G11" s="603">
        <f>'[3]Asset Allocation Estrutural'!G11</f>
        <v>0.06</v>
      </c>
      <c r="H11" s="600">
        <f>'[3]Asset Allocation Estrutural'!H11</f>
        <v>0</v>
      </c>
      <c r="I11" s="601">
        <f>'[3]Asset Allocation Estrutural'!I11</f>
        <v>0</v>
      </c>
      <c r="J11" s="602">
        <f>'[3]Asset Allocation Estrutural'!J11</f>
        <v>0</v>
      </c>
      <c r="K11" s="601">
        <f>'[3]Asset Allocation Estrutural'!K11</f>
        <v>0.05</v>
      </c>
      <c r="L11" s="603">
        <f>'[3]Asset Allocation Estrutural'!L11</f>
        <v>0.08</v>
      </c>
      <c r="M11" s="600">
        <f>'[3]Asset Allocation Estrutural'!M11</f>
        <v>0</v>
      </c>
      <c r="N11" s="601">
        <f>'[3]Asset Allocation Estrutural'!N11</f>
        <v>0</v>
      </c>
      <c r="O11" s="602">
        <f>'[3]Asset Allocation Estrutural'!O11</f>
        <v>0</v>
      </c>
      <c r="P11" s="601">
        <f>'[3]Asset Allocation Estrutural'!P11</f>
        <v>0.06</v>
      </c>
      <c r="Q11" s="603">
        <f>'[3]Asset Allocation Estrutural'!Q11</f>
        <v>0.1</v>
      </c>
      <c r="R11" s="600">
        <f>'[3]Asset Allocation Estrutural'!R11</f>
        <v>0</v>
      </c>
      <c r="S11" s="601">
        <f>'[3]Asset Allocation Estrutural'!S11</f>
        <v>0</v>
      </c>
      <c r="T11" s="602">
        <f>'[3]Asset Allocation Estrutural'!T11</f>
        <v>0</v>
      </c>
      <c r="U11" s="601">
        <f>'[3]Asset Allocation Estrutural'!U11</f>
        <v>7.0000000000000007E-2</v>
      </c>
      <c r="V11" s="603">
        <f>'[3]Asset Allocation Estrutural'!V11</f>
        <v>0.12</v>
      </c>
      <c r="W11" s="600">
        <f>'[3]Asset Allocation Estrutural'!W11</f>
        <v>0</v>
      </c>
      <c r="X11" s="601">
        <f>'[3]Asset Allocation Estrutural'!X11</f>
        <v>0</v>
      </c>
      <c r="Y11" s="602">
        <f>'[3]Asset Allocation Estrutural'!Y11</f>
        <v>0</v>
      </c>
      <c r="Z11" s="601">
        <f>'[3]Asset Allocation Estrutural'!Z11</f>
        <v>0.08</v>
      </c>
      <c r="AA11" s="601">
        <f>'[3]Asset Allocation Estrutural'!AA11</f>
        <v>0.15</v>
      </c>
    </row>
    <row r="12" spans="1:28" s="176" customFormat="1" ht="20.25" thickTop="1" thickBot="1">
      <c r="A12" s="595"/>
      <c r="B12" s="175" t="s">
        <v>25</v>
      </c>
      <c r="C12" s="596">
        <f>'[3]Asset Allocation Estrutural'!C12</f>
        <v>0</v>
      </c>
      <c r="D12" s="597">
        <f>'[3]Asset Allocation Estrutural'!D12</f>
        <v>0</v>
      </c>
      <c r="E12" s="598">
        <f>'[3]Asset Allocation Estrutural'!E12</f>
        <v>0</v>
      </c>
      <c r="F12" s="597">
        <f>'[3]Asset Allocation Estrutural'!F12</f>
        <v>1.4999999999999999E-2</v>
      </c>
      <c r="G12" s="597">
        <f>'[3]Asset Allocation Estrutural'!G12</f>
        <v>0.03</v>
      </c>
      <c r="H12" s="596">
        <f>'[3]Asset Allocation Estrutural'!H12</f>
        <v>0.03</v>
      </c>
      <c r="I12" s="597">
        <f>'[3]Asset Allocation Estrutural'!I12</f>
        <v>0.05</v>
      </c>
      <c r="J12" s="598">
        <f>'[3]Asset Allocation Estrutural'!J12</f>
        <v>0.1</v>
      </c>
      <c r="K12" s="597">
        <f>'[3]Asset Allocation Estrutural'!K12</f>
        <v>0.15</v>
      </c>
      <c r="L12" s="597">
        <f>'[3]Asset Allocation Estrutural'!L12</f>
        <v>0.17</v>
      </c>
      <c r="M12" s="596">
        <f>'[3]Asset Allocation Estrutural'!M12</f>
        <v>0.1</v>
      </c>
      <c r="N12" s="597">
        <f>'[3]Asset Allocation Estrutural'!N12</f>
        <v>0.15</v>
      </c>
      <c r="O12" s="598">
        <f>'[3]Asset Allocation Estrutural'!O12</f>
        <v>0.2</v>
      </c>
      <c r="P12" s="597">
        <f>'[3]Asset Allocation Estrutural'!P12</f>
        <v>0.25</v>
      </c>
      <c r="Q12" s="597">
        <f>'[3]Asset Allocation Estrutural'!Q12</f>
        <v>0.3</v>
      </c>
      <c r="R12" s="596">
        <f>'[3]Asset Allocation Estrutural'!R12</f>
        <v>0.18</v>
      </c>
      <c r="S12" s="597">
        <f>'[3]Asset Allocation Estrutural'!S12</f>
        <v>0.23</v>
      </c>
      <c r="T12" s="598">
        <f>'[3]Asset Allocation Estrutural'!T12</f>
        <v>0.3</v>
      </c>
      <c r="U12" s="597">
        <f>'[3]Asset Allocation Estrutural'!U12</f>
        <v>0.37</v>
      </c>
      <c r="V12" s="597">
        <f>'[3]Asset Allocation Estrutural'!V12</f>
        <v>0.42</v>
      </c>
      <c r="W12" s="596">
        <f>'[3]Asset Allocation Estrutural'!W12</f>
        <v>0.25</v>
      </c>
      <c r="X12" s="597">
        <f>'[3]Asset Allocation Estrutural'!X12</f>
        <v>0.32500000000000001</v>
      </c>
      <c r="Y12" s="598">
        <f>'[3]Asset Allocation Estrutural'!Y12</f>
        <v>0.35</v>
      </c>
      <c r="Z12" s="597">
        <f>'[3]Asset Allocation Estrutural'!Z12</f>
        <v>0.375</v>
      </c>
      <c r="AA12" s="597">
        <f>'[3]Asset Allocation Estrutural'!AA12</f>
        <v>0.4</v>
      </c>
    </row>
    <row r="13" spans="1:28" s="176" customFormat="1" ht="20.25" thickTop="1" thickBot="1">
      <c r="A13" s="595"/>
      <c r="B13" s="175" t="s">
        <v>28</v>
      </c>
      <c r="C13" s="596">
        <f>'[3]Asset Allocation Estrutural'!C13</f>
        <v>0</v>
      </c>
      <c r="D13" s="597">
        <f>'[3]Asset Allocation Estrutural'!D13</f>
        <v>0</v>
      </c>
      <c r="E13" s="598">
        <f>'[3]Asset Allocation Estrutural'!E13</f>
        <v>0</v>
      </c>
      <c r="F13" s="597">
        <f>'[3]Asset Allocation Estrutural'!F13</f>
        <v>1.4999999999999999E-2</v>
      </c>
      <c r="G13" s="597">
        <f>'[3]Asset Allocation Estrutural'!G13</f>
        <v>0.03</v>
      </c>
      <c r="H13" s="596">
        <f>'[3]Asset Allocation Estrutural'!H13</f>
        <v>0</v>
      </c>
      <c r="I13" s="597">
        <f>'[3]Asset Allocation Estrutural'!I13</f>
        <v>2.5000000000000001E-2</v>
      </c>
      <c r="J13" s="598">
        <f>'[3]Asset Allocation Estrutural'!J13</f>
        <v>0.05</v>
      </c>
      <c r="K13" s="597">
        <f>'[3]Asset Allocation Estrutural'!K13</f>
        <v>7.4999999999999997E-2</v>
      </c>
      <c r="L13" s="597">
        <f>'[3]Asset Allocation Estrutural'!L13</f>
        <v>0.1</v>
      </c>
      <c r="M13" s="596">
        <f>'[3]Asset Allocation Estrutural'!M13</f>
        <v>0.03</v>
      </c>
      <c r="N13" s="597">
        <f>'[3]Asset Allocation Estrutural'!N13</f>
        <v>6.5000000000000002E-2</v>
      </c>
      <c r="O13" s="598">
        <f>'[3]Asset Allocation Estrutural'!O13</f>
        <v>0.1</v>
      </c>
      <c r="P13" s="597">
        <f>'[3]Asset Allocation Estrutural'!P13</f>
        <v>0.13500000000000001</v>
      </c>
      <c r="Q13" s="597">
        <f>'[3]Asset Allocation Estrutural'!Q13</f>
        <v>0.17</v>
      </c>
      <c r="R13" s="596">
        <f>'[3]Asset Allocation Estrutural'!R13</f>
        <v>0.1</v>
      </c>
      <c r="S13" s="597">
        <f>'[3]Asset Allocation Estrutural'!S13</f>
        <v>0.15</v>
      </c>
      <c r="T13" s="598">
        <f>'[3]Asset Allocation Estrutural'!T13</f>
        <v>0.2</v>
      </c>
      <c r="U13" s="597">
        <f>'[3]Asset Allocation Estrutural'!U13</f>
        <v>0.25</v>
      </c>
      <c r="V13" s="597">
        <f>'[3]Asset Allocation Estrutural'!V13</f>
        <v>0.3</v>
      </c>
      <c r="W13" s="596">
        <f>'[3]Asset Allocation Estrutural'!W13</f>
        <v>0.25</v>
      </c>
      <c r="X13" s="597">
        <f>'[3]Asset Allocation Estrutural'!X13</f>
        <v>0.28999999999999998</v>
      </c>
      <c r="Y13" s="598">
        <f>'[3]Asset Allocation Estrutural'!Y13</f>
        <v>0.35</v>
      </c>
      <c r="Z13" s="597">
        <f>'[3]Asset Allocation Estrutural'!Z13</f>
        <v>0.375</v>
      </c>
      <c r="AA13" s="597">
        <f>'[3]Asset Allocation Estrutural'!AA13</f>
        <v>0.4</v>
      </c>
    </row>
    <row r="14" spans="1:28" s="176" customFormat="1" ht="20.25" thickTop="1" thickBot="1">
      <c r="A14" s="599"/>
      <c r="B14" s="178" t="s">
        <v>951</v>
      </c>
      <c r="C14" s="600">
        <f>'[3]Asset Allocation Estrutural'!C14</f>
        <v>0</v>
      </c>
      <c r="D14" s="601">
        <f>'[3]Asset Allocation Estrutural'!D14</f>
        <v>0</v>
      </c>
      <c r="E14" s="602">
        <f>'[3]Asset Allocation Estrutural'!E14</f>
        <v>0</v>
      </c>
      <c r="F14" s="601">
        <f>'[3]Asset Allocation Estrutural'!F14</f>
        <v>1.4999999999999999E-2</v>
      </c>
      <c r="G14" s="601">
        <f>'[3]Asset Allocation Estrutural'!G14</f>
        <v>0.03</v>
      </c>
      <c r="H14" s="600">
        <f>'[3]Asset Allocation Estrutural'!H14</f>
        <v>0.01</v>
      </c>
      <c r="I14" s="601">
        <f>'[3]Asset Allocation Estrutural'!I14</f>
        <v>0.02</v>
      </c>
      <c r="J14" s="602">
        <f>'[3]Asset Allocation Estrutural'!J14</f>
        <v>3.5000000000000003E-2</v>
      </c>
      <c r="K14" s="601">
        <f>'[3]Asset Allocation Estrutural'!K14</f>
        <v>0.05</v>
      </c>
      <c r="L14" s="601">
        <f>'[3]Asset Allocation Estrutural'!L14</f>
        <v>6.5000000000000002E-2</v>
      </c>
      <c r="M14" s="600">
        <f>'[3]Asset Allocation Estrutural'!M14</f>
        <v>0.02</v>
      </c>
      <c r="N14" s="601">
        <f>'[3]Asset Allocation Estrutural'!N14</f>
        <v>4.4999999999999998E-2</v>
      </c>
      <c r="O14" s="602">
        <f>'[3]Asset Allocation Estrutural'!O14</f>
        <v>7.0000000000000007E-2</v>
      </c>
      <c r="P14" s="601">
        <f>'[3]Asset Allocation Estrutural'!P14</f>
        <v>9.5000000000000001E-2</v>
      </c>
      <c r="Q14" s="601">
        <f>'[3]Asset Allocation Estrutural'!Q14</f>
        <v>0.12</v>
      </c>
      <c r="R14" s="600">
        <f>'[3]Asset Allocation Estrutural'!R14</f>
        <v>0.09</v>
      </c>
      <c r="S14" s="601">
        <f>'[3]Asset Allocation Estrutural'!S14</f>
        <v>0.125</v>
      </c>
      <c r="T14" s="602">
        <f>'[3]Asset Allocation Estrutural'!T14</f>
        <v>0.16</v>
      </c>
      <c r="U14" s="601">
        <f>'[3]Asset Allocation Estrutural'!U14</f>
        <v>0.19500000000000001</v>
      </c>
      <c r="V14" s="601">
        <f>'[3]Asset Allocation Estrutural'!V14</f>
        <v>0.23</v>
      </c>
      <c r="W14" s="600">
        <f>'[3]Asset Allocation Estrutural'!W14</f>
        <v>0.17</v>
      </c>
      <c r="X14" s="601">
        <f>'[3]Asset Allocation Estrutural'!X14</f>
        <v>0.22</v>
      </c>
      <c r="Y14" s="602">
        <f>'[3]Asset Allocation Estrutural'!Y14</f>
        <v>0.27</v>
      </c>
      <c r="Z14" s="601">
        <f>'[3]Asset Allocation Estrutural'!Z14</f>
        <v>0.32</v>
      </c>
      <c r="AA14" s="601">
        <f>'[3]Asset Allocation Estrutural'!AA14</f>
        <v>0.37</v>
      </c>
    </row>
    <row r="15" spans="1:28" s="176" customFormat="1" ht="20.25" thickTop="1" thickBot="1">
      <c r="A15" s="599"/>
      <c r="B15" s="178" t="s">
        <v>973</v>
      </c>
      <c r="C15" s="600">
        <f>'[3]Asset Allocation Estrutural'!C15</f>
        <v>0</v>
      </c>
      <c r="D15" s="601">
        <f>'[3]Asset Allocation Estrutural'!D15</f>
        <v>0</v>
      </c>
      <c r="E15" s="602">
        <f>'[3]Asset Allocation Estrutural'!E15</f>
        <v>0</v>
      </c>
      <c r="F15" s="601">
        <f>'[3]Asset Allocation Estrutural'!F15</f>
        <v>1.4999999999999999E-2</v>
      </c>
      <c r="G15" s="601">
        <f>'[3]Asset Allocation Estrutural'!G15</f>
        <v>0.03</v>
      </c>
      <c r="H15" s="600">
        <f>'[3]Asset Allocation Estrutural'!H15</f>
        <v>0</v>
      </c>
      <c r="I15" s="601">
        <f>'[3]Asset Allocation Estrutural'!I15</f>
        <v>0.01</v>
      </c>
      <c r="J15" s="602">
        <f>'[3]Asset Allocation Estrutural'!J15</f>
        <v>1.4999999999999999E-2</v>
      </c>
      <c r="K15" s="601">
        <f>'[3]Asset Allocation Estrutural'!K15</f>
        <v>2.5000000000000001E-2</v>
      </c>
      <c r="L15" s="601">
        <f>'[3]Asset Allocation Estrutural'!L15</f>
        <v>3.5000000000000003E-2</v>
      </c>
      <c r="M15" s="600">
        <f>'[3]Asset Allocation Estrutural'!M15</f>
        <v>0</v>
      </c>
      <c r="N15" s="601">
        <f>'[3]Asset Allocation Estrutural'!N15</f>
        <v>0.02</v>
      </c>
      <c r="O15" s="602">
        <f>'[3]Asset Allocation Estrutural'!O15</f>
        <v>0.03</v>
      </c>
      <c r="P15" s="601">
        <f>'[3]Asset Allocation Estrutural'!P15</f>
        <v>0.04</v>
      </c>
      <c r="Q15" s="601">
        <f>'[3]Asset Allocation Estrutural'!Q15</f>
        <v>0.05</v>
      </c>
      <c r="R15" s="600">
        <f>'[3]Asset Allocation Estrutural'!R15</f>
        <v>1.4999999999999999E-2</v>
      </c>
      <c r="S15" s="601">
        <f>'[3]Asset Allocation Estrutural'!S15</f>
        <v>2.5000000000000001E-2</v>
      </c>
      <c r="T15" s="602">
        <f>'[3]Asset Allocation Estrutural'!T15</f>
        <v>0.04</v>
      </c>
      <c r="U15" s="601">
        <f>'[3]Asset Allocation Estrutural'!U15</f>
        <v>5.5E-2</v>
      </c>
      <c r="V15" s="601">
        <f>'[3]Asset Allocation Estrutural'!V15</f>
        <v>7.0000000000000007E-2</v>
      </c>
      <c r="W15" s="600">
        <f>'[3]Asset Allocation Estrutural'!W15</f>
        <v>0.04</v>
      </c>
      <c r="X15" s="601">
        <f>'[3]Asset Allocation Estrutural'!X15</f>
        <v>0.06</v>
      </c>
      <c r="Y15" s="602">
        <f>'[3]Asset Allocation Estrutural'!Y15</f>
        <v>0.08</v>
      </c>
      <c r="Z15" s="601">
        <f>'[3]Asset Allocation Estrutural'!Z15</f>
        <v>0.1</v>
      </c>
      <c r="AA15" s="601">
        <f>'[3]Asset Allocation Estrutural'!AA15</f>
        <v>0.12</v>
      </c>
    </row>
    <row r="16" spans="1:28" s="176" customFormat="1" ht="5.25" customHeight="1" thickTop="1" thickBot="1">
      <c r="A16" s="599"/>
      <c r="C16" s="141"/>
      <c r="D16" s="604"/>
      <c r="E16" s="604"/>
      <c r="F16" s="604"/>
      <c r="G16" s="604"/>
      <c r="H16" s="141"/>
      <c r="I16" s="604"/>
      <c r="J16" s="604"/>
      <c r="K16" s="604"/>
      <c r="L16" s="604"/>
      <c r="M16" s="141"/>
      <c r="N16" s="604"/>
      <c r="O16" s="604"/>
      <c r="P16" s="604"/>
      <c r="Q16" s="604"/>
      <c r="R16" s="141"/>
      <c r="S16" s="604"/>
      <c r="T16" s="604"/>
      <c r="U16" s="604"/>
      <c r="V16" s="604"/>
      <c r="W16" s="141"/>
      <c r="X16" s="604"/>
      <c r="Y16" s="604"/>
      <c r="Z16" s="604"/>
      <c r="AA16" s="604"/>
    </row>
    <row r="17" spans="1:28" s="176" customFormat="1" ht="20.25" thickTop="1" thickBot="1">
      <c r="A17" s="599"/>
      <c r="B17" s="188" t="s">
        <v>738</v>
      </c>
      <c r="C17" s="605">
        <f>'[3]Asset Allocation Estrutural'!C17</f>
        <v>0</v>
      </c>
      <c r="D17" s="606"/>
      <c r="E17" s="606">
        <f>'[3]Asset Allocation Estrutural'!E17</f>
        <v>0</v>
      </c>
      <c r="F17" s="606"/>
      <c r="G17" s="606">
        <f>'[3]Asset Allocation Estrutural'!G17</f>
        <v>6.0000000000000001E-3</v>
      </c>
      <c r="H17" s="605">
        <f>'[3]Asset Allocation Estrutural'!H17</f>
        <v>0</v>
      </c>
      <c r="I17" s="606"/>
      <c r="J17" s="606">
        <f>'[3]Asset Allocation Estrutural'!J17</f>
        <v>4.9999999999999992E-3</v>
      </c>
      <c r="K17" s="606"/>
      <c r="L17" s="606">
        <f>'[3]Asset Allocation Estrutural'!L17</f>
        <v>1.3000000000000001E-2</v>
      </c>
      <c r="M17" s="605">
        <f>'[3]Asset Allocation Estrutural'!M17</f>
        <v>0</v>
      </c>
      <c r="N17" s="606"/>
      <c r="O17" s="606">
        <f>'[3]Asset Allocation Estrutural'!O17</f>
        <v>9.9999999999999985E-3</v>
      </c>
      <c r="P17" s="606"/>
      <c r="Q17" s="606">
        <f>'[3]Asset Allocation Estrutural'!Q17</f>
        <v>2.4E-2</v>
      </c>
      <c r="R17" s="605">
        <f>'[3]Asset Allocation Estrutural'!R17</f>
        <v>0</v>
      </c>
      <c r="S17" s="606"/>
      <c r="T17" s="606">
        <f>'[3]Asset Allocation Estrutural'!T17</f>
        <v>2.285714285714285E-2</v>
      </c>
      <c r="U17" s="606"/>
      <c r="V17" s="606">
        <f>'[3]Asset Allocation Estrutural'!V17</f>
        <v>4.6000000000000006E-2</v>
      </c>
      <c r="W17" s="605">
        <f>'[3]Asset Allocation Estrutural'!W17</f>
        <v>0</v>
      </c>
      <c r="X17" s="606"/>
      <c r="Y17" s="606">
        <f>'[3]Asset Allocation Estrutural'!Y17</f>
        <v>3.8571428571428562E-2</v>
      </c>
      <c r="Z17" s="606"/>
      <c r="AA17" s="606">
        <f>'[3]Asset Allocation Estrutural'!AA17</f>
        <v>7.3999999999999996E-2</v>
      </c>
    </row>
    <row r="18" spans="1:28" s="160" customFormat="1" ht="9" customHeight="1" thickTop="1">
      <c r="A18" s="587"/>
      <c r="B18" s="189"/>
      <c r="C18" s="607"/>
      <c r="D18" s="608"/>
      <c r="E18" s="609"/>
      <c r="F18" s="609"/>
      <c r="G18" s="610"/>
      <c r="H18" s="611"/>
      <c r="I18" s="611"/>
      <c r="J18" s="611"/>
      <c r="K18" s="611"/>
      <c r="L18" s="612"/>
      <c r="M18" s="194"/>
      <c r="N18" s="176"/>
      <c r="O18" s="176"/>
      <c r="P18" s="176"/>
      <c r="Q18" s="610"/>
      <c r="R18" s="176"/>
      <c r="S18" s="176"/>
      <c r="T18" s="176"/>
      <c r="U18" s="176"/>
      <c r="V18" s="612"/>
      <c r="W18" s="194"/>
      <c r="X18" s="176"/>
      <c r="Y18" s="176"/>
      <c r="Z18" s="176"/>
      <c r="AA18" s="195"/>
      <c r="AB18" s="189"/>
    </row>
    <row r="19" spans="1:28" s="160" customFormat="1">
      <c r="A19" s="587"/>
      <c r="B19" s="189"/>
      <c r="C19" s="194"/>
      <c r="D19" s="176"/>
      <c r="E19" s="176"/>
      <c r="F19" s="176"/>
      <c r="G19" s="176"/>
      <c r="H19" s="176"/>
      <c r="I19" s="176"/>
      <c r="J19" s="176"/>
      <c r="K19" s="176"/>
      <c r="L19" s="176"/>
      <c r="M19" s="194"/>
      <c r="N19" s="176"/>
      <c r="O19" s="176"/>
      <c r="P19" s="176"/>
      <c r="Q19" s="176"/>
      <c r="R19" s="176"/>
      <c r="S19" s="176"/>
      <c r="T19" s="176"/>
      <c r="U19" s="176"/>
      <c r="V19" s="176"/>
      <c r="W19" s="194"/>
      <c r="X19" s="176"/>
      <c r="Y19" s="176"/>
      <c r="Z19" s="176"/>
      <c r="AA19" s="176"/>
      <c r="AB19" s="189"/>
    </row>
    <row r="20" spans="1:28" s="160" customFormat="1" ht="19.5" thickBot="1">
      <c r="A20" s="587"/>
      <c r="B20" s="198" t="s">
        <v>965</v>
      </c>
      <c r="C20" s="654">
        <v>1.03E-2</v>
      </c>
      <c r="D20" s="655"/>
      <c r="E20" s="655"/>
      <c r="F20" s="655"/>
      <c r="G20" s="656"/>
      <c r="H20" s="654">
        <v>2.549673119887582E-2</v>
      </c>
      <c r="I20" s="655"/>
      <c r="J20" s="655"/>
      <c r="K20" s="655"/>
      <c r="L20" s="656"/>
      <c r="M20" s="654">
        <v>3.8511103553590463E-2</v>
      </c>
      <c r="N20" s="655"/>
      <c r="O20" s="655"/>
      <c r="P20" s="655"/>
      <c r="Q20" s="656"/>
      <c r="R20" s="654">
        <v>7.1044569470618588E-2</v>
      </c>
      <c r="S20" s="655"/>
      <c r="T20" s="655"/>
      <c r="U20" s="655"/>
      <c r="V20" s="656"/>
      <c r="W20" s="654">
        <v>0.1007472074047638</v>
      </c>
      <c r="X20" s="655"/>
      <c r="Y20" s="655"/>
      <c r="Z20" s="655"/>
      <c r="AA20" s="656"/>
      <c r="AB20" s="189"/>
    </row>
    <row r="21" spans="1:28" s="160" customFormat="1" ht="20.25" thickTop="1" thickBot="1">
      <c r="A21" s="587"/>
      <c r="B21" s="200" t="s">
        <v>970</v>
      </c>
      <c r="C21" s="648">
        <v>-1.1299999999999999E-2</v>
      </c>
      <c r="D21" s="649"/>
      <c r="E21" s="649"/>
      <c r="F21" s="649"/>
      <c r="G21" s="650"/>
      <c r="H21" s="648">
        <v>-2.487761818750004E-2</v>
      </c>
      <c r="I21" s="649"/>
      <c r="J21" s="649"/>
      <c r="K21" s="649"/>
      <c r="L21" s="650"/>
      <c r="M21" s="648">
        <v>-3.4410577412473803E-2</v>
      </c>
      <c r="N21" s="649"/>
      <c r="O21" s="649"/>
      <c r="P21" s="649"/>
      <c r="Q21" s="650"/>
      <c r="R21" s="648">
        <v>-6.1567684871044873E-2</v>
      </c>
      <c r="S21" s="649"/>
      <c r="T21" s="649"/>
      <c r="U21" s="649"/>
      <c r="V21" s="650"/>
      <c r="W21" s="648">
        <v>-8.4679197825304156E-2</v>
      </c>
      <c r="X21" s="649"/>
      <c r="Y21" s="649"/>
      <c r="Z21" s="649"/>
      <c r="AA21" s="650"/>
      <c r="AB21" s="189"/>
    </row>
    <row r="22" spans="1:28" s="160" customFormat="1" ht="20.25" thickTop="1" thickBot="1">
      <c r="A22" s="587"/>
      <c r="B22" s="200" t="s">
        <v>972</v>
      </c>
      <c r="C22" s="648">
        <v>-2.5999999999999999E-3</v>
      </c>
      <c r="D22" s="649"/>
      <c r="E22" s="649"/>
      <c r="F22" s="649"/>
      <c r="G22" s="650"/>
      <c r="H22" s="648">
        <v>-1.4715015366541949E-2</v>
      </c>
      <c r="I22" s="649"/>
      <c r="J22" s="649"/>
      <c r="K22" s="649"/>
      <c r="L22" s="650"/>
      <c r="M22" s="648">
        <v>-2.5087452667099872E-2</v>
      </c>
      <c r="N22" s="649"/>
      <c r="O22" s="649"/>
      <c r="P22" s="649"/>
      <c r="Q22" s="650"/>
      <c r="R22" s="648">
        <v>-5.0338995825054043E-2</v>
      </c>
      <c r="S22" s="649"/>
      <c r="T22" s="649"/>
      <c r="U22" s="649"/>
      <c r="V22" s="650"/>
      <c r="W22" s="648">
        <v>-7.3337204704589043E-2</v>
      </c>
      <c r="X22" s="649"/>
      <c r="Y22" s="649"/>
      <c r="Z22" s="649"/>
      <c r="AA22" s="650"/>
      <c r="AB22" s="189"/>
    </row>
    <row r="23" spans="1:28" s="160" customFormat="1" ht="19.5" thickTop="1">
      <c r="A23" s="587"/>
      <c r="B23" s="202" t="s">
        <v>971</v>
      </c>
      <c r="C23" s="651">
        <v>-1.8100000000000002E-2</v>
      </c>
      <c r="D23" s="652"/>
      <c r="E23" s="652"/>
      <c r="F23" s="652"/>
      <c r="G23" s="653"/>
      <c r="H23" s="651">
        <v>-6.1782246091973893E-2</v>
      </c>
      <c r="I23" s="652"/>
      <c r="J23" s="652"/>
      <c r="K23" s="652"/>
      <c r="L23" s="653"/>
      <c r="M23" s="651">
        <v>-9.9174515012422068E-2</v>
      </c>
      <c r="N23" s="652"/>
      <c r="O23" s="652"/>
      <c r="P23" s="652"/>
      <c r="Q23" s="653"/>
      <c r="R23" s="651">
        <v>-0.18781977821096529</v>
      </c>
      <c r="S23" s="652"/>
      <c r="T23" s="652"/>
      <c r="U23" s="652"/>
      <c r="V23" s="653"/>
      <c r="W23" s="651">
        <v>-0.26953467873068521</v>
      </c>
      <c r="X23" s="652"/>
      <c r="Y23" s="652"/>
      <c r="Z23" s="652"/>
      <c r="AA23" s="653"/>
      <c r="AB23" s="189"/>
    </row>
    <row r="24" spans="1:28" ht="21.75" hidden="1" customHeight="1">
      <c r="A24" s="613"/>
      <c r="B24" s="614" t="s">
        <v>739</v>
      </c>
      <c r="C24" s="141"/>
      <c r="D24" s="604"/>
      <c r="E24" s="604"/>
      <c r="F24" s="604"/>
      <c r="G24" s="615"/>
      <c r="H24" s="141"/>
      <c r="I24" s="604"/>
      <c r="J24" s="604"/>
      <c r="K24" s="604"/>
      <c r="L24" s="615"/>
      <c r="M24" s="141"/>
      <c r="N24" s="604"/>
      <c r="O24" s="604"/>
      <c r="P24" s="604"/>
      <c r="Q24" s="615"/>
      <c r="R24" s="141"/>
      <c r="S24" s="604"/>
      <c r="T24" s="604"/>
      <c r="U24" s="604"/>
      <c r="V24" s="615"/>
      <c r="W24" s="141"/>
      <c r="X24" s="604"/>
      <c r="Y24" s="604"/>
      <c r="Z24" s="604"/>
      <c r="AA24" s="615"/>
      <c r="AB24"/>
    </row>
    <row r="25" spans="1:28" ht="18.75" hidden="1" customHeight="1">
      <c r="A25" s="613"/>
      <c r="B25" s="616" t="s">
        <v>740</v>
      </c>
      <c r="C25" s="617">
        <f>C32</f>
        <v>0</v>
      </c>
      <c r="D25" s="618"/>
      <c r="E25" s="618"/>
      <c r="F25" s="618"/>
      <c r="G25" s="619"/>
      <c r="H25" s="617">
        <f>H32</f>
        <v>0</v>
      </c>
      <c r="I25" s="618"/>
      <c r="J25" s="618"/>
      <c r="K25" s="618"/>
      <c r="L25" s="619"/>
      <c r="M25" s="617">
        <f>M32</f>
        <v>0</v>
      </c>
      <c r="N25" s="618"/>
      <c r="O25" s="618"/>
      <c r="P25" s="618"/>
      <c r="Q25" s="619"/>
      <c r="R25" s="617">
        <f>R32</f>
        <v>0</v>
      </c>
      <c r="S25" s="618"/>
      <c r="T25" s="618"/>
      <c r="U25" s="618"/>
      <c r="V25" s="619"/>
      <c r="W25" s="617">
        <f>W32</f>
        <v>0</v>
      </c>
      <c r="X25" s="618"/>
      <c r="Y25" s="618"/>
      <c r="Z25" s="618"/>
      <c r="AA25" s="619"/>
      <c r="AB25"/>
    </row>
    <row r="26" spans="1:28" ht="18.75" hidden="1" customHeight="1">
      <c r="A26" s="613"/>
      <c r="B26" s="616" t="s">
        <v>741</v>
      </c>
      <c r="C26" s="141"/>
      <c r="D26" s="604"/>
      <c r="E26" s="604"/>
      <c r="F26" s="604"/>
      <c r="G26" s="615"/>
      <c r="H26" s="141"/>
      <c r="I26" s="604"/>
      <c r="J26" s="604"/>
      <c r="K26" s="604"/>
      <c r="L26" s="615"/>
      <c r="M26" s="141"/>
      <c r="N26" s="604"/>
      <c r="O26" s="604"/>
      <c r="P26" s="604"/>
      <c r="Q26" s="615"/>
      <c r="R26" s="141"/>
      <c r="S26" s="604"/>
      <c r="T26" s="604"/>
      <c r="U26" s="604"/>
      <c r="V26" s="615"/>
      <c r="W26" s="141"/>
      <c r="X26" s="604"/>
      <c r="Y26" s="604"/>
      <c r="Z26" s="604"/>
      <c r="AA26" s="615"/>
      <c r="AB26"/>
    </row>
    <row r="27" spans="1:28" ht="18.75" hidden="1" customHeight="1">
      <c r="A27" s="613"/>
      <c r="B27" s="616" t="s">
        <v>742</v>
      </c>
      <c r="C27" s="617">
        <f>C34</f>
        <v>0</v>
      </c>
      <c r="D27" s="618"/>
      <c r="E27" s="618"/>
      <c r="F27" s="618"/>
      <c r="G27" s="619"/>
      <c r="H27" s="617">
        <f>H34</f>
        <v>0</v>
      </c>
      <c r="I27" s="618"/>
      <c r="J27" s="618"/>
      <c r="K27" s="618"/>
      <c r="L27" s="619"/>
      <c r="M27" s="617">
        <f>M34</f>
        <v>0</v>
      </c>
      <c r="N27" s="618"/>
      <c r="O27" s="618"/>
      <c r="P27" s="618"/>
      <c r="Q27" s="619"/>
      <c r="R27" s="617">
        <f>R34</f>
        <v>0</v>
      </c>
      <c r="S27" s="618"/>
      <c r="T27" s="618"/>
      <c r="U27" s="618"/>
      <c r="V27" s="619"/>
      <c r="W27" s="617">
        <f>W34</f>
        <v>0</v>
      </c>
      <c r="X27" s="618"/>
      <c r="Y27" s="618"/>
      <c r="Z27" s="618"/>
      <c r="AA27" s="619"/>
      <c r="AB27"/>
    </row>
    <row r="28" spans="1:28" ht="18.75" hidden="1" customHeight="1">
      <c r="A28" s="613"/>
      <c r="B28" s="616" t="s">
        <v>743</v>
      </c>
      <c r="C28" s="141"/>
      <c r="D28" s="604"/>
      <c r="E28" s="604"/>
      <c r="F28" s="604"/>
      <c r="G28" s="615"/>
      <c r="H28" s="141"/>
      <c r="I28" s="604"/>
      <c r="J28" s="604"/>
      <c r="K28" s="604"/>
      <c r="L28" s="615"/>
      <c r="M28" s="141"/>
      <c r="N28" s="604"/>
      <c r="O28" s="604"/>
      <c r="P28" s="604"/>
      <c r="Q28" s="615"/>
      <c r="R28" s="141"/>
      <c r="S28" s="604"/>
      <c r="T28" s="604"/>
      <c r="U28" s="604"/>
      <c r="V28" s="615"/>
      <c r="W28" s="141"/>
      <c r="X28" s="604"/>
      <c r="Y28" s="604"/>
      <c r="Z28" s="604"/>
      <c r="AA28" s="615"/>
      <c r="AB28"/>
    </row>
    <row r="29" spans="1:28" ht="18.75" hidden="1" customHeight="1">
      <c r="A29" s="613"/>
      <c r="B29" s="616" t="s">
        <v>744</v>
      </c>
      <c r="C29" s="617">
        <f>C36</f>
        <v>0</v>
      </c>
      <c r="D29" s="618"/>
      <c r="E29" s="618"/>
      <c r="F29" s="618"/>
      <c r="G29" s="619"/>
      <c r="H29" s="617">
        <f>H36</f>
        <v>0</v>
      </c>
      <c r="I29" s="618"/>
      <c r="J29" s="618"/>
      <c r="K29" s="618"/>
      <c r="L29" s="619"/>
      <c r="M29" s="617">
        <f>M36</f>
        <v>0</v>
      </c>
      <c r="N29" s="618"/>
      <c r="O29" s="618"/>
      <c r="P29" s="618"/>
      <c r="Q29" s="619"/>
      <c r="R29" s="617">
        <f>R36</f>
        <v>0</v>
      </c>
      <c r="S29" s="618"/>
      <c r="T29" s="618"/>
      <c r="U29" s="618"/>
      <c r="V29" s="619"/>
      <c r="W29" s="617">
        <f>W36</f>
        <v>0</v>
      </c>
      <c r="X29" s="618"/>
      <c r="Y29" s="618"/>
      <c r="Z29" s="618"/>
      <c r="AA29" s="619"/>
      <c r="AB29"/>
    </row>
    <row r="30" spans="1:28" ht="18.75" hidden="1" customHeight="1">
      <c r="A30" s="613"/>
      <c r="B30" s="620" t="s">
        <v>745</v>
      </c>
      <c r="C30" s="141"/>
      <c r="D30" s="604"/>
      <c r="E30" s="604"/>
      <c r="F30" s="604"/>
      <c r="G30" s="615"/>
      <c r="H30" s="141"/>
      <c r="I30" s="604"/>
      <c r="J30" s="604"/>
      <c r="K30" s="604"/>
      <c r="L30" s="615"/>
      <c r="M30" s="141"/>
      <c r="N30" s="604"/>
      <c r="O30" s="604"/>
      <c r="P30" s="604"/>
      <c r="Q30" s="615"/>
      <c r="R30" s="141"/>
      <c r="S30" s="604"/>
      <c r="T30" s="604"/>
      <c r="U30" s="604"/>
      <c r="V30" s="615"/>
      <c r="W30" s="141"/>
      <c r="X30" s="604"/>
      <c r="Y30" s="604"/>
      <c r="Z30" s="604"/>
      <c r="AA30" s="615"/>
      <c r="AB30"/>
    </row>
    <row r="31" spans="1:28" ht="18.75" hidden="1" customHeight="1">
      <c r="A31" s="613"/>
      <c r="B31" s="621" t="s">
        <v>746</v>
      </c>
      <c r="C31" s="617">
        <f>C38</f>
        <v>0</v>
      </c>
      <c r="D31" s="618"/>
      <c r="E31" s="618"/>
      <c r="F31" s="618"/>
      <c r="G31" s="619"/>
      <c r="H31" s="617">
        <f>H38</f>
        <v>0</v>
      </c>
      <c r="I31" s="618"/>
      <c r="J31" s="618"/>
      <c r="K31" s="618"/>
      <c r="L31" s="619"/>
      <c r="M31" s="617">
        <f>M38</f>
        <v>0</v>
      </c>
      <c r="N31" s="618"/>
      <c r="O31" s="618"/>
      <c r="P31" s="618"/>
      <c r="Q31" s="619"/>
      <c r="R31" s="617">
        <f>R38</f>
        <v>0</v>
      </c>
      <c r="S31" s="618"/>
      <c r="T31" s="618"/>
      <c r="U31" s="618"/>
      <c r="V31" s="619"/>
      <c r="W31" s="617">
        <f>W38</f>
        <v>0</v>
      </c>
      <c r="X31" s="618"/>
      <c r="Y31" s="618"/>
      <c r="Z31" s="618"/>
      <c r="AA31" s="619"/>
      <c r="AB31"/>
    </row>
    <row r="32" spans="1:28" ht="18.75" hidden="1" customHeight="1">
      <c r="A32" s="613"/>
      <c r="B32" s="621" t="s">
        <v>747</v>
      </c>
      <c r="C32" s="141"/>
      <c r="D32" s="604"/>
      <c r="E32" s="604"/>
      <c r="F32" s="604"/>
      <c r="G32" s="615"/>
      <c r="H32" s="141"/>
      <c r="I32" s="604"/>
      <c r="J32" s="604"/>
      <c r="K32" s="604"/>
      <c r="L32" s="615"/>
      <c r="M32" s="141"/>
      <c r="N32" s="604"/>
      <c r="O32" s="604"/>
      <c r="P32" s="604"/>
      <c r="Q32" s="615"/>
      <c r="R32" s="141"/>
      <c r="S32" s="604"/>
      <c r="T32" s="604"/>
      <c r="U32" s="604"/>
      <c r="V32" s="615"/>
      <c r="W32" s="141"/>
      <c r="X32" s="604"/>
      <c r="Y32" s="604"/>
      <c r="Z32" s="604"/>
      <c r="AA32" s="615"/>
      <c r="AB32"/>
    </row>
    <row r="33" spans="1:28" ht="18.75" hidden="1" customHeight="1">
      <c r="A33" s="613"/>
      <c r="B33" s="621" t="s">
        <v>748</v>
      </c>
      <c r="C33" s="617">
        <f>C40</f>
        <v>0</v>
      </c>
      <c r="D33" s="618"/>
      <c r="E33" s="618"/>
      <c r="F33" s="618"/>
      <c r="G33" s="619"/>
      <c r="H33" s="617">
        <f>H40</f>
        <v>0</v>
      </c>
      <c r="I33" s="618"/>
      <c r="J33" s="618"/>
      <c r="K33" s="618"/>
      <c r="L33" s="619"/>
      <c r="M33" s="617">
        <f>M40</f>
        <v>0</v>
      </c>
      <c r="N33" s="618"/>
      <c r="O33" s="618"/>
      <c r="P33" s="618"/>
      <c r="Q33" s="619"/>
      <c r="R33" s="617">
        <f>R40</f>
        <v>0</v>
      </c>
      <c r="S33" s="618"/>
      <c r="T33" s="618"/>
      <c r="U33" s="618"/>
      <c r="V33" s="619"/>
      <c r="W33" s="617">
        <f>W40</f>
        <v>0</v>
      </c>
      <c r="X33" s="618"/>
      <c r="Y33" s="618"/>
      <c r="Z33" s="618"/>
      <c r="AA33" s="619"/>
      <c r="AB33"/>
    </row>
    <row r="34" spans="1:28" ht="19.5" hidden="1" customHeight="1">
      <c r="A34" s="613"/>
      <c r="B34" s="622" t="s">
        <v>749</v>
      </c>
      <c r="C34" s="141"/>
      <c r="D34" s="604"/>
      <c r="E34" s="604"/>
      <c r="F34" s="604"/>
      <c r="G34" s="615"/>
      <c r="H34" s="141"/>
      <c r="I34" s="604"/>
      <c r="J34" s="604"/>
      <c r="K34" s="604"/>
      <c r="L34" s="615"/>
      <c r="M34" s="141"/>
      <c r="N34" s="604"/>
      <c r="O34" s="604"/>
      <c r="P34" s="604"/>
      <c r="Q34" s="615"/>
      <c r="R34" s="141"/>
      <c r="S34" s="604"/>
      <c r="T34" s="604"/>
      <c r="U34" s="604"/>
      <c r="V34" s="615"/>
      <c r="W34" s="141"/>
      <c r="X34" s="604"/>
      <c r="Y34" s="604"/>
      <c r="Z34" s="604"/>
      <c r="AA34" s="615"/>
      <c r="AB34"/>
    </row>
    <row r="35" spans="1:28" ht="18.75" hidden="1" customHeight="1">
      <c r="A35" s="613"/>
      <c r="B35" s="623" t="s">
        <v>750</v>
      </c>
      <c r="C35" s="617">
        <f>C42</f>
        <v>0</v>
      </c>
      <c r="D35" s="618"/>
      <c r="E35" s="618"/>
      <c r="F35" s="618"/>
      <c r="G35" s="619"/>
      <c r="H35" s="617">
        <f>H42</f>
        <v>0</v>
      </c>
      <c r="I35" s="618"/>
      <c r="J35" s="618"/>
      <c r="K35" s="618"/>
      <c r="L35" s="619"/>
      <c r="M35" s="617">
        <f>M42</f>
        <v>0</v>
      </c>
      <c r="N35" s="618"/>
      <c r="O35" s="618"/>
      <c r="P35" s="618"/>
      <c r="Q35" s="619"/>
      <c r="R35" s="617">
        <f>R42</f>
        <v>0</v>
      </c>
      <c r="S35" s="618"/>
      <c r="T35" s="618"/>
      <c r="U35" s="618"/>
      <c r="V35" s="619"/>
      <c r="W35" s="617">
        <f>W42</f>
        <v>0</v>
      </c>
      <c r="X35" s="618"/>
      <c r="Y35" s="618"/>
      <c r="Z35" s="618"/>
      <c r="AA35" s="619"/>
      <c r="AB35"/>
    </row>
    <row r="36" spans="1:28" ht="18.75" hidden="1" customHeight="1">
      <c r="A36" s="613"/>
      <c r="B36" s="623" t="s">
        <v>751</v>
      </c>
      <c r="C36" s="141"/>
      <c r="D36" s="604"/>
      <c r="E36" s="604"/>
      <c r="F36" s="604"/>
      <c r="G36" s="615"/>
      <c r="H36" s="141"/>
      <c r="I36" s="604"/>
      <c r="J36" s="604"/>
      <c r="K36" s="604"/>
      <c r="L36" s="615"/>
      <c r="M36" s="141"/>
      <c r="N36" s="604"/>
      <c r="O36" s="604"/>
      <c r="P36" s="604"/>
      <c r="Q36" s="615"/>
      <c r="R36" s="141"/>
      <c r="S36" s="604"/>
      <c r="T36" s="604"/>
      <c r="U36" s="604"/>
      <c r="V36" s="615"/>
      <c r="W36" s="141"/>
      <c r="X36" s="604"/>
      <c r="Y36" s="604"/>
      <c r="Z36" s="604"/>
      <c r="AA36" s="615"/>
      <c r="AB36"/>
    </row>
    <row r="37" spans="1:28" ht="18.75" hidden="1" customHeight="1">
      <c r="A37" s="613"/>
      <c r="B37" s="623" t="s">
        <v>752</v>
      </c>
      <c r="C37" s="617">
        <f>C44</f>
        <v>0</v>
      </c>
      <c r="D37" s="618"/>
      <c r="E37" s="618"/>
      <c r="F37" s="618"/>
      <c r="G37" s="619"/>
      <c r="H37" s="617">
        <f>H44</f>
        <v>0</v>
      </c>
      <c r="I37" s="618"/>
      <c r="J37" s="618"/>
      <c r="K37" s="618"/>
      <c r="L37" s="619"/>
      <c r="M37" s="617">
        <f>M44</f>
        <v>0</v>
      </c>
      <c r="N37" s="618"/>
      <c r="O37" s="618"/>
      <c r="P37" s="618"/>
      <c r="Q37" s="619"/>
      <c r="R37" s="617">
        <f>R44</f>
        <v>0</v>
      </c>
      <c r="S37" s="618"/>
      <c r="T37" s="618"/>
      <c r="U37" s="618"/>
      <c r="V37" s="619"/>
      <c r="W37" s="617">
        <f>W44</f>
        <v>0</v>
      </c>
      <c r="X37" s="618"/>
      <c r="Y37" s="618"/>
      <c r="Z37" s="618"/>
      <c r="AA37" s="619"/>
      <c r="AB37"/>
    </row>
    <row r="38" spans="1:28" ht="19.5" hidden="1" customHeight="1">
      <c r="A38" s="613"/>
      <c r="B38" s="624" t="s">
        <v>753</v>
      </c>
      <c r="C38" s="141"/>
      <c r="D38" s="604"/>
      <c r="E38" s="604"/>
      <c r="F38" s="604"/>
      <c r="G38" s="615"/>
      <c r="H38" s="141"/>
      <c r="I38" s="604"/>
      <c r="J38" s="604"/>
      <c r="K38" s="604"/>
      <c r="L38" s="615"/>
      <c r="M38" s="141"/>
      <c r="N38" s="604"/>
      <c r="O38" s="604"/>
      <c r="P38" s="604"/>
      <c r="Q38" s="615"/>
      <c r="R38" s="141"/>
      <c r="S38" s="604"/>
      <c r="T38" s="604"/>
      <c r="U38" s="604"/>
      <c r="V38" s="615"/>
      <c r="W38" s="141"/>
      <c r="X38" s="604"/>
      <c r="Y38" s="604"/>
      <c r="Z38" s="604"/>
      <c r="AA38" s="615"/>
      <c r="AB38"/>
    </row>
    <row r="39" spans="1:28" ht="18.75" hidden="1" customHeight="1">
      <c r="A39" s="613"/>
      <c r="B39" s="625" t="s">
        <v>754</v>
      </c>
      <c r="C39" s="617">
        <f>C46</f>
        <v>0</v>
      </c>
      <c r="D39" s="618"/>
      <c r="E39" s="618"/>
      <c r="F39" s="618"/>
      <c r="G39" s="619"/>
      <c r="H39" s="617">
        <f>H46</f>
        <v>0</v>
      </c>
      <c r="I39" s="618"/>
      <c r="J39" s="618"/>
      <c r="K39" s="618"/>
      <c r="L39" s="619"/>
      <c r="M39" s="617">
        <f>M46</f>
        <v>0</v>
      </c>
      <c r="N39" s="618"/>
      <c r="O39" s="618"/>
      <c r="P39" s="618"/>
      <c r="Q39" s="619"/>
      <c r="R39" s="617">
        <f>R46</f>
        <v>0</v>
      </c>
      <c r="S39" s="618"/>
      <c r="T39" s="618"/>
      <c r="U39" s="618"/>
      <c r="V39" s="619"/>
      <c r="W39" s="617">
        <f>W46</f>
        <v>0</v>
      </c>
      <c r="X39" s="618"/>
      <c r="Y39" s="618"/>
      <c r="Z39" s="618"/>
      <c r="AA39" s="619"/>
      <c r="AB39"/>
    </row>
    <row r="40" spans="1:28" ht="18.75" hidden="1" customHeight="1">
      <c r="A40" s="613"/>
      <c r="B40" s="626" t="s">
        <v>755</v>
      </c>
      <c r="C40" s="141"/>
      <c r="D40" s="604"/>
      <c r="E40" s="604"/>
      <c r="F40" s="604"/>
      <c r="G40" s="615"/>
      <c r="H40" s="141"/>
      <c r="I40" s="604"/>
      <c r="J40" s="604"/>
      <c r="K40" s="604"/>
      <c r="L40" s="615"/>
      <c r="M40" s="141"/>
      <c r="N40" s="604"/>
      <c r="O40" s="604"/>
      <c r="P40" s="604"/>
      <c r="Q40" s="615"/>
      <c r="R40" s="141"/>
      <c r="S40" s="604"/>
      <c r="T40" s="604"/>
      <c r="U40" s="604"/>
      <c r="V40" s="615"/>
      <c r="W40" s="141"/>
      <c r="X40" s="604"/>
      <c r="Y40" s="604"/>
      <c r="Z40" s="604"/>
      <c r="AA40" s="615"/>
      <c r="AB40"/>
    </row>
    <row r="41" spans="1:28" ht="18.75" hidden="1" customHeight="1">
      <c r="A41" s="613"/>
      <c r="B41"/>
      <c r="C41" s="617">
        <f>C48</f>
        <v>0</v>
      </c>
      <c r="D41" s="618"/>
      <c r="E41" s="618"/>
      <c r="F41" s="618"/>
      <c r="G41" s="619"/>
      <c r="H41" s="617">
        <f>H48</f>
        <v>0</v>
      </c>
      <c r="I41" s="618"/>
      <c r="J41" s="618"/>
      <c r="K41" s="618"/>
      <c r="L41" s="619"/>
      <c r="M41" s="617">
        <f>M48</f>
        <v>0</v>
      </c>
      <c r="N41" s="618"/>
      <c r="O41" s="618"/>
      <c r="P41" s="618"/>
      <c r="Q41" s="619"/>
      <c r="R41" s="617">
        <f>R48</f>
        <v>0</v>
      </c>
      <c r="S41" s="618"/>
      <c r="T41" s="618"/>
      <c r="U41" s="618"/>
      <c r="V41" s="619"/>
      <c r="W41" s="617">
        <f>W48</f>
        <v>0</v>
      </c>
      <c r="X41" s="618"/>
      <c r="Y41" s="618"/>
      <c r="Z41" s="618"/>
      <c r="AA41" s="619"/>
      <c r="AB41"/>
    </row>
    <row r="42" spans="1:28" ht="18.75" hidden="1" customHeight="1">
      <c r="A42"/>
      <c r="B42"/>
      <c r="C42" s="141"/>
      <c r="D42" s="604"/>
      <c r="E42" s="604"/>
      <c r="F42" s="604"/>
      <c r="G42" s="615"/>
      <c r="H42" s="141"/>
      <c r="I42" s="604"/>
      <c r="J42" s="604"/>
      <c r="K42" s="604"/>
      <c r="L42" s="615"/>
      <c r="M42" s="141"/>
      <c r="N42" s="604"/>
      <c r="O42" s="604"/>
      <c r="P42" s="604"/>
      <c r="Q42" s="615"/>
      <c r="R42" s="141"/>
      <c r="S42" s="604"/>
      <c r="T42" s="604"/>
      <c r="U42" s="604"/>
      <c r="V42" s="615"/>
      <c r="W42" s="141"/>
      <c r="X42" s="604"/>
      <c r="Y42" s="604"/>
      <c r="Z42" s="604"/>
      <c r="AA42" s="615"/>
      <c r="AB42"/>
    </row>
    <row r="43" spans="1:28" ht="21.75" hidden="1" customHeight="1">
      <c r="A43"/>
      <c r="B43" s="627" t="s">
        <v>739</v>
      </c>
      <c r="C43" s="617">
        <f>C50</f>
        <v>0</v>
      </c>
      <c r="D43" s="618"/>
      <c r="E43" s="618"/>
      <c r="F43" s="618"/>
      <c r="G43" s="619"/>
      <c r="H43" s="617">
        <f>H50</f>
        <v>0</v>
      </c>
      <c r="I43" s="618"/>
      <c r="J43" s="618"/>
      <c r="K43" s="618"/>
      <c r="L43" s="619"/>
      <c r="M43" s="617">
        <f>M50</f>
        <v>0</v>
      </c>
      <c r="N43" s="618"/>
      <c r="O43" s="618"/>
      <c r="P43" s="618"/>
      <c r="Q43" s="619"/>
      <c r="R43" s="617">
        <f>R50</f>
        <v>0</v>
      </c>
      <c r="S43" s="618"/>
      <c r="T43" s="618"/>
      <c r="U43" s="618"/>
      <c r="V43" s="619"/>
      <c r="W43" s="617">
        <f>W50</f>
        <v>0</v>
      </c>
      <c r="X43" s="618"/>
      <c r="Y43" s="618"/>
      <c r="Z43" s="618"/>
      <c r="AA43" s="619"/>
      <c r="AB43"/>
    </row>
    <row r="44" spans="1:28" ht="18.75" hidden="1" customHeight="1">
      <c r="A44"/>
      <c r="B44" s="616" t="s">
        <v>740</v>
      </c>
      <c r="C44" s="141"/>
      <c r="D44" s="604"/>
      <c r="E44" s="604"/>
      <c r="F44" s="604"/>
      <c r="G44" s="615"/>
      <c r="H44" s="141"/>
      <c r="I44" s="604"/>
      <c r="J44" s="604"/>
      <c r="K44" s="604"/>
      <c r="L44" s="615"/>
      <c r="M44" s="141"/>
      <c r="N44" s="604"/>
      <c r="O44" s="604"/>
      <c r="P44" s="604"/>
      <c r="Q44" s="615"/>
      <c r="R44" s="141"/>
      <c r="S44" s="604"/>
      <c r="T44" s="604"/>
      <c r="U44" s="604"/>
      <c r="V44" s="615"/>
      <c r="W44" s="141"/>
      <c r="X44" s="604"/>
      <c r="Y44" s="604"/>
      <c r="Z44" s="604"/>
      <c r="AA44" s="615"/>
      <c r="AB44"/>
    </row>
    <row r="45" spans="1:28" ht="18.75" hidden="1" customHeight="1">
      <c r="A45"/>
      <c r="B45" s="616" t="s">
        <v>741</v>
      </c>
      <c r="C45" s="617">
        <f>C52</f>
        <v>0</v>
      </c>
      <c r="D45" s="618"/>
      <c r="E45" s="618"/>
      <c r="F45" s="618"/>
      <c r="G45" s="619"/>
      <c r="H45" s="617">
        <f>H52</f>
        <v>0</v>
      </c>
      <c r="I45" s="618"/>
      <c r="J45" s="618"/>
      <c r="K45" s="618"/>
      <c r="L45" s="619"/>
      <c r="M45" s="617">
        <f>M52</f>
        <v>0</v>
      </c>
      <c r="N45" s="618"/>
      <c r="O45" s="618"/>
      <c r="P45" s="618"/>
      <c r="Q45" s="619"/>
      <c r="R45" s="617">
        <f>R52</f>
        <v>0</v>
      </c>
      <c r="S45" s="618"/>
      <c r="T45" s="618"/>
      <c r="U45" s="618"/>
      <c r="V45" s="619"/>
      <c r="W45" s="617">
        <f>W52</f>
        <v>0</v>
      </c>
      <c r="X45" s="618"/>
      <c r="Y45" s="618"/>
      <c r="Z45" s="618"/>
      <c r="AA45" s="619"/>
      <c r="AB45"/>
    </row>
    <row r="46" spans="1:28" ht="19.5" hidden="1" customHeight="1">
      <c r="A46"/>
      <c r="B46" s="628" t="s">
        <v>742</v>
      </c>
      <c r="C46" s="141"/>
      <c r="D46" s="604"/>
      <c r="E46" s="604"/>
      <c r="F46" s="604"/>
      <c r="G46" s="615"/>
      <c r="H46" s="141"/>
      <c r="I46" s="604"/>
      <c r="J46" s="604"/>
      <c r="K46" s="604"/>
      <c r="L46" s="615"/>
      <c r="M46" s="141"/>
      <c r="N46" s="604"/>
      <c r="O46" s="604"/>
      <c r="P46" s="604"/>
      <c r="Q46" s="615"/>
      <c r="R46" s="141"/>
      <c r="S46" s="604"/>
      <c r="T46" s="604"/>
      <c r="U46" s="604"/>
      <c r="V46" s="615"/>
      <c r="W46" s="141"/>
      <c r="X46" s="604"/>
      <c r="Y46" s="604"/>
      <c r="Z46" s="604"/>
      <c r="AA46" s="615"/>
      <c r="AB46"/>
    </row>
    <row r="47" spans="1:28" ht="18.75" hidden="1" customHeight="1">
      <c r="A47"/>
      <c r="B47" s="621" t="s">
        <v>747</v>
      </c>
      <c r="C47" s="617">
        <f>C54</f>
        <v>0</v>
      </c>
      <c r="D47" s="618"/>
      <c r="E47" s="618"/>
      <c r="F47" s="618"/>
      <c r="G47" s="619"/>
      <c r="H47" s="617">
        <f>H54</f>
        <v>0</v>
      </c>
      <c r="I47" s="618"/>
      <c r="J47" s="618"/>
      <c r="K47" s="618"/>
      <c r="L47" s="619"/>
      <c r="M47" s="617">
        <f>M54</f>
        <v>0</v>
      </c>
      <c r="N47" s="618"/>
      <c r="O47" s="618"/>
      <c r="P47" s="618"/>
      <c r="Q47" s="619"/>
      <c r="R47" s="617">
        <f>R54</f>
        <v>0</v>
      </c>
      <c r="S47" s="618"/>
      <c r="T47" s="618"/>
      <c r="U47" s="618"/>
      <c r="V47" s="619"/>
      <c r="W47" s="617">
        <f>W54</f>
        <v>0</v>
      </c>
      <c r="X47" s="618"/>
      <c r="Y47" s="618"/>
      <c r="Z47" s="618"/>
      <c r="AA47" s="619"/>
      <c r="AB47"/>
    </row>
    <row r="48" spans="1:28" ht="18.75" hidden="1" customHeight="1">
      <c r="A48"/>
      <c r="B48" s="621" t="s">
        <v>748</v>
      </c>
      <c r="C48" s="141"/>
      <c r="D48" s="604"/>
      <c r="E48" s="604"/>
      <c r="F48" s="604"/>
      <c r="G48" s="615"/>
      <c r="H48" s="141"/>
      <c r="I48" s="604"/>
      <c r="J48" s="604"/>
      <c r="K48" s="604"/>
      <c r="L48" s="615"/>
      <c r="M48" s="141"/>
      <c r="N48" s="604"/>
      <c r="O48" s="604"/>
      <c r="P48" s="604"/>
      <c r="Q48" s="615"/>
      <c r="R48" s="141"/>
      <c r="S48" s="604"/>
      <c r="T48" s="604"/>
      <c r="U48" s="604"/>
      <c r="V48" s="615"/>
      <c r="W48" s="141"/>
      <c r="X48" s="604"/>
      <c r="Y48" s="604"/>
      <c r="Z48" s="604"/>
      <c r="AA48" s="615"/>
      <c r="AB48"/>
    </row>
    <row r="49" spans="1:28" ht="19.5" hidden="1" customHeight="1">
      <c r="A49"/>
      <c r="B49" s="622" t="s">
        <v>749</v>
      </c>
      <c r="C49" s="617">
        <f>C56</f>
        <v>0</v>
      </c>
      <c r="D49" s="618"/>
      <c r="E49" s="618"/>
      <c r="F49" s="618"/>
      <c r="G49" s="619"/>
      <c r="H49" s="617">
        <f>H56</f>
        <v>0</v>
      </c>
      <c r="I49" s="618"/>
      <c r="J49" s="618"/>
      <c r="K49" s="618"/>
      <c r="L49" s="619"/>
      <c r="M49" s="617">
        <f>M56</f>
        <v>0</v>
      </c>
      <c r="N49" s="618"/>
      <c r="O49" s="618"/>
      <c r="P49" s="618"/>
      <c r="Q49" s="619"/>
      <c r="R49" s="617">
        <f>R56</f>
        <v>0</v>
      </c>
      <c r="S49" s="618"/>
      <c r="T49" s="618"/>
      <c r="U49" s="618"/>
      <c r="V49" s="619"/>
      <c r="W49" s="617">
        <f>W56</f>
        <v>0</v>
      </c>
      <c r="X49" s="618"/>
      <c r="Y49" s="618"/>
      <c r="Z49" s="618"/>
      <c r="AA49" s="619"/>
      <c r="AB49"/>
    </row>
    <row r="50" spans="1:28" ht="18.75" hidden="1" customHeight="1">
      <c r="A50"/>
      <c r="B50"/>
      <c r="C50" s="141"/>
      <c r="D50" s="604"/>
      <c r="E50" s="604"/>
      <c r="F50" s="604"/>
      <c r="G50" s="615"/>
      <c r="H50" s="141"/>
      <c r="I50" s="604"/>
      <c r="J50" s="604"/>
      <c r="K50" s="604"/>
      <c r="L50" s="615"/>
      <c r="M50" s="141"/>
      <c r="N50" s="604"/>
      <c r="O50" s="604"/>
      <c r="P50" s="604"/>
      <c r="Q50" s="615"/>
      <c r="R50" s="141"/>
      <c r="S50" s="604"/>
      <c r="T50" s="604"/>
      <c r="U50" s="604"/>
      <c r="V50" s="615"/>
      <c r="W50" s="141"/>
      <c r="X50" s="604"/>
      <c r="Y50" s="604"/>
      <c r="Z50" s="604"/>
      <c r="AA50" s="615"/>
      <c r="AB50"/>
    </row>
    <row r="51" spans="1:28" ht="18.75" hidden="1" customHeight="1">
      <c r="A51"/>
      <c r="B51"/>
      <c r="C51" s="617">
        <f>C58</f>
        <v>0</v>
      </c>
      <c r="D51" s="618"/>
      <c r="E51" s="618"/>
      <c r="F51" s="618"/>
      <c r="G51" s="619"/>
      <c r="H51" s="617">
        <f>H58</f>
        <v>0</v>
      </c>
      <c r="I51" s="618"/>
      <c r="J51" s="618"/>
      <c r="K51" s="618"/>
      <c r="L51" s="619"/>
      <c r="M51" s="617">
        <f>M58</f>
        <v>0</v>
      </c>
      <c r="N51" s="618"/>
      <c r="O51" s="618"/>
      <c r="P51" s="618"/>
      <c r="Q51" s="619"/>
      <c r="R51" s="617">
        <f>R58</f>
        <v>0</v>
      </c>
      <c r="S51" s="618"/>
      <c r="T51" s="618"/>
      <c r="U51" s="618"/>
      <c r="V51" s="619"/>
      <c r="W51" s="617">
        <f>W58</f>
        <v>0</v>
      </c>
      <c r="X51" s="618"/>
      <c r="Y51" s="618"/>
      <c r="Z51" s="618"/>
      <c r="AA51" s="619"/>
      <c r="AB51"/>
    </row>
    <row r="52" spans="1:28" ht="21.75" hidden="1" customHeight="1">
      <c r="A52"/>
      <c r="B52" s="627" t="s">
        <v>739</v>
      </c>
      <c r="C52" s="141"/>
      <c r="D52" s="604"/>
      <c r="E52" s="604"/>
      <c r="F52" s="604"/>
      <c r="G52" s="615"/>
      <c r="H52" s="141"/>
      <c r="I52" s="604"/>
      <c r="J52" s="604"/>
      <c r="K52" s="604"/>
      <c r="L52" s="615"/>
      <c r="M52" s="141"/>
      <c r="N52" s="604"/>
      <c r="O52" s="604"/>
      <c r="P52" s="604"/>
      <c r="Q52" s="615"/>
      <c r="R52" s="141"/>
      <c r="S52" s="604"/>
      <c r="T52" s="604"/>
      <c r="U52" s="604"/>
      <c r="V52" s="615"/>
      <c r="W52" s="141"/>
      <c r="X52" s="604"/>
      <c r="Y52" s="604"/>
      <c r="Z52" s="604"/>
      <c r="AA52" s="615"/>
      <c r="AB52"/>
    </row>
    <row r="53" spans="1:28" ht="18.75" hidden="1" customHeight="1">
      <c r="A53"/>
      <c r="B53" s="616" t="s">
        <v>740</v>
      </c>
      <c r="C53" s="617">
        <f>C60</f>
        <v>0</v>
      </c>
      <c r="D53" s="618"/>
      <c r="E53" s="618"/>
      <c r="F53" s="618"/>
      <c r="G53" s="619"/>
      <c r="H53" s="617">
        <f>H60</f>
        <v>0</v>
      </c>
      <c r="I53" s="618"/>
      <c r="J53" s="618"/>
      <c r="K53" s="618"/>
      <c r="L53" s="619"/>
      <c r="M53" s="617">
        <f>M60</f>
        <v>0</v>
      </c>
      <c r="N53" s="618"/>
      <c r="O53" s="618"/>
      <c r="P53" s="618"/>
      <c r="Q53" s="619"/>
      <c r="R53" s="617">
        <f>R60</f>
        <v>0</v>
      </c>
      <c r="S53" s="618"/>
      <c r="T53" s="618"/>
      <c r="U53" s="618"/>
      <c r="V53" s="619"/>
      <c r="W53" s="617">
        <f>W60</f>
        <v>0</v>
      </c>
      <c r="X53" s="618"/>
      <c r="Y53" s="618"/>
      <c r="Z53" s="618"/>
      <c r="AA53" s="619"/>
      <c r="AB53"/>
    </row>
    <row r="54" spans="1:28" ht="18.75" hidden="1" customHeight="1">
      <c r="A54"/>
      <c r="B54" s="616" t="s">
        <v>741</v>
      </c>
      <c r="C54" s="141"/>
      <c r="D54" s="604"/>
      <c r="E54" s="604"/>
      <c r="F54" s="604"/>
      <c r="G54" s="615"/>
      <c r="H54" s="141"/>
      <c r="I54" s="604"/>
      <c r="J54" s="604"/>
      <c r="K54" s="604"/>
      <c r="L54" s="615"/>
      <c r="M54" s="141"/>
      <c r="N54" s="604"/>
      <c r="O54" s="604"/>
      <c r="P54" s="604"/>
      <c r="Q54" s="615"/>
      <c r="R54" s="141"/>
      <c r="S54" s="604"/>
      <c r="T54" s="604"/>
      <c r="U54" s="604"/>
      <c r="V54" s="615"/>
      <c r="W54" s="141"/>
      <c r="X54" s="604"/>
      <c r="Y54" s="604"/>
      <c r="Z54" s="604"/>
      <c r="AA54" s="615"/>
      <c r="AB54"/>
    </row>
    <row r="55" spans="1:28" ht="19.5" hidden="1" customHeight="1">
      <c r="A55"/>
      <c r="B55" s="628" t="s">
        <v>742</v>
      </c>
      <c r="C55" s="617">
        <f>C62</f>
        <v>0</v>
      </c>
      <c r="D55" s="618"/>
      <c r="E55" s="618"/>
      <c r="F55" s="618"/>
      <c r="G55" s="619"/>
      <c r="H55" s="617">
        <f>H62</f>
        <v>0</v>
      </c>
      <c r="I55" s="618"/>
      <c r="J55" s="618"/>
      <c r="K55" s="618"/>
      <c r="L55" s="619"/>
      <c r="M55" s="617">
        <f>M62</f>
        <v>0</v>
      </c>
      <c r="N55" s="618"/>
      <c r="O55" s="618"/>
      <c r="P55" s="618"/>
      <c r="Q55" s="619"/>
      <c r="R55" s="617">
        <f>R62</f>
        <v>0</v>
      </c>
      <c r="S55" s="618"/>
      <c r="T55" s="618"/>
      <c r="U55" s="618"/>
      <c r="V55" s="619"/>
      <c r="W55" s="617">
        <f>W62</f>
        <v>0</v>
      </c>
      <c r="X55" s="618"/>
      <c r="Y55" s="618"/>
      <c r="Z55" s="618"/>
      <c r="AA55" s="619"/>
      <c r="AB55"/>
    </row>
    <row r="56" spans="1:28" ht="18.75" hidden="1" customHeight="1">
      <c r="A56"/>
      <c r="B56" s="621" t="s">
        <v>747</v>
      </c>
      <c r="C56" s="141"/>
      <c r="D56" s="604"/>
      <c r="E56" s="604"/>
      <c r="F56" s="604"/>
      <c r="G56" s="615"/>
      <c r="H56" s="141"/>
      <c r="I56" s="604"/>
      <c r="J56" s="604"/>
      <c r="K56" s="604"/>
      <c r="L56" s="615"/>
      <c r="M56" s="141"/>
      <c r="N56" s="604"/>
      <c r="O56" s="604"/>
      <c r="P56" s="604"/>
      <c r="Q56" s="615"/>
      <c r="R56" s="141"/>
      <c r="S56" s="604"/>
      <c r="T56" s="604"/>
      <c r="U56" s="604"/>
      <c r="V56" s="615"/>
      <c r="W56" s="141"/>
      <c r="X56" s="604"/>
      <c r="Y56" s="604"/>
      <c r="Z56" s="604"/>
      <c r="AA56" s="615"/>
      <c r="AB56"/>
    </row>
    <row r="57" spans="1:28" ht="18.75" hidden="1" customHeight="1">
      <c r="A57"/>
      <c r="B57" s="621" t="s">
        <v>748</v>
      </c>
      <c r="C57" s="617">
        <f>C64</f>
        <v>0</v>
      </c>
      <c r="D57" s="618"/>
      <c r="E57" s="618"/>
      <c r="F57" s="618"/>
      <c r="G57" s="619"/>
      <c r="H57" s="617">
        <f>H64</f>
        <v>0</v>
      </c>
      <c r="I57" s="618"/>
      <c r="J57" s="618"/>
      <c r="K57" s="618"/>
      <c r="L57" s="619"/>
      <c r="M57" s="617">
        <f>M64</f>
        <v>0</v>
      </c>
      <c r="N57" s="618"/>
      <c r="O57" s="618"/>
      <c r="P57" s="618"/>
      <c r="Q57" s="619"/>
      <c r="R57" s="617">
        <f>R64</f>
        <v>0</v>
      </c>
      <c r="S57" s="618"/>
      <c r="T57" s="618"/>
      <c r="U57" s="618"/>
      <c r="V57" s="619"/>
      <c r="W57" s="617">
        <f>W64</f>
        <v>0</v>
      </c>
      <c r="X57" s="618"/>
      <c r="Y57" s="618"/>
      <c r="Z57" s="618"/>
      <c r="AA57" s="619"/>
      <c r="AB57"/>
    </row>
    <row r="58" spans="1:28" ht="19.5" hidden="1" customHeight="1">
      <c r="A58"/>
      <c r="B58" s="622" t="s">
        <v>749</v>
      </c>
      <c r="C58" s="141"/>
      <c r="D58" s="604"/>
      <c r="E58" s="604"/>
      <c r="F58" s="604"/>
      <c r="G58" s="615"/>
      <c r="H58" s="141"/>
      <c r="I58" s="604"/>
      <c r="J58" s="604"/>
      <c r="K58" s="604"/>
      <c r="L58" s="615"/>
      <c r="M58" s="141"/>
      <c r="N58" s="604"/>
      <c r="O58" s="604"/>
      <c r="P58" s="604"/>
      <c r="Q58" s="615"/>
      <c r="R58" s="141"/>
      <c r="S58" s="604"/>
      <c r="T58" s="604"/>
      <c r="U58" s="604"/>
      <c r="V58" s="615"/>
      <c r="W58" s="141"/>
      <c r="X58" s="604"/>
      <c r="Y58" s="604"/>
      <c r="Z58" s="604"/>
      <c r="AA58" s="615"/>
      <c r="AB58"/>
    </row>
    <row r="59" spans="1:28" ht="18.75" hidden="1" customHeight="1">
      <c r="A59"/>
      <c r="B59"/>
      <c r="C59" s="617">
        <f>C66</f>
        <v>0</v>
      </c>
      <c r="D59" s="618"/>
      <c r="E59" s="618"/>
      <c r="F59" s="618"/>
      <c r="G59" s="619"/>
      <c r="H59" s="617">
        <f>H66</f>
        <v>0</v>
      </c>
      <c r="I59" s="618"/>
      <c r="J59" s="618"/>
      <c r="K59" s="618"/>
      <c r="L59" s="619"/>
      <c r="M59" s="617">
        <f>M66</f>
        <v>0</v>
      </c>
      <c r="N59" s="618"/>
      <c r="O59" s="618"/>
      <c r="P59" s="618"/>
      <c r="Q59" s="619"/>
      <c r="R59" s="617">
        <f>R66</f>
        <v>0</v>
      </c>
      <c r="S59" s="618"/>
      <c r="T59" s="618"/>
      <c r="U59" s="618"/>
      <c r="V59" s="619"/>
      <c r="W59" s="617">
        <f>W66</f>
        <v>0</v>
      </c>
      <c r="X59" s="618"/>
      <c r="Y59" s="618"/>
      <c r="Z59" s="618"/>
      <c r="AA59" s="619"/>
      <c r="AB59"/>
    </row>
    <row r="60" spans="1:28" ht="18.75" hidden="1" customHeight="1">
      <c r="A60"/>
      <c r="B60"/>
      <c r="C60" s="141"/>
      <c r="D60" s="604"/>
      <c r="E60" s="604"/>
      <c r="F60" s="604"/>
      <c r="G60" s="615"/>
      <c r="H60" s="141"/>
      <c r="I60" s="604"/>
      <c r="J60" s="604"/>
      <c r="K60" s="604"/>
      <c r="L60" s="615"/>
      <c r="M60" s="141"/>
      <c r="N60" s="604"/>
      <c r="O60" s="604"/>
      <c r="P60" s="604"/>
      <c r="Q60" s="615"/>
      <c r="R60" s="141"/>
      <c r="S60" s="604"/>
      <c r="T60" s="604"/>
      <c r="U60" s="604"/>
      <c r="V60" s="615"/>
      <c r="W60" s="141"/>
      <c r="X60" s="604"/>
      <c r="Y60" s="604"/>
      <c r="Z60" s="604"/>
      <c r="AA60" s="615"/>
      <c r="AB60"/>
    </row>
    <row r="61" spans="1:28" ht="21.75" hidden="1" customHeight="1">
      <c r="A61"/>
      <c r="B61" s="627" t="s">
        <v>739</v>
      </c>
      <c r="C61" s="617">
        <f>C68</f>
        <v>0</v>
      </c>
      <c r="D61" s="618"/>
      <c r="E61" s="618"/>
      <c r="F61" s="618"/>
      <c r="G61" s="619"/>
      <c r="H61" s="617">
        <f>H68</f>
        <v>0</v>
      </c>
      <c r="I61" s="618"/>
      <c r="J61" s="618"/>
      <c r="K61" s="618"/>
      <c r="L61" s="619"/>
      <c r="M61" s="617">
        <f>M68</f>
        <v>0</v>
      </c>
      <c r="N61" s="618"/>
      <c r="O61" s="618"/>
      <c r="P61" s="618"/>
      <c r="Q61" s="619"/>
      <c r="R61" s="617">
        <f>R68</f>
        <v>0</v>
      </c>
      <c r="S61" s="618"/>
      <c r="T61" s="618"/>
      <c r="U61" s="618"/>
      <c r="V61" s="619"/>
      <c r="W61" s="617">
        <f>W68</f>
        <v>0</v>
      </c>
      <c r="X61" s="618"/>
      <c r="Y61" s="618"/>
      <c r="Z61" s="618"/>
      <c r="AA61" s="619"/>
      <c r="AB61"/>
    </row>
    <row r="62" spans="1:28" ht="18.75" hidden="1" customHeight="1">
      <c r="A62"/>
      <c r="B62" s="616" t="s">
        <v>740</v>
      </c>
      <c r="C62" s="141"/>
      <c r="D62" s="604"/>
      <c r="E62" s="604"/>
      <c r="F62" s="604"/>
      <c r="G62" s="615"/>
      <c r="H62" s="141"/>
      <c r="I62" s="604"/>
      <c r="J62" s="604"/>
      <c r="K62" s="604"/>
      <c r="L62" s="615"/>
      <c r="M62" s="141"/>
      <c r="N62" s="604"/>
      <c r="O62" s="604"/>
      <c r="P62" s="604"/>
      <c r="Q62" s="615"/>
      <c r="R62" s="141"/>
      <c r="S62" s="604"/>
      <c r="T62" s="604"/>
      <c r="U62" s="604"/>
      <c r="V62" s="615"/>
      <c r="W62" s="141"/>
      <c r="X62" s="604"/>
      <c r="Y62" s="604"/>
      <c r="Z62" s="604"/>
      <c r="AA62" s="615"/>
      <c r="AB62"/>
    </row>
    <row r="63" spans="1:28" ht="18.75" hidden="1" customHeight="1">
      <c r="A63"/>
      <c r="B63" s="616" t="s">
        <v>741</v>
      </c>
      <c r="C63" s="617">
        <f>B70</f>
        <v>0</v>
      </c>
      <c r="D63" s="618"/>
      <c r="E63" s="618"/>
      <c r="F63" s="618"/>
      <c r="G63" s="619"/>
      <c r="H63" s="617">
        <f>H70</f>
        <v>0</v>
      </c>
      <c r="I63" s="618"/>
      <c r="J63" s="618"/>
      <c r="K63" s="618"/>
      <c r="L63" s="619"/>
      <c r="M63" s="617">
        <f>M70</f>
        <v>0</v>
      </c>
      <c r="N63" s="618"/>
      <c r="O63" s="618"/>
      <c r="P63" s="618"/>
      <c r="Q63" s="619"/>
      <c r="R63" s="617">
        <f>R70</f>
        <v>0</v>
      </c>
      <c r="S63" s="618"/>
      <c r="T63" s="618"/>
      <c r="U63" s="618"/>
      <c r="V63" s="619"/>
      <c r="W63" s="617">
        <f>W70</f>
        <v>0</v>
      </c>
      <c r="X63" s="618"/>
      <c r="Y63" s="618"/>
      <c r="Z63" s="618"/>
      <c r="AA63" s="619"/>
      <c r="AB63"/>
    </row>
    <row r="64" spans="1:28" ht="19.5" hidden="1" customHeight="1">
      <c r="A64"/>
      <c r="B64" s="628" t="s">
        <v>742</v>
      </c>
      <c r="C64" s="141"/>
      <c r="D64" s="604"/>
      <c r="E64" s="604"/>
      <c r="F64" s="604"/>
      <c r="G64" s="615"/>
      <c r="H64" s="141"/>
      <c r="I64" s="604"/>
      <c r="J64" s="604"/>
      <c r="K64" s="604"/>
      <c r="L64" s="615"/>
      <c r="M64" s="141"/>
      <c r="N64" s="604"/>
      <c r="O64" s="604"/>
      <c r="P64" s="604"/>
      <c r="Q64" s="615"/>
      <c r="R64" s="141"/>
      <c r="S64" s="604"/>
      <c r="T64" s="604"/>
      <c r="U64" s="604"/>
      <c r="V64" s="615"/>
      <c r="W64" s="141"/>
      <c r="X64" s="604"/>
      <c r="Y64" s="604"/>
      <c r="Z64" s="604"/>
      <c r="AA64" s="615"/>
      <c r="AB64"/>
    </row>
    <row r="65" spans="1:28" ht="18.75" hidden="1" customHeight="1">
      <c r="A65"/>
      <c r="B65" s="621" t="s">
        <v>747</v>
      </c>
      <c r="C65" s="617">
        <f>C71</f>
        <v>0</v>
      </c>
      <c r="D65" s="618"/>
      <c r="E65" s="618"/>
      <c r="F65" s="618"/>
      <c r="G65" s="619"/>
      <c r="H65" s="617">
        <f>H71</f>
        <v>0</v>
      </c>
      <c r="I65" s="618"/>
      <c r="J65" s="618"/>
      <c r="K65" s="618"/>
      <c r="L65" s="619"/>
      <c r="M65" s="617">
        <f>M71</f>
        <v>0</v>
      </c>
      <c r="N65" s="618"/>
      <c r="O65" s="618"/>
      <c r="P65" s="618"/>
      <c r="Q65" s="619"/>
      <c r="R65" s="617">
        <f>R71</f>
        <v>0</v>
      </c>
      <c r="S65" s="618"/>
      <c r="T65" s="618"/>
      <c r="U65" s="618"/>
      <c r="V65" s="619"/>
      <c r="W65" s="617">
        <f>W71</f>
        <v>0</v>
      </c>
      <c r="X65" s="618"/>
      <c r="Y65" s="618"/>
      <c r="Z65" s="618"/>
      <c r="AA65" s="619"/>
      <c r="AB65"/>
    </row>
    <row r="66" spans="1:28" ht="18.75" hidden="1" customHeight="1">
      <c r="A66"/>
      <c r="B66" s="621" t="s">
        <v>748</v>
      </c>
      <c r="C66" s="141"/>
      <c r="D66" s="604"/>
      <c r="E66" s="604"/>
      <c r="F66" s="604"/>
      <c r="G66" s="615"/>
      <c r="H66" s="141"/>
      <c r="I66" s="604"/>
      <c r="J66" s="604"/>
      <c r="K66" s="604"/>
      <c r="L66" s="615"/>
      <c r="M66" s="141"/>
      <c r="N66" s="604"/>
      <c r="O66" s="604"/>
      <c r="P66" s="604"/>
      <c r="Q66" s="615"/>
      <c r="R66" s="141"/>
      <c r="S66" s="604"/>
      <c r="T66" s="604"/>
      <c r="U66" s="604"/>
      <c r="V66" s="615"/>
      <c r="W66" s="141"/>
      <c r="X66" s="604"/>
      <c r="Y66" s="604"/>
      <c r="Z66" s="604"/>
      <c r="AA66" s="615"/>
      <c r="AB66"/>
    </row>
    <row r="67" spans="1:28" ht="19.5" hidden="1" customHeight="1">
      <c r="A67"/>
      <c r="B67" s="622" t="s">
        <v>749</v>
      </c>
      <c r="C67" s="617" t="e">
        <f>#REF!</f>
        <v>#REF!</v>
      </c>
      <c r="D67" s="618"/>
      <c r="E67" s="618"/>
      <c r="F67" s="618"/>
      <c r="G67" s="619"/>
      <c r="H67" s="617" t="e">
        <f>#REF!</f>
        <v>#REF!</v>
      </c>
      <c r="I67" s="618"/>
      <c r="J67" s="618"/>
      <c r="K67" s="618"/>
      <c r="L67" s="619"/>
      <c r="M67" s="617" t="e">
        <f>#REF!</f>
        <v>#REF!</v>
      </c>
      <c r="N67" s="618"/>
      <c r="O67" s="618"/>
      <c r="P67" s="618"/>
      <c r="Q67" s="619"/>
      <c r="R67" s="617" t="e">
        <f>#REF!</f>
        <v>#REF!</v>
      </c>
      <c r="S67" s="618"/>
      <c r="T67" s="618"/>
      <c r="U67" s="618"/>
      <c r="V67" s="619"/>
      <c r="W67" s="617" t="e">
        <f>#REF!</f>
        <v>#REF!</v>
      </c>
      <c r="X67" s="618"/>
      <c r="Y67" s="618"/>
      <c r="Z67" s="618"/>
      <c r="AA67" s="619"/>
      <c r="AB67"/>
    </row>
    <row r="68" spans="1:28">
      <c r="A68" s="613"/>
      <c r="B68"/>
      <c r="C68" s="141"/>
      <c r="D68" s="604"/>
      <c r="E68" s="604"/>
      <c r="F68" s="604"/>
      <c r="G68" s="615"/>
      <c r="H68" s="141"/>
      <c r="I68" s="604"/>
      <c r="J68" s="604"/>
      <c r="K68" s="604"/>
      <c r="L68" s="615"/>
      <c r="M68" s="141"/>
      <c r="N68" s="604"/>
      <c r="O68" s="604"/>
      <c r="P68" s="604"/>
      <c r="Q68" s="615"/>
      <c r="R68" s="141"/>
      <c r="S68" s="604"/>
      <c r="T68" s="604"/>
      <c r="U68" s="604"/>
      <c r="V68" s="615"/>
      <c r="W68" s="141"/>
      <c r="X68" s="604"/>
      <c r="Y68" s="604"/>
      <c r="Z68" s="604"/>
      <c r="AA68" s="615"/>
      <c r="AB68"/>
    </row>
    <row r="69" spans="1:28" ht="21" customHeight="1">
      <c r="H69" s="151"/>
      <c r="I69" s="151"/>
      <c r="J69" s="151"/>
      <c r="K69" s="151"/>
      <c r="M69" s="151"/>
      <c r="N69" s="151"/>
      <c r="O69" s="151"/>
      <c r="P69" s="151"/>
      <c r="U69" s="151"/>
    </row>
    <row r="70" spans="1:28" ht="21" customHeight="1">
      <c r="B70" s="205"/>
      <c r="C70" s="205"/>
      <c r="H70" s="151"/>
      <c r="I70" s="151"/>
      <c r="J70" s="151"/>
      <c r="K70" s="151"/>
      <c r="M70" s="151"/>
      <c r="N70" s="151"/>
      <c r="O70" s="151"/>
      <c r="P70" s="151"/>
      <c r="R70" s="151"/>
      <c r="S70" s="151"/>
      <c r="T70" s="151"/>
      <c r="U70" s="151"/>
      <c r="W70" s="151"/>
      <c r="X70" s="151"/>
      <c r="Y70" s="151"/>
    </row>
    <row r="71" spans="1:28" ht="21" customHeight="1">
      <c r="B71" s="205"/>
      <c r="C71" s="630"/>
      <c r="D71" s="151"/>
      <c r="G71" s="207"/>
      <c r="H71" s="151"/>
      <c r="I71" s="151"/>
      <c r="J71" s="151"/>
      <c r="K71" s="151"/>
      <c r="M71" s="151"/>
      <c r="N71" s="151"/>
      <c r="O71" s="151"/>
      <c r="P71" s="151"/>
      <c r="R71" s="151"/>
      <c r="S71" s="151"/>
      <c r="T71" s="151"/>
      <c r="U71" s="151"/>
      <c r="W71" s="151"/>
      <c r="X71" s="151"/>
      <c r="Y71" s="151"/>
    </row>
    <row r="72" spans="1:28" ht="21" customHeight="1">
      <c r="B72" s="205"/>
      <c r="C72" s="630"/>
      <c r="G72" s="170"/>
      <c r="H72" s="151"/>
      <c r="I72" s="151"/>
      <c r="J72" s="151"/>
      <c r="K72" s="151"/>
      <c r="M72" s="151"/>
      <c r="N72" s="151"/>
      <c r="O72" s="151"/>
      <c r="P72" s="151"/>
      <c r="U72" s="151"/>
    </row>
    <row r="73" spans="1:28" s="208" customFormat="1" ht="21" customHeight="1">
      <c r="A73" s="629"/>
      <c r="B73" s="151"/>
      <c r="E73" s="151"/>
      <c r="F73" s="151"/>
      <c r="G73" s="151"/>
      <c r="L73" s="151"/>
      <c r="Q73"/>
      <c r="V73" s="151"/>
      <c r="AB73" s="151"/>
    </row>
    <row r="74" spans="1:28" s="208" customFormat="1" ht="21" customHeight="1">
      <c r="A74" s="629"/>
      <c r="B74" s="151"/>
      <c r="E74" s="151"/>
      <c r="F74" s="151"/>
      <c r="G74" s="151"/>
      <c r="L74" s="151"/>
      <c r="Q74" s="151"/>
      <c r="V74" s="151"/>
      <c r="AB74" s="151"/>
    </row>
    <row r="75" spans="1:28" s="208" customFormat="1" ht="21" customHeight="1">
      <c r="A75" s="629"/>
      <c r="B75" s="151"/>
      <c r="E75" s="151"/>
      <c r="F75" s="151"/>
      <c r="G75" s="151"/>
      <c r="L75" s="151"/>
      <c r="Q75" s="151"/>
      <c r="V75" s="151"/>
      <c r="AB75" s="151"/>
    </row>
    <row r="76" spans="1:28" s="208" customFormat="1" ht="21" customHeight="1">
      <c r="A76" s="629"/>
      <c r="B76" s="151"/>
      <c r="E76" s="151"/>
      <c r="F76" s="151"/>
      <c r="G76" s="151"/>
      <c r="L76" s="151"/>
      <c r="Q76" s="151"/>
      <c r="V76" s="151"/>
      <c r="AB76" s="151"/>
    </row>
    <row r="77" spans="1:28" s="208" customFormat="1" ht="21" customHeight="1">
      <c r="A77" s="629"/>
      <c r="B77" s="151"/>
      <c r="E77" s="151"/>
      <c r="F77" s="151"/>
      <c r="G77" s="151"/>
      <c r="L77" s="151"/>
      <c r="Q77" s="151"/>
      <c r="V77" s="151"/>
      <c r="AB77" s="151"/>
    </row>
    <row r="78" spans="1:28" s="208" customFormat="1" ht="21" customHeight="1">
      <c r="A78" s="629"/>
      <c r="B78" s="151"/>
      <c r="E78" s="151"/>
      <c r="F78" s="151"/>
      <c r="G78" s="151"/>
      <c r="L78" s="151"/>
      <c r="Q78" s="151"/>
      <c r="V78" s="151"/>
      <c r="AB78" s="151"/>
    </row>
    <row r="79" spans="1:28" s="208" customFormat="1" ht="21" customHeight="1">
      <c r="A79" s="629"/>
      <c r="B79" s="151"/>
      <c r="E79" s="151"/>
      <c r="F79" s="151"/>
      <c r="G79" s="151"/>
      <c r="L79" s="151"/>
      <c r="Q79" s="151"/>
      <c r="V79" s="151"/>
      <c r="AB79" s="151"/>
    </row>
    <row r="80" spans="1:28" s="208" customFormat="1" ht="21" customHeight="1">
      <c r="A80" s="629"/>
      <c r="B80" s="151"/>
      <c r="E80" s="151"/>
      <c r="F80" s="151"/>
      <c r="G80" s="151"/>
      <c r="L80" s="151"/>
      <c r="Q80" s="151"/>
      <c r="V80" s="151"/>
      <c r="AB80" s="151"/>
    </row>
    <row r="81" spans="1:28" s="208" customFormat="1" ht="21" customHeight="1">
      <c r="A81" s="629"/>
      <c r="B81" s="151"/>
      <c r="E81" s="151"/>
      <c r="F81" s="151"/>
      <c r="G81" s="151"/>
      <c r="L81" s="151"/>
      <c r="Q81" s="151"/>
      <c r="V81" s="151"/>
      <c r="AB81" s="151"/>
    </row>
    <row r="82" spans="1:28" s="629" customFormat="1" ht="21" customHeight="1">
      <c r="B82" s="151"/>
      <c r="C82" s="208"/>
      <c r="D82" s="208"/>
      <c r="E82" s="151"/>
      <c r="F82" s="151"/>
      <c r="G82" s="151"/>
      <c r="H82" s="208"/>
      <c r="I82" s="208"/>
      <c r="J82" s="208"/>
      <c r="K82" s="208"/>
      <c r="L82" s="151"/>
      <c r="M82" s="208"/>
      <c r="N82" s="208"/>
      <c r="O82" s="208"/>
      <c r="P82" s="208"/>
      <c r="Q82" s="151"/>
      <c r="R82" s="208"/>
      <c r="S82" s="208"/>
      <c r="T82" s="208"/>
      <c r="U82" s="208"/>
      <c r="V82" s="151"/>
      <c r="W82" s="208"/>
      <c r="X82" s="208"/>
      <c r="Y82" s="208"/>
      <c r="Z82" s="208"/>
      <c r="AA82" s="208"/>
      <c r="AB82" s="151"/>
    </row>
    <row r="83" spans="1:28" s="629" customFormat="1" ht="21" customHeight="1">
      <c r="B83" s="151"/>
      <c r="C83" s="208"/>
      <c r="D83" s="208"/>
      <c r="E83" s="151"/>
      <c r="F83" s="151"/>
      <c r="G83" s="151"/>
      <c r="H83" s="208"/>
      <c r="I83" s="208"/>
      <c r="J83" s="208"/>
      <c r="K83" s="208"/>
      <c r="L83" s="151"/>
      <c r="M83" s="208"/>
      <c r="N83" s="208"/>
      <c r="O83" s="208"/>
      <c r="P83" s="208"/>
      <c r="Q83" s="151"/>
      <c r="R83" s="208"/>
      <c r="S83" s="208"/>
      <c r="T83" s="208"/>
      <c r="U83" s="208"/>
      <c r="V83" s="151"/>
      <c r="W83" s="208"/>
      <c r="X83" s="208"/>
      <c r="Y83" s="208"/>
      <c r="Z83" s="208"/>
      <c r="AA83" s="208"/>
      <c r="AB83" s="151"/>
    </row>
    <row r="84" spans="1:28" s="629" customFormat="1" ht="21" customHeight="1">
      <c r="B84" s="151"/>
      <c r="C84" s="208"/>
      <c r="D84" s="208"/>
      <c r="E84" s="151"/>
      <c r="F84" s="151"/>
      <c r="G84" s="151"/>
      <c r="H84" s="208"/>
      <c r="I84" s="208"/>
      <c r="J84" s="208"/>
      <c r="K84" s="208"/>
      <c r="L84" s="151"/>
      <c r="M84" s="208"/>
      <c r="N84" s="208"/>
      <c r="O84" s="208"/>
      <c r="P84" s="208"/>
      <c r="Q84" s="151"/>
      <c r="R84" s="208"/>
      <c r="S84" s="208"/>
      <c r="T84" s="208"/>
      <c r="U84" s="208"/>
      <c r="V84" s="151"/>
      <c r="W84" s="208"/>
      <c r="X84" s="208"/>
      <c r="Y84" s="208"/>
      <c r="Z84" s="208"/>
      <c r="AA84" s="208"/>
      <c r="AB84" s="151"/>
    </row>
    <row r="85" spans="1:28" s="629" customFormat="1" ht="21" customHeight="1">
      <c r="B85" s="151"/>
      <c r="C85" s="208"/>
      <c r="D85" s="208"/>
      <c r="E85" s="151"/>
      <c r="F85" s="151"/>
      <c r="G85" s="151"/>
      <c r="H85" s="208"/>
      <c r="I85" s="208"/>
      <c r="J85" s="208"/>
      <c r="K85" s="208"/>
      <c r="L85" s="151"/>
      <c r="M85" s="208"/>
      <c r="N85" s="208"/>
      <c r="O85" s="208"/>
      <c r="P85" s="208"/>
      <c r="Q85" s="151"/>
      <c r="R85" s="208"/>
      <c r="S85" s="208"/>
      <c r="T85" s="208"/>
      <c r="U85" s="208"/>
      <c r="V85" s="151"/>
      <c r="W85" s="208"/>
      <c r="X85" s="208"/>
      <c r="Y85" s="208"/>
      <c r="Z85" s="208"/>
      <c r="AA85" s="208"/>
      <c r="AB85" s="151"/>
    </row>
    <row r="86" spans="1:28" s="629" customFormat="1" ht="21" customHeight="1">
      <c r="B86" s="151"/>
      <c r="C86" s="208"/>
      <c r="D86" s="208"/>
      <c r="E86" s="151"/>
      <c r="F86" s="151"/>
      <c r="G86" s="151"/>
      <c r="H86" s="208"/>
      <c r="I86" s="208"/>
      <c r="J86" s="208"/>
      <c r="K86" s="208"/>
      <c r="L86" s="151"/>
      <c r="M86" s="208"/>
      <c r="N86" s="208"/>
      <c r="O86" s="208"/>
      <c r="P86" s="208"/>
      <c r="Q86" s="151"/>
      <c r="R86" s="208"/>
      <c r="S86" s="208"/>
      <c r="T86" s="208"/>
      <c r="U86" s="208"/>
      <c r="V86" s="151"/>
      <c r="W86" s="208"/>
      <c r="X86" s="208"/>
      <c r="Y86" s="208"/>
      <c r="Z86" s="208"/>
      <c r="AA86" s="208"/>
      <c r="AB86" s="151"/>
    </row>
    <row r="87" spans="1:28" s="629" customFormat="1" ht="21" customHeight="1">
      <c r="B87" s="151"/>
      <c r="C87" s="208"/>
      <c r="D87" s="208"/>
      <c r="E87" s="151"/>
      <c r="F87" s="151"/>
      <c r="G87" s="151"/>
      <c r="H87" s="208"/>
      <c r="I87" s="208"/>
      <c r="J87" s="208"/>
      <c r="K87" s="208"/>
      <c r="L87" s="151"/>
      <c r="M87" s="208"/>
      <c r="N87" s="208"/>
      <c r="O87" s="208"/>
      <c r="P87" s="208"/>
      <c r="Q87" s="151"/>
      <c r="R87" s="208"/>
      <c r="S87" s="208"/>
      <c r="T87" s="208"/>
      <c r="U87" s="208"/>
      <c r="V87" s="151"/>
      <c r="W87" s="208"/>
      <c r="X87" s="208"/>
      <c r="Y87" s="208"/>
      <c r="Z87" s="208"/>
      <c r="AA87" s="208"/>
      <c r="AB87" s="151"/>
    </row>
    <row r="88" spans="1:28" s="629" customFormat="1" ht="21" customHeight="1">
      <c r="B88" s="151"/>
      <c r="C88" s="208"/>
      <c r="D88" s="208"/>
      <c r="E88" s="151"/>
      <c r="F88" s="151"/>
      <c r="G88" s="151"/>
      <c r="H88" s="208"/>
      <c r="I88" s="208"/>
      <c r="J88" s="208"/>
      <c r="K88" s="208"/>
      <c r="L88" s="151"/>
      <c r="M88" s="208"/>
      <c r="N88" s="208"/>
      <c r="O88" s="208"/>
      <c r="P88" s="208"/>
      <c r="Q88" s="151"/>
      <c r="R88" s="208"/>
      <c r="S88" s="208"/>
      <c r="T88" s="208"/>
      <c r="U88" s="208"/>
      <c r="V88" s="151"/>
      <c r="W88" s="208"/>
      <c r="X88" s="208"/>
      <c r="Y88" s="208"/>
      <c r="Z88" s="208"/>
      <c r="AA88" s="208"/>
      <c r="AB88" s="151"/>
    </row>
    <row r="89" spans="1:28" s="629" customFormat="1" ht="21" customHeight="1">
      <c r="B89" s="151"/>
      <c r="C89" s="208"/>
      <c r="D89" s="208"/>
      <c r="E89" s="151"/>
      <c r="F89" s="151"/>
      <c r="G89" s="151"/>
      <c r="H89" s="208"/>
      <c r="I89" s="208"/>
      <c r="J89" s="208"/>
      <c r="K89" s="208"/>
      <c r="L89" s="151"/>
      <c r="M89" s="208"/>
      <c r="N89" s="208"/>
      <c r="O89" s="208"/>
      <c r="P89" s="208"/>
      <c r="Q89" s="151"/>
      <c r="R89" s="208"/>
      <c r="S89" s="208"/>
      <c r="T89" s="208"/>
      <c r="U89" s="208"/>
      <c r="V89" s="151"/>
      <c r="W89" s="208"/>
      <c r="X89" s="208"/>
      <c r="Y89" s="208"/>
      <c r="Z89" s="208"/>
      <c r="AA89" s="208"/>
      <c r="AB89" s="151"/>
    </row>
  </sheetData>
  <mergeCells count="26">
    <mergeCell ref="W5:AA5"/>
    <mergeCell ref="B5:B7"/>
    <mergeCell ref="C5:G5"/>
    <mergeCell ref="H5:L5"/>
    <mergeCell ref="M5:Q5"/>
    <mergeCell ref="R5:V5"/>
    <mergeCell ref="C21:G21"/>
    <mergeCell ref="H21:L21"/>
    <mergeCell ref="M21:Q21"/>
    <mergeCell ref="R21:V21"/>
    <mergeCell ref="W21:AA21"/>
    <mergeCell ref="C20:G20"/>
    <mergeCell ref="H20:L20"/>
    <mergeCell ref="M20:Q20"/>
    <mergeCell ref="R20:V20"/>
    <mergeCell ref="W20:AA20"/>
    <mergeCell ref="C23:G23"/>
    <mergeCell ref="H23:L23"/>
    <mergeCell ref="M23:Q23"/>
    <mergeCell ref="R23:V23"/>
    <mergeCell ref="W23:AA23"/>
    <mergeCell ref="C22:G22"/>
    <mergeCell ref="H22:L22"/>
    <mergeCell ref="M22:Q22"/>
    <mergeCell ref="R22:V22"/>
    <mergeCell ref="W22:AA22"/>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O61"/>
  <sheetViews>
    <sheetView showGridLines="0" zoomScale="80" zoomScaleNormal="80" workbookViewId="0">
      <selection activeCell="B28" sqref="B28"/>
    </sheetView>
  </sheetViews>
  <sheetFormatPr defaultColWidth="10.69921875" defaultRowHeight="18.75"/>
  <cols>
    <col min="1" max="1" width="4.3984375" style="204" customWidth="1"/>
    <col min="2" max="2" width="18.3984375" style="151" customWidth="1"/>
    <col min="3" max="3" width="10.3984375" style="151" customWidth="1"/>
    <col min="4" max="4" width="8.69921875" style="208" customWidth="1"/>
    <col min="5" max="5" width="8.796875" style="151" customWidth="1"/>
    <col min="6" max="6" width="8.69921875" style="208" customWidth="1"/>
    <col min="7" max="7" width="9" style="151" bestFit="1" customWidth="1"/>
    <col min="8" max="8" width="8.69921875" style="208" customWidth="1"/>
    <col min="9" max="9" width="9" style="208" bestFit="1" customWidth="1"/>
    <col min="10" max="10" width="8.69921875" style="208" customWidth="1"/>
    <col min="11" max="11" width="9" style="151" bestFit="1" customWidth="1"/>
    <col min="12" max="12" width="8.69921875" style="208" customWidth="1"/>
    <col min="13" max="13" width="9" style="208" bestFit="1" customWidth="1"/>
    <col min="14" max="16" width="9.3984375" style="151" customWidth="1"/>
    <col min="17" max="17" width="11.8984375" style="151" bestFit="1" customWidth="1"/>
    <col min="18" max="16384" width="10.69921875" style="151"/>
  </cols>
  <sheetData>
    <row r="1" spans="1:14" ht="5.0999999999999996" customHeight="1">
      <c r="A1" s="149"/>
      <c r="B1" s="2"/>
      <c r="C1" s="2"/>
      <c r="D1" s="150"/>
      <c r="E1" s="2"/>
      <c r="F1" s="150"/>
      <c r="G1" s="2"/>
      <c r="H1" s="150"/>
      <c r="I1" s="150"/>
      <c r="J1" s="150"/>
      <c r="K1" s="2"/>
      <c r="L1" s="150"/>
      <c r="M1" s="150"/>
      <c r="N1" s="2"/>
    </row>
    <row r="2" spans="1:14" ht="30.75">
      <c r="A2" s="149"/>
      <c r="B2" s="2"/>
      <c r="C2" s="2"/>
      <c r="D2" s="150"/>
      <c r="E2" s="2"/>
      <c r="F2" s="150"/>
      <c r="G2" s="2"/>
      <c r="H2" s="150"/>
      <c r="I2" s="150"/>
      <c r="J2" s="150"/>
      <c r="K2" s="2"/>
      <c r="L2" s="150"/>
      <c r="M2" s="150"/>
      <c r="N2" s="2"/>
    </row>
    <row r="3" spans="1:14" ht="30.75">
      <c r="A3" s="152"/>
      <c r="B3" s="153" t="s">
        <v>983</v>
      </c>
      <c r="C3" s="154"/>
      <c r="D3" s="155"/>
      <c r="E3" s="51"/>
      <c r="F3" s="155"/>
      <c r="G3" s="51"/>
      <c r="H3" s="155"/>
      <c r="I3" s="155"/>
      <c r="J3" s="155"/>
      <c r="K3" s="51"/>
      <c r="L3" s="155"/>
      <c r="M3" s="155"/>
      <c r="N3" s="51"/>
    </row>
    <row r="4" spans="1:14" ht="5.25" customHeight="1">
      <c r="A4" s="152"/>
      <c r="B4" s="51"/>
      <c r="C4" s="51"/>
      <c r="D4" s="156"/>
      <c r="E4" s="157"/>
      <c r="F4" s="156"/>
      <c r="G4" s="157"/>
      <c r="H4" s="156"/>
      <c r="I4" s="156"/>
      <c r="J4" s="156"/>
      <c r="K4" s="157"/>
      <c r="L4" s="156"/>
      <c r="M4" s="156"/>
      <c r="N4" s="51"/>
    </row>
    <row r="5" spans="1:14" s="160" customFormat="1" ht="33" customHeight="1">
      <c r="A5" s="158"/>
      <c r="B5" s="659"/>
      <c r="C5" s="671"/>
      <c r="D5" s="657" t="s">
        <v>984</v>
      </c>
      <c r="E5" s="660"/>
      <c r="F5" s="658" t="s">
        <v>988</v>
      </c>
      <c r="G5" s="658"/>
      <c r="H5" s="657" t="s">
        <v>985</v>
      </c>
      <c r="I5" s="660"/>
      <c r="J5" s="658" t="s">
        <v>986</v>
      </c>
      <c r="K5" s="658"/>
      <c r="L5" s="657" t="s">
        <v>987</v>
      </c>
      <c r="M5" s="658"/>
      <c r="N5" s="159"/>
    </row>
    <row r="6" spans="1:14" s="160" customFormat="1" ht="5.25" customHeight="1">
      <c r="A6" s="161"/>
      <c r="B6" s="659"/>
      <c r="C6" s="671"/>
      <c r="D6" s="162"/>
      <c r="E6" s="163"/>
      <c r="F6" s="164"/>
      <c r="G6" s="165"/>
      <c r="H6" s="162"/>
      <c r="I6" s="164"/>
      <c r="J6" s="164"/>
      <c r="K6" s="165"/>
      <c r="L6" s="162"/>
      <c r="M6" s="165"/>
    </row>
    <row r="7" spans="1:14" s="170" customFormat="1" ht="19.5" customHeight="1">
      <c r="A7" s="166"/>
      <c r="B7" s="659"/>
      <c r="C7" s="671"/>
      <c r="D7" s="663" t="s">
        <v>968</v>
      </c>
      <c r="E7" s="167" t="s">
        <v>969</v>
      </c>
      <c r="F7" s="663" t="s">
        <v>968</v>
      </c>
      <c r="G7" s="168"/>
      <c r="H7" s="663" t="s">
        <v>968</v>
      </c>
      <c r="I7" s="167" t="s">
        <v>969</v>
      </c>
      <c r="J7" s="663" t="s">
        <v>968</v>
      </c>
      <c r="K7" s="168"/>
      <c r="L7" s="663" t="s">
        <v>968</v>
      </c>
      <c r="M7" s="169"/>
    </row>
    <row r="8" spans="1:14" s="170" customFormat="1" ht="19.5" customHeight="1" thickBot="1">
      <c r="A8" s="166"/>
      <c r="B8" s="672"/>
      <c r="C8" s="673"/>
      <c r="D8" s="663"/>
      <c r="E8" s="171" t="str">
        <f>'[3]Asset Allocation Tático'!G8</f>
        <v>setembro</v>
      </c>
      <c r="F8" s="663"/>
      <c r="G8" s="171" t="str">
        <f>'[3]Asset Allocation Tático'!K8</f>
        <v>setembro</v>
      </c>
      <c r="H8" s="663"/>
      <c r="I8" s="172" t="str">
        <f>'[3]Asset Allocation Tático'!O8</f>
        <v>setembro</v>
      </c>
      <c r="J8" s="663"/>
      <c r="K8" s="171" t="str">
        <f>'[3]Asset Allocation Tático'!S8</f>
        <v>setembro</v>
      </c>
      <c r="L8" s="664"/>
      <c r="M8" s="173" t="str">
        <f>'[3]Asset Allocation Tático'!W8</f>
        <v>setembro</v>
      </c>
    </row>
    <row r="9" spans="1:14" s="176" customFormat="1" ht="20.25" customHeight="1" thickTop="1" thickBot="1">
      <c r="A9" s="174"/>
      <c r="B9" s="175" t="s">
        <v>19</v>
      </c>
      <c r="C9" s="175"/>
      <c r="D9" s="131">
        <f>'[3]Asset Allocation Tático'!D9</f>
        <v>1</v>
      </c>
      <c r="E9" s="146">
        <f>'[3]Asset Allocation Tático'!G9</f>
        <v>1</v>
      </c>
      <c r="F9" s="131">
        <f>'[3]Asset Allocation Tático'!H9</f>
        <v>0.85</v>
      </c>
      <c r="G9" s="146">
        <f>'[3]Asset Allocation Tático'!K9</f>
        <v>0.8600000000000001</v>
      </c>
      <c r="H9" s="131">
        <f>'[3]Asset Allocation Tático'!L9</f>
        <v>0.7</v>
      </c>
      <c r="I9" s="146">
        <f>'[3]Asset Allocation Tático'!O9</f>
        <v>0.71500000000000008</v>
      </c>
      <c r="J9" s="131">
        <f>'[3]Asset Allocation Tático'!P9</f>
        <v>0.5</v>
      </c>
      <c r="K9" s="146">
        <f>'[3]Asset Allocation Tático'!S9</f>
        <v>0.52</v>
      </c>
      <c r="L9" s="131">
        <f>'[3]Asset Allocation Tático'!T9</f>
        <v>0.3</v>
      </c>
      <c r="M9" s="146">
        <f>'[3]Asset Allocation Tático'!W9</f>
        <v>0.33500000000000002</v>
      </c>
    </row>
    <row r="10" spans="1:14" s="176" customFormat="1" ht="20.25" thickTop="1" thickBot="1">
      <c r="A10" s="177"/>
      <c r="B10" s="178" t="s">
        <v>963</v>
      </c>
      <c r="C10" s="179" t="s">
        <v>982</v>
      </c>
      <c r="D10" s="132">
        <f>'[3]Asset Allocation Tático'!D10</f>
        <v>0.85</v>
      </c>
      <c r="E10" s="147">
        <f>'[3]Asset Allocation Tático'!G10</f>
        <v>0.82</v>
      </c>
      <c r="F10" s="132">
        <f>'[3]Asset Allocation Tático'!H10</f>
        <v>0.7</v>
      </c>
      <c r="G10" s="147">
        <f>'[3]Asset Allocation Tático'!K10</f>
        <v>0.66</v>
      </c>
      <c r="H10" s="132">
        <f>'[3]Asset Allocation Tático'!L10</f>
        <v>0.6</v>
      </c>
      <c r="I10" s="147">
        <f>'[3]Asset Allocation Tático'!O10</f>
        <v>0.55500000000000005</v>
      </c>
      <c r="J10" s="132">
        <f>'[3]Asset Allocation Tático'!P10</f>
        <v>0.30000000000000004</v>
      </c>
      <c r="K10" s="147">
        <f>'[3]Asset Allocation Tático'!S10</f>
        <v>0.25</v>
      </c>
      <c r="L10" s="132">
        <f>'[3]Asset Allocation Tático'!T10</f>
        <v>0.15</v>
      </c>
      <c r="M10" s="147">
        <f>'[3]Asset Allocation Tático'!W10</f>
        <v>0.105</v>
      </c>
    </row>
    <row r="11" spans="1:14" s="176" customFormat="1" ht="20.25" thickTop="1" thickBot="1">
      <c r="A11" s="177"/>
      <c r="B11" s="178" t="s">
        <v>964</v>
      </c>
      <c r="C11" s="179" t="s">
        <v>254</v>
      </c>
      <c r="D11" s="132">
        <f>'[3]Asset Allocation Tático'!D11</f>
        <v>0.15</v>
      </c>
      <c r="E11" s="147">
        <f>'[3]Asset Allocation Tático'!G11</f>
        <v>0.15</v>
      </c>
      <c r="F11" s="132">
        <f>'[3]Asset Allocation Tático'!H11</f>
        <v>0.15</v>
      </c>
      <c r="G11" s="147">
        <f>'[3]Asset Allocation Tático'!K11</f>
        <v>0.15</v>
      </c>
      <c r="H11" s="132">
        <f>'[3]Asset Allocation Tático'!L11</f>
        <v>0.1</v>
      </c>
      <c r="I11" s="147">
        <f>'[3]Asset Allocation Tático'!O11</f>
        <v>0.1</v>
      </c>
      <c r="J11" s="132">
        <f>'[3]Asset Allocation Tático'!P11</f>
        <v>0.2</v>
      </c>
      <c r="K11" s="147">
        <f>'[3]Asset Allocation Tático'!S11</f>
        <v>0.2</v>
      </c>
      <c r="L11" s="132">
        <f>'[3]Asset Allocation Tático'!T11</f>
        <v>0.15</v>
      </c>
      <c r="M11" s="147">
        <f>'[3]Asset Allocation Tático'!W11</f>
        <v>0.15</v>
      </c>
    </row>
    <row r="12" spans="1:14" s="160" customFormat="1" ht="20.25" customHeight="1" thickTop="1" thickBot="1">
      <c r="A12" s="180"/>
      <c r="B12" s="242" t="s">
        <v>1891</v>
      </c>
      <c r="C12" s="182" t="s">
        <v>981</v>
      </c>
      <c r="D12" s="133">
        <f>'[3]Asset Allocation Tático'!D12</f>
        <v>0</v>
      </c>
      <c r="E12" s="148">
        <f>'[3]Asset Allocation Tático'!G12</f>
        <v>0</v>
      </c>
      <c r="F12" s="133">
        <f>'[3]Asset Allocation Tático'!H12</f>
        <v>0</v>
      </c>
      <c r="G12" s="148">
        <f>'[3]Asset Allocation Tático'!K12</f>
        <v>0</v>
      </c>
      <c r="H12" s="133">
        <f>'[3]Asset Allocation Tático'!L12</f>
        <v>0</v>
      </c>
      <c r="I12" s="148">
        <f>'[3]Asset Allocation Tático'!O12</f>
        <v>0</v>
      </c>
      <c r="J12" s="133">
        <f>'[3]Asset Allocation Tático'!P12</f>
        <v>0</v>
      </c>
      <c r="K12" s="148">
        <f>'[3]Asset Allocation Tático'!S12</f>
        <v>0</v>
      </c>
      <c r="L12" s="133">
        <f>'[3]Asset Allocation Tático'!T12</f>
        <v>0</v>
      </c>
      <c r="M12" s="148">
        <f>'[3]Asset Allocation Tático'!W12</f>
        <v>0</v>
      </c>
    </row>
    <row r="13" spans="1:14" s="160" customFormat="1" ht="20.25" customHeight="1" thickBot="1">
      <c r="A13" s="180"/>
      <c r="B13" s="243" t="s">
        <v>1898</v>
      </c>
      <c r="C13" s="184" t="s">
        <v>254</v>
      </c>
      <c r="D13" s="134">
        <f>'[3]Asset Allocation Tático'!D13</f>
        <v>0</v>
      </c>
      <c r="E13" s="148">
        <f>'[3]Asset Allocation Tático'!G13</f>
        <v>0.11</v>
      </c>
      <c r="F13" s="134">
        <f>'[3]Asset Allocation Tático'!H13</f>
        <v>0</v>
      </c>
      <c r="G13" s="148">
        <f>'[3]Asset Allocation Tático'!K13</f>
        <v>0.11</v>
      </c>
      <c r="H13" s="134">
        <f>'[3]Asset Allocation Tático'!L13</f>
        <v>0</v>
      </c>
      <c r="I13" s="148">
        <f>'[3]Asset Allocation Tático'!O13</f>
        <v>7.4999999999999997E-2</v>
      </c>
      <c r="J13" s="134">
        <f>'[3]Asset Allocation Tático'!P13</f>
        <v>0</v>
      </c>
      <c r="K13" s="148">
        <f>'[3]Asset Allocation Tático'!S13</f>
        <v>0.15</v>
      </c>
      <c r="L13" s="134">
        <f>'[3]Asset Allocation Tático'!T13</f>
        <v>0</v>
      </c>
      <c r="M13" s="148">
        <f>'[3]Asset Allocation Tático'!W13</f>
        <v>0.11</v>
      </c>
    </row>
    <row r="14" spans="1:14" s="160" customFormat="1" ht="20.25" customHeight="1" thickBot="1">
      <c r="A14" s="180"/>
      <c r="B14" s="244" t="s">
        <v>1888</v>
      </c>
      <c r="C14" s="186" t="s">
        <v>980</v>
      </c>
      <c r="D14" s="135">
        <f>'[3]Asset Allocation Tático'!D14</f>
        <v>0</v>
      </c>
      <c r="E14" s="148">
        <f>'[3]Asset Allocation Tático'!G14</f>
        <v>0.04</v>
      </c>
      <c r="F14" s="135">
        <f>'[3]Asset Allocation Tático'!H14</f>
        <v>0</v>
      </c>
      <c r="G14" s="148">
        <f>'[3]Asset Allocation Tático'!K14</f>
        <v>0.04</v>
      </c>
      <c r="H14" s="135">
        <f>'[3]Asset Allocation Tático'!L14</f>
        <v>0</v>
      </c>
      <c r="I14" s="148">
        <f>'[3]Asset Allocation Tático'!O14</f>
        <v>2.5000000000000001E-2</v>
      </c>
      <c r="J14" s="135">
        <f>'[3]Asset Allocation Tático'!P14</f>
        <v>0</v>
      </c>
      <c r="K14" s="148">
        <f>'[3]Asset Allocation Tático'!S14</f>
        <v>0.05</v>
      </c>
      <c r="L14" s="135">
        <f>'[3]Asset Allocation Tático'!T14</f>
        <v>0</v>
      </c>
      <c r="M14" s="148">
        <f>'[3]Asset Allocation Tático'!W14</f>
        <v>0.04</v>
      </c>
    </row>
    <row r="15" spans="1:14" s="176" customFormat="1" ht="20.25" thickTop="1" thickBot="1">
      <c r="A15" s="177"/>
      <c r="B15" s="245" t="s">
        <v>1009</v>
      </c>
      <c r="C15" s="179" t="s">
        <v>978</v>
      </c>
      <c r="D15" s="132">
        <f>'[3]Asset Allocation Tático'!D15</f>
        <v>0</v>
      </c>
      <c r="E15" s="147">
        <f>'[3]Asset Allocation Tático'!G15</f>
        <v>0.03</v>
      </c>
      <c r="F15" s="132">
        <f>'[3]Asset Allocation Tático'!H15</f>
        <v>0</v>
      </c>
      <c r="G15" s="147">
        <f>'[3]Asset Allocation Tático'!K15</f>
        <v>0.05</v>
      </c>
      <c r="H15" s="132">
        <f>'[3]Asset Allocation Tático'!L15</f>
        <v>0</v>
      </c>
      <c r="I15" s="147">
        <f>'[3]Asset Allocation Tático'!O15</f>
        <v>0.06</v>
      </c>
      <c r="J15" s="132">
        <f>'[3]Asset Allocation Tático'!P15</f>
        <v>0</v>
      </c>
      <c r="K15" s="147">
        <f>'[3]Asset Allocation Tático'!S15</f>
        <v>7.0000000000000007E-2</v>
      </c>
      <c r="L15" s="132">
        <f>'[3]Asset Allocation Tático'!T15</f>
        <v>0</v>
      </c>
      <c r="M15" s="147">
        <f>'[3]Asset Allocation Tático'!W15</f>
        <v>0.08</v>
      </c>
    </row>
    <row r="16" spans="1:14" s="160" customFormat="1" ht="20.25" customHeight="1" thickTop="1" thickBot="1">
      <c r="A16" s="180"/>
      <c r="B16" s="242" t="s">
        <v>1892</v>
      </c>
      <c r="C16" s="182" t="s">
        <v>979</v>
      </c>
      <c r="D16" s="133">
        <f>'[3]Asset Allocation Tático'!D16</f>
        <v>0</v>
      </c>
      <c r="E16" s="148">
        <f>'[3]Asset Allocation Tático'!G16</f>
        <v>0.02</v>
      </c>
      <c r="F16" s="133">
        <f>'[3]Asset Allocation Tático'!H16</f>
        <v>0</v>
      </c>
      <c r="G16" s="148">
        <f>'[3]Asset Allocation Tático'!K16</f>
        <v>3.5000000000000003E-2</v>
      </c>
      <c r="H16" s="133">
        <f>'[3]Asset Allocation Tático'!L16</f>
        <v>0</v>
      </c>
      <c r="I16" s="148">
        <f>'[3]Asset Allocation Tático'!O16</f>
        <v>0.04</v>
      </c>
      <c r="J16" s="133">
        <f>'[3]Asset Allocation Tático'!P16</f>
        <v>0</v>
      </c>
      <c r="K16" s="148">
        <f>'[3]Asset Allocation Tático'!S16</f>
        <v>4.4999999999999998E-2</v>
      </c>
      <c r="L16" s="133">
        <f>'[3]Asset Allocation Tático'!T16</f>
        <v>0</v>
      </c>
      <c r="M16" s="148">
        <f>'[3]Asset Allocation Tático'!W16</f>
        <v>0.05</v>
      </c>
    </row>
    <row r="17" spans="1:15" s="160" customFormat="1" ht="20.25" customHeight="1" thickBot="1">
      <c r="A17" s="180"/>
      <c r="B17" s="243" t="s">
        <v>1899</v>
      </c>
      <c r="C17" s="184" t="s">
        <v>978</v>
      </c>
      <c r="D17" s="134">
        <f>'[3]Asset Allocation Tático'!D17</f>
        <v>0</v>
      </c>
      <c r="E17" s="148">
        <f>'[3]Asset Allocation Tático'!G17</f>
        <v>0.01</v>
      </c>
      <c r="F17" s="134">
        <f>'[3]Asset Allocation Tático'!H17</f>
        <v>0</v>
      </c>
      <c r="G17" s="148">
        <f>'[3]Asset Allocation Tático'!K17</f>
        <v>1.4999999999999999E-2</v>
      </c>
      <c r="H17" s="134">
        <f>'[3]Asset Allocation Tático'!L17</f>
        <v>0</v>
      </c>
      <c r="I17" s="148">
        <f>'[3]Asset Allocation Tático'!O17</f>
        <v>0.02</v>
      </c>
      <c r="J17" s="134">
        <f>'[3]Asset Allocation Tático'!P17</f>
        <v>0</v>
      </c>
      <c r="K17" s="148">
        <f>'[3]Asset Allocation Tático'!S17</f>
        <v>2.5000000000000001E-2</v>
      </c>
      <c r="L17" s="134">
        <f>'[3]Asset Allocation Tático'!T17</f>
        <v>0</v>
      </c>
      <c r="M17" s="148">
        <f>'[3]Asset Allocation Tático'!W17</f>
        <v>0.03</v>
      </c>
    </row>
    <row r="18" spans="1:15" s="160" customFormat="1" ht="20.25" customHeight="1" thickBot="1">
      <c r="A18" s="180"/>
      <c r="B18" s="244" t="s">
        <v>1889</v>
      </c>
      <c r="C18" s="186" t="s">
        <v>977</v>
      </c>
      <c r="D18" s="135">
        <f>'[3]Asset Allocation Tático'!D18</f>
        <v>0</v>
      </c>
      <c r="E18" s="148">
        <f>'[3]Asset Allocation Tático'!G18</f>
        <v>0</v>
      </c>
      <c r="F18" s="135">
        <f>'[3]Asset Allocation Tático'!H18</f>
        <v>0</v>
      </c>
      <c r="G18" s="148">
        <f>'[3]Asset Allocation Tático'!K18</f>
        <v>0</v>
      </c>
      <c r="H18" s="135">
        <f>'[3]Asset Allocation Tático'!L18</f>
        <v>0</v>
      </c>
      <c r="I18" s="148">
        <f>'[3]Asset Allocation Tático'!O18</f>
        <v>0</v>
      </c>
      <c r="J18" s="135">
        <f>'[3]Asset Allocation Tático'!P18</f>
        <v>0</v>
      </c>
      <c r="K18" s="148">
        <f>'[3]Asset Allocation Tático'!S18</f>
        <v>0</v>
      </c>
      <c r="L18" s="135">
        <f>'[3]Asset Allocation Tático'!T18</f>
        <v>0</v>
      </c>
      <c r="M18" s="148">
        <f>'[3]Asset Allocation Tático'!W18</f>
        <v>0</v>
      </c>
    </row>
    <row r="19" spans="1:15" s="176" customFormat="1" ht="20.25" thickTop="1" thickBot="1">
      <c r="A19" s="174"/>
      <c r="B19" s="175" t="s">
        <v>25</v>
      </c>
      <c r="C19" s="187" t="s">
        <v>975</v>
      </c>
      <c r="D19" s="131">
        <f>'[3]Asset Allocation Tático'!D19</f>
        <v>0</v>
      </c>
      <c r="E19" s="146">
        <f>'[3]Asset Allocation Tático'!G19</f>
        <v>0</v>
      </c>
      <c r="F19" s="131">
        <f>'[3]Asset Allocation Tático'!H19</f>
        <v>0.1</v>
      </c>
      <c r="G19" s="146">
        <f>'[3]Asset Allocation Tático'!K19</f>
        <v>0.1</v>
      </c>
      <c r="H19" s="131">
        <f>'[3]Asset Allocation Tático'!L19</f>
        <v>0.2</v>
      </c>
      <c r="I19" s="146">
        <f>'[3]Asset Allocation Tático'!O19</f>
        <v>0.2</v>
      </c>
      <c r="J19" s="131">
        <f>'[3]Asset Allocation Tático'!P19</f>
        <v>0.3</v>
      </c>
      <c r="K19" s="146">
        <f>'[3]Asset Allocation Tático'!S19</f>
        <v>0.3</v>
      </c>
      <c r="L19" s="131">
        <f>'[3]Asset Allocation Tático'!T19</f>
        <v>0.35</v>
      </c>
      <c r="M19" s="146">
        <f>'[3]Asset Allocation Tático'!W19</f>
        <v>0.35</v>
      </c>
    </row>
    <row r="20" spans="1:15" s="176" customFormat="1" ht="20.25" thickTop="1" thickBot="1">
      <c r="A20" s="174"/>
      <c r="B20" s="175" t="s">
        <v>28</v>
      </c>
      <c r="C20" s="187"/>
      <c r="D20" s="131">
        <f>'[3]Asset Allocation Tático'!D20</f>
        <v>0</v>
      </c>
      <c r="E20" s="146">
        <f>'[3]Asset Allocation Tático'!G20</f>
        <v>0</v>
      </c>
      <c r="F20" s="131">
        <f>'[3]Asset Allocation Tático'!H20</f>
        <v>0.05</v>
      </c>
      <c r="G20" s="146">
        <f>'[3]Asset Allocation Tático'!K20</f>
        <v>0.04</v>
      </c>
      <c r="H20" s="131">
        <f>'[3]Asset Allocation Tático'!L20</f>
        <v>0.1</v>
      </c>
      <c r="I20" s="146">
        <f>'[3]Asset Allocation Tático'!O20</f>
        <v>8.5000000000000006E-2</v>
      </c>
      <c r="J20" s="131">
        <f>'[3]Asset Allocation Tático'!P20</f>
        <v>0.2</v>
      </c>
      <c r="K20" s="146">
        <f>'[3]Asset Allocation Tático'!S20</f>
        <v>0.18</v>
      </c>
      <c r="L20" s="131">
        <f>'[3]Asset Allocation Tático'!T20</f>
        <v>0.35</v>
      </c>
      <c r="M20" s="146">
        <f>'[3]Asset Allocation Tático'!W20</f>
        <v>0.315</v>
      </c>
    </row>
    <row r="21" spans="1:15" s="176" customFormat="1" ht="20.25" thickTop="1" thickBot="1">
      <c r="A21" s="177"/>
      <c r="B21" s="178" t="s">
        <v>951</v>
      </c>
      <c r="C21" s="179" t="s">
        <v>103</v>
      </c>
      <c r="D21" s="132">
        <f>'[3]Asset Allocation Tático'!D21</f>
        <v>0</v>
      </c>
      <c r="E21" s="147">
        <f>'[3]Asset Allocation Tático'!G21</f>
        <v>0</v>
      </c>
      <c r="F21" s="132">
        <f>'[3]Asset Allocation Tático'!H21</f>
        <v>3.5000000000000003E-2</v>
      </c>
      <c r="G21" s="147">
        <f>'[3]Asset Allocation Tático'!K21</f>
        <v>3.5000000000000003E-2</v>
      </c>
      <c r="H21" s="132">
        <f>'[3]Asset Allocation Tático'!L21</f>
        <v>7.0000000000000007E-2</v>
      </c>
      <c r="I21" s="147">
        <f>'[3]Asset Allocation Tático'!O21</f>
        <v>7.0000000000000007E-2</v>
      </c>
      <c r="J21" s="132">
        <f>'[3]Asset Allocation Tático'!P21</f>
        <v>0.16</v>
      </c>
      <c r="K21" s="147">
        <f>'[3]Asset Allocation Tático'!S21</f>
        <v>0.16</v>
      </c>
      <c r="L21" s="132">
        <f>'[3]Asset Allocation Tático'!T21</f>
        <v>0.27</v>
      </c>
      <c r="M21" s="147">
        <f>'[3]Asset Allocation Tático'!W21</f>
        <v>0.27</v>
      </c>
    </row>
    <row r="22" spans="1:15" s="176" customFormat="1" ht="20.25" thickTop="1" thickBot="1">
      <c r="A22" s="177"/>
      <c r="B22" s="178" t="s">
        <v>973</v>
      </c>
      <c r="C22" s="179" t="s">
        <v>976</v>
      </c>
      <c r="D22" s="132">
        <f>'[3]Asset Allocation Tático'!D22</f>
        <v>0</v>
      </c>
      <c r="E22" s="147">
        <f>'[3]Asset Allocation Tático'!G22</f>
        <v>0</v>
      </c>
      <c r="F22" s="132">
        <f>'[3]Asset Allocation Tático'!H22</f>
        <v>1.4999999999999999E-2</v>
      </c>
      <c r="G22" s="147">
        <f>'[3]Asset Allocation Tático'!K22</f>
        <v>5.0000000000000001E-3</v>
      </c>
      <c r="H22" s="132">
        <f>'[3]Asset Allocation Tático'!L22</f>
        <v>0.03</v>
      </c>
      <c r="I22" s="147">
        <f>'[3]Asset Allocation Tático'!O22</f>
        <v>1.4999999999999999E-2</v>
      </c>
      <c r="J22" s="132">
        <f>'[3]Asset Allocation Tático'!P22</f>
        <v>0.04</v>
      </c>
      <c r="K22" s="147">
        <f>'[3]Asset Allocation Tático'!S22</f>
        <v>0.02</v>
      </c>
      <c r="L22" s="132">
        <f>'[3]Asset Allocation Tático'!T22</f>
        <v>0.08</v>
      </c>
      <c r="M22" s="147">
        <f>'[3]Asset Allocation Tático'!W22</f>
        <v>4.4999999999999998E-2</v>
      </c>
    </row>
    <row r="23" spans="1:15" s="160" customFormat="1" ht="20.25" customHeight="1" thickTop="1" thickBot="1">
      <c r="A23" s="180"/>
      <c r="B23" s="181" t="s">
        <v>952</v>
      </c>
      <c r="C23" s="182"/>
      <c r="D23" s="133"/>
      <c r="E23" s="148">
        <f>'[3]Asset Allocation Tático'!G23</f>
        <v>0</v>
      </c>
      <c r="F23" s="133"/>
      <c r="G23" s="148">
        <f>'[3]Asset Allocation Tático'!K23</f>
        <v>5.0000000000000001E-3</v>
      </c>
      <c r="H23" s="133"/>
      <c r="I23" s="148">
        <f>'[3]Asset Allocation Tático'!O23</f>
        <v>1.4999999999999999E-2</v>
      </c>
      <c r="J23" s="133"/>
      <c r="K23" s="148">
        <f>'[3]Asset Allocation Tático'!S23</f>
        <v>0.02</v>
      </c>
      <c r="L23" s="133"/>
      <c r="M23" s="148">
        <f>'[3]Asset Allocation Tático'!W23</f>
        <v>4.4999999999999998E-2</v>
      </c>
    </row>
    <row r="24" spans="1:15" s="160" customFormat="1" ht="20.25" customHeight="1" thickBot="1">
      <c r="A24" s="180"/>
      <c r="B24" s="183" t="s">
        <v>955</v>
      </c>
      <c r="C24" s="184"/>
      <c r="D24" s="134"/>
      <c r="E24" s="148">
        <f>'[3]Asset Allocation Tático'!G24</f>
        <v>0</v>
      </c>
      <c r="F24" s="134"/>
      <c r="G24" s="148">
        <f>'[3]Asset Allocation Tático'!K24</f>
        <v>0</v>
      </c>
      <c r="H24" s="134"/>
      <c r="I24" s="148">
        <f>'[3]Asset Allocation Tático'!O24</f>
        <v>0</v>
      </c>
      <c r="J24" s="134"/>
      <c r="K24" s="148">
        <f>'[3]Asset Allocation Tático'!S24</f>
        <v>0</v>
      </c>
      <c r="L24" s="134"/>
      <c r="M24" s="148">
        <f>'[3]Asset Allocation Tático'!W24</f>
        <v>0</v>
      </c>
    </row>
    <row r="25" spans="1:15" s="160" customFormat="1" ht="20.25" customHeight="1" thickBot="1">
      <c r="A25" s="180"/>
      <c r="B25" s="185" t="s">
        <v>956</v>
      </c>
      <c r="C25" s="186"/>
      <c r="D25" s="135"/>
      <c r="E25" s="148">
        <f>'[3]Asset Allocation Tático'!G25</f>
        <v>0</v>
      </c>
      <c r="F25" s="135"/>
      <c r="G25" s="148">
        <f>'[3]Asset Allocation Tático'!K25</f>
        <v>0</v>
      </c>
      <c r="H25" s="135"/>
      <c r="I25" s="148">
        <f>'[3]Asset Allocation Tático'!O25</f>
        <v>0</v>
      </c>
      <c r="J25" s="135"/>
      <c r="K25" s="148">
        <f>'[3]Asset Allocation Tático'!S25</f>
        <v>0</v>
      </c>
      <c r="L25" s="135"/>
      <c r="M25" s="148">
        <f>'[3]Asset Allocation Tático'!W25</f>
        <v>0</v>
      </c>
    </row>
    <row r="26" spans="1:15" s="160" customFormat="1" ht="20.25" customHeight="1" thickBot="1">
      <c r="A26" s="180"/>
      <c r="B26" s="185" t="s">
        <v>954</v>
      </c>
      <c r="C26" s="186"/>
      <c r="D26" s="136"/>
      <c r="E26" s="148">
        <f>'[3]Asset Allocation Tático'!G26</f>
        <v>0</v>
      </c>
      <c r="F26" s="135"/>
      <c r="G26" s="148">
        <f>'[3]Asset Allocation Tático'!K26</f>
        <v>0</v>
      </c>
      <c r="H26" s="135"/>
      <c r="I26" s="148">
        <f>'[3]Asset Allocation Tático'!O26</f>
        <v>0</v>
      </c>
      <c r="J26" s="135"/>
      <c r="K26" s="148">
        <f>'[3]Asset Allocation Tático'!S26</f>
        <v>0</v>
      </c>
      <c r="L26" s="135"/>
      <c r="M26" s="148">
        <f>'[3]Asset Allocation Tático'!W26</f>
        <v>0</v>
      </c>
    </row>
    <row r="27" spans="1:15" s="160" customFormat="1" ht="20.25" customHeight="1" thickTop="1" thickBot="1">
      <c r="A27" s="180"/>
      <c r="B27" s="185" t="s">
        <v>1046</v>
      </c>
      <c r="C27" s="186"/>
      <c r="D27" s="136"/>
      <c r="E27" s="148">
        <f>'[3]Asset Allocation Tático'!G27</f>
        <v>0</v>
      </c>
      <c r="F27" s="135"/>
      <c r="G27" s="148">
        <f>'[3]Asset Allocation Tático'!K27</f>
        <v>0</v>
      </c>
      <c r="H27" s="135"/>
      <c r="I27" s="148">
        <f>'[3]Asset Allocation Tático'!O27</f>
        <v>0</v>
      </c>
      <c r="J27" s="135"/>
      <c r="K27" s="148">
        <f>'[3]Asset Allocation Tático'!S27</f>
        <v>0</v>
      </c>
      <c r="L27" s="135"/>
      <c r="M27" s="148">
        <f>'[3]Asset Allocation Tático'!W27</f>
        <v>0</v>
      </c>
    </row>
    <row r="28" spans="1:15" s="176" customFormat="1" ht="20.25" customHeight="1" thickTop="1" thickBot="1">
      <c r="A28" s="177"/>
      <c r="D28" s="141"/>
      <c r="E28" s="141"/>
      <c r="F28" s="141"/>
      <c r="G28" s="141"/>
      <c r="H28" s="141"/>
      <c r="I28" s="141"/>
      <c r="J28" s="141"/>
      <c r="K28" s="141"/>
      <c r="L28" s="141"/>
      <c r="M28" s="141"/>
      <c r="O28" s="170"/>
    </row>
    <row r="29" spans="1:15" s="176" customFormat="1" ht="20.25" thickTop="1" thickBot="1">
      <c r="A29" s="177"/>
      <c r="B29" s="188" t="s">
        <v>738</v>
      </c>
      <c r="C29" s="188"/>
      <c r="D29" s="138"/>
      <c r="E29" s="137">
        <f>'[3]Asset Allocation Tático'!G29</f>
        <v>0</v>
      </c>
      <c r="F29" s="138"/>
      <c r="G29" s="137">
        <f>'[3]Asset Allocation Tático'!K29</f>
        <v>5.2499999999999995E-3</v>
      </c>
      <c r="H29" s="138"/>
      <c r="I29" s="137">
        <f>'[3]Asset Allocation Tático'!O29</f>
        <v>1.0499999999999999E-2</v>
      </c>
      <c r="J29" s="138"/>
      <c r="K29" s="137">
        <f>'[3]Asset Allocation Tático'!S29</f>
        <v>2.3999999999999994E-2</v>
      </c>
      <c r="L29" s="138"/>
      <c r="M29" s="137">
        <f>'[3]Asset Allocation Tático'!W29</f>
        <v>4.0499999999999994E-2</v>
      </c>
    </row>
    <row r="30" spans="1:15" s="160" customFormat="1" ht="9" customHeight="1" thickTop="1">
      <c r="A30" s="161"/>
      <c r="B30" s="189"/>
      <c r="C30" s="189"/>
      <c r="D30" s="190"/>
      <c r="E30" s="191"/>
      <c r="F30" s="192"/>
      <c r="G30" s="193"/>
      <c r="H30" s="194"/>
      <c r="I30" s="176"/>
      <c r="J30" s="176"/>
      <c r="K30" s="193"/>
      <c r="L30" s="194"/>
      <c r="M30" s="195"/>
    </row>
    <row r="31" spans="1:15" s="170" customFormat="1">
      <c r="A31" s="196"/>
      <c r="B31" s="197"/>
      <c r="C31" s="197"/>
      <c r="D31" s="139" t="str">
        <f t="shared" ref="D31:M31" si="0">IF(D9+D19+D20&lt;&gt;1,TEXT(D9+D19+D20, "##.#%"),"")</f>
        <v/>
      </c>
      <c r="E31" s="140" t="str">
        <f t="shared" si="0"/>
        <v/>
      </c>
      <c r="F31" s="140" t="str">
        <f t="shared" si="0"/>
        <v/>
      </c>
      <c r="G31" s="140" t="str">
        <f t="shared" si="0"/>
        <v/>
      </c>
      <c r="H31" s="139" t="str">
        <f t="shared" si="0"/>
        <v/>
      </c>
      <c r="I31" s="140" t="str">
        <f t="shared" si="0"/>
        <v/>
      </c>
      <c r="J31" s="140" t="str">
        <f t="shared" si="0"/>
        <v/>
      </c>
      <c r="K31" s="140" t="str">
        <f t="shared" si="0"/>
        <v/>
      </c>
      <c r="L31" s="139" t="str">
        <f t="shared" si="0"/>
        <v/>
      </c>
      <c r="M31" s="140" t="str">
        <f t="shared" si="0"/>
        <v/>
      </c>
    </row>
    <row r="32" spans="1:15" s="160" customFormat="1" ht="19.5" thickBot="1">
      <c r="A32" s="161"/>
      <c r="B32" s="198" t="s">
        <v>965</v>
      </c>
      <c r="C32" s="199"/>
      <c r="D32" s="661">
        <f>'[3]Asset Allocation Tático'!D32</f>
        <v>1.03E-2</v>
      </c>
      <c r="E32" s="662">
        <f>'[3]Asset Allocation Tático'!E32</f>
        <v>0</v>
      </c>
      <c r="F32" s="661">
        <f>'[3]Asset Allocation Tático'!H32</f>
        <v>2.549673119887582E-2</v>
      </c>
      <c r="G32" s="662">
        <f>'[3]Asset Allocation Tático'!I32</f>
        <v>0</v>
      </c>
      <c r="H32" s="661">
        <f>'[3]Asset Allocation Tático'!L32</f>
        <v>3.8511103553590463E-2</v>
      </c>
      <c r="I32" s="674">
        <f>'[3]Asset Allocation Tático'!M32</f>
        <v>0</v>
      </c>
      <c r="J32" s="661">
        <f>'[3]Asset Allocation Tático'!P32</f>
        <v>7.1044569470618588E-2</v>
      </c>
      <c r="K32" s="662">
        <f>'[3]Asset Allocation Tático'!Q32</f>
        <v>0</v>
      </c>
      <c r="L32" s="661">
        <f>'[3]Asset Allocation Tático'!T32</f>
        <v>0.1007472074047638</v>
      </c>
      <c r="M32" s="662">
        <f>'[3]Asset Allocation Tático'!U32</f>
        <v>0</v>
      </c>
    </row>
    <row r="33" spans="1:13" s="160" customFormat="1" ht="20.25" thickTop="1" thickBot="1">
      <c r="A33" s="161"/>
      <c r="B33" s="200" t="s">
        <v>970</v>
      </c>
      <c r="C33" s="201"/>
      <c r="D33" s="665">
        <f>'[3]Asset Allocation Tático'!D33</f>
        <v>-1.1299999999999999E-2</v>
      </c>
      <c r="E33" s="666">
        <f>'[3]Asset Allocation Tático'!E33</f>
        <v>0</v>
      </c>
      <c r="F33" s="665">
        <f>'[3]Asset Allocation Tático'!H33</f>
        <v>-2.487761818750004E-2</v>
      </c>
      <c r="G33" s="666">
        <f>'[3]Asset Allocation Tático'!I33</f>
        <v>0</v>
      </c>
      <c r="H33" s="665">
        <f>'[3]Asset Allocation Tático'!L33</f>
        <v>-3.4410577412473803E-2</v>
      </c>
      <c r="I33" s="670">
        <f>'[3]Asset Allocation Tático'!M33</f>
        <v>0</v>
      </c>
      <c r="J33" s="665">
        <f>'[3]Asset Allocation Tático'!P33</f>
        <v>-6.1567684871044873E-2</v>
      </c>
      <c r="K33" s="666">
        <f>'[3]Asset Allocation Tático'!Q33</f>
        <v>0</v>
      </c>
      <c r="L33" s="665">
        <f>'[3]Asset Allocation Tático'!T33</f>
        <v>-8.4679197825304156E-2</v>
      </c>
      <c r="M33" s="666">
        <f>'[3]Asset Allocation Tático'!U33</f>
        <v>0</v>
      </c>
    </row>
    <row r="34" spans="1:13" s="160" customFormat="1" ht="20.25" thickTop="1" thickBot="1">
      <c r="A34" s="161"/>
      <c r="B34" s="200" t="s">
        <v>972</v>
      </c>
      <c r="C34" s="201"/>
      <c r="D34" s="665">
        <f>'[3]Asset Allocation Tático'!D34</f>
        <v>-2.5999999999999999E-3</v>
      </c>
      <c r="E34" s="666">
        <f>'[3]Asset Allocation Tático'!E34</f>
        <v>0</v>
      </c>
      <c r="F34" s="665">
        <f>'[3]Asset Allocation Tático'!H34</f>
        <v>-1.4715015366541949E-2</v>
      </c>
      <c r="G34" s="666">
        <f>'[3]Asset Allocation Tático'!I34</f>
        <v>0</v>
      </c>
      <c r="H34" s="665">
        <f>'[3]Asset Allocation Tático'!L34</f>
        <v>-2.5087452667099872E-2</v>
      </c>
      <c r="I34" s="670">
        <f>'[3]Asset Allocation Tático'!M34</f>
        <v>0</v>
      </c>
      <c r="J34" s="665">
        <f>'[3]Asset Allocation Tático'!P34</f>
        <v>-5.0338995825054043E-2</v>
      </c>
      <c r="K34" s="666">
        <f>'[3]Asset Allocation Tático'!Q34</f>
        <v>0</v>
      </c>
      <c r="L34" s="665">
        <f>'[3]Asset Allocation Tático'!T34</f>
        <v>-7.3337204704589043E-2</v>
      </c>
      <c r="M34" s="666">
        <f>'[3]Asset Allocation Tático'!U34</f>
        <v>0</v>
      </c>
    </row>
    <row r="35" spans="1:13" s="160" customFormat="1" ht="19.5" thickTop="1">
      <c r="A35" s="161"/>
      <c r="B35" s="202" t="s">
        <v>971</v>
      </c>
      <c r="C35" s="203"/>
      <c r="D35" s="667">
        <f>'[3]Asset Allocation Tático'!D35</f>
        <v>-1.8100000000000002E-2</v>
      </c>
      <c r="E35" s="668">
        <f>'[3]Asset Allocation Tático'!E35</f>
        <v>0</v>
      </c>
      <c r="F35" s="667">
        <f>'[3]Asset Allocation Tático'!H35</f>
        <v>-6.1782246091973893E-2</v>
      </c>
      <c r="G35" s="668">
        <f>'[3]Asset Allocation Tático'!I35</f>
        <v>0</v>
      </c>
      <c r="H35" s="667">
        <f>'[3]Asset Allocation Tático'!L35</f>
        <v>-9.9174515012422068E-2</v>
      </c>
      <c r="I35" s="669">
        <f>'[3]Asset Allocation Tático'!M35</f>
        <v>0</v>
      </c>
      <c r="J35" s="667">
        <f>'[3]Asset Allocation Tático'!P35</f>
        <v>-0.18781977821096529</v>
      </c>
      <c r="K35" s="668">
        <f>'[3]Asset Allocation Tático'!Q35</f>
        <v>0</v>
      </c>
      <c r="L35" s="667">
        <f>'[3]Asset Allocation Tático'!T35</f>
        <v>-0.26953467873068521</v>
      </c>
      <c r="M35" s="668">
        <f>'[3]Asset Allocation Tático'!U35</f>
        <v>0</v>
      </c>
    </row>
    <row r="36" spans="1:13" ht="21" customHeight="1">
      <c r="C36" s="205"/>
      <c r="D36" s="206"/>
      <c r="E36" s="207"/>
      <c r="F36" s="151"/>
      <c r="H36" s="151"/>
      <c r="I36" s="151"/>
      <c r="J36" s="151"/>
      <c r="L36" s="151"/>
    </row>
    <row r="37" spans="1:13" ht="21" customHeight="1">
      <c r="C37" s="205"/>
      <c r="D37" s="209"/>
      <c r="E37" s="170"/>
      <c r="F37" s="151"/>
      <c r="H37" s="151"/>
      <c r="I37" s="151"/>
    </row>
    <row r="38" spans="1:13" ht="21" customHeight="1">
      <c r="C38" s="205"/>
      <c r="D38" s="209"/>
      <c r="F38" s="151"/>
      <c r="H38" s="151"/>
      <c r="I38" s="151"/>
      <c r="J38" s="151"/>
      <c r="L38" s="151"/>
    </row>
    <row r="39" spans="1:13" ht="21" customHeight="1">
      <c r="D39" s="151"/>
      <c r="F39" s="151"/>
      <c r="H39" s="151"/>
      <c r="I39" s="151"/>
    </row>
    <row r="40" spans="1:13" ht="21" customHeight="1">
      <c r="D40" s="151"/>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B5:C8"/>
    <mergeCell ref="D7:D8"/>
    <mergeCell ref="F7:F8"/>
    <mergeCell ref="H7:H8"/>
    <mergeCell ref="H33:I33"/>
    <mergeCell ref="D32:E32"/>
    <mergeCell ref="F32:G32"/>
    <mergeCell ref="H32:I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L5:M5"/>
    <mergeCell ref="J32:K32"/>
    <mergeCell ref="D5:E5"/>
    <mergeCell ref="F5:G5"/>
    <mergeCell ref="H5:I5"/>
    <mergeCell ref="J5:K5"/>
    <mergeCell ref="J7:J8"/>
    <mergeCell ref="L7:L8"/>
    <mergeCell ref="L32:M32"/>
  </mergeCells>
  <conditionalFormatting sqref="M19:M22">
    <cfRule type="cellIs" dxfId="90" priority="14" operator="notBetween">
      <formula>#REF!</formula>
      <formula>#REF!</formula>
    </cfRule>
  </conditionalFormatting>
  <conditionalFormatting sqref="K19:K22">
    <cfRule type="cellIs" dxfId="89" priority="13" operator="notBetween">
      <formula>#REF!</formula>
      <formula>#REF!</formula>
    </cfRule>
  </conditionalFormatting>
  <conditionalFormatting sqref="E29 K29 G29">
    <cfRule type="cellIs" dxfId="88" priority="11" operator="notBetween">
      <formula>#REF!</formula>
      <formula>#REF!</formula>
    </cfRule>
  </conditionalFormatting>
  <conditionalFormatting sqref="E19:E22">
    <cfRule type="cellIs" dxfId="87" priority="10" operator="notBetween">
      <formula>#REF!</formula>
      <formula>#REF!</formula>
    </cfRule>
  </conditionalFormatting>
  <conditionalFormatting sqref="M29">
    <cfRule type="cellIs" dxfId="86" priority="322" operator="notBetween">
      <formula>#REF!</formula>
      <formula>#REF!</formula>
    </cfRule>
  </conditionalFormatting>
  <conditionalFormatting sqref="G19:G22">
    <cfRule type="cellIs" dxfId="85" priority="334" operator="notBetween">
      <formula>#REF!</formula>
      <formula>#REF!</formula>
    </cfRule>
  </conditionalFormatting>
  <conditionalFormatting sqref="M9:M11">
    <cfRule type="cellIs" dxfId="84" priority="341" operator="notBetween">
      <formula>#REF!</formula>
      <formula>#REF!</formula>
    </cfRule>
  </conditionalFormatting>
  <conditionalFormatting sqref="K9:K11">
    <cfRule type="cellIs" dxfId="83" priority="343" operator="notBetween">
      <formula>#REF!</formula>
      <formula>#REF!</formula>
    </cfRule>
  </conditionalFormatting>
  <conditionalFormatting sqref="E9:E11">
    <cfRule type="cellIs" dxfId="82" priority="350" operator="notBetween">
      <formula>#REF!</formula>
      <formula>#REF!</formula>
    </cfRule>
  </conditionalFormatting>
  <conditionalFormatting sqref="G9:G11">
    <cfRule type="cellIs" dxfId="81" priority="352" operator="notBetween">
      <formula>#REF!</formula>
      <formula>#REF!</formula>
    </cfRule>
  </conditionalFormatting>
  <conditionalFormatting sqref="M15">
    <cfRule type="cellIs" dxfId="80" priority="353" operator="notBetween">
      <formula>#REF!</formula>
      <formula>#REF!</formula>
    </cfRule>
  </conditionalFormatting>
  <conditionalFormatting sqref="K15">
    <cfRule type="cellIs" dxfId="79" priority="354" operator="notBetween">
      <formula>#REF!</formula>
      <formula>#REF!</formula>
    </cfRule>
  </conditionalFormatting>
  <conditionalFormatting sqref="E15">
    <cfRule type="cellIs" dxfId="78" priority="359" operator="notBetween">
      <formula>#REF!</formula>
      <formula>#REF!</formula>
    </cfRule>
  </conditionalFormatting>
  <conditionalFormatting sqref="G15">
    <cfRule type="cellIs" dxfId="77" priority="360" operator="notBetween">
      <formula>#REF!</formula>
      <formula>#REF!</formula>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AC25F-CD53-4842-8A0F-46041D80D755}">
  <sheetPr codeName="Sheet17">
    <tabColor theme="4"/>
  </sheetPr>
  <dimension ref="B1:S187"/>
  <sheetViews>
    <sheetView showGridLines="0" topLeftCell="A5" zoomScale="90" zoomScaleNormal="90" workbookViewId="0">
      <selection activeCell="K23" sqref="K23"/>
    </sheetView>
  </sheetViews>
  <sheetFormatPr defaultColWidth="10.69921875" defaultRowHeight="24.75"/>
  <cols>
    <col min="1" max="1" width="2.59765625" style="549" customWidth="1"/>
    <col min="2" max="4" width="2.59765625" style="548" hidden="1" customWidth="1"/>
    <col min="5" max="5" width="54.59765625" style="549" customWidth="1"/>
    <col min="6" max="6" width="11.59765625" style="549" customWidth="1"/>
    <col min="7" max="7" width="8.69921875" style="550" customWidth="1"/>
    <col min="8" max="8" width="7.3984375" style="549" customWidth="1"/>
    <col min="9" max="9" width="8.69921875" style="550" customWidth="1"/>
    <col min="10" max="10" width="7.3984375" style="549" customWidth="1"/>
    <col min="11" max="11" width="8.69921875" style="550" customWidth="1"/>
    <col min="12" max="12" width="7.3984375" style="549" customWidth="1"/>
    <col min="13" max="13" width="8.69921875" style="550" customWidth="1"/>
    <col min="14" max="14" width="7.3984375" style="549" customWidth="1"/>
    <col min="15" max="15" width="8.69921875" style="550" customWidth="1"/>
    <col min="16" max="16" width="7.3984375" style="550" customWidth="1"/>
    <col min="17" max="17" width="9.3984375" style="549" customWidth="1"/>
    <col min="18" max="18" width="32.69921875" style="551" customWidth="1"/>
    <col min="19" max="19" width="18" style="549" customWidth="1"/>
    <col min="20" max="16384" width="10.69921875" style="549"/>
  </cols>
  <sheetData>
    <row r="1" spans="2:18" s="121" customFormat="1" ht="5.0999999999999996" customHeight="1">
      <c r="B1" s="457"/>
      <c r="C1" s="457"/>
      <c r="D1" s="457"/>
      <c r="G1" s="122"/>
      <c r="I1" s="122"/>
      <c r="K1" s="122"/>
      <c r="M1" s="122"/>
      <c r="O1" s="122"/>
      <c r="P1" s="122"/>
      <c r="R1" s="142"/>
    </row>
    <row r="2" spans="2:18" s="121" customFormat="1" ht="30.75">
      <c r="B2" s="457"/>
      <c r="C2" s="457"/>
      <c r="D2" s="457"/>
      <c r="G2" s="122"/>
      <c r="I2" s="122"/>
      <c r="K2" s="122"/>
      <c r="M2" s="122"/>
      <c r="O2" s="122"/>
      <c r="P2" s="122"/>
      <c r="R2" s="142"/>
    </row>
    <row r="3" spans="2:18" s="125" customFormat="1" ht="27.75">
      <c r="B3" s="458"/>
      <c r="C3" s="458"/>
      <c r="D3" s="458"/>
      <c r="E3" s="640" t="s">
        <v>1000</v>
      </c>
      <c r="F3" s="640"/>
      <c r="G3" s="124"/>
      <c r="I3" s="124"/>
      <c r="K3" s="124"/>
      <c r="M3" s="124"/>
      <c r="O3" s="124"/>
      <c r="P3" s="124"/>
      <c r="R3" s="123"/>
    </row>
    <row r="4" spans="2:18" s="125" customFormat="1" ht="5.25" customHeight="1">
      <c r="B4" s="458"/>
      <c r="C4" s="458"/>
      <c r="D4" s="458"/>
      <c r="G4" s="126"/>
      <c r="H4" s="127"/>
      <c r="I4" s="126"/>
      <c r="J4" s="127"/>
      <c r="K4" s="126"/>
      <c r="L4" s="127"/>
      <c r="M4" s="126"/>
      <c r="N4" s="127"/>
      <c r="O4" s="126"/>
      <c r="P4" s="126"/>
      <c r="R4" s="123"/>
    </row>
    <row r="5" spans="2:18" s="385" customFormat="1" ht="33" customHeight="1">
      <c r="B5" s="461"/>
      <c r="C5" s="461"/>
      <c r="D5" s="461"/>
      <c r="E5" s="641"/>
      <c r="F5" s="641"/>
      <c r="G5" s="675" t="s">
        <v>984</v>
      </c>
      <c r="H5" s="676"/>
      <c r="I5" s="677" t="s">
        <v>988</v>
      </c>
      <c r="J5" s="677"/>
      <c r="K5" s="675" t="s">
        <v>985</v>
      </c>
      <c r="L5" s="676"/>
      <c r="M5" s="677" t="s">
        <v>986</v>
      </c>
      <c r="N5" s="677"/>
      <c r="O5" s="675" t="s">
        <v>987</v>
      </c>
      <c r="P5" s="677"/>
      <c r="R5" s="392"/>
    </row>
    <row r="6" spans="2:18" s="385" customFormat="1" ht="5.25" customHeight="1">
      <c r="B6" s="461"/>
      <c r="C6" s="461"/>
      <c r="D6" s="461"/>
      <c r="E6" s="456"/>
      <c r="F6" s="456"/>
      <c r="G6" s="558"/>
      <c r="H6" s="559"/>
      <c r="I6" s="395"/>
      <c r="J6" s="391"/>
      <c r="K6" s="558"/>
      <c r="L6" s="559"/>
      <c r="M6" s="395"/>
      <c r="N6" s="391"/>
      <c r="O6" s="558"/>
      <c r="P6" s="391"/>
      <c r="R6" s="392"/>
    </row>
    <row r="7" spans="2:18" s="564" customFormat="1" ht="19.5" customHeight="1">
      <c r="B7" s="560"/>
      <c r="C7" s="560"/>
      <c r="D7" s="560"/>
      <c r="E7" s="561" t="s">
        <v>1838</v>
      </c>
      <c r="F7" s="639" t="s">
        <v>1969</v>
      </c>
      <c r="G7" s="561" t="s">
        <v>974</v>
      </c>
      <c r="H7" s="562" t="s">
        <v>17</v>
      </c>
      <c r="I7" s="561" t="s">
        <v>974</v>
      </c>
      <c r="J7" s="562" t="s">
        <v>17</v>
      </c>
      <c r="K7" s="561" t="s">
        <v>974</v>
      </c>
      <c r="L7" s="562" t="s">
        <v>17</v>
      </c>
      <c r="M7" s="561" t="s">
        <v>974</v>
      </c>
      <c r="N7" s="562" t="s">
        <v>17</v>
      </c>
      <c r="O7" s="561" t="s">
        <v>974</v>
      </c>
      <c r="P7" s="563" t="s">
        <v>17</v>
      </c>
      <c r="R7" s="565"/>
    </row>
    <row r="8" spans="2:18" s="385" customFormat="1" ht="5.25" customHeight="1">
      <c r="B8" s="461"/>
      <c r="C8" s="461"/>
      <c r="D8" s="461"/>
      <c r="G8" s="396"/>
      <c r="H8" s="400"/>
      <c r="K8" s="396"/>
      <c r="L8" s="400"/>
      <c r="O8" s="396"/>
      <c r="R8" s="392"/>
    </row>
    <row r="9" spans="2:18" s="237" customFormat="1" ht="15.75">
      <c r="B9" s="566"/>
      <c r="C9" s="566" t="s">
        <v>20</v>
      </c>
      <c r="D9" s="566"/>
      <c r="E9" s="642" t="s">
        <v>19</v>
      </c>
      <c r="F9" s="642"/>
      <c r="G9" s="561">
        <f ca="1">OFFSET('Asset Allocation'!$B$9, MATCH($E9,OFFSET('Asset Allocation'!$B$9,,,COUNTA('Asset Allocation'!$B:$B)-COUNTA('Asset Allocation'!$B$1:$B$9)),0)-1, MATCH(G$5,'Asset Allocation'!$D$5:$M$5,0)+2)</f>
        <v>1</v>
      </c>
      <c r="H9" s="567">
        <f ca="1">H11+H29+H44</f>
        <v>1.0000000000000002</v>
      </c>
      <c r="I9" s="561">
        <f ca="1">OFFSET('Asset Allocation'!$B$9, MATCH($E9,OFFSET('Asset Allocation'!$B$9,,,COUNTA('Asset Allocation'!$B:$B)-COUNTA('Asset Allocation'!$B$1:$B$9)),0)-1, MATCH(I$5,'Asset Allocation'!$D$5:$M$5,0)+2)</f>
        <v>0.8600000000000001</v>
      </c>
      <c r="J9" s="567">
        <f ca="1">J11+J29+J44</f>
        <v>0.85340000000000016</v>
      </c>
      <c r="K9" s="561">
        <f ca="1">OFFSET('Asset Allocation'!$B$9, MATCH($E9,OFFSET('Asset Allocation'!$B$9,,,COUNTA('Asset Allocation'!$B:$B)-COUNTA('Asset Allocation'!$B$1:$B$9)),0)-1, MATCH(K$5,'Asset Allocation'!$D$5:$M$5,0)+2)</f>
        <v>0.71500000000000008</v>
      </c>
      <c r="L9" s="567">
        <f ca="1">L11+L29+L44</f>
        <v>0.71500000000000008</v>
      </c>
      <c r="M9" s="561">
        <f ca="1">OFFSET('Asset Allocation'!$B$9, MATCH($E9,OFFSET('Asset Allocation'!$B$9,,,COUNTA('Asset Allocation'!$B:$B)-COUNTA('Asset Allocation'!$B$1:$B$9)),0)-1, MATCH(M$5,'Asset Allocation'!$D$5:$M$5,0)+2)</f>
        <v>0.52</v>
      </c>
      <c r="N9" s="567">
        <f ca="1">N11+N29+N44</f>
        <v>0.52</v>
      </c>
      <c r="O9" s="561">
        <f ca="1">OFFSET('Asset Allocation'!$B$9, MATCH($E9,OFFSET('Asset Allocation'!$B$9,,,COUNTA('Asset Allocation'!$B:$B)-COUNTA('Asset Allocation'!$B$1:$B$9)),0)-1, MATCH(O$5,'Asset Allocation'!$D$5:$M$5,0)+2)</f>
        <v>0.33500000000000002</v>
      </c>
      <c r="P9" s="567">
        <f ca="1">P11+P29+P44</f>
        <v>0.33500000000000002</v>
      </c>
      <c r="R9" s="568"/>
    </row>
    <row r="10" spans="2:18" s="282" customFormat="1" ht="7.5" customHeight="1">
      <c r="B10" s="485"/>
      <c r="C10" s="485"/>
      <c r="D10" s="485"/>
      <c r="E10" s="281"/>
      <c r="F10" s="281"/>
      <c r="G10" s="538"/>
      <c r="H10" s="540"/>
      <c r="I10" s="538"/>
      <c r="J10" s="540"/>
      <c r="K10" s="538"/>
      <c r="L10" s="540"/>
      <c r="M10" s="538"/>
      <c r="N10" s="540"/>
      <c r="O10" s="538"/>
      <c r="P10" s="540"/>
      <c r="R10" s="521"/>
    </row>
    <row r="11" spans="2:18" s="282" customFormat="1" ht="15">
      <c r="B11" s="485"/>
      <c r="C11" s="485" t="s">
        <v>20</v>
      </c>
      <c r="D11" s="485" t="s">
        <v>20</v>
      </c>
      <c r="E11" s="284" t="s">
        <v>963</v>
      </c>
      <c r="F11" s="284"/>
      <c r="G11" s="493">
        <f ca="1">OFFSET('Asset Allocation'!$B$9, MATCH($E11,OFFSET('Asset Allocation'!$B$9,,,COUNTA('Asset Allocation'!$B:$B)-COUNTA('Asset Allocation'!$B$1:$B$9)),0)-1, MATCH(G$5,'Asset Allocation'!$D$5:$M$5,0)+2)</f>
        <v>0.82</v>
      </c>
      <c r="H11" s="522">
        <f ca="1">SUM(H12:H28)</f>
        <v>0.82000000000000028</v>
      </c>
      <c r="I11" s="493">
        <f ca="1">OFFSET('Asset Allocation'!$B$9, MATCH($E11,OFFSET('Asset Allocation'!$B$9,,,COUNTA('Asset Allocation'!$B:$B)-COUNTA('Asset Allocation'!$B$1:$B$9)),0)-1, MATCH(I$5,'Asset Allocation'!$D$5:$M$5,0)+2)</f>
        <v>0.66</v>
      </c>
      <c r="J11" s="522">
        <f ca="1">SUM(J12:J28)</f>
        <v>0.65340000000000009</v>
      </c>
      <c r="K11" s="493">
        <f ca="1">OFFSET('Asset Allocation'!$B$9, MATCH($E11,OFFSET('Asset Allocation'!$B$9,,,COUNTA('Asset Allocation'!$B:$B)-COUNTA('Asset Allocation'!$B$1:$B$9)),0)-1, MATCH(K$5,'Asset Allocation'!$D$5:$M$5,0)+2)</f>
        <v>0.55500000000000005</v>
      </c>
      <c r="L11" s="522">
        <f ca="1">SUM(L12:L28)</f>
        <v>0.55500000000000005</v>
      </c>
      <c r="M11" s="493">
        <f ca="1">OFFSET('Asset Allocation'!$B$9, MATCH($E11,OFFSET('Asset Allocation'!$B$9,,,COUNTA('Asset Allocation'!$B:$B)-COUNTA('Asset Allocation'!$B$1:$B$9)),0)-1, MATCH(M$5,'Asset Allocation'!$D$5:$M$5,0)+2)</f>
        <v>0.25</v>
      </c>
      <c r="N11" s="522">
        <f ca="1">SUM(N12:N28)</f>
        <v>0.24999999999999997</v>
      </c>
      <c r="O11" s="493">
        <f ca="1">OFFSET('Asset Allocation'!$B$9, MATCH($E11,OFFSET('Asset Allocation'!$B$9,,,COUNTA('Asset Allocation'!$B:$B)-COUNTA('Asset Allocation'!$B$1:$B$9)),0)-1, MATCH(O$5,'Asset Allocation'!$D$5:$M$5,0)+2)</f>
        <v>0.105</v>
      </c>
      <c r="P11" s="523">
        <f ca="1">SUM(P12:P28)</f>
        <v>0.105</v>
      </c>
    </row>
    <row r="12" spans="2:18" s="525" customFormat="1" ht="15">
      <c r="B12" s="472"/>
      <c r="C12" s="472"/>
      <c r="D12" s="472"/>
      <c r="E12" s="496" t="s">
        <v>1665</v>
      </c>
      <c r="F12" s="496">
        <f>INDEX('Produtos Selecionados'!$M:$M,MATCH(E12,'Produtos Selecionados'!$E:$E,0))</f>
        <v>0</v>
      </c>
      <c r="G12" s="484">
        <v>0.12</v>
      </c>
      <c r="H12" s="524">
        <f t="shared" ref="H12:H25" ca="1" si="0">IF(G12="","", G12*G$11)</f>
        <v>9.8399999999999987E-2</v>
      </c>
      <c r="I12" s="484">
        <v>0.14000000000000001</v>
      </c>
      <c r="J12" s="524">
        <f t="shared" ref="J12:J25" ca="1" si="1">IF(I12="","", I12*I$11)</f>
        <v>9.240000000000001E-2</v>
      </c>
      <c r="K12" s="484">
        <v>0.16</v>
      </c>
      <c r="L12" s="524">
        <f t="shared" ref="L12:L25" ca="1" si="2">IF(K12="","", K12*K$11)</f>
        <v>8.8800000000000004E-2</v>
      </c>
      <c r="M12" s="484">
        <v>0.2</v>
      </c>
      <c r="N12" s="524">
        <f t="shared" ref="N12:N25" ca="1" si="3">IF(M12="","", M12*M$11)</f>
        <v>0.05</v>
      </c>
      <c r="O12" s="484">
        <v>0.2</v>
      </c>
      <c r="P12" s="524">
        <f t="shared" ref="P12:P25" ca="1" si="4">IF(O12="","", O12*O$11)</f>
        <v>2.1000000000000001E-2</v>
      </c>
    </row>
    <row r="13" spans="2:18" s="525" customFormat="1" ht="15">
      <c r="B13" s="472"/>
      <c r="C13" s="472"/>
      <c r="D13" s="472"/>
      <c r="E13" s="496" t="s">
        <v>1870</v>
      </c>
      <c r="F13" s="496">
        <f>INDEX('Produtos Selecionados'!$M:$M,MATCH(E13,'Produtos Selecionados'!$E:$E,0))</f>
        <v>0</v>
      </c>
      <c r="G13" s="484">
        <v>0.08</v>
      </c>
      <c r="H13" s="524">
        <f ca="1">IF(G13="","", G13*G$11)</f>
        <v>6.5599999999999992E-2</v>
      </c>
      <c r="I13" s="484">
        <v>0.09</v>
      </c>
      <c r="J13" s="524">
        <f ca="1">IF(I13="","", I13*I$11)</f>
        <v>5.9400000000000001E-2</v>
      </c>
      <c r="K13" s="484">
        <v>0.1</v>
      </c>
      <c r="L13" s="524">
        <f ca="1">IF(K13="","", K13*K$11)</f>
        <v>5.5500000000000008E-2</v>
      </c>
      <c r="M13" s="484">
        <v>0.2</v>
      </c>
      <c r="N13" s="524">
        <f ca="1">IF(M13="","", M13*M$11)</f>
        <v>0.05</v>
      </c>
      <c r="O13" s="484">
        <v>0.2</v>
      </c>
      <c r="P13" s="524">
        <f ca="1">IF(O13="","", O13*O$11)</f>
        <v>2.1000000000000001E-2</v>
      </c>
    </row>
    <row r="14" spans="2:18" s="525" customFormat="1" ht="15">
      <c r="B14" s="472"/>
      <c r="C14" s="472"/>
      <c r="D14" s="472"/>
      <c r="E14" s="496" t="s">
        <v>1872</v>
      </c>
      <c r="F14" s="496" t="str">
        <f>INDEX('Produtos Selecionados'!$M:$M,MATCH(E14,'Produtos Selecionados'!$E:$E,0))</f>
        <v>-</v>
      </c>
      <c r="G14" s="484">
        <v>0.08</v>
      </c>
      <c r="H14" s="524">
        <f t="shared" ca="1" si="0"/>
        <v>6.5599999999999992E-2</v>
      </c>
      <c r="I14" s="484">
        <v>7.0000000000000007E-2</v>
      </c>
      <c r="J14" s="524">
        <f t="shared" ca="1" si="1"/>
        <v>4.6200000000000005E-2</v>
      </c>
      <c r="K14" s="484">
        <v>7.0000000000000007E-2</v>
      </c>
      <c r="L14" s="524">
        <f t="shared" ca="1" si="2"/>
        <v>3.885000000000001E-2</v>
      </c>
      <c r="M14" s="484"/>
      <c r="N14" s="524" t="str">
        <f t="shared" si="3"/>
        <v/>
      </c>
      <c r="O14" s="484"/>
      <c r="P14" s="524" t="str">
        <f t="shared" si="4"/>
        <v/>
      </c>
    </row>
    <row r="15" spans="2:18" s="525" customFormat="1" ht="15">
      <c r="B15" s="472"/>
      <c r="C15" s="472"/>
      <c r="D15" s="472"/>
      <c r="E15" s="496" t="s">
        <v>1873</v>
      </c>
      <c r="F15" s="496" t="str">
        <f>INDEX('Produtos Selecionados'!$M:$M,MATCH(E15,'Produtos Selecionados'!$E:$E,0))</f>
        <v>-</v>
      </c>
      <c r="G15" s="484">
        <v>0.08</v>
      </c>
      <c r="H15" s="524">
        <f t="shared" ca="1" si="0"/>
        <v>6.5599999999999992E-2</v>
      </c>
      <c r="I15" s="484">
        <v>0.06</v>
      </c>
      <c r="J15" s="524">
        <f t="shared" ca="1" si="1"/>
        <v>3.9600000000000003E-2</v>
      </c>
      <c r="K15" s="484">
        <v>0.06</v>
      </c>
      <c r="L15" s="524">
        <f t="shared" ca="1" si="2"/>
        <v>3.3300000000000003E-2</v>
      </c>
      <c r="M15" s="484"/>
      <c r="N15" s="524" t="str">
        <f t="shared" si="3"/>
        <v/>
      </c>
      <c r="O15" s="484"/>
      <c r="P15" s="524" t="str">
        <f t="shared" si="4"/>
        <v/>
      </c>
    </row>
    <row r="16" spans="2:18" s="525" customFormat="1" ht="15">
      <c r="B16" s="472"/>
      <c r="C16" s="472"/>
      <c r="D16" s="472"/>
      <c r="E16" s="496" t="s">
        <v>1874</v>
      </c>
      <c r="F16" s="496" t="str">
        <f>INDEX('Produtos Selecionados'!$M:$M,MATCH(E16,'Produtos Selecionados'!$E:$E,0))</f>
        <v>-</v>
      </c>
      <c r="G16" s="484">
        <v>0.06</v>
      </c>
      <c r="H16" s="524">
        <f t="shared" ca="1" si="0"/>
        <v>4.9199999999999994E-2</v>
      </c>
      <c r="I16" s="484">
        <v>0.06</v>
      </c>
      <c r="J16" s="524">
        <f t="shared" ca="1" si="1"/>
        <v>3.9600000000000003E-2</v>
      </c>
      <c r="K16" s="484">
        <v>0.06</v>
      </c>
      <c r="L16" s="524">
        <f t="shared" ca="1" si="2"/>
        <v>3.3300000000000003E-2</v>
      </c>
      <c r="M16" s="484"/>
      <c r="N16" s="524" t="str">
        <f t="shared" si="3"/>
        <v/>
      </c>
      <c r="O16" s="484"/>
      <c r="P16" s="524" t="str">
        <f t="shared" si="4"/>
        <v/>
      </c>
    </row>
    <row r="17" spans="2:18" s="525" customFormat="1" ht="15">
      <c r="B17" s="472"/>
      <c r="C17" s="472"/>
      <c r="D17" s="472"/>
      <c r="E17" s="496" t="s">
        <v>1875</v>
      </c>
      <c r="F17" s="496" t="str">
        <f>INDEX('Produtos Selecionados'!$M:$M,MATCH(E17,'Produtos Selecionados'!$E:$E,0))</f>
        <v>-</v>
      </c>
      <c r="G17" s="484">
        <v>0.06</v>
      </c>
      <c r="H17" s="524">
        <f t="shared" ca="1" si="0"/>
        <v>4.9199999999999994E-2</v>
      </c>
      <c r="I17" s="484">
        <v>0.06</v>
      </c>
      <c r="J17" s="524">
        <f t="shared" ca="1" si="1"/>
        <v>3.9600000000000003E-2</v>
      </c>
      <c r="K17" s="484">
        <v>0.06</v>
      </c>
      <c r="L17" s="524">
        <f t="shared" ca="1" si="2"/>
        <v>3.3300000000000003E-2</v>
      </c>
      <c r="M17" s="484"/>
      <c r="N17" s="524" t="str">
        <f t="shared" si="3"/>
        <v/>
      </c>
      <c r="O17" s="484"/>
      <c r="P17" s="524" t="str">
        <f t="shared" si="4"/>
        <v/>
      </c>
    </row>
    <row r="18" spans="2:18" s="525" customFormat="1" ht="15">
      <c r="B18" s="472"/>
      <c r="C18" s="472"/>
      <c r="D18" s="472"/>
      <c r="E18" s="496" t="s">
        <v>1153</v>
      </c>
      <c r="F18" s="496">
        <f>INDEX('Produtos Selecionados'!$M:$M,MATCH(E18,'Produtos Selecionados'!$E:$E,0))</f>
        <v>1</v>
      </c>
      <c r="G18" s="484">
        <v>7.0000000000000007E-2</v>
      </c>
      <c r="H18" s="524">
        <f t="shared" ref="H18:H23" ca="1" si="5">IF(G18="","", G18*G$11)</f>
        <v>5.74E-2</v>
      </c>
      <c r="I18" s="484">
        <v>7.0000000000000007E-2</v>
      </c>
      <c r="J18" s="524">
        <f t="shared" ref="J18:J23" ca="1" si="6">IF(I18="","", I18*I$11)</f>
        <v>4.6200000000000005E-2</v>
      </c>
      <c r="K18" s="484">
        <v>7.0000000000000007E-2</v>
      </c>
      <c r="L18" s="524">
        <f t="shared" ref="L18:L23" ca="1" si="7">IF(K18="","", K18*K$11)</f>
        <v>3.885000000000001E-2</v>
      </c>
      <c r="M18" s="484">
        <v>0.1</v>
      </c>
      <c r="N18" s="524">
        <f t="shared" ref="N18:N23" ca="1" si="8">IF(M18="","", M18*M$11)</f>
        <v>2.5000000000000001E-2</v>
      </c>
      <c r="O18" s="484">
        <v>0.15</v>
      </c>
      <c r="P18" s="524">
        <f t="shared" ref="P18:P23" ca="1" si="9">IF(O18="","", O18*O$11)</f>
        <v>1.575E-2</v>
      </c>
    </row>
    <row r="19" spans="2:18" s="525" customFormat="1" ht="15">
      <c r="B19" s="472"/>
      <c r="C19" s="472"/>
      <c r="D19" s="472"/>
      <c r="E19" s="496" t="s">
        <v>416</v>
      </c>
      <c r="F19" s="496">
        <f>INDEX('Produtos Selecionados'!$M:$M,MATCH(E19,'Produtos Selecionados'!$E:$E,0))</f>
        <v>1</v>
      </c>
      <c r="G19" s="484">
        <v>7.0000000000000007E-2</v>
      </c>
      <c r="H19" s="524">
        <f t="shared" ca="1" si="5"/>
        <v>5.74E-2</v>
      </c>
      <c r="I19" s="484">
        <v>7.0000000000000007E-2</v>
      </c>
      <c r="J19" s="524">
        <f t="shared" ca="1" si="6"/>
        <v>4.6200000000000005E-2</v>
      </c>
      <c r="K19" s="484">
        <v>7.0000000000000007E-2</v>
      </c>
      <c r="L19" s="524">
        <f t="shared" ca="1" si="7"/>
        <v>3.885000000000001E-2</v>
      </c>
      <c r="M19" s="484">
        <v>0.1</v>
      </c>
      <c r="N19" s="524">
        <f t="shared" ca="1" si="8"/>
        <v>2.5000000000000001E-2</v>
      </c>
      <c r="O19" s="484">
        <v>0.1</v>
      </c>
      <c r="P19" s="524">
        <f t="shared" ca="1" si="9"/>
        <v>1.0500000000000001E-2</v>
      </c>
    </row>
    <row r="20" spans="2:18" s="525" customFormat="1" ht="15">
      <c r="B20" s="472"/>
      <c r="C20" s="472"/>
      <c r="D20" s="472"/>
      <c r="E20" s="496" t="s">
        <v>45</v>
      </c>
      <c r="F20" s="496">
        <f>INDEX('Produtos Selecionados'!$M:$M,MATCH(E20,'Produtos Selecionados'!$E:$E,0))</f>
        <v>31</v>
      </c>
      <c r="G20" s="484">
        <v>0.05</v>
      </c>
      <c r="H20" s="524">
        <f t="shared" ca="1" si="5"/>
        <v>4.1000000000000002E-2</v>
      </c>
      <c r="I20" s="484">
        <v>0.05</v>
      </c>
      <c r="J20" s="524">
        <f t="shared" ca="1" si="6"/>
        <v>3.3000000000000002E-2</v>
      </c>
      <c r="K20" s="484">
        <v>0.04</v>
      </c>
      <c r="L20" s="524">
        <f t="shared" ca="1" si="7"/>
        <v>2.2200000000000001E-2</v>
      </c>
      <c r="M20" s="484"/>
      <c r="N20" s="524" t="str">
        <f t="shared" si="8"/>
        <v/>
      </c>
      <c r="O20" s="484"/>
      <c r="P20" s="524" t="str">
        <f t="shared" si="9"/>
        <v/>
      </c>
    </row>
    <row r="21" spans="2:18" s="525" customFormat="1" ht="15">
      <c r="B21" s="472"/>
      <c r="C21" s="472"/>
      <c r="D21" s="472"/>
      <c r="E21" s="496" t="s">
        <v>647</v>
      </c>
      <c r="F21" s="496">
        <f>INDEX('Produtos Selecionados'!$M:$M,MATCH(E21,'Produtos Selecionados'!$E:$E,0))</f>
        <v>32</v>
      </c>
      <c r="G21" s="484">
        <v>0.05</v>
      </c>
      <c r="H21" s="524">
        <f t="shared" ca="1" si="5"/>
        <v>4.1000000000000002E-2</v>
      </c>
      <c r="I21" s="484">
        <v>0.06</v>
      </c>
      <c r="J21" s="524">
        <f t="shared" ca="1" si="6"/>
        <v>3.9600000000000003E-2</v>
      </c>
      <c r="K21" s="484">
        <v>0.05</v>
      </c>
      <c r="L21" s="524">
        <f t="shared" ca="1" si="7"/>
        <v>2.7750000000000004E-2</v>
      </c>
      <c r="M21" s="484"/>
      <c r="N21" s="524" t="str">
        <f t="shared" si="8"/>
        <v/>
      </c>
      <c r="O21" s="484"/>
      <c r="P21" s="524" t="str">
        <f t="shared" si="9"/>
        <v/>
      </c>
    </row>
    <row r="22" spans="2:18" s="525" customFormat="1" ht="15">
      <c r="B22" s="472"/>
      <c r="C22" s="472"/>
      <c r="D22" s="472"/>
      <c r="E22" s="496" t="s">
        <v>989</v>
      </c>
      <c r="F22" s="496">
        <f>INDEX('Produtos Selecionados'!$M:$M,MATCH(E22,'Produtos Selecionados'!$E:$E,0))</f>
        <v>45</v>
      </c>
      <c r="G22" s="484">
        <v>0.05</v>
      </c>
      <c r="H22" s="524">
        <f t="shared" ca="1" si="5"/>
        <v>4.1000000000000002E-2</v>
      </c>
      <c r="I22" s="484">
        <v>0.06</v>
      </c>
      <c r="J22" s="524">
        <f t="shared" ca="1" si="6"/>
        <v>3.9600000000000003E-2</v>
      </c>
      <c r="K22" s="484">
        <v>0.06</v>
      </c>
      <c r="L22" s="524">
        <f t="shared" ca="1" si="7"/>
        <v>3.3300000000000003E-2</v>
      </c>
      <c r="M22" s="484">
        <v>0.1</v>
      </c>
      <c r="N22" s="524">
        <f t="shared" ca="1" si="8"/>
        <v>2.5000000000000001E-2</v>
      </c>
      <c r="O22" s="484">
        <v>0.1</v>
      </c>
      <c r="P22" s="524">
        <f t="shared" ca="1" si="9"/>
        <v>1.0500000000000001E-2</v>
      </c>
    </row>
    <row r="23" spans="2:18" s="525" customFormat="1" ht="15">
      <c r="B23" s="472"/>
      <c r="C23" s="472"/>
      <c r="D23" s="472"/>
      <c r="E23" s="496" t="s">
        <v>791</v>
      </c>
      <c r="F23" s="496">
        <f>INDEX('Produtos Selecionados'!$M:$M,MATCH(E23,'Produtos Selecionados'!$E:$E,0))</f>
        <v>46</v>
      </c>
      <c r="G23" s="484">
        <v>0.05</v>
      </c>
      <c r="H23" s="524">
        <f t="shared" ca="1" si="5"/>
        <v>4.1000000000000002E-2</v>
      </c>
      <c r="I23" s="484">
        <v>0.05</v>
      </c>
      <c r="J23" s="524">
        <f t="shared" ca="1" si="6"/>
        <v>3.3000000000000002E-2</v>
      </c>
      <c r="K23" s="484">
        <v>0.05</v>
      </c>
      <c r="L23" s="524">
        <f t="shared" ca="1" si="7"/>
        <v>2.7750000000000004E-2</v>
      </c>
      <c r="M23" s="484">
        <v>0.1</v>
      </c>
      <c r="N23" s="524">
        <f t="shared" ca="1" si="8"/>
        <v>2.5000000000000001E-2</v>
      </c>
      <c r="O23" s="484">
        <v>0.1</v>
      </c>
      <c r="P23" s="524">
        <f t="shared" ca="1" si="9"/>
        <v>1.0500000000000001E-2</v>
      </c>
    </row>
    <row r="24" spans="2:18" s="525" customFormat="1" ht="15">
      <c r="B24" s="472"/>
      <c r="C24" s="472"/>
      <c r="D24" s="472"/>
      <c r="E24" s="496" t="s">
        <v>43</v>
      </c>
      <c r="F24" s="496">
        <f>INDEX('Produtos Selecionados'!$M:$M,MATCH(E24,'Produtos Selecionados'!$E:$E,0))</f>
        <v>91</v>
      </c>
      <c r="G24" s="484">
        <v>0.05</v>
      </c>
      <c r="H24" s="524">
        <f t="shared" ca="1" si="0"/>
        <v>4.1000000000000002E-2</v>
      </c>
      <c r="I24" s="484">
        <v>0.06</v>
      </c>
      <c r="J24" s="524">
        <f t="shared" ca="1" si="1"/>
        <v>3.9600000000000003E-2</v>
      </c>
      <c r="K24" s="484">
        <v>0.06</v>
      </c>
      <c r="L24" s="524">
        <f t="shared" ca="1" si="2"/>
        <v>3.3300000000000003E-2</v>
      </c>
      <c r="M24" s="484">
        <v>0.1</v>
      </c>
      <c r="N24" s="524">
        <f t="shared" ca="1" si="3"/>
        <v>2.5000000000000001E-2</v>
      </c>
      <c r="O24" s="484">
        <v>0.15</v>
      </c>
      <c r="P24" s="524">
        <f t="shared" ca="1" si="4"/>
        <v>1.575E-2</v>
      </c>
    </row>
    <row r="25" spans="2:18" s="525" customFormat="1" ht="15">
      <c r="B25" s="472"/>
      <c r="C25" s="472"/>
      <c r="D25" s="472"/>
      <c r="E25" s="496" t="s">
        <v>1968</v>
      </c>
      <c r="F25" s="496">
        <f>INDEX('Produtos Selecionados'!$M:$M,MATCH(E25,'Produtos Selecionados'!$E:$E,0))</f>
        <v>91</v>
      </c>
      <c r="G25" s="484">
        <v>0.04</v>
      </c>
      <c r="H25" s="524">
        <f t="shared" ca="1" si="0"/>
        <v>3.2799999999999996E-2</v>
      </c>
      <c r="I25" s="484">
        <v>0.04</v>
      </c>
      <c r="J25" s="524">
        <f t="shared" ca="1" si="1"/>
        <v>2.6400000000000003E-2</v>
      </c>
      <c r="K25" s="484">
        <v>0.04</v>
      </c>
      <c r="L25" s="524">
        <f t="shared" ca="1" si="2"/>
        <v>2.2200000000000001E-2</v>
      </c>
      <c r="M25" s="484"/>
      <c r="N25" s="524" t="str">
        <f t="shared" si="3"/>
        <v/>
      </c>
      <c r="O25" s="484"/>
      <c r="P25" s="524" t="str">
        <f t="shared" si="4"/>
        <v/>
      </c>
    </row>
    <row r="26" spans="2:18" s="525" customFormat="1" ht="15">
      <c r="B26" s="472"/>
      <c r="C26" s="472"/>
      <c r="D26" s="472"/>
      <c r="E26" s="496" t="s">
        <v>1467</v>
      </c>
      <c r="F26" s="496">
        <f>INDEX('Produtos Selecionados'!$M:$M,MATCH(E26,'Produtos Selecionados'!$E:$E,0))</f>
        <v>181</v>
      </c>
      <c r="G26" s="484">
        <v>0.05</v>
      </c>
      <c r="H26" s="524">
        <f ca="1">IF(G26="","", G26*G$11)</f>
        <v>4.1000000000000002E-2</v>
      </c>
      <c r="I26" s="484">
        <v>0.05</v>
      </c>
      <c r="J26" s="524">
        <f ca="1">IF(I26="","", I26*I$11)</f>
        <v>3.3000000000000002E-2</v>
      </c>
      <c r="K26" s="484">
        <v>0.05</v>
      </c>
      <c r="L26" s="524">
        <f ca="1">IF(K26="","", K26*K$11)</f>
        <v>2.7750000000000004E-2</v>
      </c>
      <c r="M26" s="484">
        <v>0.1</v>
      </c>
      <c r="N26" s="524">
        <f ca="1">IF(M26="","", M26*M$11)</f>
        <v>2.5000000000000001E-2</v>
      </c>
      <c r="O26" s="484"/>
      <c r="P26" s="524" t="str">
        <f>IF(O26="","", O26*O$11)</f>
        <v/>
      </c>
    </row>
    <row r="27" spans="2:18" s="525" customFormat="1" ht="15">
      <c r="B27" s="472"/>
      <c r="C27" s="472"/>
      <c r="D27" s="472"/>
      <c r="E27" s="496" t="s">
        <v>180</v>
      </c>
      <c r="F27" s="496">
        <f>INDEX('Produtos Selecionados'!$M:$M,MATCH(E27,'Produtos Selecionados'!$E:$E,0))</f>
        <v>180</v>
      </c>
      <c r="G27" s="484">
        <v>0.04</v>
      </c>
      <c r="H27" s="524">
        <f ca="1">IF(G27="","", G27*G$11)</f>
        <v>3.2799999999999996E-2</v>
      </c>
      <c r="I27" s="484"/>
      <c r="J27" s="524" t="str">
        <f>IF(I27="","", I27*I$11)</f>
        <v/>
      </c>
      <c r="K27" s="484"/>
      <c r="L27" s="524" t="str">
        <f>IF(K27="","", K27*K$11)</f>
        <v/>
      </c>
      <c r="M27" s="484"/>
      <c r="N27" s="524" t="str">
        <f>IF(M27="","", M27*M$11)</f>
        <v/>
      </c>
      <c r="O27" s="484"/>
      <c r="P27" s="524" t="str">
        <f>IF(O27="","", O27*O$11)</f>
        <v/>
      </c>
    </row>
    <row r="28" spans="2:18" s="282" customFormat="1" ht="8.25" customHeight="1">
      <c r="B28" s="485"/>
      <c r="C28" s="485"/>
      <c r="D28" s="485"/>
      <c r="E28" s="316"/>
      <c r="F28" s="316"/>
      <c r="G28" s="526"/>
      <c r="H28" s="527" t="str">
        <f>IF(G28="","", G28*G$11)</f>
        <v/>
      </c>
      <c r="I28" s="484"/>
      <c r="J28" s="527" t="str">
        <f>IF(I28="","", I28*I$11)</f>
        <v/>
      </c>
      <c r="K28" s="526"/>
      <c r="L28" s="527" t="str">
        <f>IF(K28="","", K28*K$11)</f>
        <v/>
      </c>
      <c r="M28" s="526"/>
      <c r="N28" s="527" t="str">
        <f>IF(M28="","", M28*M$11)</f>
        <v/>
      </c>
      <c r="O28" s="526"/>
      <c r="P28" s="527" t="str">
        <f>IF(O28="","", O28*O$11)</f>
        <v/>
      </c>
      <c r="R28" s="521"/>
    </row>
    <row r="29" spans="2:18" s="282" customFormat="1" ht="15">
      <c r="B29" s="485"/>
      <c r="C29" s="485" t="s">
        <v>20</v>
      </c>
      <c r="D29" s="485" t="s">
        <v>20</v>
      </c>
      <c r="E29" s="284" t="s">
        <v>964</v>
      </c>
      <c r="F29" s="284"/>
      <c r="G29" s="493">
        <f ca="1">OFFSET('Asset Allocation'!$B$9, MATCH($E29,OFFSET('Asset Allocation'!$B$9,,,COUNTA('Asset Allocation'!$B:$B)-COUNTA('Asset Allocation'!$B$1:$B$9)),0)-1, MATCH(G$5,'Asset Allocation'!$D$5:$M$5,0)+2)</f>
        <v>0.15</v>
      </c>
      <c r="H29" s="522">
        <f ca="1">H31+H35+H40</f>
        <v>0.15000000000000002</v>
      </c>
      <c r="I29" s="493">
        <f ca="1">OFFSET('Asset Allocation'!$B$9, MATCH($E29,OFFSET('Asset Allocation'!$B$9,,,COUNTA('Asset Allocation'!$B:$B)-COUNTA('Asset Allocation'!$B$1:$B$9)),0)-1, MATCH(I$5,'Asset Allocation'!$D$5:$M$5,0)+2)</f>
        <v>0.15</v>
      </c>
      <c r="J29" s="522">
        <f ca="1">J31+J35+J40</f>
        <v>0.15</v>
      </c>
      <c r="K29" s="493">
        <f ca="1">OFFSET('Asset Allocation'!$B$9, MATCH($E29,OFFSET('Asset Allocation'!$B$9,,,COUNTA('Asset Allocation'!$B:$B)-COUNTA('Asset Allocation'!$B$1:$B$9)),0)-1, MATCH(K$5,'Asset Allocation'!$D$5:$M$5,0)+2)</f>
        <v>0.1</v>
      </c>
      <c r="L29" s="522">
        <f ca="1">L31+L35+L40</f>
        <v>0.1</v>
      </c>
      <c r="M29" s="493">
        <f ca="1">OFFSET('Asset Allocation'!$B$9, MATCH($E29,OFFSET('Asset Allocation'!$B$9,,,COUNTA('Asset Allocation'!$B:$B)-COUNTA('Asset Allocation'!$B$1:$B$9)),0)-1, MATCH(M$5,'Asset Allocation'!$D$5:$M$5,0)+2)</f>
        <v>0.2</v>
      </c>
      <c r="N29" s="522">
        <f ca="1">N31+N35+N40</f>
        <v>0.2</v>
      </c>
      <c r="O29" s="493">
        <f ca="1">OFFSET('Asset Allocation'!$B$9, MATCH($E29,OFFSET('Asset Allocation'!$B$9,,,COUNTA('Asset Allocation'!$B:$B)-COUNTA('Asset Allocation'!$B$1:$B$9)),0)-1, MATCH(O$5,'Asset Allocation'!$D$5:$M$5,0)+2)</f>
        <v>0.15</v>
      </c>
      <c r="P29" s="523">
        <f ca="1">P31+P35+P40</f>
        <v>0.15000000000000002</v>
      </c>
      <c r="R29" s="287"/>
    </row>
    <row r="30" spans="2:18" s="282" customFormat="1" ht="3" customHeight="1">
      <c r="B30" s="485"/>
      <c r="C30" s="485"/>
      <c r="D30" s="485"/>
      <c r="G30" s="556"/>
      <c r="H30" s="520"/>
      <c r="I30" s="556"/>
      <c r="J30" s="520"/>
      <c r="K30" s="556"/>
      <c r="L30" s="520"/>
      <c r="M30" s="556"/>
      <c r="N30" s="520"/>
      <c r="O30" s="556"/>
      <c r="P30" s="520"/>
      <c r="R30" s="287"/>
    </row>
    <row r="31" spans="2:18" s="282" customFormat="1" ht="15">
      <c r="B31" s="485"/>
      <c r="C31" s="485"/>
      <c r="D31" s="485" t="s">
        <v>20</v>
      </c>
      <c r="E31" s="289" t="s">
        <v>1891</v>
      </c>
      <c r="F31" s="289"/>
      <c r="G31" s="488">
        <f ca="1">OFFSET('Asset Allocation'!$B$9, MATCH($E31,OFFSET('Asset Allocation'!$B$9,,,COUNTA('Asset Allocation'!$B:$B)-COUNTA('Asset Allocation'!$B$1:$B$9)),0)-1, MATCH(G$5,'Asset Allocation'!$D$5:$M$5,0)+2)</f>
        <v>0</v>
      </c>
      <c r="H31" s="371">
        <f>SUM(H32:H34)</f>
        <v>0</v>
      </c>
      <c r="I31" s="488">
        <f ca="1">OFFSET('Asset Allocation'!$B$9, MATCH($E31,OFFSET('Asset Allocation'!$B$9,,,COUNTA('Asset Allocation'!$B:$B)-COUNTA('Asset Allocation'!$B$1:$B$9)),0)-1, MATCH(I$5,'Asset Allocation'!$D$5:$M$5,0)+2)</f>
        <v>0</v>
      </c>
      <c r="J31" s="371">
        <f>SUM(J32:J34)</f>
        <v>0</v>
      </c>
      <c r="K31" s="488">
        <f ca="1">OFFSET('Asset Allocation'!$B$9, MATCH($E31,OFFSET('Asset Allocation'!$B$9,,,COUNTA('Asset Allocation'!$B:$B)-COUNTA('Asset Allocation'!$B$1:$B$9)),0)-1, MATCH(K$5,'Asset Allocation'!$D$5:$M$5,0)+2)</f>
        <v>0</v>
      </c>
      <c r="L31" s="371">
        <f>SUM(L32:L34)</f>
        <v>0</v>
      </c>
      <c r="M31" s="488">
        <f ca="1">OFFSET('Asset Allocation'!$B$9, MATCH($E31,OFFSET('Asset Allocation'!$B$9,,,COUNTA('Asset Allocation'!$B:$B)-COUNTA('Asset Allocation'!$B$1:$B$9)),0)-1, MATCH(M$5,'Asset Allocation'!$D$5:$M$5,0)+2)</f>
        <v>0</v>
      </c>
      <c r="N31" s="371">
        <f>SUM(N32:N34)</f>
        <v>0</v>
      </c>
      <c r="O31" s="488">
        <f ca="1">OFFSET('Asset Allocation'!$B$9, MATCH($E31,OFFSET('Asset Allocation'!$B$9,,,COUNTA('Asset Allocation'!$B:$B)-COUNTA('Asset Allocation'!$B$1:$B$9)),0)-1, MATCH(O$5,'Asset Allocation'!$D$5:$M$5,0)+2)</f>
        <v>0</v>
      </c>
      <c r="P31" s="371">
        <f>SUM(P32:P34)</f>
        <v>0</v>
      </c>
      <c r="R31" s="287"/>
    </row>
    <row r="32" spans="2:18" s="525" customFormat="1" ht="15">
      <c r="B32" s="472"/>
      <c r="C32" s="472"/>
      <c r="D32" s="472"/>
      <c r="E32" s="496"/>
      <c r="F32" s="496"/>
      <c r="G32" s="484"/>
      <c r="H32" s="524" t="str">
        <f t="shared" ref="H32:J33" si="10">IF(G32="","", G32*G$31)</f>
        <v/>
      </c>
      <c r="I32" s="484"/>
      <c r="J32" s="524" t="str">
        <f t="shared" si="10"/>
        <v/>
      </c>
      <c r="K32" s="484"/>
      <c r="L32" s="524" t="str">
        <f>IF(K32="","", K32*K$31)</f>
        <v/>
      </c>
      <c r="M32" s="484"/>
      <c r="N32" s="524" t="str">
        <f>IF(M32="","", M32*M$31)</f>
        <v/>
      </c>
      <c r="O32" s="484"/>
      <c r="P32" s="524" t="str">
        <f>IF(O32="","", O32*O$31)</f>
        <v/>
      </c>
    </row>
    <row r="33" spans="2:18" s="525" customFormat="1" ht="15">
      <c r="B33" s="472"/>
      <c r="C33" s="472"/>
      <c r="D33" s="472"/>
      <c r="E33" s="496"/>
      <c r="F33" s="496"/>
      <c r="G33" s="484"/>
      <c r="H33" s="524" t="str">
        <f t="shared" si="10"/>
        <v/>
      </c>
      <c r="I33" s="484"/>
      <c r="J33" s="524" t="str">
        <f t="shared" si="10"/>
        <v/>
      </c>
      <c r="K33" s="484"/>
      <c r="L33" s="524" t="str">
        <f>IF(K33="","", K33*K$31)</f>
        <v/>
      </c>
      <c r="M33" s="484"/>
      <c r="N33" s="524" t="str">
        <f>IF(M33="","", M33*M$31)</f>
        <v/>
      </c>
      <c r="O33" s="484"/>
      <c r="P33" s="524" t="str">
        <f>IF(O33="","", O33*O$31)</f>
        <v/>
      </c>
    </row>
    <row r="34" spans="2:18" s="282" customFormat="1" ht="8.25" customHeight="1">
      <c r="B34" s="485"/>
      <c r="C34" s="485"/>
      <c r="D34" s="485"/>
      <c r="E34" s="316"/>
      <c r="F34" s="316"/>
      <c r="G34" s="526"/>
      <c r="H34" s="527" t="str">
        <f>IF(G34="","", G34*G$11)</f>
        <v/>
      </c>
      <c r="I34" s="570"/>
      <c r="J34" s="527" t="str">
        <f>IF(I34="","", I34*I$11)</f>
        <v/>
      </c>
      <c r="K34" s="526"/>
      <c r="L34" s="527" t="str">
        <f>IF(K34="","", K34*K$11)</f>
        <v/>
      </c>
      <c r="M34" s="526"/>
      <c r="N34" s="527" t="str">
        <f>IF(M34="","", M34*M$11)</f>
        <v/>
      </c>
      <c r="O34" s="526"/>
      <c r="P34" s="527" t="str">
        <f>IF(O34="","", O34*O$11)</f>
        <v/>
      </c>
      <c r="R34" s="521"/>
    </row>
    <row r="35" spans="2:18" s="282" customFormat="1" ht="15">
      <c r="B35" s="485"/>
      <c r="C35" s="485"/>
      <c r="D35" s="485" t="s">
        <v>20</v>
      </c>
      <c r="E35" s="289" t="s">
        <v>1898</v>
      </c>
      <c r="F35" s="289"/>
      <c r="G35" s="488">
        <f ca="1">OFFSET('Asset Allocation'!$B$9, MATCH($E35,OFFSET('Asset Allocation'!$B$9,,,COUNTA('Asset Allocation'!$B:$B)-COUNTA('Asset Allocation'!$B$1:$B$9)),0)-1, MATCH(G$5,'Asset Allocation'!$D$5:$M$5,0)+2)</f>
        <v>0.11</v>
      </c>
      <c r="H35" s="371">
        <f ca="1">SUM(H36:H39)</f>
        <v>0.11</v>
      </c>
      <c r="I35" s="488">
        <f ca="1">OFFSET('Asset Allocation'!$B$9, MATCH($E35,OFFSET('Asset Allocation'!$B$9,,,COUNTA('Asset Allocation'!$B:$B)-COUNTA('Asset Allocation'!$B$1:$B$9)),0)-1, MATCH(I$5,'Asset Allocation'!$D$5:$M$5,0)+2)</f>
        <v>0.11</v>
      </c>
      <c r="J35" s="371">
        <f ca="1">SUM(J36:J39)</f>
        <v>0.11</v>
      </c>
      <c r="K35" s="488">
        <f ca="1">OFFSET('Asset Allocation'!$B$9, MATCH($E35,OFFSET('Asset Allocation'!$B$9,,,COUNTA('Asset Allocation'!$B:$B)-COUNTA('Asset Allocation'!$B$1:$B$9)),0)-1, MATCH(K$5,'Asset Allocation'!$D$5:$M$5,0)+2)</f>
        <v>7.4999999999999997E-2</v>
      </c>
      <c r="L35" s="371">
        <f ca="1">SUM(L36:L39)</f>
        <v>7.4999999999999997E-2</v>
      </c>
      <c r="M35" s="488">
        <f ca="1">OFFSET('Asset Allocation'!$B$9, MATCH($E35,OFFSET('Asset Allocation'!$B$9,,,COUNTA('Asset Allocation'!$B:$B)-COUNTA('Asset Allocation'!$B$1:$B$9)),0)-1, MATCH(M$5,'Asset Allocation'!$D$5:$M$5,0)+2)</f>
        <v>0.15</v>
      </c>
      <c r="N35" s="371">
        <f ca="1">SUM(N36:N39)</f>
        <v>0.15</v>
      </c>
      <c r="O35" s="488">
        <f ca="1">OFFSET('Asset Allocation'!$B$9, MATCH($E35,OFFSET('Asset Allocation'!$B$9,,,COUNTA('Asset Allocation'!$B:$B)-COUNTA('Asset Allocation'!$B$1:$B$9)),0)-1, MATCH(O$5,'Asset Allocation'!$D$5:$M$5,0)+2)</f>
        <v>0.11</v>
      </c>
      <c r="P35" s="371">
        <f ca="1">SUM(P36:P39)</f>
        <v>0.11</v>
      </c>
      <c r="R35" s="287"/>
    </row>
    <row r="36" spans="2:18" s="525" customFormat="1" ht="15">
      <c r="B36" s="472"/>
      <c r="C36" s="472"/>
      <c r="D36" s="472"/>
      <c r="E36" s="496" t="s">
        <v>991</v>
      </c>
      <c r="F36" s="496"/>
      <c r="G36" s="484">
        <v>0.5</v>
      </c>
      <c r="H36" s="524">
        <f ca="1">IF(G36="","", G36*G$35)</f>
        <v>5.5E-2</v>
      </c>
      <c r="I36" s="484">
        <f ca="1">5%/I35</f>
        <v>0.45454545454545459</v>
      </c>
      <c r="J36" s="524">
        <f t="shared" ref="H36:J38" ca="1" si="11">IF(I36="","", I36*I$35)</f>
        <v>0.05</v>
      </c>
      <c r="K36" s="484">
        <v>0.5</v>
      </c>
      <c r="L36" s="524">
        <f ca="1">IF(K36="","", K36*K$35)</f>
        <v>3.7499999999999999E-2</v>
      </c>
      <c r="M36" s="484">
        <v>0.5</v>
      </c>
      <c r="N36" s="524">
        <f ca="1">IF(M36="","", M36*M$35)</f>
        <v>7.4999999999999997E-2</v>
      </c>
      <c r="O36" s="484">
        <v>0.5</v>
      </c>
      <c r="P36" s="524">
        <f ca="1">IF(O36="","", O36*O$35)</f>
        <v>5.5E-2</v>
      </c>
    </row>
    <row r="37" spans="2:18" s="525" customFormat="1" ht="15">
      <c r="B37" s="472"/>
      <c r="C37" s="472"/>
      <c r="D37" s="472"/>
      <c r="E37" s="496" t="s">
        <v>1876</v>
      </c>
      <c r="F37" s="496"/>
      <c r="G37" s="484">
        <v>0.2</v>
      </c>
      <c r="H37" s="524">
        <f t="shared" ca="1" si="11"/>
        <v>2.2000000000000002E-2</v>
      </c>
      <c r="I37" s="484">
        <f ca="1">3%/$I$35</f>
        <v>0.27272727272727271</v>
      </c>
      <c r="J37" s="524">
        <f t="shared" ca="1" si="11"/>
        <v>0.03</v>
      </c>
      <c r="K37" s="484">
        <v>0.2</v>
      </c>
      <c r="L37" s="524">
        <f ca="1">IF(K37="","", K37*K$35)</f>
        <v>1.4999999999999999E-2</v>
      </c>
      <c r="M37" s="484">
        <v>0.2</v>
      </c>
      <c r="N37" s="524">
        <f ca="1">IF(M37="","", M37*M$35)</f>
        <v>0.03</v>
      </c>
      <c r="O37" s="484">
        <v>0.2</v>
      </c>
      <c r="P37" s="524">
        <f ca="1">IF(O37="","", O37*O$35)</f>
        <v>2.2000000000000002E-2</v>
      </c>
    </row>
    <row r="38" spans="2:18" s="525" customFormat="1" ht="15">
      <c r="B38" s="472"/>
      <c r="C38" s="472"/>
      <c r="D38" s="472"/>
      <c r="E38" s="496" t="s">
        <v>1877</v>
      </c>
      <c r="F38" s="496"/>
      <c r="G38" s="484">
        <v>0.3</v>
      </c>
      <c r="H38" s="524">
        <f t="shared" ca="1" si="11"/>
        <v>3.3000000000000002E-2</v>
      </c>
      <c r="I38" s="484">
        <f ca="1">3%/$I$35</f>
        <v>0.27272727272727271</v>
      </c>
      <c r="J38" s="524">
        <f t="shared" ca="1" si="11"/>
        <v>0.03</v>
      </c>
      <c r="K38" s="484">
        <v>0.3</v>
      </c>
      <c r="L38" s="524">
        <f ca="1">IF(K38="","", K38*K$35)</f>
        <v>2.2499999999999999E-2</v>
      </c>
      <c r="M38" s="484">
        <v>0.3</v>
      </c>
      <c r="N38" s="524">
        <f ca="1">IF(M38="","", M38*M$35)</f>
        <v>4.4999999999999998E-2</v>
      </c>
      <c r="O38" s="484">
        <v>0.3</v>
      </c>
      <c r="P38" s="524">
        <f ca="1">IF(O38="","", O38*O$35)</f>
        <v>3.3000000000000002E-2</v>
      </c>
    </row>
    <row r="39" spans="2:18" s="282" customFormat="1" ht="8.25" customHeight="1">
      <c r="B39" s="485"/>
      <c r="C39" s="485"/>
      <c r="D39" s="485"/>
      <c r="E39" s="316"/>
      <c r="F39" s="316"/>
      <c r="G39" s="526"/>
      <c r="H39" s="527" t="str">
        <f>IF(G39="","", G39*G$11)</f>
        <v/>
      </c>
      <c r="I39" s="570"/>
      <c r="J39" s="527" t="str">
        <f>IF(I39="","", I39*I$11)</f>
        <v/>
      </c>
      <c r="K39" s="526"/>
      <c r="L39" s="527" t="str">
        <f>IF(K39="","", K39*K$11)</f>
        <v/>
      </c>
      <c r="M39" s="526"/>
      <c r="N39" s="527" t="str">
        <f>IF(M39="","", M39*M$11)</f>
        <v/>
      </c>
      <c r="O39" s="526"/>
      <c r="P39" s="527" t="str">
        <f>IF(O39="","", O39*O$11)</f>
        <v/>
      </c>
      <c r="R39" s="521"/>
    </row>
    <row r="40" spans="2:18" s="282" customFormat="1" ht="15">
      <c r="B40" s="485"/>
      <c r="C40" s="485"/>
      <c r="D40" s="485" t="s">
        <v>20</v>
      </c>
      <c r="E40" s="289" t="s">
        <v>1888</v>
      </c>
      <c r="F40" s="289"/>
      <c r="G40" s="488">
        <f ca="1">OFFSET('Asset Allocation'!$B$9, MATCH($E40,OFFSET('Asset Allocation'!$B$9,,,COUNTA('Asset Allocation'!$B:$B)-COUNTA('Asset Allocation'!$B$1:$B$9)),0)-1, MATCH(G$5,'Asset Allocation'!$D$5:$M$5,0)+2)</f>
        <v>0.04</v>
      </c>
      <c r="H40" s="371">
        <f ca="1">SUM(H41:H43)</f>
        <v>4.0000000000000008E-2</v>
      </c>
      <c r="I40" s="488">
        <f ca="1">OFFSET('Asset Allocation'!$B$9, MATCH($E40,OFFSET('Asset Allocation'!$B$9,,,COUNTA('Asset Allocation'!$B:$B)-COUNTA('Asset Allocation'!$B$1:$B$9)),0)-1, MATCH(I$5,'Asset Allocation'!$D$5:$M$5,0)+2)</f>
        <v>0.04</v>
      </c>
      <c r="J40" s="371">
        <f ca="1">SUM(J41:J43)</f>
        <v>0.04</v>
      </c>
      <c r="K40" s="488">
        <f ca="1">OFFSET('Asset Allocation'!$B$9, MATCH($E40,OFFSET('Asset Allocation'!$B$9,,,COUNTA('Asset Allocation'!$B:$B)-COUNTA('Asset Allocation'!$B$1:$B$9)),0)-1, MATCH(K$5,'Asset Allocation'!$D$5:$M$5,0)+2)</f>
        <v>2.5000000000000001E-2</v>
      </c>
      <c r="L40" s="371">
        <f ca="1">SUM(L41:L43)</f>
        <v>2.5000000000000001E-2</v>
      </c>
      <c r="M40" s="488">
        <f ca="1">OFFSET('Asset Allocation'!$B$9, MATCH($E40,OFFSET('Asset Allocation'!$B$9,,,COUNTA('Asset Allocation'!$B:$B)-COUNTA('Asset Allocation'!$B$1:$B$9)),0)-1, MATCH(M$5,'Asset Allocation'!$D$5:$M$5,0)+2)</f>
        <v>0.05</v>
      </c>
      <c r="N40" s="371">
        <f ca="1">SUM(N41:N43)</f>
        <v>0.05</v>
      </c>
      <c r="O40" s="488">
        <f ca="1">OFFSET('Asset Allocation'!$B$9, MATCH($E40,OFFSET('Asset Allocation'!$B$9,,,COUNTA('Asset Allocation'!$B:$B)-COUNTA('Asset Allocation'!$B$1:$B$9)),0)-1, MATCH(O$5,'Asset Allocation'!$D$5:$M$5,0)+2)</f>
        <v>0.04</v>
      </c>
      <c r="P40" s="371">
        <f ca="1">SUM(P41:P43)</f>
        <v>4.0000000000000008E-2</v>
      </c>
      <c r="R40" s="287"/>
    </row>
    <row r="41" spans="2:18" s="525" customFormat="1" ht="15">
      <c r="B41" s="472"/>
      <c r="C41" s="472"/>
      <c r="D41" s="472"/>
      <c r="E41" s="496" t="s">
        <v>1918</v>
      </c>
      <c r="F41" s="496"/>
      <c r="G41" s="484">
        <v>0.45</v>
      </c>
      <c r="H41" s="524">
        <f ca="1">IF(G41="","", G41*G$40)</f>
        <v>1.8000000000000002E-2</v>
      </c>
      <c r="I41" s="484">
        <v>0.5</v>
      </c>
      <c r="J41" s="524">
        <f ca="1">IF(I41="","", I41*I$40)</f>
        <v>0.02</v>
      </c>
      <c r="K41" s="484">
        <v>0.45</v>
      </c>
      <c r="L41" s="524">
        <f ca="1">IF(K41="","", K41*K$40)</f>
        <v>1.1250000000000001E-2</v>
      </c>
      <c r="M41" s="484">
        <v>0.45</v>
      </c>
      <c r="N41" s="524">
        <f ca="1">IF(M41="","", M41*M$40)</f>
        <v>2.2500000000000003E-2</v>
      </c>
      <c r="O41" s="484">
        <v>0.45</v>
      </c>
      <c r="P41" s="524">
        <f ca="1">IF(O41="","", O41*O$40)</f>
        <v>1.8000000000000002E-2</v>
      </c>
    </row>
    <row r="42" spans="2:18" s="525" customFormat="1" ht="15">
      <c r="B42" s="472"/>
      <c r="C42" s="472"/>
      <c r="D42" s="472"/>
      <c r="E42" s="496" t="s">
        <v>1919</v>
      </c>
      <c r="F42" s="496"/>
      <c r="G42" s="484">
        <v>0.55000000000000004</v>
      </c>
      <c r="H42" s="524">
        <f ca="1">IF(G42="","", G42*G$40)</f>
        <v>2.2000000000000002E-2</v>
      </c>
      <c r="I42" s="484">
        <v>0.5</v>
      </c>
      <c r="J42" s="524">
        <f ca="1">IF(I42="","", I42*I$40)</f>
        <v>0.02</v>
      </c>
      <c r="K42" s="484">
        <v>0.55000000000000004</v>
      </c>
      <c r="L42" s="524">
        <f ca="1">IF(K42="","", K42*K$40)</f>
        <v>1.3750000000000002E-2</v>
      </c>
      <c r="M42" s="484">
        <v>0.55000000000000004</v>
      </c>
      <c r="N42" s="524">
        <f ca="1">IF(M42="","", M42*M$40)</f>
        <v>2.7500000000000004E-2</v>
      </c>
      <c r="O42" s="484">
        <v>0.55000000000000004</v>
      </c>
      <c r="P42" s="524">
        <f ca="1">IF(O42="","", O42*O$40)</f>
        <v>2.2000000000000002E-2</v>
      </c>
    </row>
    <row r="43" spans="2:18" s="282" customFormat="1" ht="8.25" customHeight="1">
      <c r="B43" s="485"/>
      <c r="C43" s="485"/>
      <c r="D43" s="485"/>
      <c r="E43" s="316"/>
      <c r="F43" s="316"/>
      <c r="G43" s="526"/>
      <c r="H43" s="527" t="str">
        <f>IF(G43="","", G43*G$11)</f>
        <v/>
      </c>
      <c r="I43" s="484"/>
      <c r="J43" s="527" t="str">
        <f>IF(I43="","", I43*I$11)</f>
        <v/>
      </c>
      <c r="K43" s="526"/>
      <c r="L43" s="527" t="str">
        <f>IF(K43="","", K43*K$11)</f>
        <v/>
      </c>
      <c r="M43" s="526"/>
      <c r="N43" s="527" t="str">
        <f>IF(M43="","", M43*M$11)</f>
        <v/>
      </c>
      <c r="O43" s="526"/>
      <c r="P43" s="527" t="str">
        <f>IF(O43="","", O43*O$11)</f>
        <v/>
      </c>
      <c r="R43" s="521"/>
    </row>
    <row r="44" spans="2:18" s="282" customFormat="1" ht="15">
      <c r="B44" s="485"/>
      <c r="C44" s="485" t="s">
        <v>20</v>
      </c>
      <c r="D44" s="485" t="s">
        <v>20</v>
      </c>
      <c r="E44" s="284" t="s">
        <v>1009</v>
      </c>
      <c r="F44" s="284"/>
      <c r="G44" s="493">
        <f ca="1">OFFSET('Asset Allocation'!$B$9, MATCH($E44,OFFSET('Asset Allocation'!$B$9,,,COUNTA('Asset Allocation'!$B:$B)-COUNTA('Asset Allocation'!$B$1:$B$9)),0)-1, MATCH(G$5,'Asset Allocation'!$D$5:$M$5,0)+2)</f>
        <v>0.03</v>
      </c>
      <c r="H44" s="522">
        <f ca="1">H46+H50+H54</f>
        <v>0.03</v>
      </c>
      <c r="I44" s="493">
        <f ca="1">OFFSET('Asset Allocation'!$B$9, MATCH($E44,OFFSET('Asset Allocation'!$B$9,,,COUNTA('Asset Allocation'!$B:$B)-COUNTA('Asset Allocation'!$B$1:$B$9)),0)-1, MATCH(I$5,'Asset Allocation'!$D$5:$M$5,0)+2)</f>
        <v>0.05</v>
      </c>
      <c r="J44" s="522">
        <f ca="1">J46+J50+J54</f>
        <v>0.05</v>
      </c>
      <c r="K44" s="493">
        <f ca="1">OFFSET('Asset Allocation'!$B$9, MATCH($E44,OFFSET('Asset Allocation'!$B$9,,,COUNTA('Asset Allocation'!$B:$B)-COUNTA('Asset Allocation'!$B$1:$B$9)),0)-1, MATCH(K$5,'Asset Allocation'!$D$5:$M$5,0)+2)</f>
        <v>0.06</v>
      </c>
      <c r="L44" s="522">
        <f ca="1">L46+L50+L54</f>
        <v>0.06</v>
      </c>
      <c r="M44" s="493">
        <f ca="1">OFFSET('Asset Allocation'!$B$9, MATCH($E44,OFFSET('Asset Allocation'!$B$9,,,COUNTA('Asset Allocation'!$B:$B)-COUNTA('Asset Allocation'!$B$1:$B$9)),0)-1, MATCH(M$5,'Asset Allocation'!$D$5:$M$5,0)+2)</f>
        <v>7.0000000000000007E-2</v>
      </c>
      <c r="N44" s="522">
        <f ca="1">N46+N50+N54</f>
        <v>7.0000000000000007E-2</v>
      </c>
      <c r="O44" s="493">
        <f ca="1">OFFSET('Asset Allocation'!$B$9, MATCH($E44,OFFSET('Asset Allocation'!$B$9,,,COUNTA('Asset Allocation'!$B:$B)-COUNTA('Asset Allocation'!$B$1:$B$9)),0)-1, MATCH(O$5,'Asset Allocation'!$D$5:$M$5,0)+2)</f>
        <v>0.08</v>
      </c>
      <c r="P44" s="523">
        <f ca="1">P46+P50+P54</f>
        <v>0.08</v>
      </c>
      <c r="R44" s="287"/>
    </row>
    <row r="45" spans="2:18" s="282" customFormat="1" ht="3" customHeight="1">
      <c r="B45" s="485"/>
      <c r="C45" s="485"/>
      <c r="D45" s="485"/>
      <c r="G45" s="519"/>
      <c r="H45" s="520"/>
      <c r="I45" s="519"/>
      <c r="J45" s="520"/>
      <c r="K45" s="519"/>
      <c r="L45" s="520"/>
      <c r="M45" s="519"/>
      <c r="N45" s="520"/>
      <c r="O45" s="519"/>
      <c r="P45" s="520"/>
      <c r="R45" s="287"/>
    </row>
    <row r="46" spans="2:18" s="282" customFormat="1" ht="15">
      <c r="B46" s="485"/>
      <c r="C46" s="485"/>
      <c r="D46" s="485" t="s">
        <v>20</v>
      </c>
      <c r="E46" s="289" t="s">
        <v>1892</v>
      </c>
      <c r="F46" s="289"/>
      <c r="G46" s="488">
        <f ca="1">OFFSET('Asset Allocation'!$B$9, MATCH($E46,OFFSET('Asset Allocation'!$B$9,,,COUNTA('Asset Allocation'!$B:$B)-COUNTA('Asset Allocation'!$B$1:$B$9)),0)-1, MATCH(G$5,'Asset Allocation'!$D$5:$M$5,0)+2)</f>
        <v>0.02</v>
      </c>
      <c r="H46" s="371">
        <f ca="1">SUM(H47:H49)</f>
        <v>0.02</v>
      </c>
      <c r="I46" s="488">
        <f ca="1">OFFSET('Asset Allocation'!$B$9, MATCH($E46,OFFSET('Asset Allocation'!$B$9,,,COUNTA('Asset Allocation'!$B:$B)-COUNTA('Asset Allocation'!$B$1:$B$9)),0)-1, MATCH(I$5,'Asset Allocation'!$D$5:$M$5,0)+2)</f>
        <v>3.5000000000000003E-2</v>
      </c>
      <c r="J46" s="371">
        <f ca="1">SUM(J47:J49)</f>
        <v>3.5000000000000003E-2</v>
      </c>
      <c r="K46" s="488">
        <f ca="1">OFFSET('Asset Allocation'!$B$9, MATCH($E46,OFFSET('Asset Allocation'!$B$9,,,COUNTA('Asset Allocation'!$B:$B)-COUNTA('Asset Allocation'!$B$1:$B$9)),0)-1, MATCH(K$5,'Asset Allocation'!$D$5:$M$5,0)+2)</f>
        <v>0.04</v>
      </c>
      <c r="L46" s="371">
        <f ca="1">SUM(L47:L49)</f>
        <v>0.04</v>
      </c>
      <c r="M46" s="488">
        <f ca="1">OFFSET('Asset Allocation'!$B$9, MATCH($E46,OFFSET('Asset Allocation'!$B$9,,,COUNTA('Asset Allocation'!$B:$B)-COUNTA('Asset Allocation'!$B$1:$B$9)),0)-1, MATCH(M$5,'Asset Allocation'!$D$5:$M$5,0)+2)</f>
        <v>4.4999999999999998E-2</v>
      </c>
      <c r="N46" s="371">
        <f ca="1">SUM(N47:N49)</f>
        <v>4.4999999999999998E-2</v>
      </c>
      <c r="O46" s="488">
        <f ca="1">OFFSET('Asset Allocation'!$B$9, MATCH($E46,OFFSET('Asset Allocation'!$B$9,,,COUNTA('Asset Allocation'!$B:$B)-COUNTA('Asset Allocation'!$B$1:$B$9)),0)-1, MATCH(O$5,'Asset Allocation'!$D$5:$M$5,0)+2)</f>
        <v>0.05</v>
      </c>
      <c r="P46" s="371">
        <f ca="1">SUM(P47:P49)</f>
        <v>0.05</v>
      </c>
      <c r="R46" s="287"/>
    </row>
    <row r="47" spans="2:18" s="525" customFormat="1" ht="15">
      <c r="B47" s="472"/>
      <c r="C47" s="472"/>
      <c r="D47" s="472"/>
      <c r="E47" s="496" t="s">
        <v>1920</v>
      </c>
      <c r="F47" s="496"/>
      <c r="G47" s="484">
        <v>0.5</v>
      </c>
      <c r="H47" s="524">
        <f ca="1">IF(G47="","", G47*G$46)</f>
        <v>0.01</v>
      </c>
      <c r="I47" s="484">
        <v>0.5</v>
      </c>
      <c r="J47" s="524">
        <f ca="1">IF(I47="","", I47*I$46)</f>
        <v>1.7500000000000002E-2</v>
      </c>
      <c r="K47" s="484">
        <v>0.5</v>
      </c>
      <c r="L47" s="524">
        <f ca="1">IF(K47="","", K47*K$46)</f>
        <v>0.02</v>
      </c>
      <c r="M47" s="484">
        <v>0.5</v>
      </c>
      <c r="N47" s="524">
        <f ca="1">IF(M47="","", M47*M$46)</f>
        <v>2.2499999999999999E-2</v>
      </c>
      <c r="O47" s="484">
        <v>0.5</v>
      </c>
      <c r="P47" s="524">
        <f ca="1">IF(O47="","", O47*O$46)</f>
        <v>2.5000000000000001E-2</v>
      </c>
    </row>
    <row r="48" spans="2:18" s="525" customFormat="1" ht="15">
      <c r="B48" s="472"/>
      <c r="C48" s="472"/>
      <c r="D48" s="472"/>
      <c r="E48" s="496" t="s">
        <v>1921</v>
      </c>
      <c r="F48" s="496"/>
      <c r="G48" s="484">
        <v>0.5</v>
      </c>
      <c r="H48" s="524">
        <f t="shared" ref="H48:J49" ca="1" si="12">IF(G48="","", G48*G$46)</f>
        <v>0.01</v>
      </c>
      <c r="I48" s="484">
        <v>0.5</v>
      </c>
      <c r="J48" s="524">
        <f t="shared" ca="1" si="12"/>
        <v>1.7500000000000002E-2</v>
      </c>
      <c r="K48" s="484">
        <v>0.5</v>
      </c>
      <c r="L48" s="524">
        <f ca="1">IF(K48="","", K48*K$46)</f>
        <v>0.02</v>
      </c>
      <c r="M48" s="484">
        <v>0.5</v>
      </c>
      <c r="N48" s="524">
        <f ca="1">IF(M48="","", M48*M$46)</f>
        <v>2.2499999999999999E-2</v>
      </c>
      <c r="O48" s="484">
        <v>0.5</v>
      </c>
      <c r="P48" s="524">
        <f ca="1">IF(O48="","", O48*O$46)</f>
        <v>2.5000000000000001E-2</v>
      </c>
    </row>
    <row r="49" spans="2:18" s="525" customFormat="1" ht="5.25" customHeight="1">
      <c r="B49" s="472"/>
      <c r="C49" s="472"/>
      <c r="D49" s="472"/>
      <c r="E49" s="297"/>
      <c r="F49" s="297"/>
      <c r="G49" s="526"/>
      <c r="H49" s="527" t="str">
        <f t="shared" si="12"/>
        <v/>
      </c>
      <c r="I49" s="526"/>
      <c r="J49" s="527" t="str">
        <f t="shared" si="12"/>
        <v/>
      </c>
      <c r="K49" s="526"/>
      <c r="L49" s="527" t="str">
        <f>IF(K49="","", K49*K$46)</f>
        <v/>
      </c>
      <c r="M49" s="526"/>
      <c r="N49" s="527" t="str">
        <f>IF(M49="","", M49*M$46)</f>
        <v/>
      </c>
      <c r="O49" s="526"/>
      <c r="P49" s="527" t="str">
        <f>IF(O49="","", O49*O$46)</f>
        <v/>
      </c>
    </row>
    <row r="50" spans="2:18" s="282" customFormat="1" ht="15">
      <c r="B50" s="485"/>
      <c r="C50" s="485"/>
      <c r="D50" s="485" t="s">
        <v>20</v>
      </c>
      <c r="E50" s="289" t="s">
        <v>1899</v>
      </c>
      <c r="F50" s="289"/>
      <c r="G50" s="488">
        <f ca="1">OFFSET('Asset Allocation'!$B$9, MATCH($E50,OFFSET('Asset Allocation'!$B$9,,,COUNTA('Asset Allocation'!$B:$B)-COUNTA('Asset Allocation'!$B$1:$B$9)),0)-1, MATCH(G$5,'Asset Allocation'!$D$5:$M$5,0)+2)</f>
        <v>0.01</v>
      </c>
      <c r="H50" s="371">
        <f ca="1">SUM(H51:H53)</f>
        <v>0.01</v>
      </c>
      <c r="I50" s="488">
        <f ca="1">OFFSET('Asset Allocation'!$B$9, MATCH($E50,OFFSET('Asset Allocation'!$B$9,,,COUNTA('Asset Allocation'!$B:$B)-COUNTA('Asset Allocation'!$B$1:$B$9)),0)-1, MATCH(I$5,'Asset Allocation'!$D$5:$M$5,0)+2)</f>
        <v>1.4999999999999999E-2</v>
      </c>
      <c r="J50" s="371">
        <f ca="1">SUM(J51:J53)</f>
        <v>1.4999999999999999E-2</v>
      </c>
      <c r="K50" s="488">
        <f ca="1">OFFSET('Asset Allocation'!$B$9, MATCH($E50,OFFSET('Asset Allocation'!$B$9,,,COUNTA('Asset Allocation'!$B:$B)-COUNTA('Asset Allocation'!$B$1:$B$9)),0)-1, MATCH(K$5,'Asset Allocation'!$D$5:$M$5,0)+2)</f>
        <v>0.02</v>
      </c>
      <c r="L50" s="371">
        <f ca="1">SUM(L51:L53)</f>
        <v>0.02</v>
      </c>
      <c r="M50" s="488">
        <f ca="1">OFFSET('Asset Allocation'!$B$9, MATCH($E50,OFFSET('Asset Allocation'!$B$9,,,COUNTA('Asset Allocation'!$B:$B)-COUNTA('Asset Allocation'!$B$1:$B$9)),0)-1, MATCH(M$5,'Asset Allocation'!$D$5:$M$5,0)+2)</f>
        <v>2.5000000000000001E-2</v>
      </c>
      <c r="N50" s="371">
        <f ca="1">SUM(N51:N53)</f>
        <v>2.5000000000000001E-2</v>
      </c>
      <c r="O50" s="488">
        <f ca="1">OFFSET('Asset Allocation'!$B$9, MATCH($E50,OFFSET('Asset Allocation'!$B$9,,,COUNTA('Asset Allocation'!$B:$B)-COUNTA('Asset Allocation'!$B$1:$B$9)),0)-1, MATCH(O$5,'Asset Allocation'!$D$5:$M$5,0)+2)</f>
        <v>0.03</v>
      </c>
      <c r="P50" s="371">
        <f ca="1">SUM(P51:P53)</f>
        <v>0.03</v>
      </c>
      <c r="R50" s="287"/>
    </row>
    <row r="51" spans="2:18" s="525" customFormat="1" ht="15">
      <c r="B51" s="472"/>
      <c r="C51" s="472"/>
      <c r="D51" s="472"/>
      <c r="E51" s="496" t="s">
        <v>1922</v>
      </c>
      <c r="F51" s="496"/>
      <c r="G51" s="484">
        <v>0.5</v>
      </c>
      <c r="H51" s="524">
        <f ca="1">IF(G51="","", G51*G$50)</f>
        <v>5.0000000000000001E-3</v>
      </c>
      <c r="I51" s="484">
        <v>0.5</v>
      </c>
      <c r="J51" s="524">
        <f ca="1">IF(I51="","", I51*I$50)</f>
        <v>7.4999999999999997E-3</v>
      </c>
      <c r="K51" s="484">
        <v>0.5</v>
      </c>
      <c r="L51" s="524">
        <f ca="1">IF(K51="","", K51*K$50)</f>
        <v>0.01</v>
      </c>
      <c r="M51" s="484">
        <v>0.5</v>
      </c>
      <c r="N51" s="524">
        <f ca="1">IF(M51="","", M51*M$50)</f>
        <v>1.2500000000000001E-2</v>
      </c>
      <c r="O51" s="484">
        <v>0.5</v>
      </c>
      <c r="P51" s="524">
        <f ca="1">IF(O51="","", O51*O$50)</f>
        <v>1.4999999999999999E-2</v>
      </c>
    </row>
    <row r="52" spans="2:18" s="525" customFormat="1" ht="15">
      <c r="B52" s="472"/>
      <c r="C52" s="472"/>
      <c r="D52" s="472"/>
      <c r="E52" s="496" t="s">
        <v>1923</v>
      </c>
      <c r="F52" s="496"/>
      <c r="G52" s="484">
        <v>0.5</v>
      </c>
      <c r="H52" s="524">
        <f t="shared" ref="H52:J53" ca="1" si="13">IF(G52="","", G52*G$50)</f>
        <v>5.0000000000000001E-3</v>
      </c>
      <c r="I52" s="484">
        <v>0.5</v>
      </c>
      <c r="J52" s="557">
        <f t="shared" ca="1" si="13"/>
        <v>7.4999999999999997E-3</v>
      </c>
      <c r="K52" s="484">
        <v>0.5</v>
      </c>
      <c r="L52" s="557">
        <f ca="1">IF(K52="","", K52*K$50)</f>
        <v>0.01</v>
      </c>
      <c r="M52" s="484">
        <v>0.5</v>
      </c>
      <c r="N52" s="557">
        <f ca="1">IF(M52="","", M52*M$50)</f>
        <v>1.2500000000000001E-2</v>
      </c>
      <c r="O52" s="484">
        <v>0.5</v>
      </c>
      <c r="P52" s="524">
        <f ca="1">IF(O52="","", O52*O$50)</f>
        <v>1.4999999999999999E-2</v>
      </c>
    </row>
    <row r="53" spans="2:18" s="525" customFormat="1" ht="5.25" customHeight="1">
      <c r="B53" s="472"/>
      <c r="C53" s="472"/>
      <c r="D53" s="472"/>
      <c r="E53" s="297"/>
      <c r="F53" s="297"/>
      <c r="G53" s="526"/>
      <c r="H53" s="527" t="str">
        <f t="shared" si="13"/>
        <v/>
      </c>
      <c r="I53" s="526"/>
      <c r="J53" s="527" t="str">
        <f t="shared" si="13"/>
        <v/>
      </c>
      <c r="K53" s="526"/>
      <c r="L53" s="527" t="str">
        <f>IF(K53="","", K53*K$50)</f>
        <v/>
      </c>
      <c r="M53" s="526"/>
      <c r="N53" s="527" t="str">
        <f>IF(M53="","", M53*M$50)</f>
        <v/>
      </c>
      <c r="O53" s="526"/>
      <c r="P53" s="527" t="str">
        <f>IF(O53="","", O53*O$50)</f>
        <v/>
      </c>
    </row>
    <row r="54" spans="2:18" s="282" customFormat="1" ht="15">
      <c r="B54" s="485"/>
      <c r="C54" s="485"/>
      <c r="D54" s="485" t="s">
        <v>20</v>
      </c>
      <c r="E54" s="289" t="s">
        <v>1889</v>
      </c>
      <c r="F54" s="289"/>
      <c r="G54" s="488">
        <f ca="1">OFFSET('Asset Allocation'!$B$9, MATCH($E54,OFFSET('Asset Allocation'!$B$9,,,COUNTA('Asset Allocation'!$B:$B)-COUNTA('Asset Allocation'!$B$1:$B$9)),0)-1, MATCH(G$5,'Asset Allocation'!$D$5:$M$5,0)+2)</f>
        <v>0</v>
      </c>
      <c r="H54" s="371">
        <f>SUM(H55:H57)</f>
        <v>0</v>
      </c>
      <c r="I54" s="488">
        <f ca="1">OFFSET('Asset Allocation'!$B$9, MATCH($E54,OFFSET('Asset Allocation'!$B$9,,,COUNTA('Asset Allocation'!$B:$B)-COUNTA('Asset Allocation'!$B$1:$B$9)),0)-1, MATCH(I$5,'Asset Allocation'!$D$5:$M$5,0)+2)</f>
        <v>0</v>
      </c>
      <c r="J54" s="371">
        <f>SUM(J55:J57)</f>
        <v>0</v>
      </c>
      <c r="K54" s="488">
        <f ca="1">OFFSET('Asset Allocation'!$B$9, MATCH($E54,OFFSET('Asset Allocation'!$B$9,,,COUNTA('Asset Allocation'!$B:$B)-COUNTA('Asset Allocation'!$B$1:$B$9)),0)-1, MATCH(K$5,'Asset Allocation'!$D$5:$M$5,0)+2)</f>
        <v>0</v>
      </c>
      <c r="L54" s="371">
        <f>SUM(L55:L57)</f>
        <v>0</v>
      </c>
      <c r="M54" s="488">
        <f ca="1">OFFSET('Asset Allocation'!$B$9, MATCH($E54,OFFSET('Asset Allocation'!$B$9,,,COUNTA('Asset Allocation'!$B:$B)-COUNTA('Asset Allocation'!$B$1:$B$9)),0)-1, MATCH(M$5,'Asset Allocation'!$D$5:$M$5,0)+2)</f>
        <v>0</v>
      </c>
      <c r="N54" s="371">
        <f>SUM(N55:N57)</f>
        <v>0</v>
      </c>
      <c r="O54" s="488">
        <f ca="1">OFFSET('Asset Allocation'!$B$9, MATCH($E54,OFFSET('Asset Allocation'!$B$9,,,COUNTA('Asset Allocation'!$B:$B)-COUNTA('Asset Allocation'!$B$1:$B$9)),0)-1, MATCH(O$5,'Asset Allocation'!$D$5:$M$5,0)+2)</f>
        <v>0</v>
      </c>
      <c r="P54" s="371">
        <f>SUM(P55:P57)</f>
        <v>0</v>
      </c>
      <c r="R54" s="287"/>
    </row>
    <row r="55" spans="2:18" s="525" customFormat="1" ht="15">
      <c r="B55" s="472"/>
      <c r="C55" s="472"/>
      <c r="D55" s="472"/>
      <c r="E55" s="496"/>
      <c r="F55" s="496"/>
      <c r="G55" s="484"/>
      <c r="H55" s="524" t="str">
        <f>IF(G55="","", G55*G$54)</f>
        <v/>
      </c>
      <c r="I55" s="484"/>
      <c r="J55" s="524" t="str">
        <f>IF(I55="","", I55*I$54)</f>
        <v/>
      </c>
      <c r="K55" s="484"/>
      <c r="L55" s="524" t="str">
        <f>IF(K55="","", K55*K$54)</f>
        <v/>
      </c>
      <c r="M55" s="484"/>
      <c r="N55" s="524" t="str">
        <f>IF(M55="","", M55*M$54)</f>
        <v/>
      </c>
      <c r="O55" s="484"/>
      <c r="P55" s="524" t="str">
        <f>IF(O55="","", O55*O$54)</f>
        <v/>
      </c>
    </row>
    <row r="56" spans="2:18" s="525" customFormat="1" ht="15">
      <c r="B56" s="472"/>
      <c r="C56" s="472"/>
      <c r="D56" s="472"/>
      <c r="E56" s="496"/>
      <c r="F56" s="496"/>
      <c r="G56" s="484"/>
      <c r="H56" s="524" t="str">
        <f>IF(G56="","", G56*G$54)</f>
        <v/>
      </c>
      <c r="I56" s="484"/>
      <c r="J56" s="524" t="str">
        <f>IF(I56="","", I56*I$54)</f>
        <v/>
      </c>
      <c r="K56" s="484"/>
      <c r="L56" s="524" t="str">
        <f>IF(K56="","", K56*K$54)</f>
        <v/>
      </c>
      <c r="M56" s="484"/>
      <c r="N56" s="524" t="str">
        <f>IF(M56="","", M56*M$54)</f>
        <v/>
      </c>
      <c r="O56" s="484"/>
      <c r="P56" s="524" t="str">
        <f>IF(O56="","", O56*O$54)</f>
        <v/>
      </c>
    </row>
    <row r="57" spans="2:18" s="282" customFormat="1" ht="9" customHeight="1">
      <c r="B57" s="485"/>
      <c r="C57" s="485"/>
      <c r="D57" s="485"/>
      <c r="E57" s="569"/>
      <c r="F57" s="569"/>
      <c r="G57" s="526"/>
      <c r="H57" s="527" t="str">
        <f>IF(G57="","", G57*G$11)</f>
        <v/>
      </c>
      <c r="I57" s="570"/>
      <c r="J57" s="527" t="str">
        <f>IF(I57="","", I57*I$11)</f>
        <v/>
      </c>
      <c r="K57" s="526"/>
      <c r="L57" s="527" t="str">
        <f>IF(K57="","", K57*K$11)</f>
        <v/>
      </c>
      <c r="M57" s="526"/>
      <c r="N57" s="527" t="str">
        <f>IF(M57="","", M57*M$11)</f>
        <v/>
      </c>
      <c r="O57" s="526"/>
      <c r="P57" s="527" t="str">
        <f>IF(O57="","", O57*O$11)</f>
        <v/>
      </c>
      <c r="R57" s="521"/>
    </row>
    <row r="58" spans="2:18" s="237" customFormat="1" ht="15.75">
      <c r="B58" s="566"/>
      <c r="C58" s="566"/>
      <c r="D58" s="485" t="s">
        <v>1917</v>
      </c>
      <c r="E58" s="642" t="s">
        <v>25</v>
      </c>
      <c r="F58" s="642"/>
      <c r="G58" s="561">
        <f ca="1">OFFSET('Asset Allocation'!$B$9, MATCH($E58,OFFSET('Asset Allocation'!$B$9,,,COUNTA('Asset Allocation'!$B:$B)-COUNTA('Asset Allocation'!$B$1:$B$9)),0)-1, MATCH(G$5,'Asset Allocation'!$D$5:$M$5,0)+2)</f>
        <v>0</v>
      </c>
      <c r="H58" s="567">
        <f>H60+H74</f>
        <v>0</v>
      </c>
      <c r="I58" s="561">
        <f ca="1">OFFSET('Asset Allocation'!$B$9, MATCH($E58,OFFSET('Asset Allocation'!$B$9,,,COUNTA('Asset Allocation'!$B:$B)-COUNTA('Asset Allocation'!$B$1:$B$9)),0)-1, MATCH(I$5,'Asset Allocation'!$D$5:$M$5,0)+2)</f>
        <v>0.1</v>
      </c>
      <c r="J58" s="567">
        <f>J60+J74</f>
        <v>0.1</v>
      </c>
      <c r="K58" s="561">
        <f ca="1">OFFSET('Asset Allocation'!$B$9, MATCH($E58,OFFSET('Asset Allocation'!$B$9,,,COUNTA('Asset Allocation'!$B:$B)-COUNTA('Asset Allocation'!$B$1:$B$9)),0)-1, MATCH(K$5,'Asset Allocation'!$D$5:$M$5,0)+2)</f>
        <v>0.2</v>
      </c>
      <c r="L58" s="567">
        <f>L60+L74</f>
        <v>0.20000000000000004</v>
      </c>
      <c r="M58" s="561">
        <f ca="1">OFFSET('Asset Allocation'!$B$9, MATCH($E58,OFFSET('Asset Allocation'!$B$9,,,COUNTA('Asset Allocation'!$B:$B)-COUNTA('Asset Allocation'!$B$1:$B$9)),0)-1, MATCH(M$5,'Asset Allocation'!$D$5:$M$5,0)+2)</f>
        <v>0.3</v>
      </c>
      <c r="N58" s="567">
        <f>N60+N74</f>
        <v>0.3</v>
      </c>
      <c r="O58" s="561">
        <f ca="1">OFFSET('Asset Allocation'!$B$9, MATCH($E58,OFFSET('Asset Allocation'!$B$9,,,COUNTA('Asset Allocation'!$B:$B)-COUNTA('Asset Allocation'!$B$1:$B$9)),0)-1, MATCH(O$5,'Asset Allocation'!$D$5:$M$5,0)+2)</f>
        <v>0.35</v>
      </c>
      <c r="P58" s="567">
        <f>P60+P74</f>
        <v>0.35000000000000003</v>
      </c>
      <c r="R58" s="568"/>
    </row>
    <row r="59" spans="2:18" s="282" customFormat="1" ht="5.25" customHeight="1">
      <c r="B59" s="485"/>
      <c r="C59" s="485"/>
      <c r="D59" s="485"/>
      <c r="G59" s="552"/>
      <c r="H59" s="553"/>
      <c r="I59" s="552"/>
      <c r="J59" s="553"/>
      <c r="K59" s="552"/>
      <c r="L59" s="553"/>
      <c r="M59" s="552"/>
      <c r="N59" s="553"/>
      <c r="O59" s="552"/>
      <c r="P59" s="553"/>
      <c r="R59" s="554"/>
    </row>
    <row r="60" spans="2:18" s="282" customFormat="1" ht="15">
      <c r="B60" s="485"/>
      <c r="C60" s="485" t="s">
        <v>20</v>
      </c>
      <c r="D60" s="485" t="s">
        <v>20</v>
      </c>
      <c r="E60" s="284" t="s">
        <v>958</v>
      </c>
      <c r="F60" s="284"/>
      <c r="G60" s="555">
        <v>0</v>
      </c>
      <c r="H60" s="522">
        <f>SUM(H61:H73)</f>
        <v>0</v>
      </c>
      <c r="I60" s="555">
        <v>0.08</v>
      </c>
      <c r="J60" s="522">
        <f>SUM(J61:J73)</f>
        <v>0.08</v>
      </c>
      <c r="K60" s="555">
        <v>0.16</v>
      </c>
      <c r="L60" s="522">
        <f>SUM(L61:L73)</f>
        <v>0.16000000000000003</v>
      </c>
      <c r="M60" s="555">
        <v>0.24</v>
      </c>
      <c r="N60" s="522">
        <f>SUM(N61:N73)</f>
        <v>0.24</v>
      </c>
      <c r="O60" s="555">
        <v>0.28999999999999998</v>
      </c>
      <c r="P60" s="523">
        <f>SUM(P61:P73)</f>
        <v>0.29000000000000004</v>
      </c>
      <c r="R60" s="287"/>
    </row>
    <row r="61" spans="2:18" s="525" customFormat="1" ht="15">
      <c r="B61" s="472"/>
      <c r="C61" s="472"/>
      <c r="D61" s="472"/>
      <c r="E61" s="496" t="s">
        <v>433</v>
      </c>
      <c r="F61" s="496"/>
      <c r="G61" s="484"/>
      <c r="H61" s="524" t="str">
        <f t="shared" ref="H61:H71" si="14">IF(G61="","", G61*G$60)</f>
        <v/>
      </c>
      <c r="I61" s="484">
        <v>0.25</v>
      </c>
      <c r="J61" s="524">
        <f t="shared" ref="J61:J71" si="15">IF(I61="","", I61*I$60)</f>
        <v>0.02</v>
      </c>
      <c r="K61" s="484">
        <v>0.17</v>
      </c>
      <c r="L61" s="524">
        <f t="shared" ref="L61:L71" si="16">IF(K61="","", K61*K$60)</f>
        <v>2.7200000000000002E-2</v>
      </c>
      <c r="M61" s="484">
        <v>0.17</v>
      </c>
      <c r="N61" s="524">
        <f t="shared" ref="N61:N71" si="17">IF(M61="","", M61*M$60)</f>
        <v>4.0800000000000003E-2</v>
      </c>
      <c r="O61" s="484">
        <v>0.17</v>
      </c>
      <c r="P61" s="524">
        <f t="shared" ref="P61:P71" si="18">IF(O61="","", O61*O$60)</f>
        <v>4.9300000000000004E-2</v>
      </c>
    </row>
    <row r="62" spans="2:18" s="525" customFormat="1" ht="15">
      <c r="B62" s="472"/>
      <c r="C62" s="472"/>
      <c r="D62" s="472"/>
      <c r="E62" s="496" t="s">
        <v>997</v>
      </c>
      <c r="F62" s="496"/>
      <c r="G62" s="484"/>
      <c r="H62" s="524" t="str">
        <f t="shared" si="14"/>
        <v/>
      </c>
      <c r="I62" s="484">
        <v>0.25</v>
      </c>
      <c r="J62" s="524">
        <f t="shared" si="15"/>
        <v>0.02</v>
      </c>
      <c r="K62" s="484">
        <v>0.17</v>
      </c>
      <c r="L62" s="524">
        <f t="shared" si="16"/>
        <v>2.7200000000000002E-2</v>
      </c>
      <c r="M62" s="484">
        <v>0.17</v>
      </c>
      <c r="N62" s="524">
        <f t="shared" si="17"/>
        <v>4.0800000000000003E-2</v>
      </c>
      <c r="O62" s="484">
        <v>0.17</v>
      </c>
      <c r="P62" s="524">
        <f t="shared" si="18"/>
        <v>4.9300000000000004E-2</v>
      </c>
    </row>
    <row r="63" spans="2:18" s="525" customFormat="1" ht="15">
      <c r="B63" s="472"/>
      <c r="C63" s="472"/>
      <c r="D63" s="472"/>
      <c r="E63" s="496" t="s">
        <v>76</v>
      </c>
      <c r="F63" s="496"/>
      <c r="G63" s="484"/>
      <c r="H63" s="524" t="str">
        <f t="shared" si="14"/>
        <v/>
      </c>
      <c r="I63" s="484">
        <v>0.25</v>
      </c>
      <c r="J63" s="524">
        <f t="shared" si="15"/>
        <v>0.02</v>
      </c>
      <c r="K63" s="484">
        <v>0.17</v>
      </c>
      <c r="L63" s="524">
        <f t="shared" si="16"/>
        <v>2.7200000000000002E-2</v>
      </c>
      <c r="M63" s="484">
        <v>0.17</v>
      </c>
      <c r="N63" s="524">
        <f t="shared" si="17"/>
        <v>4.0800000000000003E-2</v>
      </c>
      <c r="O63" s="484">
        <v>0.17</v>
      </c>
      <c r="P63" s="524">
        <f t="shared" si="18"/>
        <v>4.9300000000000004E-2</v>
      </c>
    </row>
    <row r="64" spans="2:18" s="525" customFormat="1" ht="15">
      <c r="B64" s="472"/>
      <c r="C64" s="472"/>
      <c r="D64" s="472"/>
      <c r="E64" s="496" t="s">
        <v>115</v>
      </c>
      <c r="F64" s="496"/>
      <c r="G64" s="484"/>
      <c r="H64" s="524" t="str">
        <f>IF(G64="","", G64*G$60)</f>
        <v/>
      </c>
      <c r="I64" s="484">
        <v>0.25</v>
      </c>
      <c r="J64" s="524">
        <f>IF(I64="","", I64*I$60)</f>
        <v>0.02</v>
      </c>
      <c r="K64" s="484">
        <v>0.17</v>
      </c>
      <c r="L64" s="524">
        <f>IF(K64="","", K64*K$60)</f>
        <v>2.7200000000000002E-2</v>
      </c>
      <c r="M64" s="484">
        <v>0.17</v>
      </c>
      <c r="N64" s="524">
        <f>IF(M64="","", M64*M$60)</f>
        <v>4.0800000000000003E-2</v>
      </c>
      <c r="O64" s="484">
        <v>0.17</v>
      </c>
      <c r="P64" s="524">
        <f>IF(O64="","", O64*O$60)</f>
        <v>4.9300000000000004E-2</v>
      </c>
    </row>
    <row r="65" spans="2:18" s="525" customFormat="1" ht="15">
      <c r="B65" s="472"/>
      <c r="C65" s="472"/>
      <c r="D65" s="472"/>
      <c r="E65" s="496" t="s">
        <v>725</v>
      </c>
      <c r="F65" s="496"/>
      <c r="G65" s="484"/>
      <c r="H65" s="524" t="str">
        <f t="shared" si="14"/>
        <v/>
      </c>
      <c r="I65" s="484"/>
      <c r="J65" s="524" t="str">
        <f t="shared" si="15"/>
        <v/>
      </c>
      <c r="K65" s="484">
        <v>0.16</v>
      </c>
      <c r="L65" s="524">
        <f t="shared" si="16"/>
        <v>2.5600000000000001E-2</v>
      </c>
      <c r="M65" s="484">
        <v>0.16</v>
      </c>
      <c r="N65" s="524">
        <f t="shared" si="17"/>
        <v>3.8399999999999997E-2</v>
      </c>
      <c r="O65" s="484">
        <v>0.16</v>
      </c>
      <c r="P65" s="524">
        <f t="shared" si="18"/>
        <v>4.6399999999999997E-2</v>
      </c>
    </row>
    <row r="66" spans="2:18" s="525" customFormat="1" ht="15">
      <c r="B66" s="472"/>
      <c r="C66" s="472"/>
      <c r="D66" s="472"/>
      <c r="E66" s="496" t="s">
        <v>823</v>
      </c>
      <c r="F66" s="496"/>
      <c r="G66" s="484"/>
      <c r="H66" s="524" t="str">
        <f>IF(G66="","", G66*G$60)</f>
        <v/>
      </c>
      <c r="I66" s="484"/>
      <c r="J66" s="524" t="str">
        <f>IF(I66="","", I66*I$60)</f>
        <v/>
      </c>
      <c r="K66" s="484">
        <v>0.16</v>
      </c>
      <c r="L66" s="524">
        <f>IF(K66="","", K66*K$60)</f>
        <v>2.5600000000000001E-2</v>
      </c>
      <c r="M66" s="484">
        <v>0.16</v>
      </c>
      <c r="N66" s="524">
        <f>IF(M66="","", M66*M$60)</f>
        <v>3.8399999999999997E-2</v>
      </c>
      <c r="O66" s="484">
        <v>0.16</v>
      </c>
      <c r="P66" s="524">
        <f>IF(O66="","", O66*O$60)</f>
        <v>4.6399999999999997E-2</v>
      </c>
    </row>
    <row r="67" spans="2:18" s="525" customFormat="1" ht="15">
      <c r="B67" s="472"/>
      <c r="C67" s="472"/>
      <c r="D67" s="472"/>
      <c r="E67" s="496" t="s">
        <v>457</v>
      </c>
      <c r="F67" s="496"/>
      <c r="G67" s="484"/>
      <c r="H67" s="524" t="str">
        <f>IF(G67="","", G67*G$60)</f>
        <v/>
      </c>
      <c r="I67" s="484"/>
      <c r="J67" s="524" t="str">
        <f>IF(I67="","", I67*I$60)</f>
        <v/>
      </c>
      <c r="K67" s="484"/>
      <c r="L67" s="524" t="str">
        <f>IF(K67="","", K67*K$60)</f>
        <v/>
      </c>
      <c r="M67" s="484"/>
      <c r="N67" s="524" t="str">
        <f>IF(M67="","", M67*M$60)</f>
        <v/>
      </c>
      <c r="O67" s="484"/>
      <c r="P67" s="524" t="str">
        <f>IF(O67="","", O67*O$60)</f>
        <v/>
      </c>
    </row>
    <row r="68" spans="2:18" s="525" customFormat="1" ht="15">
      <c r="B68" s="472"/>
      <c r="C68" s="472"/>
      <c r="D68" s="472"/>
      <c r="E68" s="496" t="s">
        <v>1663</v>
      </c>
      <c r="F68" s="496"/>
      <c r="G68" s="484"/>
      <c r="H68" s="524" t="str">
        <f>IF(G68="","", G68*G$60)</f>
        <v/>
      </c>
      <c r="I68" s="484"/>
      <c r="J68" s="524" t="str">
        <f>IF(I68="","", I68*I$60)</f>
        <v/>
      </c>
      <c r="K68" s="484"/>
      <c r="L68" s="524" t="str">
        <f>IF(K68="","", K68*K$60)</f>
        <v/>
      </c>
      <c r="M68" s="484"/>
      <c r="N68" s="524" t="str">
        <f>IF(M68="","", M68*M$60)</f>
        <v/>
      </c>
      <c r="O68" s="484"/>
      <c r="P68" s="524" t="str">
        <f>IF(O68="","", O68*O$60)</f>
        <v/>
      </c>
    </row>
    <row r="69" spans="2:18" s="525" customFormat="1" ht="15">
      <c r="B69" s="472"/>
      <c r="C69" s="472"/>
      <c r="D69" s="472"/>
      <c r="E69" s="496" t="s">
        <v>995</v>
      </c>
      <c r="F69" s="496"/>
      <c r="G69" s="484"/>
      <c r="H69" s="524" t="str">
        <f t="shared" si="14"/>
        <v/>
      </c>
      <c r="I69" s="484"/>
      <c r="J69" s="524" t="str">
        <f t="shared" si="15"/>
        <v/>
      </c>
      <c r="K69" s="484"/>
      <c r="L69" s="524" t="str">
        <f t="shared" si="16"/>
        <v/>
      </c>
      <c r="M69" s="484"/>
      <c r="N69" s="524" t="str">
        <f t="shared" si="17"/>
        <v/>
      </c>
      <c r="O69" s="484"/>
      <c r="P69" s="524" t="str">
        <f t="shared" si="18"/>
        <v/>
      </c>
    </row>
    <row r="70" spans="2:18" s="525" customFormat="1" ht="15">
      <c r="B70" s="472"/>
      <c r="C70" s="472"/>
      <c r="D70" s="472"/>
      <c r="E70" s="496" t="s">
        <v>485</v>
      </c>
      <c r="F70" s="496"/>
      <c r="G70" s="484"/>
      <c r="H70" s="524" t="str">
        <f t="shared" si="14"/>
        <v/>
      </c>
      <c r="I70" s="484"/>
      <c r="J70" s="524" t="str">
        <f t="shared" si="15"/>
        <v/>
      </c>
      <c r="K70" s="484"/>
      <c r="L70" s="524" t="str">
        <f t="shared" si="16"/>
        <v/>
      </c>
      <c r="M70" s="484"/>
      <c r="N70" s="524" t="str">
        <f t="shared" si="17"/>
        <v/>
      </c>
      <c r="O70" s="484"/>
      <c r="P70" s="524" t="str">
        <f t="shared" si="18"/>
        <v/>
      </c>
    </row>
    <row r="71" spans="2:18" s="525" customFormat="1" ht="15">
      <c r="B71" s="472"/>
      <c r="C71" s="472"/>
      <c r="D71" s="472"/>
      <c r="E71" s="496" t="s">
        <v>124</v>
      </c>
      <c r="F71" s="496"/>
      <c r="G71" s="484"/>
      <c r="H71" s="524" t="str">
        <f t="shared" si="14"/>
        <v/>
      </c>
      <c r="I71" s="484"/>
      <c r="J71" s="524" t="str">
        <f t="shared" si="15"/>
        <v/>
      </c>
      <c r="K71" s="484"/>
      <c r="L71" s="524" t="str">
        <f t="shared" si="16"/>
        <v/>
      </c>
      <c r="M71" s="484"/>
      <c r="N71" s="524" t="str">
        <f t="shared" si="17"/>
        <v/>
      </c>
      <c r="O71" s="484"/>
      <c r="P71" s="524" t="str">
        <f t="shared" si="18"/>
        <v/>
      </c>
    </row>
    <row r="72" spans="2:18" s="525" customFormat="1" ht="15">
      <c r="B72" s="472"/>
      <c r="C72" s="472"/>
      <c r="D72" s="472"/>
      <c r="E72" s="496" t="s">
        <v>994</v>
      </c>
      <c r="F72" s="496"/>
      <c r="G72" s="484"/>
      <c r="H72" s="524" t="str">
        <f>IF(G72="","", G72*G$60)</f>
        <v/>
      </c>
      <c r="I72" s="484"/>
      <c r="J72" s="524" t="str">
        <f>IF(I72="","", I72*I$60)</f>
        <v/>
      </c>
      <c r="K72" s="484"/>
      <c r="L72" s="524" t="str">
        <f>IF(K72="","", K72*K$60)</f>
        <v/>
      </c>
      <c r="M72" s="484"/>
      <c r="N72" s="524" t="str">
        <f>IF(M72="","", M72*M$60)</f>
        <v/>
      </c>
      <c r="O72" s="484"/>
      <c r="P72" s="524" t="str">
        <f>IF(O72="","", O72*O$60)</f>
        <v/>
      </c>
    </row>
    <row r="73" spans="2:18" s="282" customFormat="1" ht="8.25" customHeight="1">
      <c r="B73" s="485"/>
      <c r="C73" s="485"/>
      <c r="D73" s="485"/>
      <c r="E73" s="316"/>
      <c r="F73" s="316"/>
      <c r="G73" s="526"/>
      <c r="H73" s="527" t="str">
        <f>IF(G73="","", G73*G$11)</f>
        <v/>
      </c>
      <c r="I73" s="484"/>
      <c r="J73" s="527" t="str">
        <f>IF(I73="","", I73*I$11)</f>
        <v/>
      </c>
      <c r="K73" s="526"/>
      <c r="L73" s="527" t="str">
        <f>IF(K73="","", K73*K$11)</f>
        <v/>
      </c>
      <c r="M73" s="526"/>
      <c r="N73" s="527" t="str">
        <f>IF(M73="","", M73*M$11)</f>
        <v/>
      </c>
      <c r="O73" s="526"/>
      <c r="P73" s="527" t="str">
        <f>IF(O73="","", O73*O$11)</f>
        <v/>
      </c>
      <c r="R73" s="521"/>
    </row>
    <row r="74" spans="2:18" s="282" customFormat="1" ht="15">
      <c r="B74" s="485"/>
      <c r="C74" s="485" t="s">
        <v>20</v>
      </c>
      <c r="D74" s="485" t="s">
        <v>20</v>
      </c>
      <c r="E74" s="284" t="s">
        <v>959</v>
      </c>
      <c r="F74" s="284"/>
      <c r="G74" s="493">
        <f>G76+G80+G84+G88</f>
        <v>0</v>
      </c>
      <c r="H74" s="522">
        <f t="shared" ref="H74:P74" si="19">H76+H80+H84+H88</f>
        <v>0</v>
      </c>
      <c r="I74" s="493">
        <f t="shared" si="19"/>
        <v>0.02</v>
      </c>
      <c r="J74" s="522">
        <f t="shared" si="19"/>
        <v>0.02</v>
      </c>
      <c r="K74" s="493">
        <f t="shared" si="19"/>
        <v>0.04</v>
      </c>
      <c r="L74" s="522">
        <f t="shared" si="19"/>
        <v>0.04</v>
      </c>
      <c r="M74" s="493">
        <f t="shared" si="19"/>
        <v>0.06</v>
      </c>
      <c r="N74" s="522">
        <f t="shared" si="19"/>
        <v>0.06</v>
      </c>
      <c r="O74" s="493">
        <f t="shared" si="19"/>
        <v>0.06</v>
      </c>
      <c r="P74" s="523">
        <f t="shared" si="19"/>
        <v>0.06</v>
      </c>
      <c r="R74" s="287"/>
    </row>
    <row r="75" spans="2:18" s="282" customFormat="1" ht="3" customHeight="1">
      <c r="B75" s="485"/>
      <c r="C75" s="485"/>
      <c r="D75" s="485"/>
      <c r="G75" s="519"/>
      <c r="H75" s="520"/>
      <c r="I75" s="519"/>
      <c r="J75" s="520"/>
      <c r="K75" s="519"/>
      <c r="L75" s="520"/>
      <c r="M75" s="519"/>
      <c r="N75" s="520"/>
      <c r="O75" s="519"/>
      <c r="P75" s="520"/>
      <c r="R75" s="287"/>
    </row>
    <row r="76" spans="2:18" s="282" customFormat="1" ht="15">
      <c r="B76" s="485"/>
      <c r="C76" s="485"/>
      <c r="D76" s="485" t="s">
        <v>20</v>
      </c>
      <c r="E76" s="289" t="s">
        <v>953</v>
      </c>
      <c r="F76" s="289"/>
      <c r="G76" s="503">
        <v>0</v>
      </c>
      <c r="H76" s="371">
        <f>SUM(H77:H79)</f>
        <v>0</v>
      </c>
      <c r="I76" s="503">
        <v>0</v>
      </c>
      <c r="J76" s="371">
        <f>SUM(J77:J79)</f>
        <v>0</v>
      </c>
      <c r="K76" s="503">
        <v>0.02</v>
      </c>
      <c r="L76" s="371">
        <f>SUM(L77:L79)</f>
        <v>0.02</v>
      </c>
      <c r="M76" s="503">
        <v>0.03</v>
      </c>
      <c r="N76" s="371">
        <f>SUM(N77:N79)</f>
        <v>0.03</v>
      </c>
      <c r="O76" s="503">
        <v>0.03</v>
      </c>
      <c r="P76" s="371">
        <f>SUM(P77:P79)</f>
        <v>0.03</v>
      </c>
      <c r="R76" s="287"/>
    </row>
    <row r="77" spans="2:18" s="525" customFormat="1" ht="15">
      <c r="B77" s="472"/>
      <c r="C77" s="472"/>
      <c r="D77" s="472"/>
      <c r="E77" s="496" t="s">
        <v>363</v>
      </c>
      <c r="F77" s="496"/>
      <c r="G77" s="484"/>
      <c r="H77" s="524" t="str">
        <f>IF(G77="","", G77*G$76)</f>
        <v/>
      </c>
      <c r="I77" s="484"/>
      <c r="J77" s="524" t="str">
        <f>IF(I77="","", I77*I$76)</f>
        <v/>
      </c>
      <c r="K77" s="484">
        <v>1</v>
      </c>
      <c r="L77" s="524">
        <f>IF(K77="","", K77*K$76)</f>
        <v>0.02</v>
      </c>
      <c r="M77" s="484">
        <v>1</v>
      </c>
      <c r="N77" s="524">
        <f>IF(M77="","", M77*M$76)</f>
        <v>0.03</v>
      </c>
      <c r="O77" s="484">
        <v>1</v>
      </c>
      <c r="P77" s="524">
        <f>IF(O77="","", O77*O$76)</f>
        <v>0.03</v>
      </c>
    </row>
    <row r="78" spans="2:18" s="525" customFormat="1" ht="15">
      <c r="B78" s="472"/>
      <c r="C78" s="472"/>
      <c r="D78" s="472"/>
      <c r="E78" s="496"/>
      <c r="F78" s="496"/>
      <c r="G78" s="484"/>
      <c r="H78" s="524" t="str">
        <f t="shared" ref="H78:J79" si="20">IF(G78="","", G78*G$76)</f>
        <v/>
      </c>
      <c r="I78" s="484"/>
      <c r="J78" s="524" t="str">
        <f t="shared" si="20"/>
        <v/>
      </c>
      <c r="K78" s="484"/>
      <c r="L78" s="524" t="str">
        <f>IF(K78="","", K78*K$76)</f>
        <v/>
      </c>
      <c r="M78" s="484"/>
      <c r="N78" s="524" t="str">
        <f>IF(M78="","", M78*M$76)</f>
        <v/>
      </c>
      <c r="O78" s="484"/>
      <c r="P78" s="524" t="str">
        <f>IF(O78="","", O78*O$76)</f>
        <v/>
      </c>
    </row>
    <row r="79" spans="2:18" s="525" customFormat="1" ht="5.25" customHeight="1">
      <c r="B79" s="472"/>
      <c r="C79" s="472"/>
      <c r="D79" s="472"/>
      <c r="E79" s="297"/>
      <c r="F79" s="297"/>
      <c r="G79" s="526"/>
      <c r="H79" s="527" t="str">
        <f t="shared" si="20"/>
        <v/>
      </c>
      <c r="I79" s="526"/>
      <c r="J79" s="527" t="str">
        <f t="shared" si="20"/>
        <v/>
      </c>
      <c r="K79" s="526"/>
      <c r="L79" s="527" t="str">
        <f>IF(K79="","", K79*K$76)</f>
        <v/>
      </c>
      <c r="M79" s="526"/>
      <c r="N79" s="527" t="str">
        <f>IF(M79="","", M79*M$76)</f>
        <v/>
      </c>
      <c r="O79" s="526"/>
      <c r="P79" s="527" t="str">
        <f>IF(O79="","", O79*O$76)</f>
        <v/>
      </c>
    </row>
    <row r="80" spans="2:18" s="282" customFormat="1" ht="15">
      <c r="B80" s="485"/>
      <c r="C80" s="485"/>
      <c r="D80" s="485" t="s">
        <v>20</v>
      </c>
      <c r="E80" s="289" t="s">
        <v>960</v>
      </c>
      <c r="F80" s="289"/>
      <c r="G80" s="503">
        <v>0</v>
      </c>
      <c r="H80" s="371">
        <f>SUM(H81:H83)</f>
        <v>0</v>
      </c>
      <c r="I80" s="503">
        <v>0.02</v>
      </c>
      <c r="J80" s="371">
        <f>SUM(J81:J83)</f>
        <v>0.02</v>
      </c>
      <c r="K80" s="503">
        <v>0.02</v>
      </c>
      <c r="L80" s="371">
        <f>SUM(L81:L83)</f>
        <v>0.02</v>
      </c>
      <c r="M80" s="503">
        <v>0.03</v>
      </c>
      <c r="N80" s="371">
        <f>SUM(N81:N83)</f>
        <v>0.03</v>
      </c>
      <c r="O80" s="503">
        <v>0.03</v>
      </c>
      <c r="P80" s="371">
        <f>SUM(P81:P83)</f>
        <v>0.03</v>
      </c>
      <c r="R80" s="287"/>
    </row>
    <row r="81" spans="2:18" s="525" customFormat="1" ht="15">
      <c r="B81" s="472"/>
      <c r="C81" s="472"/>
      <c r="D81" s="472"/>
      <c r="E81" s="496" t="s">
        <v>996</v>
      </c>
      <c r="F81" s="496"/>
      <c r="G81" s="484"/>
      <c r="H81" s="524" t="str">
        <f>IF(G81="","", G81*G$80)</f>
        <v/>
      </c>
      <c r="I81" s="484">
        <v>1</v>
      </c>
      <c r="J81" s="524">
        <f>IF(I81="","", I81*I$80)</f>
        <v>0.02</v>
      </c>
      <c r="K81" s="484">
        <v>1</v>
      </c>
      <c r="L81" s="524">
        <f>IF(K81="","", K81*K$80)</f>
        <v>0.02</v>
      </c>
      <c r="M81" s="484">
        <v>1</v>
      </c>
      <c r="N81" s="524">
        <f>IF(M81="","", M81*M$80)</f>
        <v>0.03</v>
      </c>
      <c r="O81" s="484">
        <v>1</v>
      </c>
      <c r="P81" s="524">
        <f>IF(O81="","", O81*O$80)</f>
        <v>0.03</v>
      </c>
    </row>
    <row r="82" spans="2:18" s="525" customFormat="1" ht="15">
      <c r="B82" s="472"/>
      <c r="C82" s="472"/>
      <c r="D82" s="472"/>
      <c r="E82" s="496"/>
      <c r="F82" s="496"/>
      <c r="G82" s="484"/>
      <c r="H82" s="524" t="str">
        <f>IF(G82="","", G82*G$80)</f>
        <v/>
      </c>
      <c r="I82" s="484"/>
      <c r="J82" s="524" t="str">
        <f t="shared" ref="J82:L83" si="21">IF(I82="","", I82*I$80)</f>
        <v/>
      </c>
      <c r="K82" s="484"/>
      <c r="L82" s="524" t="str">
        <f t="shared" si="21"/>
        <v/>
      </c>
      <c r="M82" s="484"/>
      <c r="N82" s="524" t="str">
        <f>IF(M82="","", M82*M$80)</f>
        <v/>
      </c>
      <c r="O82" s="484"/>
      <c r="P82" s="524" t="str">
        <f>IF(O82="","", O82*O$80)</f>
        <v/>
      </c>
    </row>
    <row r="83" spans="2:18" s="525" customFormat="1" ht="5.25" customHeight="1">
      <c r="B83" s="472"/>
      <c r="C83" s="472"/>
      <c r="D83" s="472"/>
      <c r="E83" s="297"/>
      <c r="F83" s="297"/>
      <c r="G83" s="526"/>
      <c r="H83" s="527" t="str">
        <f>IF(G83="","", G83*G$80)</f>
        <v/>
      </c>
      <c r="I83" s="526"/>
      <c r="J83" s="527" t="str">
        <f t="shared" si="21"/>
        <v/>
      </c>
      <c r="K83" s="526"/>
      <c r="L83" s="527" t="str">
        <f t="shared" si="21"/>
        <v/>
      </c>
      <c r="M83" s="526"/>
      <c r="N83" s="527" t="str">
        <f>IF(M83="","", M83*M$80)</f>
        <v/>
      </c>
      <c r="O83" s="526"/>
      <c r="P83" s="527" t="str">
        <f>IF(O83="","", O83*O$80)</f>
        <v/>
      </c>
    </row>
    <row r="84" spans="2:18" s="282" customFormat="1" ht="15">
      <c r="B84" s="485"/>
      <c r="C84" s="485"/>
      <c r="D84" s="485" t="s">
        <v>20</v>
      </c>
      <c r="E84" s="289" t="s">
        <v>962</v>
      </c>
      <c r="F84" s="289"/>
      <c r="G84" s="503">
        <v>0</v>
      </c>
      <c r="H84" s="371">
        <f>SUM(H85:H87)</f>
        <v>0</v>
      </c>
      <c r="I84" s="503">
        <v>0</v>
      </c>
      <c r="J84" s="371">
        <f>SUM(J85:J87)</f>
        <v>0</v>
      </c>
      <c r="K84" s="503">
        <v>0</v>
      </c>
      <c r="L84" s="371">
        <f>SUM(L85:L87)</f>
        <v>0</v>
      </c>
      <c r="M84" s="503">
        <v>0</v>
      </c>
      <c r="N84" s="371">
        <f>SUM(N85:N87)</f>
        <v>0</v>
      </c>
      <c r="O84" s="503">
        <v>0</v>
      </c>
      <c r="P84" s="371">
        <f>SUM(P85:P87)</f>
        <v>0</v>
      </c>
      <c r="R84" s="287"/>
    </row>
    <row r="85" spans="2:18" s="525" customFormat="1" ht="15">
      <c r="B85" s="472"/>
      <c r="C85" s="472"/>
      <c r="D85" s="472"/>
      <c r="E85" s="496"/>
      <c r="F85" s="496"/>
      <c r="G85" s="484"/>
      <c r="H85" s="524" t="str">
        <f>IF(G85="","", G85*G$84)</f>
        <v/>
      </c>
      <c r="I85" s="484"/>
      <c r="J85" s="524" t="str">
        <f>IF(I85="","", I85*I$84)</f>
        <v/>
      </c>
      <c r="K85" s="484"/>
      <c r="L85" s="524" t="str">
        <f>IF(K85="","", K85*K$84)</f>
        <v/>
      </c>
      <c r="M85" s="484"/>
      <c r="N85" s="524" t="str">
        <f>IF(M85="","", M85*M$84)</f>
        <v/>
      </c>
      <c r="O85" s="484"/>
      <c r="P85" s="524" t="str">
        <f>IF(O85="","", O85*O$84)</f>
        <v/>
      </c>
    </row>
    <row r="86" spans="2:18" s="525" customFormat="1" ht="15">
      <c r="B86" s="472"/>
      <c r="C86" s="472"/>
      <c r="D86" s="472"/>
      <c r="E86" s="496"/>
      <c r="F86" s="496"/>
      <c r="G86" s="484"/>
      <c r="H86" s="524" t="str">
        <f t="shared" ref="H86:J87" si="22">IF(G86="","", G86*G$84)</f>
        <v/>
      </c>
      <c r="I86" s="484"/>
      <c r="J86" s="524" t="str">
        <f t="shared" si="22"/>
        <v/>
      </c>
      <c r="K86" s="484"/>
      <c r="L86" s="524" t="str">
        <f>IF(K86="","", K86*K$84)</f>
        <v/>
      </c>
      <c r="M86" s="484"/>
      <c r="N86" s="524" t="str">
        <f>IF(M86="","", M86*M$84)</f>
        <v/>
      </c>
      <c r="O86" s="484"/>
      <c r="P86" s="524" t="str">
        <f>IF(O86="","", O86*O$84)</f>
        <v/>
      </c>
    </row>
    <row r="87" spans="2:18" s="525" customFormat="1" ht="5.25" customHeight="1">
      <c r="B87" s="472"/>
      <c r="C87" s="472"/>
      <c r="D87" s="472"/>
      <c r="E87" s="297"/>
      <c r="F87" s="297"/>
      <c r="G87" s="526"/>
      <c r="H87" s="527" t="str">
        <f t="shared" si="22"/>
        <v/>
      </c>
      <c r="I87" s="526"/>
      <c r="J87" s="527" t="str">
        <f t="shared" si="22"/>
        <v/>
      </c>
      <c r="K87" s="526"/>
      <c r="L87" s="527" t="str">
        <f>IF(K87="","", K87*K$84)</f>
        <v/>
      </c>
      <c r="M87" s="526"/>
      <c r="N87" s="527" t="str">
        <f>IF(M87="","", M87*M$84)</f>
        <v/>
      </c>
      <c r="O87" s="526"/>
      <c r="P87" s="527" t="str">
        <f>IF(O87="","", O87*O$84)</f>
        <v/>
      </c>
    </row>
    <row r="88" spans="2:18" s="282" customFormat="1" ht="15">
      <c r="B88" s="485"/>
      <c r="C88" s="485"/>
      <c r="D88" s="485" t="s">
        <v>20</v>
      </c>
      <c r="E88" s="289" t="s">
        <v>961</v>
      </c>
      <c r="F88" s="289"/>
      <c r="G88" s="503">
        <v>0</v>
      </c>
      <c r="H88" s="371">
        <f>SUM(H89:H91)</f>
        <v>0</v>
      </c>
      <c r="I88" s="503">
        <v>0</v>
      </c>
      <c r="J88" s="371">
        <f>SUM(J89:J91)</f>
        <v>0</v>
      </c>
      <c r="K88" s="503">
        <v>0</v>
      </c>
      <c r="L88" s="371">
        <f>SUM(L89:L91)</f>
        <v>0</v>
      </c>
      <c r="M88" s="503">
        <v>0</v>
      </c>
      <c r="N88" s="371">
        <f>SUM(N89:N91)</f>
        <v>0</v>
      </c>
      <c r="O88" s="503">
        <v>0</v>
      </c>
      <c r="P88" s="371">
        <f>SUM(P89:P91)</f>
        <v>0</v>
      </c>
      <c r="R88" s="287"/>
    </row>
    <row r="89" spans="2:18" s="525" customFormat="1" ht="15">
      <c r="B89" s="472"/>
      <c r="C89" s="472"/>
      <c r="D89" s="472"/>
      <c r="E89" s="496"/>
      <c r="F89" s="496"/>
      <c r="G89" s="484"/>
      <c r="H89" s="524" t="str">
        <f>IF(G89="","", G89*G$88)</f>
        <v/>
      </c>
      <c r="I89" s="484"/>
      <c r="J89" s="524" t="str">
        <f>IF(I89="","", I89*I$88)</f>
        <v/>
      </c>
      <c r="K89" s="484"/>
      <c r="L89" s="524" t="str">
        <f>IF(K89="","", K89*K$88)</f>
        <v/>
      </c>
      <c r="M89" s="484"/>
      <c r="N89" s="524" t="str">
        <f>IF(M89="","", M89*M$88)</f>
        <v/>
      </c>
      <c r="O89" s="484"/>
      <c r="P89" s="524" t="str">
        <f>IF(O89="","", O89*O$88)</f>
        <v/>
      </c>
    </row>
    <row r="90" spans="2:18" s="525" customFormat="1" ht="15">
      <c r="B90" s="472"/>
      <c r="C90" s="472"/>
      <c r="D90" s="472"/>
      <c r="E90" s="496"/>
      <c r="F90" s="496"/>
      <c r="G90" s="484"/>
      <c r="H90" s="524" t="str">
        <f>IF(G90="","", G90*G$88)</f>
        <v/>
      </c>
      <c r="I90" s="484"/>
      <c r="J90" s="524" t="str">
        <f>IF(I90="","", I90*I$88)</f>
        <v/>
      </c>
      <c r="K90" s="484"/>
      <c r="L90" s="524" t="str">
        <f>IF(K90="","", K90*K$88)</f>
        <v/>
      </c>
      <c r="M90" s="484"/>
      <c r="N90" s="524" t="str">
        <f>IF(M90="","", M90*M$88)</f>
        <v/>
      </c>
      <c r="O90" s="484"/>
      <c r="P90" s="524" t="str">
        <f>IF(O90="","", O90*O$88)</f>
        <v/>
      </c>
    </row>
    <row r="91" spans="2:18" s="282" customFormat="1" ht="9" customHeight="1">
      <c r="B91" s="485"/>
      <c r="C91" s="485"/>
      <c r="D91" s="485"/>
      <c r="E91" s="316"/>
      <c r="F91" s="316"/>
      <c r="G91" s="526"/>
      <c r="H91" s="527" t="str">
        <f>IF(G91="","", G91*G$11)</f>
        <v/>
      </c>
      <c r="I91" s="571"/>
      <c r="J91" s="527" t="str">
        <f>IF(I91="","", I91*I$11)</f>
        <v/>
      </c>
      <c r="K91" s="526"/>
      <c r="L91" s="527" t="str">
        <f>IF(K91="","", K91*K$11)</f>
        <v/>
      </c>
      <c r="M91" s="526"/>
      <c r="N91" s="527" t="str">
        <f>IF(M91="","", M91*M$11)</f>
        <v/>
      </c>
      <c r="O91" s="526"/>
      <c r="P91" s="527" t="str">
        <f>IF(O91="","", O91*O$11)</f>
        <v/>
      </c>
      <c r="R91" s="521"/>
    </row>
    <row r="92" spans="2:18" s="237" customFormat="1" ht="15.75">
      <c r="B92" s="566"/>
      <c r="C92" s="566"/>
      <c r="D92" s="485" t="s">
        <v>1917</v>
      </c>
      <c r="E92" s="642" t="s">
        <v>28</v>
      </c>
      <c r="F92" s="642"/>
      <c r="G92" s="561">
        <f ca="1">OFFSET('Asset Allocation'!$B$9, MATCH($E92,OFFSET('Asset Allocation'!$B$9,,,COUNTA('Asset Allocation'!$B:$B)-COUNTA('Asset Allocation'!$B$1:$B$9)),0)-1, MATCH(G$5,'Asset Allocation'!$D$5:$M$5,0)+2)</f>
        <v>0</v>
      </c>
      <c r="H92" s="567">
        <f>H94+H111</f>
        <v>0</v>
      </c>
      <c r="I92" s="561">
        <f ca="1">OFFSET('Asset Allocation'!$B$9, MATCH($E92,OFFSET('Asset Allocation'!$B$9,,,COUNTA('Asset Allocation'!$B:$B)-COUNTA('Asset Allocation'!$B$1:$B$9)),0)-1, MATCH(I$5,'Asset Allocation'!$D$5:$M$5,0)+2)</f>
        <v>0.04</v>
      </c>
      <c r="J92" s="567">
        <f ca="1">J94+J111</f>
        <v>0.04</v>
      </c>
      <c r="K92" s="561">
        <f ca="1">OFFSET('Asset Allocation'!$B$9, MATCH($E92,OFFSET('Asset Allocation'!$B$9,,,COUNTA('Asset Allocation'!$B:$B)-COUNTA('Asset Allocation'!$B$1:$B$9)),0)-1, MATCH(K$5,'Asset Allocation'!$D$5:$M$5,0)+2)</f>
        <v>8.5000000000000006E-2</v>
      </c>
      <c r="L92" s="567">
        <f ca="1">L94+L111</f>
        <v>8.5000000000000006E-2</v>
      </c>
      <c r="M92" s="561">
        <f ca="1">OFFSET('Asset Allocation'!$B$9, MATCH($E92,OFFSET('Asset Allocation'!$B$9,,,COUNTA('Asset Allocation'!$B:$B)-COUNTA('Asset Allocation'!$B$1:$B$9)),0)-1, MATCH(M$5,'Asset Allocation'!$D$5:$M$5,0)+2)</f>
        <v>0.18</v>
      </c>
      <c r="N92" s="567">
        <f ca="1">N94+N111</f>
        <v>0.18</v>
      </c>
      <c r="O92" s="561">
        <f ca="1">OFFSET('Asset Allocation'!$B$9, MATCH($E92,OFFSET('Asset Allocation'!$B$9,,,COUNTA('Asset Allocation'!$B:$B)-COUNTA('Asset Allocation'!$B$1:$B$9)),0)-1, MATCH(O$5,'Asset Allocation'!$D$5:$M$5,0)+2)</f>
        <v>0.315</v>
      </c>
      <c r="P92" s="567">
        <f ca="1">P94+P111</f>
        <v>0.315</v>
      </c>
      <c r="R92" s="568"/>
    </row>
    <row r="93" spans="2:18" s="282" customFormat="1" ht="5.25" customHeight="1">
      <c r="B93" s="485"/>
      <c r="C93" s="485"/>
      <c r="D93" s="485"/>
      <c r="G93" s="519"/>
      <c r="H93" s="520"/>
      <c r="I93" s="519"/>
      <c r="J93" s="520"/>
      <c r="K93" s="519"/>
      <c r="L93" s="520"/>
      <c r="M93" s="519"/>
      <c r="N93" s="520"/>
      <c r="O93" s="519"/>
      <c r="P93" s="520"/>
      <c r="R93" s="521"/>
    </row>
    <row r="94" spans="2:18" s="282" customFormat="1" ht="15">
      <c r="B94" s="485"/>
      <c r="C94" s="485" t="s">
        <v>20</v>
      </c>
      <c r="D94" s="485" t="s">
        <v>20</v>
      </c>
      <c r="E94" s="284" t="s">
        <v>951</v>
      </c>
      <c r="F94" s="284"/>
      <c r="G94" s="493">
        <f ca="1">OFFSET('Asset Allocation'!$B$9, MATCH($E94,OFFSET('Asset Allocation'!$B$9,,,COUNTA('Asset Allocation'!$B:$B)-COUNTA('Asset Allocation'!$B$1:$B$9)),0)-1, MATCH(G$5,'Asset Allocation'!$D$5:$M$5,0)+2)</f>
        <v>0</v>
      </c>
      <c r="H94" s="522">
        <f>H96+H101+H107</f>
        <v>0</v>
      </c>
      <c r="I94" s="493">
        <f ca="1">OFFSET('Asset Allocation'!$B$9, MATCH($E94,OFFSET('Asset Allocation'!$B$9,,,COUNTA('Asset Allocation'!$B:$B)-COUNTA('Asset Allocation'!$B$1:$B$9)),0)-1, MATCH(I$5,'Asset Allocation'!$D$5:$M$5,0)+2)</f>
        <v>3.5000000000000003E-2</v>
      </c>
      <c r="J94" s="522">
        <f>J96+J101+J107</f>
        <v>3.5000000000000003E-2</v>
      </c>
      <c r="K94" s="493">
        <f ca="1">OFFSET('Asset Allocation'!$B$9, MATCH($E94,OFFSET('Asset Allocation'!$B$9,,,COUNTA('Asset Allocation'!$B:$B)-COUNTA('Asset Allocation'!$B$1:$B$9)),0)-1, MATCH(K$5,'Asset Allocation'!$D$5:$M$5,0)+2)</f>
        <v>7.0000000000000007E-2</v>
      </c>
      <c r="L94" s="522">
        <f>L96+L101+L107</f>
        <v>7.0000000000000007E-2</v>
      </c>
      <c r="M94" s="493">
        <f ca="1">OFFSET('Asset Allocation'!$B$9, MATCH($E94,OFFSET('Asset Allocation'!$B$9,,,COUNTA('Asset Allocation'!$B:$B)-COUNTA('Asset Allocation'!$B$1:$B$9)),0)-1, MATCH(M$5,'Asset Allocation'!$D$5:$M$5,0)+2)</f>
        <v>0.16</v>
      </c>
      <c r="N94" s="522">
        <f>N96+N101+N107</f>
        <v>0.16</v>
      </c>
      <c r="O94" s="493">
        <f ca="1">OFFSET('Asset Allocation'!$B$9, MATCH($E94,OFFSET('Asset Allocation'!$B$9,,,COUNTA('Asset Allocation'!$B:$B)-COUNTA('Asset Allocation'!$B$1:$B$9)),0)-1, MATCH(O$5,'Asset Allocation'!$D$5:$M$5,0)+2)</f>
        <v>0.27</v>
      </c>
      <c r="P94" s="523">
        <f>P96+P101+P107</f>
        <v>0.27</v>
      </c>
      <c r="R94" s="287"/>
    </row>
    <row r="95" spans="2:18" s="282" customFormat="1" ht="3" customHeight="1">
      <c r="B95" s="485"/>
      <c r="C95" s="485"/>
      <c r="D95" s="485"/>
      <c r="G95" s="519"/>
      <c r="H95" s="520"/>
      <c r="I95" s="519"/>
      <c r="J95" s="520"/>
      <c r="K95" s="519"/>
      <c r="L95" s="520"/>
      <c r="M95" s="519"/>
      <c r="N95" s="520"/>
      <c r="O95" s="519"/>
      <c r="P95" s="520"/>
      <c r="R95" s="287"/>
    </row>
    <row r="96" spans="2:18" s="282" customFormat="1" ht="15">
      <c r="B96" s="485"/>
      <c r="C96" s="485"/>
      <c r="D96" s="485" t="s">
        <v>20</v>
      </c>
      <c r="E96" s="289" t="s">
        <v>950</v>
      </c>
      <c r="F96" s="289"/>
      <c r="G96" s="503">
        <v>0</v>
      </c>
      <c r="H96" s="371">
        <f>SUM(H97:H100)</f>
        <v>0</v>
      </c>
      <c r="I96" s="503">
        <v>0.01</v>
      </c>
      <c r="J96" s="371">
        <f>SUM(J97:J100)</f>
        <v>0.01</v>
      </c>
      <c r="K96" s="503">
        <v>3.5000000000000003E-2</v>
      </c>
      <c r="L96" s="371">
        <f>SUM(L97:L100)</f>
        <v>3.5000000000000003E-2</v>
      </c>
      <c r="M96" s="503">
        <v>0.09</v>
      </c>
      <c r="N96" s="371">
        <f>SUM(N97:N100)</f>
        <v>0.09</v>
      </c>
      <c r="O96" s="503">
        <v>0.15</v>
      </c>
      <c r="P96" s="371">
        <f>SUM(P97:P100)</f>
        <v>0.15</v>
      </c>
      <c r="R96" s="287"/>
    </row>
    <row r="97" spans="2:18" s="525" customFormat="1" ht="15">
      <c r="B97" s="472"/>
      <c r="C97" s="472"/>
      <c r="D97" s="472"/>
      <c r="E97" s="496" t="s">
        <v>999</v>
      </c>
      <c r="F97" s="496"/>
      <c r="G97" s="484"/>
      <c r="H97" s="524" t="str">
        <f>IF(G97="","", G97*G$96)</f>
        <v/>
      </c>
      <c r="I97" s="484">
        <v>1</v>
      </c>
      <c r="J97" s="524">
        <f>IF(I97="","", I97*I$96)</f>
        <v>0.01</v>
      </c>
      <c r="K97" s="484">
        <v>0.6</v>
      </c>
      <c r="L97" s="524">
        <f>IF(K97="","", K97*K$96)</f>
        <v>2.1000000000000001E-2</v>
      </c>
      <c r="M97" s="484">
        <v>0.5</v>
      </c>
      <c r="N97" s="524">
        <f>IF(M97="","", M97*M$96)</f>
        <v>4.4999999999999998E-2</v>
      </c>
      <c r="O97" s="484">
        <v>0.5</v>
      </c>
      <c r="P97" s="524">
        <f>IF(O97="","", O97*O$96)</f>
        <v>7.4999999999999997E-2</v>
      </c>
    </row>
    <row r="98" spans="2:18" s="525" customFormat="1" ht="15">
      <c r="B98" s="472"/>
      <c r="C98" s="472"/>
      <c r="D98" s="472"/>
      <c r="E98" s="496" t="s">
        <v>57</v>
      </c>
      <c r="F98" s="496"/>
      <c r="G98" s="484"/>
      <c r="H98" s="524" t="str">
        <f>IF(G98="","", G98*G$96)</f>
        <v/>
      </c>
      <c r="I98" s="484"/>
      <c r="J98" s="524" t="str">
        <f>IF(I98="","", I98*I$96)</f>
        <v/>
      </c>
      <c r="K98" s="484">
        <v>0.4</v>
      </c>
      <c r="L98" s="524">
        <f>IF(K98="","", K98*K$96)</f>
        <v>1.4000000000000002E-2</v>
      </c>
      <c r="M98" s="484">
        <v>0.3</v>
      </c>
      <c r="N98" s="524">
        <f>IF(M98="","", M98*M$96)</f>
        <v>2.7E-2</v>
      </c>
      <c r="O98" s="484">
        <v>0.3</v>
      </c>
      <c r="P98" s="524">
        <f>IF(O98="","", O98*O$96)</f>
        <v>4.4999999999999998E-2</v>
      </c>
    </row>
    <row r="99" spans="2:18" s="525" customFormat="1" ht="15">
      <c r="B99" s="472"/>
      <c r="C99" s="472"/>
      <c r="D99" s="472"/>
      <c r="E99" s="496" t="s">
        <v>1667</v>
      </c>
      <c r="F99" s="496"/>
      <c r="G99" s="484"/>
      <c r="H99" s="524" t="str">
        <f>IF(G99="","", G99*G$96)</f>
        <v/>
      </c>
      <c r="I99" s="484"/>
      <c r="J99" s="524" t="str">
        <f>IF(I99="","", I99*I$96)</f>
        <v/>
      </c>
      <c r="K99" s="484"/>
      <c r="L99" s="524" t="str">
        <f>IF(K99="","", K99*K$96)</f>
        <v/>
      </c>
      <c r="M99" s="484">
        <v>0.2</v>
      </c>
      <c r="N99" s="524">
        <f>IF(M99="","", M99*M$96)</f>
        <v>1.7999999999999999E-2</v>
      </c>
      <c r="O99" s="484">
        <v>0.2</v>
      </c>
      <c r="P99" s="524">
        <f>IF(O99="","", O99*O$96)</f>
        <v>0.03</v>
      </c>
    </row>
    <row r="100" spans="2:18" s="525" customFormat="1" ht="5.25" customHeight="1">
      <c r="B100" s="472"/>
      <c r="C100" s="472"/>
      <c r="D100" s="472"/>
      <c r="E100" s="297"/>
      <c r="F100" s="297"/>
      <c r="G100" s="526"/>
      <c r="H100" s="527" t="str">
        <f>IF(G100="","", G100*G$96)</f>
        <v/>
      </c>
      <c r="I100" s="526"/>
      <c r="J100" s="527" t="str">
        <f>IF(I100="","", I100*I$96)</f>
        <v/>
      </c>
      <c r="K100" s="526"/>
      <c r="L100" s="527" t="str">
        <f>IF(K100="","", K100*K$96)</f>
        <v/>
      </c>
      <c r="M100" s="526"/>
      <c r="N100" s="527" t="str">
        <f>IF(M100="","", M100*M$96)</f>
        <v/>
      </c>
      <c r="O100" s="526"/>
      <c r="P100" s="527" t="str">
        <f>IF(O100="","", O100*O$96)</f>
        <v/>
      </c>
    </row>
    <row r="101" spans="2:18" s="282" customFormat="1" ht="15">
      <c r="B101" s="485"/>
      <c r="C101" s="485"/>
      <c r="D101" s="485" t="s">
        <v>20</v>
      </c>
      <c r="E101" s="289" t="s">
        <v>957</v>
      </c>
      <c r="F101" s="289"/>
      <c r="G101" s="503">
        <v>0</v>
      </c>
      <c r="H101" s="371">
        <f>SUM(H102:H106)</f>
        <v>0</v>
      </c>
      <c r="I101" s="503">
        <v>2.5000000000000001E-2</v>
      </c>
      <c r="J101" s="371">
        <f>SUM(J102:J106)</f>
        <v>2.5000000000000001E-2</v>
      </c>
      <c r="K101" s="503">
        <v>3.5000000000000003E-2</v>
      </c>
      <c r="L101" s="371">
        <f>SUM(L102:L106)</f>
        <v>3.5000000000000003E-2</v>
      </c>
      <c r="M101" s="503">
        <v>7.0000000000000007E-2</v>
      </c>
      <c r="N101" s="371">
        <f>SUM(N102:N106)</f>
        <v>7.0000000000000007E-2</v>
      </c>
      <c r="O101" s="503">
        <v>0.12</v>
      </c>
      <c r="P101" s="371">
        <f>SUM(P102:P106)</f>
        <v>0.12</v>
      </c>
      <c r="R101" s="287"/>
    </row>
    <row r="102" spans="2:18" s="525" customFormat="1" ht="15">
      <c r="B102" s="472"/>
      <c r="C102" s="472"/>
      <c r="D102" s="472"/>
      <c r="E102" s="496" t="s">
        <v>992</v>
      </c>
      <c r="F102" s="496"/>
      <c r="G102" s="484"/>
      <c r="H102" s="524" t="str">
        <f>IF(G102="","", G102*G$101)</f>
        <v/>
      </c>
      <c r="I102" s="484">
        <v>0.5</v>
      </c>
      <c r="J102" s="524">
        <f>IF(I102="","", I102*I$101)</f>
        <v>1.2500000000000001E-2</v>
      </c>
      <c r="K102" s="484">
        <v>0.5</v>
      </c>
      <c r="L102" s="524">
        <f>IF(K102="","", K102*K$101)</f>
        <v>1.7500000000000002E-2</v>
      </c>
      <c r="M102" s="484">
        <v>0.5</v>
      </c>
      <c r="N102" s="524">
        <f>IF(M102="","", M102*M$101)</f>
        <v>3.5000000000000003E-2</v>
      </c>
      <c r="O102" s="484">
        <v>0.25</v>
      </c>
      <c r="P102" s="524">
        <f>IF(O102="","", O102*O$101)</f>
        <v>0.03</v>
      </c>
    </row>
    <row r="103" spans="2:18" s="525" customFormat="1" ht="15">
      <c r="B103" s="472"/>
      <c r="C103" s="472"/>
      <c r="D103" s="472"/>
      <c r="E103" s="496" t="s">
        <v>1516</v>
      </c>
      <c r="F103" s="496"/>
      <c r="G103" s="484"/>
      <c r="H103" s="524" t="str">
        <f>IF(G103="","", G103*G$101)</f>
        <v/>
      </c>
      <c r="I103" s="484">
        <v>0.5</v>
      </c>
      <c r="J103" s="524">
        <f>IF(I103="","", I103*I$101)</f>
        <v>1.2500000000000001E-2</v>
      </c>
      <c r="K103" s="484">
        <v>0.5</v>
      </c>
      <c r="L103" s="524">
        <f>IF(K103="","", K103*K$101)</f>
        <v>1.7500000000000002E-2</v>
      </c>
      <c r="M103" s="484">
        <v>0.5</v>
      </c>
      <c r="N103" s="524">
        <f>IF(M103="","", M103*M$101)</f>
        <v>3.5000000000000003E-2</v>
      </c>
      <c r="O103" s="484">
        <v>0.25</v>
      </c>
      <c r="P103" s="524">
        <f>IF(O103="","", O103*O$101)</f>
        <v>0.03</v>
      </c>
    </row>
    <row r="104" spans="2:18" s="525" customFormat="1" ht="15">
      <c r="B104" s="472"/>
      <c r="C104" s="472"/>
      <c r="D104" s="472"/>
      <c r="E104" s="496" t="s">
        <v>993</v>
      </c>
      <c r="F104" s="496"/>
      <c r="G104" s="484"/>
      <c r="H104" s="524" t="str">
        <f>IF(G104="","", G104*G$101)</f>
        <v/>
      </c>
      <c r="I104" s="484"/>
      <c r="J104" s="524" t="str">
        <f>IF(I104="","", I104*I$101)</f>
        <v/>
      </c>
      <c r="K104" s="484"/>
      <c r="L104" s="524" t="str">
        <f>IF(K104="","", K104*K$101)</f>
        <v/>
      </c>
      <c r="M104" s="484"/>
      <c r="N104" s="524" t="str">
        <f>IF(M104="","", M104*M$101)</f>
        <v/>
      </c>
      <c r="O104" s="484">
        <v>0.25</v>
      </c>
      <c r="P104" s="524">
        <f>IF(O104="","", O104*O$101)</f>
        <v>0.03</v>
      </c>
    </row>
    <row r="105" spans="2:18" s="525" customFormat="1" ht="15">
      <c r="B105" s="472"/>
      <c r="C105" s="472"/>
      <c r="D105" s="472"/>
      <c r="E105" s="496" t="s">
        <v>80</v>
      </c>
      <c r="F105" s="496"/>
      <c r="G105" s="484"/>
      <c r="H105" s="524" t="str">
        <f>IF(G105="","", G105*G$101)</f>
        <v/>
      </c>
      <c r="I105" s="484"/>
      <c r="J105" s="524" t="str">
        <f>IF(I105="","", I105*I$101)</f>
        <v/>
      </c>
      <c r="K105" s="484"/>
      <c r="L105" s="524" t="str">
        <f>IF(K105="","", K105*K$101)</f>
        <v/>
      </c>
      <c r="M105" s="484"/>
      <c r="N105" s="524" t="str">
        <f>IF(M105="","", M105*M$101)</f>
        <v/>
      </c>
      <c r="O105" s="484">
        <v>0.25</v>
      </c>
      <c r="P105" s="524">
        <f>IF(O105="","", O105*O$101)</f>
        <v>0.03</v>
      </c>
    </row>
    <row r="106" spans="2:18" s="525" customFormat="1" ht="5.25" customHeight="1">
      <c r="B106" s="472"/>
      <c r="C106" s="472"/>
      <c r="D106" s="472"/>
      <c r="E106" s="297"/>
      <c r="F106" s="297"/>
      <c r="G106" s="526"/>
      <c r="H106" s="527" t="str">
        <f>IF(G106="","", G106*G$101)</f>
        <v/>
      </c>
      <c r="I106" s="526"/>
      <c r="J106" s="527" t="str">
        <f>IF(I106="","", I106*I$101)</f>
        <v/>
      </c>
      <c r="K106" s="526"/>
      <c r="L106" s="527" t="str">
        <f>IF(K106="","", K106*K$101)</f>
        <v/>
      </c>
      <c r="M106" s="526"/>
      <c r="N106" s="527" t="str">
        <f>IF(M106="","", M106*M$101)</f>
        <v/>
      </c>
      <c r="O106" s="526"/>
      <c r="P106" s="527" t="str">
        <f>IF(O106="","", O106*O$101)</f>
        <v/>
      </c>
    </row>
    <row r="107" spans="2:18" s="282" customFormat="1" ht="15">
      <c r="B107" s="485"/>
      <c r="C107" s="485"/>
      <c r="D107" s="485" t="s">
        <v>20</v>
      </c>
      <c r="E107" s="289" t="s">
        <v>32</v>
      </c>
      <c r="F107" s="289"/>
      <c r="G107" s="503">
        <v>0</v>
      </c>
      <c r="H107" s="371">
        <f>SUM(H108:H110)</f>
        <v>0</v>
      </c>
      <c r="I107" s="503">
        <v>0</v>
      </c>
      <c r="J107" s="371">
        <f>SUM(J108:J110)</f>
        <v>0</v>
      </c>
      <c r="K107" s="503">
        <v>0</v>
      </c>
      <c r="L107" s="371">
        <f>SUM(L108:L110)</f>
        <v>0</v>
      </c>
      <c r="M107" s="503">
        <v>0</v>
      </c>
      <c r="N107" s="371">
        <f>SUM(N108:N110)</f>
        <v>0</v>
      </c>
      <c r="O107" s="503">
        <v>0</v>
      </c>
      <c r="P107" s="371">
        <f>SUM(P108:P110)</f>
        <v>0</v>
      </c>
      <c r="R107" s="287"/>
    </row>
    <row r="108" spans="2:18" s="525" customFormat="1" ht="15">
      <c r="B108" s="472"/>
      <c r="C108" s="472"/>
      <c r="D108" s="472"/>
      <c r="E108" s="496"/>
      <c r="F108" s="496"/>
      <c r="G108" s="484"/>
      <c r="H108" s="524" t="str">
        <f>IF(G108="","", G108*G$107)</f>
        <v/>
      </c>
      <c r="I108" s="484"/>
      <c r="J108" s="524" t="str">
        <f>IF(I108="","", I108*I$107)</f>
        <v/>
      </c>
      <c r="K108" s="484"/>
      <c r="L108" s="524" t="str">
        <f>IF(K108="","", K108*K$107)</f>
        <v/>
      </c>
      <c r="M108" s="484"/>
      <c r="N108" s="524" t="str">
        <f>IF(M108="","", M108*M$107)</f>
        <v/>
      </c>
      <c r="O108" s="484"/>
      <c r="P108" s="524" t="str">
        <f>IF(O108="","", O108*O$107)</f>
        <v/>
      </c>
    </row>
    <row r="109" spans="2:18" s="525" customFormat="1" ht="15">
      <c r="B109" s="472"/>
      <c r="C109" s="472"/>
      <c r="D109" s="472"/>
      <c r="E109" s="496"/>
      <c r="F109" s="496"/>
      <c r="G109" s="484"/>
      <c r="H109" s="524" t="str">
        <f>IF(G109="","", G109*G$107)</f>
        <v/>
      </c>
      <c r="I109" s="484"/>
      <c r="J109" s="524" t="str">
        <f>IF(I109="","", I109*I$107)</f>
        <v/>
      </c>
      <c r="K109" s="484"/>
      <c r="L109" s="524" t="str">
        <f>IF(K109="","", K109*K$107)</f>
        <v/>
      </c>
      <c r="M109" s="484"/>
      <c r="N109" s="524" t="str">
        <f>IF(M109="","", M109*M$107)</f>
        <v/>
      </c>
      <c r="O109" s="484"/>
      <c r="P109" s="524" t="str">
        <f>IF(O109="","", O109*O$107)</f>
        <v/>
      </c>
    </row>
    <row r="110" spans="2:18" s="282" customFormat="1" ht="8.25" customHeight="1">
      <c r="B110" s="485"/>
      <c r="C110" s="485"/>
      <c r="D110" s="485"/>
      <c r="E110" s="316"/>
      <c r="F110" s="316"/>
      <c r="G110" s="526"/>
      <c r="H110" s="527" t="str">
        <f>IF(G110="","", G110*G$11)</f>
        <v/>
      </c>
      <c r="I110" s="484"/>
      <c r="J110" s="527" t="str">
        <f>IF(I110="","", I110*I$11)</f>
        <v/>
      </c>
      <c r="K110" s="526"/>
      <c r="L110" s="527" t="str">
        <f>IF(K110="","", K110*K$11)</f>
        <v/>
      </c>
      <c r="M110" s="526"/>
      <c r="N110" s="527" t="str">
        <f>IF(M110="","", M110*M$11)</f>
        <v/>
      </c>
      <c r="O110" s="526"/>
      <c r="P110" s="527" t="str">
        <f>IF(O110="","", O110*O$11)</f>
        <v/>
      </c>
      <c r="R110" s="521"/>
    </row>
    <row r="111" spans="2:18" s="282" customFormat="1" ht="15">
      <c r="B111" s="485"/>
      <c r="C111" s="485" t="s">
        <v>20</v>
      </c>
      <c r="D111" s="485" t="s">
        <v>20</v>
      </c>
      <c r="E111" s="284" t="s">
        <v>973</v>
      </c>
      <c r="F111" s="284"/>
      <c r="G111" s="493">
        <f ca="1">OFFSET('Asset Allocation'!$B$9, MATCH($E111,OFFSET('Asset Allocation'!$B$9,,,COUNTA('Asset Allocation'!$B:$B)-COUNTA('Asset Allocation'!$B$1:$B$9)),0)-1, MATCH(G$5,'Asset Allocation'!$D$5:$M$5,0)+2)</f>
        <v>0</v>
      </c>
      <c r="H111" s="522">
        <f>H113+H117+H121+H125</f>
        <v>0</v>
      </c>
      <c r="I111" s="493">
        <f ca="1">OFFSET('Asset Allocation'!$B$9, MATCH($E111,OFFSET('Asset Allocation'!$B$9,,,COUNTA('Asset Allocation'!$B:$B)-COUNTA('Asset Allocation'!$B$1:$B$9)),0)-1, MATCH(I$5,'Asset Allocation'!$D$5:$M$5,0)+2)</f>
        <v>5.0000000000000001E-3</v>
      </c>
      <c r="J111" s="522">
        <f ca="1">J113+J117+J121+J125</f>
        <v>5.0000000000000001E-3</v>
      </c>
      <c r="K111" s="493">
        <f ca="1">OFFSET('Asset Allocation'!$B$9, MATCH($E111,OFFSET('Asset Allocation'!$B$9,,,COUNTA('Asset Allocation'!$B:$B)-COUNTA('Asset Allocation'!$B$1:$B$9)),0)-1, MATCH(K$5,'Asset Allocation'!$D$5:$M$5,0)+2)</f>
        <v>1.4999999999999999E-2</v>
      </c>
      <c r="L111" s="522">
        <f ca="1">L113+L117+L121+L125</f>
        <v>1.4999999999999999E-2</v>
      </c>
      <c r="M111" s="493">
        <f ca="1">OFFSET('Asset Allocation'!$B$9, MATCH($E111,OFFSET('Asset Allocation'!$B$9,,,COUNTA('Asset Allocation'!$B:$B)-COUNTA('Asset Allocation'!$B$1:$B$9)),0)-1, MATCH(M$5,'Asset Allocation'!$D$5:$M$5,0)+2)</f>
        <v>0.02</v>
      </c>
      <c r="N111" s="522">
        <f ca="1">N113+N117+N121+N125</f>
        <v>0.02</v>
      </c>
      <c r="O111" s="493">
        <f ca="1">OFFSET('Asset Allocation'!$B$9, MATCH($E111,OFFSET('Asset Allocation'!$B$9,,,COUNTA('Asset Allocation'!$B:$B)-COUNTA('Asset Allocation'!$B$1:$B$9)),0)-1, MATCH(O$5,'Asset Allocation'!$D$5:$M$5,0)+2)</f>
        <v>4.4999999999999998E-2</v>
      </c>
      <c r="P111" s="523">
        <f ca="1">P113+P117+P121+P125</f>
        <v>4.4999999999999998E-2</v>
      </c>
      <c r="R111" s="287"/>
    </row>
    <row r="112" spans="2:18" s="282" customFormat="1" ht="3" customHeight="1">
      <c r="B112" s="485"/>
      <c r="C112" s="485"/>
      <c r="D112" s="485"/>
      <c r="G112" s="519"/>
      <c r="H112" s="520"/>
      <c r="I112" s="519"/>
      <c r="J112" s="520"/>
      <c r="K112" s="519"/>
      <c r="L112" s="520"/>
      <c r="M112" s="519"/>
      <c r="N112" s="520"/>
      <c r="O112" s="519"/>
      <c r="P112" s="520"/>
      <c r="R112" s="287"/>
    </row>
    <row r="113" spans="2:18" s="282" customFormat="1" ht="15">
      <c r="B113" s="485"/>
      <c r="C113" s="485"/>
      <c r="D113" s="485" t="s">
        <v>20</v>
      </c>
      <c r="E113" s="289" t="s">
        <v>952</v>
      </c>
      <c r="F113" s="289"/>
      <c r="G113" s="488">
        <f ca="1">OFFSET('Asset Allocation'!$B$9, MATCH($E113,OFFSET('Asset Allocation'!$B$9,,,COUNTA('Asset Allocation'!$B:$B)-COUNTA('Asset Allocation'!$B$1:$B$9)),0)-1, MATCH(G$5,'Asset Allocation'!$D$5:$M$5,0)+2)</f>
        <v>0</v>
      </c>
      <c r="H113" s="371">
        <f>SUM(H114:H116)</f>
        <v>0</v>
      </c>
      <c r="I113" s="488">
        <f ca="1">OFFSET('Asset Allocation'!$B$9, MATCH($E113,OFFSET('Asset Allocation'!$B$9,,,COUNTA('Asset Allocation'!$B:$B)-COUNTA('Asset Allocation'!$B$1:$B$9)),0)-1, MATCH(I$5,'Asset Allocation'!$D$5:$M$5,0)+2)</f>
        <v>5.0000000000000001E-3</v>
      </c>
      <c r="J113" s="371">
        <f ca="1">SUM(J114:J116)</f>
        <v>5.0000000000000001E-3</v>
      </c>
      <c r="K113" s="488">
        <f ca="1">OFFSET('Asset Allocation'!$B$9, MATCH($E113,OFFSET('Asset Allocation'!$B$9,,,COUNTA('Asset Allocation'!$B:$B)-COUNTA('Asset Allocation'!$B$1:$B$9)),0)-1, MATCH(K$5,'Asset Allocation'!$D$5:$M$5,0)+2)</f>
        <v>1.4999999999999999E-2</v>
      </c>
      <c r="L113" s="371">
        <f ca="1">SUM(L114:L116)</f>
        <v>1.4999999999999999E-2</v>
      </c>
      <c r="M113" s="488">
        <f ca="1">OFFSET('Asset Allocation'!$B$9, MATCH($E113,OFFSET('Asset Allocation'!$B$9,,,COUNTA('Asset Allocation'!$B:$B)-COUNTA('Asset Allocation'!$B$1:$B$9)),0)-1, MATCH(M$5,'Asset Allocation'!$D$5:$M$5,0)+2)</f>
        <v>0.02</v>
      </c>
      <c r="N113" s="371">
        <f ca="1">SUM(N114:N116)</f>
        <v>0.02</v>
      </c>
      <c r="O113" s="488">
        <f ca="1">OFFSET('Asset Allocation'!$B$9, MATCH($E113,OFFSET('Asset Allocation'!$B$9,,,COUNTA('Asset Allocation'!$B:$B)-COUNTA('Asset Allocation'!$B$1:$B$9)),0)-1, MATCH(O$5,'Asset Allocation'!$D$5:$M$5,0)+2)</f>
        <v>4.4999999999999998E-2</v>
      </c>
      <c r="P113" s="371">
        <f ca="1">SUM(P114:P116)</f>
        <v>4.4999999999999998E-2</v>
      </c>
      <c r="R113" s="287"/>
    </row>
    <row r="114" spans="2:18" s="525" customFormat="1" ht="15">
      <c r="B114" s="472"/>
      <c r="C114" s="472"/>
      <c r="D114" s="472"/>
      <c r="E114" s="496" t="s">
        <v>732</v>
      </c>
      <c r="F114" s="496"/>
      <c r="G114" s="484"/>
      <c r="H114" s="524" t="str">
        <f>IF(G114="","", G114*G$113)</f>
        <v/>
      </c>
      <c r="I114" s="484">
        <v>1</v>
      </c>
      <c r="J114" s="524">
        <f ca="1">IF(I114="","", I114*I$113)</f>
        <v>5.0000000000000001E-3</v>
      </c>
      <c r="K114" s="484">
        <v>1</v>
      </c>
      <c r="L114" s="524">
        <f ca="1">IF(K114="","", K114*K$113)</f>
        <v>1.4999999999999999E-2</v>
      </c>
      <c r="M114" s="484">
        <v>1</v>
      </c>
      <c r="N114" s="524">
        <f ca="1">IF(M114="","", M114*M$113)</f>
        <v>0.02</v>
      </c>
      <c r="O114" s="484">
        <v>1</v>
      </c>
      <c r="P114" s="524">
        <f ca="1">IF(O114="","", O114*O$113)</f>
        <v>4.4999999999999998E-2</v>
      </c>
    </row>
    <row r="115" spans="2:18" s="525" customFormat="1" ht="15">
      <c r="B115" s="472"/>
      <c r="C115" s="472"/>
      <c r="D115" s="472"/>
      <c r="E115" s="496" t="s">
        <v>762</v>
      </c>
      <c r="F115" s="496"/>
      <c r="G115" s="484"/>
      <c r="H115" s="524" t="str">
        <f>IF(G115="","", G115*G$113)</f>
        <v/>
      </c>
      <c r="I115" s="484"/>
      <c r="J115" s="524" t="str">
        <f>IF(I115="","", I115*I$113)</f>
        <v/>
      </c>
      <c r="K115" s="484"/>
      <c r="L115" s="524" t="str">
        <f>IF(K115="","", K115*K$113)</f>
        <v/>
      </c>
      <c r="M115" s="484"/>
      <c r="N115" s="524" t="str">
        <f>IF(M115="","", M115*M$113)</f>
        <v/>
      </c>
      <c r="O115" s="484"/>
      <c r="P115" s="524" t="str">
        <f>IF(O115="","", O115*O$113)</f>
        <v/>
      </c>
    </row>
    <row r="116" spans="2:18" s="525" customFormat="1" ht="5.25" customHeight="1">
      <c r="B116" s="472"/>
      <c r="C116" s="472"/>
      <c r="D116" s="472"/>
      <c r="E116" s="297"/>
      <c r="F116" s="297"/>
      <c r="G116" s="526"/>
      <c r="H116" s="527" t="str">
        <f>IF(G116="","", G116*G$113)</f>
        <v/>
      </c>
      <c r="I116" s="526"/>
      <c r="J116" s="527" t="str">
        <f>IF(I116="","", I116*I$113)</f>
        <v/>
      </c>
      <c r="K116" s="526"/>
      <c r="L116" s="527" t="str">
        <f>IF(K116="","", K116*K$113)</f>
        <v/>
      </c>
      <c r="M116" s="526"/>
      <c r="N116" s="527" t="str">
        <f>IF(M116="","", M116*M$113)</f>
        <v/>
      </c>
      <c r="O116" s="526"/>
      <c r="P116" s="527" t="str">
        <f>IF(O116="","", O116*O$113)</f>
        <v/>
      </c>
    </row>
    <row r="117" spans="2:18" s="282" customFormat="1" ht="15">
      <c r="B117" s="485"/>
      <c r="C117" s="485"/>
      <c r="D117" s="485" t="s">
        <v>20</v>
      </c>
      <c r="E117" s="289" t="s">
        <v>955</v>
      </c>
      <c r="F117" s="289"/>
      <c r="G117" s="488">
        <f ca="1">OFFSET('Asset Allocation'!$B$9, MATCH($E117,OFFSET('Asset Allocation'!$B$9,,,COUNTA('Asset Allocation'!$B:$B)-COUNTA('Asset Allocation'!$B$1:$B$9)),0)-1, MATCH(G$5,'Asset Allocation'!$D$5:$M$5,0)+2)</f>
        <v>0</v>
      </c>
      <c r="H117" s="371">
        <f>SUM(H118:H120)</f>
        <v>0</v>
      </c>
      <c r="I117" s="488">
        <f ca="1">OFFSET('Asset Allocation'!$B$9, MATCH($E117,OFFSET('Asset Allocation'!$B$9,,,COUNTA('Asset Allocation'!$B:$B)-COUNTA('Asset Allocation'!$B$1:$B$9)),0)-1, MATCH(I$5,'Asset Allocation'!$D$5:$M$5,0)+2)</f>
        <v>0</v>
      </c>
      <c r="J117" s="371">
        <f>SUM(J118:J120)</f>
        <v>0</v>
      </c>
      <c r="K117" s="488">
        <f ca="1">OFFSET('Asset Allocation'!$B$9, MATCH($E117,OFFSET('Asset Allocation'!$B$9,,,COUNTA('Asset Allocation'!$B:$B)-COUNTA('Asset Allocation'!$B$1:$B$9)),0)-1, MATCH(K$5,'Asset Allocation'!$D$5:$M$5,0)+2)</f>
        <v>0</v>
      </c>
      <c r="L117" s="371">
        <f>SUM(L118:L120)</f>
        <v>0</v>
      </c>
      <c r="M117" s="488">
        <f ca="1">OFFSET('Asset Allocation'!$B$9, MATCH($E117,OFFSET('Asset Allocation'!$B$9,,,COUNTA('Asset Allocation'!$B:$B)-COUNTA('Asset Allocation'!$B$1:$B$9)),0)-1, MATCH(M$5,'Asset Allocation'!$D$5:$M$5,0)+2)</f>
        <v>0</v>
      </c>
      <c r="N117" s="371">
        <f>SUM(N118:N120)</f>
        <v>0</v>
      </c>
      <c r="O117" s="488">
        <f ca="1">OFFSET('Asset Allocation'!$B$9, MATCH($E117,OFFSET('Asset Allocation'!$B$9,,,COUNTA('Asset Allocation'!$B:$B)-COUNTA('Asset Allocation'!$B$1:$B$9)),0)-1, MATCH(O$5,'Asset Allocation'!$D$5:$M$5,0)+2)</f>
        <v>0</v>
      </c>
      <c r="P117" s="371">
        <f>SUM(P118:P120)</f>
        <v>0</v>
      </c>
      <c r="R117" s="287"/>
    </row>
    <row r="118" spans="2:18" s="525" customFormat="1" ht="15">
      <c r="B118" s="472"/>
      <c r="C118" s="472"/>
      <c r="D118" s="472"/>
      <c r="E118" s="496" t="s">
        <v>904</v>
      </c>
      <c r="F118" s="496"/>
      <c r="G118" s="484"/>
      <c r="H118" s="524" t="str">
        <f>IF(G118="","", G118*G$117)</f>
        <v/>
      </c>
      <c r="I118" s="484"/>
      <c r="J118" s="524" t="str">
        <f>IF(I118="","", I118*I$117)</f>
        <v/>
      </c>
      <c r="K118" s="484"/>
      <c r="L118" s="524" t="str">
        <f>IF(K118="","", K118*K$117)</f>
        <v/>
      </c>
      <c r="M118" s="484"/>
      <c r="N118" s="524" t="str">
        <f>IF(M118="","", M118*M$117)</f>
        <v/>
      </c>
      <c r="O118" s="484"/>
      <c r="P118" s="524" t="str">
        <f>IF(O118="","", O118*O$117)</f>
        <v/>
      </c>
    </row>
    <row r="119" spans="2:18" s="525" customFormat="1" ht="15">
      <c r="B119" s="472"/>
      <c r="C119" s="472"/>
      <c r="D119" s="472"/>
      <c r="E119" s="496"/>
      <c r="F119" s="496"/>
      <c r="G119" s="484"/>
      <c r="H119" s="524" t="str">
        <f t="shared" ref="H119:J120" si="23">IF(G119="","", G119*G$117)</f>
        <v/>
      </c>
      <c r="I119" s="484"/>
      <c r="J119" s="524" t="str">
        <f t="shared" si="23"/>
        <v/>
      </c>
      <c r="K119" s="484"/>
      <c r="L119" s="524" t="str">
        <f>IF(K119="","", K119*K$117)</f>
        <v/>
      </c>
      <c r="M119" s="484"/>
      <c r="N119" s="524" t="str">
        <f>IF(M119="","", M119*M$117)</f>
        <v/>
      </c>
      <c r="O119" s="484"/>
      <c r="P119" s="524" t="str">
        <f>IF(O119="","", O119*O$117)</f>
        <v/>
      </c>
    </row>
    <row r="120" spans="2:18" s="525" customFormat="1" ht="5.25" customHeight="1">
      <c r="B120" s="472"/>
      <c r="C120" s="472"/>
      <c r="D120" s="472"/>
      <c r="E120" s="297"/>
      <c r="F120" s="297"/>
      <c r="G120" s="526"/>
      <c r="H120" s="527" t="str">
        <f t="shared" si="23"/>
        <v/>
      </c>
      <c r="I120" s="526"/>
      <c r="J120" s="527" t="str">
        <f t="shared" si="23"/>
        <v/>
      </c>
      <c r="K120" s="526"/>
      <c r="L120" s="527" t="str">
        <f>IF(K120="","", K120*K$117)</f>
        <v/>
      </c>
      <c r="M120" s="526"/>
      <c r="N120" s="527" t="str">
        <f>IF(M120="","", M120*M$117)</f>
        <v/>
      </c>
      <c r="O120" s="526"/>
      <c r="P120" s="527" t="str">
        <f>IF(O120="","", O120*O$117)</f>
        <v/>
      </c>
    </row>
    <row r="121" spans="2:18" s="282" customFormat="1" ht="15">
      <c r="B121" s="485"/>
      <c r="C121" s="485"/>
      <c r="D121" s="485" t="s">
        <v>20</v>
      </c>
      <c r="E121" s="289" t="s">
        <v>956</v>
      </c>
      <c r="F121" s="289"/>
      <c r="G121" s="488">
        <f ca="1">OFFSET('Asset Allocation'!$B$9, MATCH($E121,OFFSET('Asset Allocation'!$B$9,,,COUNTA('Asset Allocation'!$B:$B)-COUNTA('Asset Allocation'!$B$1:$B$9)),0)-1, MATCH(G$5,'Asset Allocation'!$D$5:$M$5,0)+2)</f>
        <v>0</v>
      </c>
      <c r="H121" s="371">
        <f>SUM(H122:H124)</f>
        <v>0</v>
      </c>
      <c r="I121" s="488">
        <f ca="1">OFFSET('Asset Allocation'!$B$9, MATCH($E121,OFFSET('Asset Allocation'!$B$9,,,COUNTA('Asset Allocation'!$B:$B)-COUNTA('Asset Allocation'!$B$1:$B$9)),0)-1, MATCH(I$5,'Asset Allocation'!$D$5:$M$5,0)+2)</f>
        <v>0</v>
      </c>
      <c r="J121" s="371">
        <f>SUM(J122:J124)</f>
        <v>0</v>
      </c>
      <c r="K121" s="488">
        <f ca="1">OFFSET('Asset Allocation'!$B$9, MATCH($E121,OFFSET('Asset Allocation'!$B$9,,,COUNTA('Asset Allocation'!$B:$B)-COUNTA('Asset Allocation'!$B$1:$B$9)),0)-1, MATCH(K$5,'Asset Allocation'!$D$5:$M$5,0)+2)</f>
        <v>0</v>
      </c>
      <c r="L121" s="371">
        <f>SUM(L122:L124)</f>
        <v>0</v>
      </c>
      <c r="M121" s="488">
        <f ca="1">OFFSET('Asset Allocation'!$B$9, MATCH($E121,OFFSET('Asset Allocation'!$B$9,,,COUNTA('Asset Allocation'!$B:$B)-COUNTA('Asset Allocation'!$B$1:$B$9)),0)-1, MATCH(M$5,'Asset Allocation'!$D$5:$M$5,0)+2)</f>
        <v>0</v>
      </c>
      <c r="N121" s="371">
        <f>SUM(N122:N124)</f>
        <v>0</v>
      </c>
      <c r="O121" s="488">
        <f ca="1">OFFSET('Asset Allocation'!$B$9, MATCH($E121,OFFSET('Asset Allocation'!$B$9,,,COUNTA('Asset Allocation'!$B:$B)-COUNTA('Asset Allocation'!$B$1:$B$9)),0)-1, MATCH(O$5,'Asset Allocation'!$D$5:$M$5,0)+2)</f>
        <v>0</v>
      </c>
      <c r="P121" s="371">
        <f>SUM(P122:P124)</f>
        <v>0</v>
      </c>
      <c r="R121" s="287"/>
    </row>
    <row r="122" spans="2:18" s="525" customFormat="1" ht="15">
      <c r="B122" s="472"/>
      <c r="C122" s="472"/>
      <c r="D122" s="472"/>
      <c r="E122" s="496"/>
      <c r="F122" s="496"/>
      <c r="G122" s="484"/>
      <c r="H122" s="524" t="str">
        <f>IF(G122="","", G122*G$121)</f>
        <v/>
      </c>
      <c r="I122" s="484"/>
      <c r="J122" s="524" t="str">
        <f>IF(I122="","", I122*I$121)</f>
        <v/>
      </c>
      <c r="K122" s="484"/>
      <c r="L122" s="524" t="str">
        <f>IF(K122="","", K122*K$121)</f>
        <v/>
      </c>
      <c r="M122" s="484"/>
      <c r="N122" s="524" t="str">
        <f>IF(M122="","", M122*M$121)</f>
        <v/>
      </c>
      <c r="O122" s="484"/>
      <c r="P122" s="524" t="str">
        <f>IF(O122="","", O122*O$121)</f>
        <v/>
      </c>
    </row>
    <row r="123" spans="2:18" s="525" customFormat="1" ht="15">
      <c r="B123" s="472"/>
      <c r="C123" s="472"/>
      <c r="D123" s="472"/>
      <c r="E123" s="496"/>
      <c r="F123" s="496"/>
      <c r="G123" s="484"/>
      <c r="H123" s="524" t="str">
        <f>IF(G123="","", G123*G$121)</f>
        <v/>
      </c>
      <c r="I123" s="484"/>
      <c r="J123" s="524" t="str">
        <f>IF(I123="","", I123*I$121)</f>
        <v/>
      </c>
      <c r="K123" s="484"/>
      <c r="L123" s="524" t="str">
        <f>IF(K123="","", K123*K$121)</f>
        <v/>
      </c>
      <c r="M123" s="484"/>
      <c r="N123" s="524" t="str">
        <f>IF(M123="","", M123*M$121)</f>
        <v/>
      </c>
      <c r="O123" s="484"/>
      <c r="P123" s="524" t="str">
        <f>IF(O123="","", O123*O$121)</f>
        <v/>
      </c>
    </row>
    <row r="124" spans="2:18" s="525" customFormat="1" ht="5.25" customHeight="1">
      <c r="B124" s="472"/>
      <c r="C124" s="472"/>
      <c r="D124" s="472"/>
      <c r="E124" s="297"/>
      <c r="F124" s="297"/>
      <c r="G124" s="526"/>
      <c r="H124" s="527" t="str">
        <f>IF(G124="","", G124*G$121)</f>
        <v/>
      </c>
      <c r="I124" s="526"/>
      <c r="J124" s="527" t="str">
        <f>IF(I124="","", I124*I$121)</f>
        <v/>
      </c>
      <c r="K124" s="526"/>
      <c r="L124" s="527" t="str">
        <f>IF(K124="","", K124*K$121)</f>
        <v/>
      </c>
      <c r="M124" s="526"/>
      <c r="N124" s="527" t="str">
        <f>IF(M124="","", M124*M$121)</f>
        <v/>
      </c>
      <c r="O124" s="526"/>
      <c r="P124" s="527" t="str">
        <f>IF(O124="","", O124*O$121)</f>
        <v/>
      </c>
    </row>
    <row r="125" spans="2:18" s="282" customFormat="1" ht="15">
      <c r="B125" s="485"/>
      <c r="C125" s="485"/>
      <c r="D125" s="485" t="s">
        <v>20</v>
      </c>
      <c r="E125" s="289" t="s">
        <v>954</v>
      </c>
      <c r="F125" s="289"/>
      <c r="G125" s="488">
        <f ca="1">OFFSET('Asset Allocation'!$B$9, MATCH($E125,OFFSET('Asset Allocation'!$B$9,,,COUNTA('Asset Allocation'!$B:$B)-COUNTA('Asset Allocation'!$B$1:$B$9)),0)-1, MATCH(G$5,'Asset Allocation'!$D$5:$M$5,0)+2)</f>
        <v>0</v>
      </c>
      <c r="H125" s="371">
        <f>SUM(H126:H128)</f>
        <v>0</v>
      </c>
      <c r="I125" s="488">
        <f ca="1">OFFSET('Asset Allocation'!$B$9, MATCH($E125,OFFSET('Asset Allocation'!$B$9,,,COUNTA('Asset Allocation'!$B:$B)-COUNTA('Asset Allocation'!$B$1:$B$9)),0)-1, MATCH(I$5,'Asset Allocation'!$D$5:$M$5,0)+2)</f>
        <v>0</v>
      </c>
      <c r="J125" s="371">
        <f>SUM(J126:J128)</f>
        <v>0</v>
      </c>
      <c r="K125" s="488">
        <f ca="1">OFFSET('Asset Allocation'!$B$9, MATCH($E125,OFFSET('Asset Allocation'!$B$9,,,COUNTA('Asset Allocation'!$B:$B)-COUNTA('Asset Allocation'!$B$1:$B$9)),0)-1, MATCH(K$5,'Asset Allocation'!$D$5:$M$5,0)+2)</f>
        <v>0</v>
      </c>
      <c r="L125" s="371">
        <f>SUM(L126:L128)</f>
        <v>0</v>
      </c>
      <c r="M125" s="488">
        <f ca="1">OFFSET('Asset Allocation'!$B$9, MATCH($E125,OFFSET('Asset Allocation'!$B$9,,,COUNTA('Asset Allocation'!$B:$B)-COUNTA('Asset Allocation'!$B$1:$B$9)),0)-1, MATCH(M$5,'Asset Allocation'!$D$5:$M$5,0)+2)</f>
        <v>0</v>
      </c>
      <c r="N125" s="371">
        <f>SUM(N126:N128)</f>
        <v>0</v>
      </c>
      <c r="O125" s="488">
        <f ca="1">OFFSET('Asset Allocation'!$B$9, MATCH($E125,OFFSET('Asset Allocation'!$B$9,,,COUNTA('Asset Allocation'!$B:$B)-COUNTA('Asset Allocation'!$B$1:$B$9)),0)-1, MATCH(O$5,'Asset Allocation'!$D$5:$M$5,0)+2)</f>
        <v>0</v>
      </c>
      <c r="P125" s="371">
        <f>SUM(P126:P128)</f>
        <v>0</v>
      </c>
      <c r="R125" s="287"/>
    </row>
    <row r="126" spans="2:18" s="525" customFormat="1" ht="15">
      <c r="B126" s="472"/>
      <c r="C126" s="472"/>
      <c r="D126" s="472"/>
      <c r="E126" s="496"/>
      <c r="F126" s="496"/>
      <c r="G126" s="484"/>
      <c r="H126" s="524" t="str">
        <f>IF(G126="","", G126*G$125)</f>
        <v/>
      </c>
      <c r="I126" s="484"/>
      <c r="J126" s="524" t="str">
        <f>IF(I126="","", I126*I$125)</f>
        <v/>
      </c>
      <c r="K126" s="484"/>
      <c r="L126" s="524" t="str">
        <f>IF(K126="","", K126*K$125)</f>
        <v/>
      </c>
      <c r="M126" s="484"/>
      <c r="N126" s="524" t="str">
        <f>IF(M126="","", M126*M$125)</f>
        <v/>
      </c>
      <c r="O126" s="484"/>
      <c r="P126" s="524" t="str">
        <f>IF(O126="","", O126*O$125)</f>
        <v/>
      </c>
    </row>
    <row r="127" spans="2:18" s="525" customFormat="1" ht="15">
      <c r="B127" s="472"/>
      <c r="C127" s="472"/>
      <c r="D127" s="472"/>
      <c r="E127" s="496"/>
      <c r="F127" s="496"/>
      <c r="G127" s="484"/>
      <c r="H127" s="524" t="str">
        <f>IF(G127="","", G127*G$125)</f>
        <v/>
      </c>
      <c r="I127" s="484"/>
      <c r="J127" s="524" t="str">
        <f>IF(I127="","", I127*I$125)</f>
        <v/>
      </c>
      <c r="K127" s="484"/>
      <c r="L127" s="524" t="str">
        <f>IF(K127="","", K127*K$125)</f>
        <v/>
      </c>
      <c r="M127" s="484"/>
      <c r="N127" s="524" t="str">
        <f>IF(M127="","", M127*M$125)</f>
        <v/>
      </c>
      <c r="O127" s="484"/>
      <c r="P127" s="524" t="str">
        <f>IF(O127="","", O127*O$125)</f>
        <v/>
      </c>
    </row>
    <row r="128" spans="2:18" s="282" customFormat="1" ht="5.25" customHeight="1">
      <c r="B128" s="485"/>
      <c r="C128" s="485"/>
      <c r="D128" s="485"/>
      <c r="G128" s="526"/>
      <c r="H128" s="527" t="str">
        <f>IF(G128="","", G128*G$125)</f>
        <v/>
      </c>
      <c r="I128" s="526"/>
      <c r="J128" s="527" t="str">
        <f>IF(I128="","", I128*I$125)</f>
        <v/>
      </c>
      <c r="K128" s="526"/>
      <c r="L128" s="527" t="str">
        <f>IF(K128="","", K128*K$125)</f>
        <v/>
      </c>
      <c r="M128" s="526"/>
      <c r="N128" s="527" t="str">
        <f>IF(M128="","", M128*M$125)</f>
        <v/>
      </c>
      <c r="O128" s="526"/>
      <c r="P128" s="527" t="str">
        <f>IF(O128="","", O128*O$125)</f>
        <v/>
      </c>
      <c r="R128" s="287"/>
    </row>
    <row r="129" spans="2:18" s="282" customFormat="1" ht="15">
      <c r="B129" s="485"/>
      <c r="C129" s="485"/>
      <c r="D129" s="485" t="s">
        <v>20</v>
      </c>
      <c r="E129" s="289" t="s">
        <v>1046</v>
      </c>
      <c r="F129" s="289"/>
      <c r="G129" s="488">
        <f ca="1">OFFSET('Asset Allocation'!$B$9, MATCH($E129,OFFSET('Asset Allocation'!$B$9,,,COUNTA('Asset Allocation'!$B:$B)-COUNTA('Asset Allocation'!$B$1:$B$9)),0)-1, MATCH(G$5,'Asset Allocation'!$D$5:$M$5,0)+2)</f>
        <v>0</v>
      </c>
      <c r="H129" s="371">
        <f>SUM(H130:H132)</f>
        <v>0</v>
      </c>
      <c r="I129" s="488">
        <f ca="1">OFFSET('Asset Allocation'!$B$9, MATCH($E129,OFFSET('Asset Allocation'!$B$9,,,COUNTA('Asset Allocation'!$B:$B)-COUNTA('Asset Allocation'!$B$1:$B$9)),0)-1, MATCH(I$5,'Asset Allocation'!$D$5:$M$5,0)+2)</f>
        <v>0</v>
      </c>
      <c r="J129" s="371">
        <f>SUM(J130:J132)</f>
        <v>0</v>
      </c>
      <c r="K129" s="488">
        <f ca="1">OFFSET('Asset Allocation'!$B$9, MATCH($E129,OFFSET('Asset Allocation'!$B$9,,,COUNTA('Asset Allocation'!$B:$B)-COUNTA('Asset Allocation'!$B$1:$B$9)),0)-1, MATCH(K$5,'Asset Allocation'!$D$5:$M$5,0)+2)</f>
        <v>0</v>
      </c>
      <c r="L129" s="371">
        <f>SUM(L130:L132)</f>
        <v>0</v>
      </c>
      <c r="M129" s="488">
        <f ca="1">OFFSET('Asset Allocation'!$B$9, MATCH($E129,OFFSET('Asset Allocation'!$B$9,,,COUNTA('Asset Allocation'!$B:$B)-COUNTA('Asset Allocation'!$B$1:$B$9)),0)-1, MATCH(M$5,'Asset Allocation'!$D$5:$M$5,0)+2)</f>
        <v>0</v>
      </c>
      <c r="N129" s="371">
        <f>SUM(N130:N132)</f>
        <v>0</v>
      </c>
      <c r="O129" s="488">
        <f ca="1">OFFSET('Asset Allocation'!$B$9, MATCH($E129,OFFSET('Asset Allocation'!$B$9,,,COUNTA('Asset Allocation'!$B:$B)-COUNTA('Asset Allocation'!$B$1:$B$9)),0)-1, MATCH(O$5,'Asset Allocation'!$D$5:$M$5,0)+2)</f>
        <v>0</v>
      </c>
      <c r="P129" s="371">
        <f>SUM(P130:P132)</f>
        <v>0</v>
      </c>
      <c r="R129" s="287"/>
    </row>
    <row r="130" spans="2:18" s="525" customFormat="1" ht="15">
      <c r="B130" s="472"/>
      <c r="C130" s="472"/>
      <c r="D130" s="472"/>
      <c r="E130" s="496"/>
      <c r="F130" s="496"/>
      <c r="G130" s="484"/>
      <c r="H130" s="524" t="str">
        <f>IF(G130="","", G130*G$125)</f>
        <v/>
      </c>
      <c r="I130" s="484"/>
      <c r="J130" s="524" t="str">
        <f>IF(I130="","", I130*I$125)</f>
        <v/>
      </c>
      <c r="K130" s="484"/>
      <c r="L130" s="524" t="str">
        <f>IF(K130="","", K130*K$125)</f>
        <v/>
      </c>
      <c r="M130" s="484"/>
      <c r="N130" s="524" t="str">
        <f>IF(M130="","", M130*M$125)</f>
        <v/>
      </c>
      <c r="O130" s="484"/>
      <c r="P130" s="524" t="str">
        <f>IF(O130="","", O130*O$125)</f>
        <v/>
      </c>
    </row>
    <row r="131" spans="2:18" s="525" customFormat="1" ht="15">
      <c r="B131" s="472"/>
      <c r="C131" s="472"/>
      <c r="D131" s="472"/>
      <c r="E131" s="496"/>
      <c r="F131" s="496"/>
      <c r="G131" s="484"/>
      <c r="H131" s="524" t="str">
        <f>IF(G131="","", G131*G$125)</f>
        <v/>
      </c>
      <c r="I131" s="484"/>
      <c r="J131" s="524" t="str">
        <f>IF(I131="","", I131*I$125)</f>
        <v/>
      </c>
      <c r="K131" s="484"/>
      <c r="L131" s="524" t="str">
        <f>IF(K131="","", K131*K$125)</f>
        <v/>
      </c>
      <c r="M131" s="484"/>
      <c r="N131" s="524" t="str">
        <f>IF(M131="","", M131*M$125)</f>
        <v/>
      </c>
      <c r="O131" s="484"/>
      <c r="P131" s="524" t="str">
        <f>IF(O131="","", O131*O$125)</f>
        <v/>
      </c>
    </row>
    <row r="132" spans="2:18" s="282" customFormat="1" ht="5.25" customHeight="1">
      <c r="B132" s="485"/>
      <c r="C132" s="485"/>
      <c r="D132" s="485"/>
      <c r="G132" s="526"/>
      <c r="H132" s="527" t="str">
        <f>IF(G132="","", G132*G$125)</f>
        <v/>
      </c>
      <c r="I132" s="526"/>
      <c r="J132" s="527" t="str">
        <f>IF(I132="","", I132*I$125)</f>
        <v/>
      </c>
      <c r="K132" s="526"/>
      <c r="L132" s="527" t="str">
        <f>IF(K132="","", K132*K$125)</f>
        <v/>
      </c>
      <c r="M132" s="526"/>
      <c r="N132" s="527" t="str">
        <f>IF(M132="","", M132*M$125)</f>
        <v/>
      </c>
      <c r="O132" s="526"/>
      <c r="P132" s="527" t="str">
        <f>IF(O132="","", O132*O$125)</f>
        <v/>
      </c>
      <c r="R132" s="287"/>
    </row>
    <row r="133" spans="2:18" s="528" customFormat="1" ht="13.5" customHeight="1">
      <c r="B133" s="485" t="s">
        <v>1847</v>
      </c>
      <c r="C133" s="485" t="s">
        <v>1847</v>
      </c>
      <c r="D133" s="485" t="s">
        <v>1847</v>
      </c>
      <c r="G133" s="529"/>
      <c r="H133" s="530"/>
      <c r="I133" s="531"/>
      <c r="J133" s="532"/>
      <c r="K133" s="533"/>
      <c r="L133" s="530"/>
      <c r="M133" s="282"/>
      <c r="N133" s="532"/>
      <c r="O133" s="533"/>
      <c r="P133" s="282"/>
      <c r="R133" s="534"/>
    </row>
    <row r="134" spans="2:18" s="528" customFormat="1" ht="15">
      <c r="B134" s="509"/>
      <c r="C134" s="509"/>
      <c r="D134" s="509"/>
      <c r="G134" s="533" t="str">
        <f ca="1">IF(G9+G58+G92&lt;&gt;1,TEXT(G9+G58+G92, "##.#%"),"")</f>
        <v/>
      </c>
      <c r="H134" s="535">
        <f ca="1">H9+H58+H92</f>
        <v>1.0000000000000002</v>
      </c>
      <c r="I134" s="282" t="str">
        <f ca="1">IF(I9+I58+I92&lt;&gt;1,TEXT(I9+I58+I92, "##.#%"),"")</f>
        <v/>
      </c>
      <c r="J134" s="535">
        <f ca="1">J9+J58+J92</f>
        <v>0.99340000000000017</v>
      </c>
      <c r="K134" s="536"/>
      <c r="L134" s="535">
        <f ca="1">L9+L58+L92</f>
        <v>1.0000000000000002</v>
      </c>
      <c r="M134" s="335" t="str">
        <f ca="1">IF(M9+M58+M92&lt;&gt;1,TEXT(M9+M58+M92, "##.#%"),"")</f>
        <v/>
      </c>
      <c r="N134" s="535">
        <f ca="1">N9+N58+N92</f>
        <v>1</v>
      </c>
      <c r="O134" s="536" t="str">
        <f ca="1">IF(O9+O58+O92&lt;&gt;1,TEXT(O9+O58+O92, "##.#%"),"")</f>
        <v/>
      </c>
      <c r="P134" s="535">
        <f ca="1">P9+P58+P92</f>
        <v>1</v>
      </c>
      <c r="R134" s="534"/>
    </row>
    <row r="135" spans="2:18" s="528" customFormat="1" ht="15">
      <c r="B135" s="509"/>
      <c r="C135" s="509"/>
      <c r="D135" s="509"/>
      <c r="G135" s="533"/>
      <c r="H135" s="537"/>
      <c r="I135" s="282"/>
      <c r="K135" s="533"/>
      <c r="L135" s="537"/>
      <c r="M135" s="282"/>
      <c r="O135" s="533"/>
      <c r="P135" s="282"/>
      <c r="R135" s="534"/>
    </row>
    <row r="136" spans="2:18" s="525" customFormat="1" ht="21.75" hidden="1" customHeight="1">
      <c r="B136" s="472"/>
      <c r="C136" s="472"/>
      <c r="D136" s="472"/>
      <c r="E136" s="303" t="s">
        <v>739</v>
      </c>
      <c r="F136" s="313"/>
      <c r="G136" s="538"/>
      <c r="H136" s="539"/>
      <c r="I136" s="538"/>
      <c r="J136" s="539"/>
      <c r="K136" s="538"/>
      <c r="L136" s="539"/>
      <c r="M136" s="538"/>
      <c r="N136" s="539"/>
      <c r="O136" s="538"/>
      <c r="P136" s="540"/>
      <c r="R136" s="541"/>
    </row>
    <row r="137" spans="2:18" s="525" customFormat="1" ht="18.75" hidden="1" customHeight="1">
      <c r="B137" s="472"/>
      <c r="C137" s="472"/>
      <c r="D137" s="472"/>
      <c r="E137" s="305" t="s">
        <v>740</v>
      </c>
      <c r="F137" s="636"/>
      <c r="G137" s="542">
        <f>G144</f>
        <v>0</v>
      </c>
      <c r="H137" s="543"/>
      <c r="I137" s="542">
        <f>I144</f>
        <v>0</v>
      </c>
      <c r="J137" s="543"/>
      <c r="K137" s="542">
        <f>K144</f>
        <v>0</v>
      </c>
      <c r="L137" s="543"/>
      <c r="M137" s="542">
        <f>M144</f>
        <v>0</v>
      </c>
      <c r="N137" s="543"/>
      <c r="O137" s="542">
        <f>O144</f>
        <v>0</v>
      </c>
      <c r="P137" s="544"/>
      <c r="R137" s="541"/>
    </row>
    <row r="138" spans="2:18" s="525" customFormat="1" ht="18.75" hidden="1" customHeight="1">
      <c r="B138" s="472"/>
      <c r="C138" s="472"/>
      <c r="D138" s="472"/>
      <c r="E138" s="305" t="s">
        <v>741</v>
      </c>
      <c r="F138" s="636"/>
      <c r="G138" s="538"/>
      <c r="H138" s="539"/>
      <c r="I138" s="538"/>
      <c r="J138" s="539"/>
      <c r="K138" s="538"/>
      <c r="L138" s="539"/>
      <c r="M138" s="538"/>
      <c r="N138" s="539"/>
      <c r="O138" s="538"/>
      <c r="P138" s="540"/>
      <c r="R138" s="541"/>
    </row>
    <row r="139" spans="2:18" s="525" customFormat="1" ht="18.75" hidden="1" customHeight="1">
      <c r="B139" s="472"/>
      <c r="C139" s="472"/>
      <c r="D139" s="472"/>
      <c r="E139" s="305" t="s">
        <v>742</v>
      </c>
      <c r="F139" s="636"/>
      <c r="G139" s="542">
        <f>G146</f>
        <v>0</v>
      </c>
      <c r="H139" s="543"/>
      <c r="I139" s="542">
        <f>I146</f>
        <v>0</v>
      </c>
      <c r="J139" s="543"/>
      <c r="K139" s="542">
        <f>K146</f>
        <v>0</v>
      </c>
      <c r="L139" s="543"/>
      <c r="M139" s="542">
        <f>M146</f>
        <v>0</v>
      </c>
      <c r="N139" s="543"/>
      <c r="O139" s="542">
        <f>O146</f>
        <v>0</v>
      </c>
      <c r="P139" s="544"/>
      <c r="R139" s="541"/>
    </row>
    <row r="140" spans="2:18" s="525" customFormat="1" ht="18.75" hidden="1" customHeight="1">
      <c r="B140" s="472"/>
      <c r="C140" s="472"/>
      <c r="D140" s="472"/>
      <c r="E140" s="305" t="s">
        <v>743</v>
      </c>
      <c r="F140" s="636"/>
      <c r="G140" s="538"/>
      <c r="H140" s="539"/>
      <c r="I140" s="538"/>
      <c r="J140" s="539"/>
      <c r="K140" s="538"/>
      <c r="L140" s="539"/>
      <c r="M140" s="538"/>
      <c r="N140" s="539"/>
      <c r="O140" s="538"/>
      <c r="P140" s="540"/>
      <c r="R140" s="541"/>
    </row>
    <row r="141" spans="2:18" s="525" customFormat="1" ht="18.75" hidden="1" customHeight="1">
      <c r="B141" s="472"/>
      <c r="C141" s="472"/>
      <c r="D141" s="472"/>
      <c r="E141" s="305" t="s">
        <v>744</v>
      </c>
      <c r="F141" s="636"/>
      <c r="G141" s="542">
        <f>G148</f>
        <v>0</v>
      </c>
      <c r="H141" s="543"/>
      <c r="I141" s="542">
        <f>I148</f>
        <v>0</v>
      </c>
      <c r="J141" s="543"/>
      <c r="K141" s="542">
        <f>K148</f>
        <v>0</v>
      </c>
      <c r="L141" s="543"/>
      <c r="M141" s="542">
        <f>M148</f>
        <v>0</v>
      </c>
      <c r="N141" s="543"/>
      <c r="O141" s="542">
        <f>O148</f>
        <v>0</v>
      </c>
      <c r="P141" s="544"/>
      <c r="R141" s="541"/>
    </row>
    <row r="142" spans="2:18" s="525" customFormat="1" ht="18.75" hidden="1" customHeight="1">
      <c r="B142" s="472"/>
      <c r="C142" s="472"/>
      <c r="D142" s="472"/>
      <c r="E142" s="545" t="s">
        <v>745</v>
      </c>
      <c r="G142" s="538"/>
      <c r="H142" s="539"/>
      <c r="I142" s="538"/>
      <c r="J142" s="539"/>
      <c r="K142" s="538"/>
      <c r="L142" s="539"/>
      <c r="M142" s="538"/>
      <c r="N142" s="539"/>
      <c r="O142" s="538"/>
      <c r="P142" s="540"/>
      <c r="R142" s="541"/>
    </row>
    <row r="143" spans="2:18" s="525" customFormat="1" ht="18.75" hidden="1" customHeight="1">
      <c r="B143" s="472"/>
      <c r="C143" s="472"/>
      <c r="D143" s="472"/>
      <c r="E143" s="546" t="s">
        <v>746</v>
      </c>
      <c r="G143" s="542">
        <f>G150</f>
        <v>0</v>
      </c>
      <c r="H143" s="543"/>
      <c r="I143" s="542">
        <f>I150</f>
        <v>0</v>
      </c>
      <c r="J143" s="543"/>
      <c r="K143" s="542">
        <f>K150</f>
        <v>0</v>
      </c>
      <c r="L143" s="543"/>
      <c r="M143" s="542">
        <f>M150</f>
        <v>0</v>
      </c>
      <c r="N143" s="543"/>
      <c r="O143" s="542">
        <f>O150</f>
        <v>0</v>
      </c>
      <c r="P143" s="544"/>
      <c r="R143" s="541"/>
    </row>
    <row r="144" spans="2:18" s="525" customFormat="1" ht="18.75" hidden="1" customHeight="1">
      <c r="B144" s="472"/>
      <c r="C144" s="472"/>
      <c r="D144" s="472"/>
      <c r="E144" s="546" t="s">
        <v>747</v>
      </c>
      <c r="G144" s="538"/>
      <c r="H144" s="539"/>
      <c r="I144" s="538"/>
      <c r="J144" s="539"/>
      <c r="K144" s="538"/>
      <c r="L144" s="539"/>
      <c r="M144" s="538"/>
      <c r="N144" s="539"/>
      <c r="O144" s="538"/>
      <c r="P144" s="540"/>
      <c r="R144" s="541"/>
    </row>
    <row r="145" spans="2:19" s="525" customFormat="1" ht="18.75" hidden="1" customHeight="1">
      <c r="B145" s="472"/>
      <c r="C145" s="472"/>
      <c r="D145" s="472"/>
      <c r="E145" s="546" t="s">
        <v>748</v>
      </c>
      <c r="G145" s="542">
        <f>G152</f>
        <v>0</v>
      </c>
      <c r="H145" s="543"/>
      <c r="I145" s="542">
        <f>I152</f>
        <v>0</v>
      </c>
      <c r="J145" s="543"/>
      <c r="K145" s="542">
        <f>K152</f>
        <v>0</v>
      </c>
      <c r="L145" s="543"/>
      <c r="M145" s="542">
        <f>M152</f>
        <v>0</v>
      </c>
      <c r="N145" s="543"/>
      <c r="O145" s="542">
        <f>O152</f>
        <v>0</v>
      </c>
      <c r="P145" s="544"/>
      <c r="R145" s="541"/>
    </row>
    <row r="146" spans="2:19" s="525" customFormat="1" ht="19.5" hidden="1" customHeight="1">
      <c r="B146" s="472"/>
      <c r="C146" s="472"/>
      <c r="D146" s="472"/>
      <c r="E146" s="547" t="s">
        <v>749</v>
      </c>
      <c r="G146" s="538"/>
      <c r="H146" s="539"/>
      <c r="I146" s="538"/>
      <c r="J146" s="539"/>
      <c r="K146" s="538"/>
      <c r="L146" s="539"/>
      <c r="M146" s="538"/>
      <c r="N146" s="539"/>
      <c r="O146" s="538"/>
      <c r="P146" s="540"/>
      <c r="R146" s="541"/>
    </row>
    <row r="147" spans="2:19" s="525" customFormat="1" ht="18.75" hidden="1" customHeight="1">
      <c r="B147" s="472"/>
      <c r="C147" s="472"/>
      <c r="D147" s="472"/>
      <c r="E147" s="309" t="s">
        <v>750</v>
      </c>
      <c r="F147" s="637"/>
      <c r="G147" s="542">
        <f>G154</f>
        <v>0</v>
      </c>
      <c r="H147" s="543"/>
      <c r="I147" s="542">
        <f>I154</f>
        <v>0</v>
      </c>
      <c r="J147" s="543"/>
      <c r="K147" s="542">
        <f>K154</f>
        <v>0</v>
      </c>
      <c r="L147" s="543"/>
      <c r="M147" s="542">
        <f>M154</f>
        <v>0</v>
      </c>
      <c r="N147" s="543"/>
      <c r="O147" s="542">
        <f>O154</f>
        <v>0</v>
      </c>
      <c r="P147" s="544"/>
      <c r="R147" s="541"/>
    </row>
    <row r="148" spans="2:19" s="525" customFormat="1" ht="18.75" hidden="1" customHeight="1">
      <c r="B148" s="472"/>
      <c r="C148" s="472"/>
      <c r="D148" s="472"/>
      <c r="E148" s="309" t="s">
        <v>751</v>
      </c>
      <c r="F148" s="637"/>
      <c r="G148" s="538"/>
      <c r="H148" s="539"/>
      <c r="I148" s="538"/>
      <c r="J148" s="539"/>
      <c r="K148" s="538"/>
      <c r="L148" s="539"/>
      <c r="M148" s="538"/>
      <c r="N148" s="539"/>
      <c r="O148" s="538"/>
      <c r="P148" s="540"/>
      <c r="R148" s="541"/>
    </row>
    <row r="149" spans="2:19" s="525" customFormat="1" ht="18.75" hidden="1" customHeight="1">
      <c r="B149" s="472"/>
      <c r="C149" s="472"/>
      <c r="D149" s="472"/>
      <c r="E149" s="309" t="s">
        <v>752</v>
      </c>
      <c r="F149" s="637"/>
      <c r="G149" s="542">
        <f>G156</f>
        <v>0</v>
      </c>
      <c r="H149" s="543"/>
      <c r="I149" s="542">
        <f>I156</f>
        <v>0</v>
      </c>
      <c r="J149" s="543"/>
      <c r="K149" s="542">
        <f>K156</f>
        <v>0</v>
      </c>
      <c r="L149" s="543"/>
      <c r="M149" s="542">
        <f>M156</f>
        <v>0</v>
      </c>
      <c r="N149" s="543"/>
      <c r="O149" s="542">
        <f>O156</f>
        <v>0</v>
      </c>
      <c r="P149" s="544"/>
      <c r="R149" s="541"/>
    </row>
    <row r="150" spans="2:19" s="525" customFormat="1" ht="19.5" hidden="1" customHeight="1">
      <c r="B150" s="472"/>
      <c r="C150" s="472"/>
      <c r="D150" s="472"/>
      <c r="E150" s="310" t="s">
        <v>753</v>
      </c>
      <c r="F150" s="637"/>
      <c r="G150" s="538"/>
      <c r="H150" s="539"/>
      <c r="I150" s="538"/>
      <c r="J150" s="539"/>
      <c r="K150" s="538"/>
      <c r="L150" s="539"/>
      <c r="M150" s="538"/>
      <c r="N150" s="539"/>
      <c r="O150" s="538"/>
      <c r="P150" s="540"/>
      <c r="R150" s="541"/>
    </row>
    <row r="151" spans="2:19" s="525" customFormat="1" ht="18.75" hidden="1" customHeight="1">
      <c r="B151" s="472"/>
      <c r="C151" s="472"/>
      <c r="D151" s="472"/>
      <c r="E151" s="311" t="s">
        <v>754</v>
      </c>
      <c r="F151" s="638"/>
      <c r="G151" s="542">
        <f>G158</f>
        <v>0</v>
      </c>
      <c r="H151" s="543"/>
      <c r="I151" s="542">
        <f>I158</f>
        <v>0</v>
      </c>
      <c r="J151" s="543"/>
      <c r="K151" s="542">
        <f>K158</f>
        <v>0</v>
      </c>
      <c r="L151" s="543"/>
      <c r="M151" s="542">
        <f>M158</f>
        <v>0</v>
      </c>
      <c r="N151" s="543"/>
      <c r="O151" s="542">
        <f>O158</f>
        <v>0</v>
      </c>
      <c r="P151" s="544"/>
      <c r="R151" s="541"/>
    </row>
    <row r="152" spans="2:19" s="525" customFormat="1" ht="18.75" hidden="1" customHeight="1">
      <c r="B152" s="472"/>
      <c r="C152" s="472"/>
      <c r="D152" s="472"/>
      <c r="E152" s="312" t="s">
        <v>755</v>
      </c>
      <c r="F152" s="638"/>
      <c r="G152" s="538"/>
      <c r="H152" s="539"/>
      <c r="I152" s="538"/>
      <c r="J152" s="539"/>
      <c r="K152" s="538"/>
      <c r="L152" s="539"/>
      <c r="M152" s="538"/>
      <c r="N152" s="539"/>
      <c r="O152" s="538"/>
      <c r="P152" s="540"/>
      <c r="R152" s="541"/>
    </row>
    <row r="153" spans="2:19" s="525" customFormat="1" ht="18.75" hidden="1" customHeight="1">
      <c r="B153" s="472"/>
      <c r="C153" s="472"/>
      <c r="D153" s="472"/>
      <c r="G153" s="542">
        <f>G160</f>
        <v>0</v>
      </c>
      <c r="H153" s="543"/>
      <c r="I153" s="542">
        <f>I160</f>
        <v>0</v>
      </c>
      <c r="J153" s="543"/>
      <c r="K153" s="542">
        <f>K160</f>
        <v>0</v>
      </c>
      <c r="L153" s="543"/>
      <c r="M153" s="542">
        <f>M160</f>
        <v>0</v>
      </c>
      <c r="N153" s="543"/>
      <c r="O153" s="542">
        <f>O160</f>
        <v>0</v>
      </c>
      <c r="P153" s="544"/>
      <c r="R153" s="541"/>
    </row>
    <row r="154" spans="2:19" s="525" customFormat="1" ht="18.75" hidden="1" customHeight="1">
      <c r="B154" s="472"/>
      <c r="C154" s="472"/>
      <c r="D154" s="472"/>
      <c r="G154" s="538"/>
      <c r="H154" s="539"/>
      <c r="I154" s="538"/>
      <c r="J154" s="539"/>
      <c r="K154" s="538"/>
      <c r="L154" s="539"/>
      <c r="M154" s="538"/>
      <c r="N154" s="539"/>
      <c r="O154" s="538"/>
      <c r="P154" s="540"/>
      <c r="S154" s="313"/>
    </row>
    <row r="155" spans="2:19" s="525" customFormat="1" ht="21.75" hidden="1" customHeight="1">
      <c r="B155" s="472"/>
      <c r="C155" s="472"/>
      <c r="D155" s="472"/>
      <c r="E155" s="303" t="s">
        <v>739</v>
      </c>
      <c r="F155" s="313"/>
      <c r="G155" s="542">
        <f>G162</f>
        <v>0</v>
      </c>
      <c r="H155" s="543"/>
      <c r="I155" s="542">
        <f>I162</f>
        <v>0</v>
      </c>
      <c r="J155" s="543"/>
      <c r="K155" s="542">
        <f>K162</f>
        <v>0</v>
      </c>
      <c r="L155" s="543"/>
      <c r="M155" s="542">
        <f>M162</f>
        <v>0</v>
      </c>
      <c r="N155" s="543"/>
      <c r="O155" s="542">
        <f>O162</f>
        <v>0</v>
      </c>
      <c r="P155" s="544"/>
      <c r="S155" s="313"/>
    </row>
    <row r="156" spans="2:19" s="525" customFormat="1" ht="18.75" hidden="1" customHeight="1">
      <c r="B156" s="472"/>
      <c r="C156" s="472"/>
      <c r="D156" s="472"/>
      <c r="E156" s="305" t="s">
        <v>740</v>
      </c>
      <c r="F156" s="636"/>
      <c r="G156" s="538"/>
      <c r="H156" s="539"/>
      <c r="I156" s="538"/>
      <c r="J156" s="539"/>
      <c r="K156" s="538"/>
      <c r="L156" s="539"/>
      <c r="M156" s="538"/>
      <c r="N156" s="539"/>
      <c r="O156" s="538"/>
      <c r="P156" s="540"/>
      <c r="S156" s="313"/>
    </row>
    <row r="157" spans="2:19" s="525" customFormat="1" ht="18.75" hidden="1" customHeight="1">
      <c r="B157" s="472"/>
      <c r="C157" s="472"/>
      <c r="D157" s="472"/>
      <c r="E157" s="305" t="s">
        <v>741</v>
      </c>
      <c r="F157" s="636"/>
      <c r="G157" s="542">
        <f>G164</f>
        <v>0</v>
      </c>
      <c r="H157" s="543"/>
      <c r="I157" s="542">
        <f>I164</f>
        <v>0</v>
      </c>
      <c r="J157" s="543"/>
      <c r="K157" s="542">
        <f>K164</f>
        <v>0</v>
      </c>
      <c r="L157" s="543"/>
      <c r="M157" s="542">
        <f>M164</f>
        <v>0</v>
      </c>
      <c r="N157" s="543"/>
      <c r="O157" s="542">
        <f>O164</f>
        <v>0</v>
      </c>
      <c r="P157" s="544"/>
      <c r="S157" s="313"/>
    </row>
    <row r="158" spans="2:19" s="525" customFormat="1" ht="19.5" hidden="1" customHeight="1">
      <c r="B158" s="472"/>
      <c r="C158" s="472"/>
      <c r="D158" s="472"/>
      <c r="E158" s="314" t="s">
        <v>742</v>
      </c>
      <c r="F158" s="636"/>
      <c r="G158" s="538"/>
      <c r="H158" s="539"/>
      <c r="I158" s="538"/>
      <c r="J158" s="539"/>
      <c r="K158" s="538"/>
      <c r="L158" s="539"/>
      <c r="M158" s="538"/>
      <c r="N158" s="539"/>
      <c r="O158" s="538"/>
      <c r="P158" s="540"/>
      <c r="S158" s="313"/>
    </row>
    <row r="159" spans="2:19" s="525" customFormat="1" ht="18.75" hidden="1" customHeight="1">
      <c r="B159" s="472"/>
      <c r="C159" s="472"/>
      <c r="D159" s="472"/>
      <c r="E159" s="546" t="s">
        <v>747</v>
      </c>
      <c r="G159" s="542">
        <f>G166</f>
        <v>0</v>
      </c>
      <c r="H159" s="543"/>
      <c r="I159" s="542">
        <f>I166</f>
        <v>0</v>
      </c>
      <c r="J159" s="543"/>
      <c r="K159" s="542">
        <f>K166</f>
        <v>0</v>
      </c>
      <c r="L159" s="543"/>
      <c r="M159" s="542">
        <f>M166</f>
        <v>0</v>
      </c>
      <c r="N159" s="543"/>
      <c r="O159" s="542">
        <f>O166</f>
        <v>0</v>
      </c>
      <c r="P159" s="544"/>
      <c r="S159" s="313"/>
    </row>
    <row r="160" spans="2:19" s="525" customFormat="1" ht="18.75" hidden="1" customHeight="1">
      <c r="B160" s="472"/>
      <c r="C160" s="472"/>
      <c r="D160" s="472"/>
      <c r="E160" s="546" t="s">
        <v>748</v>
      </c>
      <c r="G160" s="538"/>
      <c r="H160" s="539"/>
      <c r="I160" s="538"/>
      <c r="J160" s="539"/>
      <c r="K160" s="538"/>
      <c r="L160" s="539"/>
      <c r="M160" s="538"/>
      <c r="N160" s="539"/>
      <c r="O160" s="538"/>
      <c r="P160" s="540"/>
      <c r="S160" s="313"/>
    </row>
    <row r="161" spans="2:19" s="525" customFormat="1" ht="19.5" hidden="1" customHeight="1">
      <c r="B161" s="472"/>
      <c r="C161" s="472"/>
      <c r="D161" s="472"/>
      <c r="E161" s="547" t="s">
        <v>749</v>
      </c>
      <c r="G161" s="542">
        <f>G168</f>
        <v>0</v>
      </c>
      <c r="H161" s="543"/>
      <c r="I161" s="542">
        <f>I168</f>
        <v>0</v>
      </c>
      <c r="J161" s="543"/>
      <c r="K161" s="542">
        <f>K168</f>
        <v>0</v>
      </c>
      <c r="L161" s="543"/>
      <c r="M161" s="542">
        <f>M168</f>
        <v>0</v>
      </c>
      <c r="N161" s="543"/>
      <c r="O161" s="542">
        <f>O168</f>
        <v>0</v>
      </c>
      <c r="P161" s="544"/>
      <c r="S161" s="313"/>
    </row>
    <row r="162" spans="2:19" s="525" customFormat="1" ht="18.75" hidden="1" customHeight="1">
      <c r="B162" s="472"/>
      <c r="C162" s="472"/>
      <c r="D162" s="472"/>
      <c r="G162" s="538"/>
      <c r="H162" s="539"/>
      <c r="I162" s="538"/>
      <c r="J162" s="539"/>
      <c r="K162" s="538"/>
      <c r="L162" s="539"/>
      <c r="M162" s="538"/>
      <c r="N162" s="539"/>
      <c r="O162" s="538"/>
      <c r="P162" s="540"/>
      <c r="S162" s="313"/>
    </row>
    <row r="163" spans="2:19" s="525" customFormat="1" ht="18.75" hidden="1" customHeight="1">
      <c r="B163" s="472"/>
      <c r="C163" s="472"/>
      <c r="D163" s="472"/>
      <c r="G163" s="542">
        <f>G170</f>
        <v>0</v>
      </c>
      <c r="H163" s="543"/>
      <c r="I163" s="542">
        <f>I170</f>
        <v>0</v>
      </c>
      <c r="J163" s="543"/>
      <c r="K163" s="542">
        <f>K170</f>
        <v>0</v>
      </c>
      <c r="L163" s="543"/>
      <c r="M163" s="542">
        <f>M170</f>
        <v>0</v>
      </c>
      <c r="N163" s="543"/>
      <c r="O163" s="542">
        <f>O170</f>
        <v>0</v>
      </c>
      <c r="P163" s="544"/>
      <c r="S163" s="313"/>
    </row>
    <row r="164" spans="2:19" s="525" customFormat="1" ht="21.75" hidden="1" customHeight="1">
      <c r="B164" s="472"/>
      <c r="C164" s="472"/>
      <c r="D164" s="472"/>
      <c r="E164" s="303" t="s">
        <v>739</v>
      </c>
      <c r="F164" s="313"/>
      <c r="G164" s="538"/>
      <c r="H164" s="539"/>
      <c r="I164" s="538"/>
      <c r="J164" s="539"/>
      <c r="K164" s="538"/>
      <c r="L164" s="539"/>
      <c r="M164" s="538"/>
      <c r="N164" s="539"/>
      <c r="O164" s="538"/>
      <c r="P164" s="540"/>
      <c r="S164" s="313"/>
    </row>
    <row r="165" spans="2:19" s="525" customFormat="1" ht="18.75" hidden="1" customHeight="1">
      <c r="B165" s="472"/>
      <c r="C165" s="472"/>
      <c r="D165" s="472"/>
      <c r="E165" s="305" t="s">
        <v>740</v>
      </c>
      <c r="F165" s="636"/>
      <c r="G165" s="542">
        <f>G172</f>
        <v>0</v>
      </c>
      <c r="H165" s="543"/>
      <c r="I165" s="542">
        <f>I172</f>
        <v>0</v>
      </c>
      <c r="J165" s="543"/>
      <c r="K165" s="542">
        <f>K172</f>
        <v>0</v>
      </c>
      <c r="L165" s="543"/>
      <c r="M165" s="542">
        <f>M172</f>
        <v>0</v>
      </c>
      <c r="N165" s="543"/>
      <c r="O165" s="542">
        <f>O172</f>
        <v>0</v>
      </c>
      <c r="P165" s="544"/>
      <c r="S165" s="313"/>
    </row>
    <row r="166" spans="2:19" s="525" customFormat="1" ht="18.75" hidden="1" customHeight="1">
      <c r="B166" s="472"/>
      <c r="C166" s="472"/>
      <c r="D166" s="472"/>
      <c r="E166" s="305" t="s">
        <v>741</v>
      </c>
      <c r="F166" s="636"/>
      <c r="G166" s="538"/>
      <c r="H166" s="539"/>
      <c r="I166" s="538"/>
      <c r="J166" s="539"/>
      <c r="K166" s="538"/>
      <c r="L166" s="539"/>
      <c r="M166" s="538"/>
      <c r="N166" s="539"/>
      <c r="O166" s="538"/>
      <c r="P166" s="540"/>
      <c r="S166" s="313"/>
    </row>
    <row r="167" spans="2:19" s="525" customFormat="1" ht="19.5" hidden="1" customHeight="1">
      <c r="B167" s="472"/>
      <c r="C167" s="472"/>
      <c r="D167" s="472"/>
      <c r="E167" s="314" t="s">
        <v>742</v>
      </c>
      <c r="F167" s="636"/>
      <c r="G167" s="542">
        <f>G174</f>
        <v>0</v>
      </c>
      <c r="H167" s="543"/>
      <c r="I167" s="542">
        <f>I174</f>
        <v>0</v>
      </c>
      <c r="J167" s="543"/>
      <c r="K167" s="542">
        <f>K174</f>
        <v>0</v>
      </c>
      <c r="L167" s="543"/>
      <c r="M167" s="542">
        <f>M174</f>
        <v>0</v>
      </c>
      <c r="N167" s="543"/>
      <c r="O167" s="542">
        <f>O174</f>
        <v>0</v>
      </c>
      <c r="P167" s="544"/>
      <c r="S167" s="313"/>
    </row>
    <row r="168" spans="2:19" s="525" customFormat="1" ht="18.75" hidden="1" customHeight="1">
      <c r="B168" s="472"/>
      <c r="C168" s="472"/>
      <c r="D168" s="472"/>
      <c r="E168" s="546" t="s">
        <v>747</v>
      </c>
      <c r="G168" s="538"/>
      <c r="H168" s="539"/>
      <c r="I168" s="538"/>
      <c r="J168" s="539"/>
      <c r="K168" s="538"/>
      <c r="L168" s="539"/>
      <c r="M168" s="538"/>
      <c r="N168" s="539"/>
      <c r="O168" s="538"/>
      <c r="P168" s="540"/>
      <c r="S168" s="313"/>
    </row>
    <row r="169" spans="2:19" s="525" customFormat="1" ht="18.75" hidden="1" customHeight="1">
      <c r="B169" s="472"/>
      <c r="C169" s="472"/>
      <c r="D169" s="472"/>
      <c r="E169" s="546" t="s">
        <v>748</v>
      </c>
      <c r="G169" s="542">
        <f>G176</f>
        <v>0</v>
      </c>
      <c r="H169" s="543"/>
      <c r="I169" s="542">
        <f>I176</f>
        <v>0</v>
      </c>
      <c r="J169" s="543"/>
      <c r="K169" s="542">
        <f>K176</f>
        <v>0</v>
      </c>
      <c r="L169" s="543"/>
      <c r="M169" s="542">
        <f>M176</f>
        <v>0</v>
      </c>
      <c r="N169" s="543"/>
      <c r="O169" s="542">
        <f>O176</f>
        <v>0</v>
      </c>
      <c r="P169" s="544"/>
      <c r="S169" s="313"/>
    </row>
    <row r="170" spans="2:19" s="525" customFormat="1" ht="19.5" hidden="1" customHeight="1">
      <c r="B170" s="472"/>
      <c r="C170" s="472"/>
      <c r="D170" s="472"/>
      <c r="E170" s="547" t="s">
        <v>749</v>
      </c>
      <c r="G170" s="538"/>
      <c r="H170" s="539"/>
      <c r="I170" s="538"/>
      <c r="J170" s="539"/>
      <c r="K170" s="538"/>
      <c r="L170" s="539"/>
      <c r="M170" s="538"/>
      <c r="N170" s="539"/>
      <c r="O170" s="538"/>
      <c r="P170" s="540"/>
      <c r="S170" s="313"/>
    </row>
    <row r="171" spans="2:19" s="525" customFormat="1" ht="18.75" hidden="1" customHeight="1">
      <c r="B171" s="472"/>
      <c r="C171" s="472"/>
      <c r="D171" s="472"/>
      <c r="G171" s="542">
        <f>G178</f>
        <v>0</v>
      </c>
      <c r="H171" s="543"/>
      <c r="I171" s="542">
        <f>I178</f>
        <v>0</v>
      </c>
      <c r="J171" s="543"/>
      <c r="K171" s="542">
        <f>K178</f>
        <v>0</v>
      </c>
      <c r="L171" s="543"/>
      <c r="M171" s="542">
        <f>M178</f>
        <v>0</v>
      </c>
      <c r="N171" s="543"/>
      <c r="O171" s="542">
        <f>O178</f>
        <v>0</v>
      </c>
      <c r="P171" s="544"/>
      <c r="S171" s="313"/>
    </row>
    <row r="172" spans="2:19" s="525" customFormat="1" ht="18.75" hidden="1" customHeight="1">
      <c r="B172" s="472"/>
      <c r="C172" s="472"/>
      <c r="D172" s="472"/>
      <c r="G172" s="538"/>
      <c r="H172" s="539"/>
      <c r="I172" s="538"/>
      <c r="J172" s="539"/>
      <c r="K172" s="538"/>
      <c r="L172" s="539"/>
      <c r="M172" s="538"/>
      <c r="N172" s="539"/>
      <c r="O172" s="538"/>
      <c r="P172" s="540"/>
      <c r="S172" s="313"/>
    </row>
    <row r="173" spans="2:19" s="525" customFormat="1" ht="21.75" hidden="1" customHeight="1">
      <c r="B173" s="472"/>
      <c r="C173" s="472"/>
      <c r="D173" s="472"/>
      <c r="E173" s="303" t="s">
        <v>739</v>
      </c>
      <c r="F173" s="313"/>
      <c r="G173" s="542">
        <f>G180</f>
        <v>0</v>
      </c>
      <c r="H173" s="543"/>
      <c r="I173" s="542">
        <f>I180</f>
        <v>0</v>
      </c>
      <c r="J173" s="543"/>
      <c r="K173" s="542">
        <f>K180</f>
        <v>0</v>
      </c>
      <c r="L173" s="543"/>
      <c r="M173" s="542">
        <f>M180</f>
        <v>0</v>
      </c>
      <c r="N173" s="543"/>
      <c r="O173" s="542">
        <f>O180</f>
        <v>0</v>
      </c>
      <c r="P173" s="544"/>
      <c r="S173" s="313"/>
    </row>
    <row r="174" spans="2:19" s="525" customFormat="1" ht="18.75" hidden="1" customHeight="1">
      <c r="B174" s="472"/>
      <c r="C174" s="472"/>
      <c r="D174" s="472"/>
      <c r="E174" s="305" t="s">
        <v>740</v>
      </c>
      <c r="F174" s="636"/>
      <c r="G174" s="538"/>
      <c r="H174" s="539"/>
      <c r="I174" s="538"/>
      <c r="J174" s="539"/>
      <c r="K174" s="538"/>
      <c r="L174" s="539"/>
      <c r="M174" s="538"/>
      <c r="N174" s="539"/>
      <c r="O174" s="538"/>
      <c r="P174" s="540"/>
      <c r="S174" s="313"/>
    </row>
    <row r="175" spans="2:19" s="525" customFormat="1" ht="18.75" hidden="1" customHeight="1">
      <c r="B175" s="472"/>
      <c r="C175" s="472"/>
      <c r="D175" s="472"/>
      <c r="E175" s="305" t="s">
        <v>741</v>
      </c>
      <c r="F175" s="636"/>
      <c r="G175" s="542">
        <f>G182</f>
        <v>0</v>
      </c>
      <c r="H175" s="543"/>
      <c r="I175" s="542">
        <f>I182</f>
        <v>0</v>
      </c>
      <c r="J175" s="543"/>
      <c r="K175" s="542">
        <f>K182</f>
        <v>0</v>
      </c>
      <c r="L175" s="543"/>
      <c r="M175" s="542">
        <f>M182</f>
        <v>0</v>
      </c>
      <c r="N175" s="543"/>
      <c r="O175" s="542">
        <f>O182</f>
        <v>0</v>
      </c>
      <c r="P175" s="544"/>
      <c r="S175" s="313"/>
    </row>
    <row r="176" spans="2:19" s="525" customFormat="1" ht="19.5" hidden="1" customHeight="1">
      <c r="B176" s="472"/>
      <c r="C176" s="472"/>
      <c r="D176" s="472"/>
      <c r="E176" s="314" t="s">
        <v>742</v>
      </c>
      <c r="F176" s="636"/>
      <c r="G176" s="538"/>
      <c r="H176" s="539"/>
      <c r="I176" s="538"/>
      <c r="J176" s="539"/>
      <c r="K176" s="538"/>
      <c r="L176" s="539"/>
      <c r="M176" s="538"/>
      <c r="N176" s="539"/>
      <c r="O176" s="538"/>
      <c r="P176" s="540"/>
      <c r="S176" s="313"/>
    </row>
    <row r="177" spans="2:19" s="525" customFormat="1" ht="18.75" hidden="1" customHeight="1">
      <c r="B177" s="472"/>
      <c r="C177" s="472"/>
      <c r="D177" s="472"/>
      <c r="E177" s="546" t="s">
        <v>747</v>
      </c>
      <c r="G177" s="542">
        <f>G184</f>
        <v>0</v>
      </c>
      <c r="H177" s="543"/>
      <c r="I177" s="542">
        <f>I184</f>
        <v>0</v>
      </c>
      <c r="J177" s="543"/>
      <c r="K177" s="542">
        <f>K184</f>
        <v>0</v>
      </c>
      <c r="L177" s="543"/>
      <c r="M177" s="542">
        <f>M184</f>
        <v>0</v>
      </c>
      <c r="N177" s="543"/>
      <c r="O177" s="542">
        <f>O184</f>
        <v>0</v>
      </c>
      <c r="P177" s="544"/>
      <c r="S177" s="313"/>
    </row>
    <row r="178" spans="2:19" s="525" customFormat="1" ht="18.75" hidden="1" customHeight="1">
      <c r="B178" s="472"/>
      <c r="C178" s="472"/>
      <c r="D178" s="472"/>
      <c r="E178" s="546" t="s">
        <v>748</v>
      </c>
      <c r="G178" s="538"/>
      <c r="H178" s="539"/>
      <c r="I178" s="538"/>
      <c r="J178" s="539"/>
      <c r="K178" s="538"/>
      <c r="L178" s="539"/>
      <c r="M178" s="538"/>
      <c r="N178" s="539"/>
      <c r="O178" s="538"/>
      <c r="P178" s="540"/>
      <c r="S178" s="313"/>
    </row>
    <row r="179" spans="2:19" s="525" customFormat="1" ht="19.5" hidden="1" customHeight="1">
      <c r="B179" s="472"/>
      <c r="C179" s="472"/>
      <c r="D179" s="472"/>
      <c r="E179" s="547" t="s">
        <v>749</v>
      </c>
      <c r="G179" s="542">
        <f>G186</f>
        <v>0</v>
      </c>
      <c r="H179" s="543"/>
      <c r="I179" s="542">
        <f>I186</f>
        <v>0</v>
      </c>
      <c r="J179" s="543"/>
      <c r="K179" s="542">
        <f>K186</f>
        <v>0</v>
      </c>
      <c r="L179" s="543"/>
      <c r="M179" s="542">
        <f>M186</f>
        <v>0</v>
      </c>
      <c r="N179" s="543"/>
      <c r="O179" s="542">
        <f>O186</f>
        <v>0</v>
      </c>
      <c r="P179" s="544"/>
      <c r="S179" s="313"/>
    </row>
    <row r="180" spans="2:19" s="525" customFormat="1" ht="15">
      <c r="B180" s="472"/>
      <c r="C180" s="472"/>
      <c r="D180" s="472"/>
      <c r="G180" s="538"/>
      <c r="H180" s="539"/>
      <c r="I180" s="538"/>
      <c r="J180" s="539"/>
      <c r="K180" s="538"/>
      <c r="L180" s="539"/>
      <c r="M180" s="538"/>
      <c r="N180" s="539"/>
      <c r="O180" s="538"/>
      <c r="P180" s="540"/>
      <c r="R180" s="541"/>
    </row>
    <row r="181" spans="2:19">
      <c r="I181" s="549"/>
      <c r="K181" s="549"/>
    </row>
    <row r="182" spans="2:19">
      <c r="G182" s="549"/>
      <c r="I182" s="549"/>
      <c r="K182" s="549"/>
      <c r="M182" s="549"/>
      <c r="O182" s="549"/>
    </row>
    <row r="183" spans="2:19">
      <c r="I183" s="549"/>
      <c r="K183" s="549"/>
    </row>
    <row r="184" spans="2:19">
      <c r="G184" s="549"/>
      <c r="I184" s="549"/>
      <c r="K184" s="549"/>
      <c r="M184" s="549"/>
      <c r="O184" s="549"/>
    </row>
    <row r="185" spans="2:19">
      <c r="I185" s="549"/>
      <c r="K185" s="549"/>
    </row>
    <row r="186" spans="2:19">
      <c r="G186" s="549"/>
      <c r="I186" s="549"/>
      <c r="K186" s="549"/>
      <c r="M186" s="549"/>
      <c r="O186" s="549"/>
    </row>
    <row r="187" spans="2:19">
      <c r="I187" s="549"/>
      <c r="K187" s="549"/>
    </row>
  </sheetData>
  <mergeCells count="5">
    <mergeCell ref="G5:H5"/>
    <mergeCell ref="I5:J5"/>
    <mergeCell ref="K5:L5"/>
    <mergeCell ref="M5:N5"/>
    <mergeCell ref="O5:P5"/>
  </mergeCells>
  <conditionalFormatting sqref="E49:F49">
    <cfRule type="expression" dxfId="76" priority="93">
      <formula>AND(E49&lt;&gt;"",#REF!="",OR(COLUMN(E49)=COLUMN(#REF!),COLUMN(E49)=COLUMN(#REF!)))</formula>
    </cfRule>
  </conditionalFormatting>
  <conditionalFormatting sqref="E53:F53">
    <cfRule type="expression" dxfId="75" priority="89">
      <formula>AND(E53&lt;&gt;"",#REF!="",OR(COLUMN(E53)=COLUMN(#REF!),COLUMN(E53)=COLUMN(#REF!)))</formula>
    </cfRule>
  </conditionalFormatting>
  <conditionalFormatting sqref="E79:F79">
    <cfRule type="expression" dxfId="74" priority="66">
      <formula>AND(E79&lt;&gt;"",#REF!="",OR(COLUMN(E79)=COLUMN(#REF!),COLUMN(E79)=COLUMN(#REF!)))</formula>
    </cfRule>
  </conditionalFormatting>
  <conditionalFormatting sqref="E87:F87 E114:F115 E102:F105 E61:F72">
    <cfRule type="expression" dxfId="73" priority="62">
      <formula>AND(E61&lt;&gt;"",#REF!="",OR(COLUMN(E61)=COLUMN(#REF!),COLUMN(E61)=COLUMN(#REF!)))</formula>
    </cfRule>
  </conditionalFormatting>
  <conditionalFormatting sqref="E100:F100">
    <cfRule type="expression" dxfId="72" priority="58">
      <formula>AND(E100&lt;&gt;"",#REF!="",OR(COLUMN(E100)=COLUMN(#REF!),COLUMN(E100)=COLUMN(#REF!)))</formula>
    </cfRule>
  </conditionalFormatting>
  <conditionalFormatting sqref="E106:F106">
    <cfRule type="expression" dxfId="71" priority="54">
      <formula>AND(E106&lt;&gt;"",#REF!="",OR(COLUMN(E106)=COLUMN(#REF!),COLUMN(E106)=COLUMN(#REF!)))</formula>
    </cfRule>
  </conditionalFormatting>
  <conditionalFormatting sqref="E116:F116 E120:F128 E97:F99">
    <cfRule type="expression" dxfId="70" priority="50">
      <formula>AND(E97&lt;&gt;"",#REF!="",OR(COLUMN(E97)=COLUMN(#REF!),COLUMN(E97)=COLUMN(#REF!)))</formula>
    </cfRule>
  </conditionalFormatting>
  <conditionalFormatting sqref="E32:F33">
    <cfRule type="expression" dxfId="69" priority="32">
      <formula>AND(E32&lt;&gt;"",#REF!="",OR(COLUMN(E32)=COLUMN(#REF!),COLUMN(E32)=COLUMN(#REF!)))</formula>
    </cfRule>
  </conditionalFormatting>
  <conditionalFormatting sqref="E37:F38">
    <cfRule type="expression" dxfId="68" priority="29">
      <formula>AND(E37&lt;&gt;"",#REF!="",OR(COLUMN(E37)=COLUMN(#REF!),COLUMN(E37)=COLUMN(#REF!)))</formula>
    </cfRule>
  </conditionalFormatting>
  <conditionalFormatting sqref="E41:F42">
    <cfRule type="expression" dxfId="67" priority="28">
      <formula>AND(E41&lt;&gt;"",#REF!="",OR(COLUMN(E41)=COLUMN(#REF!),COLUMN(E41)=COLUMN(#REF!)))</formula>
    </cfRule>
  </conditionalFormatting>
  <conditionalFormatting sqref="E47:F48">
    <cfRule type="expression" dxfId="66" priority="27">
      <formula>AND(E47&lt;&gt;"",#REF!="",OR(COLUMN(E47)=COLUMN(#REF!),COLUMN(E47)=COLUMN(#REF!)))</formula>
    </cfRule>
  </conditionalFormatting>
  <conditionalFormatting sqref="E51:F52">
    <cfRule type="expression" dxfId="65" priority="26">
      <formula>AND(E51&lt;&gt;"",#REF!="",OR(COLUMN(E51)=COLUMN(#REF!),COLUMN(E51)=COLUMN(#REF!)))</formula>
    </cfRule>
  </conditionalFormatting>
  <conditionalFormatting sqref="E55:F56">
    <cfRule type="expression" dxfId="64" priority="25">
      <formula>AND(E55&lt;&gt;"",#REF!="",OR(COLUMN(E55)=COLUMN(#REF!),COLUMN(E55)=COLUMN(#REF!)))</formula>
    </cfRule>
  </conditionalFormatting>
  <conditionalFormatting sqref="E77:F78">
    <cfRule type="expression" dxfId="63" priority="22">
      <formula>AND(E77&lt;&gt;"",#REF!="",OR(COLUMN(E77)=COLUMN(#REF!),COLUMN(E77)=COLUMN(#REF!)))</formula>
    </cfRule>
  </conditionalFormatting>
  <conditionalFormatting sqref="E85:F86">
    <cfRule type="expression" dxfId="62" priority="21">
      <formula>AND(E85&lt;&gt;"",#REF!="",OR(COLUMN(E85)=COLUMN(#REF!),COLUMN(E85)=COLUMN(#REF!)))</formula>
    </cfRule>
  </conditionalFormatting>
  <conditionalFormatting sqref="E89:F90">
    <cfRule type="expression" dxfId="61" priority="20">
      <formula>AND(E89&lt;&gt;"",#REF!="",OR(COLUMN(E89)=COLUMN(#REF!),COLUMN(E89)=COLUMN(#REF!)))</formula>
    </cfRule>
  </conditionalFormatting>
  <conditionalFormatting sqref="E108:F109">
    <cfRule type="expression" dxfId="60" priority="17">
      <formula>AND(E108&lt;&gt;"",#REF!="",OR(COLUMN(E108)=COLUMN(#REF!),COLUMN(E108)=COLUMN(#REF!)))</formula>
    </cfRule>
  </conditionalFormatting>
  <conditionalFormatting sqref="E118:F119">
    <cfRule type="expression" dxfId="59" priority="15">
      <formula>AND(E118&lt;&gt;"",#REF!="",OR(COLUMN(E118)=COLUMN(#REF!),COLUMN(E118)=COLUMN(#REF!)))</formula>
    </cfRule>
  </conditionalFormatting>
  <conditionalFormatting sqref="E122:F123">
    <cfRule type="expression" dxfId="58" priority="14">
      <formula>AND(E122&lt;&gt;"",#REF!="",OR(COLUMN(E122)=COLUMN(#REF!),COLUMN(E122)=COLUMN(#REF!)))</formula>
    </cfRule>
  </conditionalFormatting>
  <conditionalFormatting sqref="E126:F127">
    <cfRule type="expression" dxfId="57" priority="13">
      <formula>AND(E126&lt;&gt;"",#REF!="",OR(COLUMN(E126)=COLUMN(#REF!),COLUMN(E126)=COLUMN(#REF!)))</formula>
    </cfRule>
  </conditionalFormatting>
  <conditionalFormatting sqref="E36:F36">
    <cfRule type="expression" dxfId="56" priority="12">
      <formula>AND(E36&lt;&gt;"",#REF!="",OR(COLUMN(E36)=COLUMN(#REF!),COLUMN(E36)=COLUMN(#REF!)))</formula>
    </cfRule>
  </conditionalFormatting>
  <conditionalFormatting sqref="G9 I9 K9 M9 O9 G29 I29 K29 M29 O29 G44 I44 K44 M44 O44 G58 I58 K58 M58 O58 O60 M60 K60 I60 G60 G74 I74 K74 M74 O74 G92 I92 K92 M92 O92 O94 M94 K94 I94 G94 G111 I111 K111 M111 O111 O113 M113 K113 I113 G113 G117 I117 K117 M117 O117 O121 M121 K121 I121 G121 G125 I125 K125 M125 O125 G35 I35 K35 M35 O35 O40 M40 K40 I40 G40 G11 I11 K11 M11 O11">
    <cfRule type="expression" dxfId="55" priority="10">
      <formula>G9&lt;&gt;H9</formula>
    </cfRule>
  </conditionalFormatting>
  <conditionalFormatting sqref="E83:F83">
    <cfRule type="expression" dxfId="54" priority="9">
      <formula>AND(E83&lt;&gt;"",#REF!="",OR(COLUMN(E83)=COLUMN(#REF!),COLUMN(E83)=COLUMN(#REF!)))</formula>
    </cfRule>
  </conditionalFormatting>
  <conditionalFormatting sqref="E81:F82">
    <cfRule type="expression" dxfId="53" priority="8">
      <formula>AND(E81&lt;&gt;"",#REF!="",OR(COLUMN(E81)=COLUMN(#REF!),COLUMN(E81)=COLUMN(#REF!)))</formula>
    </cfRule>
  </conditionalFormatting>
  <conditionalFormatting sqref="E12:F27">
    <cfRule type="expression" dxfId="52" priority="7">
      <formula>AND(E12&lt;&gt;"",#REF!="",OR(COLUMN(E12)=COLUMN(#REF!),COLUMN(E12)=COLUMN(#REF!)))</formula>
    </cfRule>
  </conditionalFormatting>
  <conditionalFormatting sqref="E130:F131">
    <cfRule type="expression" dxfId="51" priority="4">
      <formula>AND(E130&lt;&gt;"",#REF!="",OR(COLUMN(E130)=COLUMN(#REF!),COLUMN(E130)=COLUMN(#REF!)))</formula>
    </cfRule>
  </conditionalFormatting>
  <conditionalFormatting sqref="G129 I129 K129 M129 O129">
    <cfRule type="expression" dxfId="50" priority="3">
      <formula>G129&lt;&gt;H129</formula>
    </cfRule>
  </conditionalFormatting>
  <dataValidations count="20">
    <dataValidation type="list" allowBlank="1" showInputMessage="1" showErrorMessage="1" sqref="E32:E33" xr:uid="{4EF8FB78-37DB-41A3-AB5C-11662F817745}">
      <formula1>Inflação_Curta</formula1>
    </dataValidation>
    <dataValidation type="list" allowBlank="1" showInputMessage="1" showErrorMessage="1" sqref="E36:E38" xr:uid="{229B39C9-6D3F-4EE9-BFEC-C360DCDBB61D}">
      <formula1>Inflação_Média</formula1>
    </dataValidation>
    <dataValidation type="list" allowBlank="1" showInputMessage="1" showErrorMessage="1" sqref="E41:E42" xr:uid="{ECE17FEB-94BA-487B-850D-871D927CF7E1}">
      <formula1>Inflação_Longa</formula1>
    </dataValidation>
    <dataValidation type="list" allowBlank="1" showInputMessage="1" showErrorMessage="1" sqref="E47:E48" xr:uid="{EEFBDBD6-E85B-4E60-B7B5-B7E9AE70FB57}">
      <formula1>Pré_Curta</formula1>
    </dataValidation>
    <dataValidation type="list" allowBlank="1" showInputMessage="1" showErrorMessage="1" sqref="E51:E52" xr:uid="{381D46DD-56E5-4FE7-AEEF-328E57ACF6D0}">
      <formula1>Pré_Média</formula1>
    </dataValidation>
    <dataValidation type="list" allowBlank="1" showInputMessage="1" showErrorMessage="1" sqref="E55:E56" xr:uid="{83566F6A-EDE8-4111-90AA-A5C47C905099}">
      <formula1>Pré_Longa</formula1>
    </dataValidation>
    <dataValidation type="list" allowBlank="1" showInputMessage="1" showErrorMessage="1" sqref="E77:E78" xr:uid="{30D215B1-DD9A-49A6-BEFD-E756257A250E}">
      <formula1>Quant</formula1>
    </dataValidation>
    <dataValidation type="list" allowBlank="1" showInputMessage="1" showErrorMessage="1" sqref="E81:E82" xr:uid="{C5F352AF-86B1-440F-BCC5-1BF36D3F1B1D}">
      <formula1>Long_Short</formula1>
    </dataValidation>
    <dataValidation type="list" allowBlank="1" showInputMessage="1" showErrorMessage="1" sqref="E85:E86" xr:uid="{61D91AA7-BF14-43FC-BACA-33E9521249FC}">
      <formula1>Multiestratégia</formula1>
    </dataValidation>
    <dataValidation type="list" allowBlank="1" showInputMessage="1" showErrorMessage="1" sqref="E89:E90" xr:uid="{CBA200F8-2656-4C6B-9770-2C657F4315AE}">
      <formula1>Arbitragem</formula1>
    </dataValidation>
    <dataValidation type="list" allowBlank="1" showInputMessage="1" showErrorMessage="1" sqref="E108:E109" xr:uid="{21CC081E-4EF4-4B95-A6A6-AD617C3ED402}">
      <formula1>Alternativos</formula1>
    </dataValidation>
    <dataValidation type="list" allowBlank="1" showInputMessage="1" showErrorMessage="1" sqref="E114:E115" xr:uid="{953251D4-CADA-428C-BA15-1239E7ECD573}">
      <formula1>EUA</formula1>
    </dataValidation>
    <dataValidation type="list" allowBlank="1" showInputMessage="1" showErrorMessage="1" sqref="E118:E119" xr:uid="{190CEAE0-5B24-4D3B-B130-8A0D07B60B8A}">
      <formula1>China</formula1>
    </dataValidation>
    <dataValidation type="list" allowBlank="1" showInputMessage="1" showErrorMessage="1" sqref="E122:E123" xr:uid="{E98386FF-51CA-4A71-88C1-7A8E0BB4F729}">
      <formula1>Europa</formula1>
    </dataValidation>
    <dataValidation type="list" allowBlank="1" showInputMessage="1" showErrorMessage="1" sqref="E126:E127" xr:uid="{E80934C6-B8B2-4BF7-90A7-0EF2FDBE0874}">
      <formula1>Global</formula1>
    </dataValidation>
    <dataValidation type="list" allowBlank="1" showInputMessage="1" showErrorMessage="1" sqref="E130:E131" xr:uid="{81017E04-BEE0-43A1-86AA-F410D694769A}">
      <formula1>EM</formula1>
    </dataValidation>
    <dataValidation type="list" allowBlank="1" showInputMessage="1" showErrorMessage="1" sqref="E97:E99" xr:uid="{CCF9F93F-EE7F-4E98-B888-5CD07A3F176D}">
      <formula1>Long_Only</formula1>
    </dataValidation>
    <dataValidation type="list" allowBlank="1" showInputMessage="1" showErrorMessage="1" sqref="E102:E105" xr:uid="{95F5D2A6-A863-45A5-A014-5AD29DA497A1}">
      <formula1>Long_Bias</formula1>
    </dataValidation>
    <dataValidation type="list" allowBlank="1" showInputMessage="1" showErrorMessage="1" sqref="E61:E72" xr:uid="{89C9C0F3-7B65-4926-AB62-2A11B56B82BA}">
      <formula1>Macro</formula1>
    </dataValidation>
    <dataValidation type="list" allowBlank="1" showInputMessage="1" showErrorMessage="1" sqref="E12:E27" xr:uid="{AFBE729F-A782-449F-A6C5-A0D5453F5AA4}">
      <formula1>Pós_fixado</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5"/>
  </sheetPr>
  <dimension ref="B1:AD167"/>
  <sheetViews>
    <sheetView showGridLines="0" tabSelected="1" zoomScale="80" zoomScaleNormal="80" workbookViewId="0">
      <pane ySplit="12" topLeftCell="A13" activePane="bottomLeft" state="frozen"/>
      <selection pane="bottomLeft" activeCell="L4" sqref="L4"/>
    </sheetView>
  </sheetViews>
  <sheetFormatPr defaultColWidth="10.69921875" defaultRowHeight="27"/>
  <cols>
    <col min="1" max="1" width="1.5" style="405" customWidth="1"/>
    <col min="2" max="4" width="2.09765625" style="460" customWidth="1"/>
    <col min="5" max="5" width="32.3984375" style="427" customWidth="1"/>
    <col min="6" max="6" width="6.5" style="428" customWidth="1"/>
    <col min="7" max="7" width="5.8984375" style="428" customWidth="1"/>
    <col min="8" max="8" width="7.69921875" style="429" customWidth="1"/>
    <col min="9" max="9" width="7.8984375" style="405" customWidth="1"/>
    <col min="10" max="10" width="1.3984375" style="405" customWidth="1"/>
    <col min="11" max="11" width="13.5" style="407" customWidth="1"/>
    <col min="12" max="12" width="6.19921875" style="405" customWidth="1"/>
    <col min="13" max="13" width="7.3984375" style="407" customWidth="1"/>
    <col min="14" max="14" width="1.3984375" style="405" customWidth="1"/>
    <col min="15" max="15" width="6.296875" style="406" customWidth="1"/>
    <col min="16" max="16" width="7.3984375" style="405" customWidth="1"/>
    <col min="17" max="17" width="6.296875" style="406" customWidth="1"/>
    <col min="18" max="18" width="7.3984375" style="405" customWidth="1"/>
    <col min="19" max="19" width="6.296875" style="406" customWidth="1"/>
    <col min="20" max="20" width="7.3984375" style="405" customWidth="1"/>
    <col min="21" max="21" width="6.296875" style="406" customWidth="1"/>
    <col min="22" max="22" width="7.3984375" style="405" customWidth="1"/>
    <col min="23" max="23" width="8.796875" style="406" customWidth="1"/>
    <col min="24" max="24" width="5.5" style="405" customWidth="1"/>
    <col min="25" max="25" width="1.3984375" style="405" customWidth="1"/>
    <col min="26" max="26" width="9.69921875" style="405" customWidth="1"/>
    <col min="27" max="27" width="11.296875" style="405" customWidth="1"/>
    <col min="28" max="28" width="11.3984375" style="405" customWidth="1"/>
    <col min="29" max="16384" width="10.69921875" style="405"/>
  </cols>
  <sheetData>
    <row r="1" spans="2:30" ht="21.75" customHeight="1" thickBot="1"/>
    <row r="2" spans="2:30" s="385" customFormat="1" ht="5.25" customHeight="1">
      <c r="B2" s="461"/>
      <c r="C2" s="461"/>
      <c r="D2" s="461"/>
      <c r="E2" s="430"/>
      <c r="F2" s="431"/>
      <c r="G2" s="431"/>
      <c r="H2" s="432"/>
      <c r="I2" s="390"/>
      <c r="J2" s="410"/>
      <c r="K2" s="411"/>
      <c r="L2" s="412"/>
      <c r="M2" s="412"/>
      <c r="N2" s="470"/>
      <c r="W2" s="408"/>
      <c r="Z2" s="390"/>
    </row>
    <row r="3" spans="2:30" s="389" customFormat="1" ht="18.95" customHeight="1">
      <c r="B3" s="462"/>
      <c r="C3" s="462"/>
      <c r="D3" s="462"/>
      <c r="E3" s="433"/>
      <c r="F3" s="434"/>
      <c r="G3" s="434"/>
      <c r="H3" s="435"/>
      <c r="J3" s="413"/>
      <c r="K3" s="515" t="s">
        <v>1884</v>
      </c>
      <c r="L3" s="682" t="s">
        <v>66</v>
      </c>
      <c r="M3" s="682"/>
      <c r="N3" s="468"/>
      <c r="W3" s="409"/>
    </row>
    <row r="4" spans="2:30" s="385" customFormat="1" ht="5.25" customHeight="1" thickBot="1">
      <c r="B4" s="461"/>
      <c r="C4" s="461"/>
      <c r="D4" s="461"/>
      <c r="E4" s="430"/>
      <c r="F4" s="431"/>
      <c r="G4" s="431"/>
      <c r="H4" s="432"/>
      <c r="I4" s="390"/>
      <c r="J4" s="414"/>
      <c r="K4" s="515"/>
      <c r="L4" s="516"/>
      <c r="M4" s="516"/>
      <c r="N4" s="467"/>
      <c r="W4" s="408"/>
      <c r="Z4" s="390"/>
    </row>
    <row r="5" spans="2:30" s="238" customFormat="1" ht="18.95" customHeight="1" thickBot="1">
      <c r="B5" s="463"/>
      <c r="C5" s="463"/>
      <c r="D5" s="463"/>
      <c r="E5" s="685" t="s">
        <v>1855</v>
      </c>
      <c r="F5" s="436"/>
      <c r="G5" s="437"/>
      <c r="H5" s="435"/>
      <c r="I5" s="389"/>
      <c r="J5" s="415"/>
      <c r="K5" s="515" t="s">
        <v>1885</v>
      </c>
      <c r="L5" s="682" t="s">
        <v>988</v>
      </c>
      <c r="M5" s="682"/>
      <c r="N5" s="469"/>
      <c r="P5" s="683" t="s">
        <v>1887</v>
      </c>
      <c r="Q5" s="684"/>
      <c r="R5" s="646" t="s">
        <v>1899</v>
      </c>
      <c r="S5" s="647"/>
      <c r="W5" s="409"/>
      <c r="Z5" s="389"/>
    </row>
    <row r="6" spans="2:30" s="385" customFormat="1" ht="5.25" customHeight="1">
      <c r="B6" s="461"/>
      <c r="C6" s="461"/>
      <c r="D6" s="461"/>
      <c r="E6" s="685"/>
      <c r="F6" s="436"/>
      <c r="G6" s="431"/>
      <c r="H6" s="432"/>
      <c r="I6" s="390"/>
      <c r="J6" s="414"/>
      <c r="K6" s="515"/>
      <c r="L6" s="516"/>
      <c r="M6" s="516"/>
      <c r="N6" s="467"/>
      <c r="W6" s="408"/>
      <c r="Z6" s="390"/>
    </row>
    <row r="7" spans="2:30" s="238" customFormat="1" ht="18.95" customHeight="1">
      <c r="B7" s="463"/>
      <c r="C7" s="463"/>
      <c r="D7" s="463"/>
      <c r="E7" s="685"/>
      <c r="F7" s="436"/>
      <c r="G7" s="437"/>
      <c r="H7" s="435"/>
      <c r="I7" s="389"/>
      <c r="J7" s="415"/>
      <c r="K7" s="515" t="s">
        <v>1886</v>
      </c>
      <c r="L7" s="681">
        <v>29000000</v>
      </c>
      <c r="M7" s="681"/>
      <c r="N7" s="469"/>
      <c r="W7" s="409"/>
      <c r="AD7" s="389"/>
    </row>
    <row r="8" spans="2:30" s="385" customFormat="1" ht="5.25" customHeight="1" thickBot="1">
      <c r="B8" s="461"/>
      <c r="C8" s="461"/>
      <c r="D8" s="461"/>
      <c r="E8" s="685"/>
      <c r="F8" s="431"/>
      <c r="G8" s="431"/>
      <c r="H8" s="432"/>
      <c r="I8" s="390"/>
      <c r="J8" s="416"/>
      <c r="K8" s="417"/>
      <c r="L8" s="418"/>
      <c r="M8" s="418"/>
      <c r="N8" s="471"/>
      <c r="W8" s="408"/>
      <c r="Z8" s="390"/>
    </row>
    <row r="9" spans="2:30" s="238" customFormat="1" ht="16.5" customHeight="1">
      <c r="B9" s="463"/>
      <c r="C9" s="463"/>
      <c r="D9" s="463"/>
      <c r="E9" s="685"/>
      <c r="K9" s="394"/>
      <c r="L9" s="394"/>
      <c r="M9" s="394"/>
      <c r="O9" s="393"/>
      <c r="Q9" s="393"/>
      <c r="S9" s="393"/>
      <c r="U9" s="393"/>
      <c r="W9" s="393"/>
    </row>
    <row r="10" spans="2:30" s="508" customFormat="1" ht="24" customHeight="1">
      <c r="B10" s="464"/>
      <c r="C10" s="464"/>
      <c r="D10" s="464"/>
      <c r="E10" s="507"/>
      <c r="F10" s="678" t="s">
        <v>1883</v>
      </c>
      <c r="G10" s="679"/>
      <c r="H10" s="679"/>
      <c r="I10" s="679"/>
      <c r="K10" s="678" t="s">
        <v>1853</v>
      </c>
      <c r="L10" s="679"/>
      <c r="M10" s="679"/>
      <c r="O10" s="680" t="s">
        <v>1854</v>
      </c>
      <c r="P10" s="679"/>
      <c r="Q10" s="679"/>
      <c r="R10" s="679"/>
      <c r="S10" s="679"/>
      <c r="T10" s="679"/>
      <c r="U10" s="679"/>
      <c r="V10" s="679"/>
      <c r="W10" s="679"/>
      <c r="X10" s="679"/>
      <c r="Z10" s="678" t="s">
        <v>1856</v>
      </c>
      <c r="AA10" s="679"/>
      <c r="AB10" s="679"/>
    </row>
    <row r="11" spans="2:30" s="385" customFormat="1" ht="5.25" customHeight="1">
      <c r="B11" s="461"/>
      <c r="C11" s="461"/>
      <c r="D11" s="461"/>
      <c r="E11" s="456"/>
      <c r="K11" s="395"/>
      <c r="L11" s="391"/>
      <c r="M11" s="395"/>
      <c r="O11" s="392"/>
      <c r="Q11" s="392"/>
      <c r="S11" s="392"/>
      <c r="U11" s="392"/>
      <c r="W11" s="392"/>
    </row>
    <row r="12" spans="2:30" s="387" customFormat="1" ht="31.5">
      <c r="B12" s="505"/>
      <c r="C12" s="505"/>
      <c r="D12" s="505"/>
      <c r="E12" s="506"/>
      <c r="F12" s="386" t="s">
        <v>64</v>
      </c>
      <c r="G12" s="386" t="s">
        <v>15</v>
      </c>
      <c r="H12" s="386" t="s">
        <v>1835</v>
      </c>
      <c r="I12" s="386" t="s">
        <v>1057</v>
      </c>
      <c r="K12" s="386" t="s">
        <v>18</v>
      </c>
      <c r="L12" s="388" t="s">
        <v>1851</v>
      </c>
      <c r="M12" s="388" t="s">
        <v>1852</v>
      </c>
      <c r="O12" s="386" t="s">
        <v>1068</v>
      </c>
      <c r="P12" s="388" t="s">
        <v>1069</v>
      </c>
      <c r="Q12" s="386" t="s">
        <v>1070</v>
      </c>
      <c r="R12" s="388" t="s">
        <v>1071</v>
      </c>
      <c r="S12" s="386" t="s">
        <v>1072</v>
      </c>
      <c r="T12" s="388" t="s">
        <v>1832</v>
      </c>
      <c r="U12" s="386" t="s">
        <v>1833</v>
      </c>
      <c r="V12" s="388" t="s">
        <v>1073</v>
      </c>
      <c r="W12" s="386" t="s">
        <v>1074</v>
      </c>
      <c r="X12" s="388" t="s">
        <v>932</v>
      </c>
      <c r="Z12" s="386" t="s">
        <v>1002</v>
      </c>
      <c r="AA12" s="388" t="s">
        <v>1857</v>
      </c>
      <c r="AB12" s="388" t="s">
        <v>1858</v>
      </c>
    </row>
    <row r="13" spans="2:30" s="385" customFormat="1" ht="5.25" customHeight="1">
      <c r="B13" s="461"/>
      <c r="C13" s="461"/>
      <c r="D13" s="461"/>
      <c r="E13" s="400"/>
      <c r="F13" s="431"/>
      <c r="G13" s="431"/>
      <c r="H13" s="396"/>
      <c r="I13" s="396"/>
      <c r="K13" s="396"/>
      <c r="O13" s="396"/>
      <c r="Q13" s="396"/>
      <c r="S13" s="396"/>
      <c r="U13" s="396"/>
      <c r="W13" s="396"/>
      <c r="Z13" s="396"/>
    </row>
    <row r="14" spans="2:30" s="282" customFormat="1" ht="14.25" customHeight="1">
      <c r="B14" s="485"/>
      <c r="C14" s="485" t="s">
        <v>20</v>
      </c>
      <c r="D14" s="485"/>
      <c r="E14" s="497" t="s">
        <v>19</v>
      </c>
      <c r="F14" s="498" t="s">
        <v>66</v>
      </c>
      <c r="G14" s="498" t="s">
        <v>66</v>
      </c>
      <c r="H14" s="499" t="s">
        <v>66</v>
      </c>
      <c r="I14" s="499" t="s">
        <v>66</v>
      </c>
      <c r="K14" s="578">
        <f>IFERROR(IF(K16+K33+K47=0, 0,K16+K33+K47),"")</f>
        <v>24940000</v>
      </c>
      <c r="L14" s="500">
        <f>L16+L33+L47</f>
        <v>0.86000000000000021</v>
      </c>
      <c r="M14" s="501">
        <f>M16+M33+M47</f>
        <v>0.85999999999999988</v>
      </c>
      <c r="O14" s="499" t="s">
        <v>66</v>
      </c>
      <c r="P14" s="501" t="s">
        <v>66</v>
      </c>
      <c r="Q14" s="499" t="s">
        <v>66</v>
      </c>
      <c r="R14" s="501" t="s">
        <v>66</v>
      </c>
      <c r="S14" s="499" t="s">
        <v>66</v>
      </c>
      <c r="T14" s="501" t="s">
        <v>66</v>
      </c>
      <c r="U14" s="499" t="s">
        <v>66</v>
      </c>
      <c r="V14" s="501" t="s">
        <v>66</v>
      </c>
      <c r="W14" s="499" t="s">
        <v>66</v>
      </c>
      <c r="X14" s="501" t="s">
        <v>66</v>
      </c>
      <c r="Z14" s="499" t="s">
        <v>66</v>
      </c>
      <c r="AA14" s="501" t="s">
        <v>66</v>
      </c>
      <c r="AB14" s="501" t="s">
        <v>66</v>
      </c>
    </row>
    <row r="15" spans="2:30" s="385" customFormat="1" ht="5.25" customHeight="1">
      <c r="B15" s="461"/>
      <c r="C15" s="461"/>
      <c r="D15" s="461"/>
      <c r="E15" s="400"/>
      <c r="F15" s="431"/>
      <c r="G15" s="431"/>
      <c r="H15" s="396"/>
      <c r="I15" s="396"/>
      <c r="K15" s="579"/>
      <c r="O15" s="396"/>
      <c r="Q15" s="396"/>
      <c r="S15" s="396"/>
      <c r="U15" s="396"/>
      <c r="W15" s="396"/>
      <c r="Z15" s="396"/>
    </row>
    <row r="16" spans="2:30" s="282" customFormat="1" ht="14.25" customHeight="1">
      <c r="B16" s="485"/>
      <c r="C16" s="485" t="s">
        <v>20</v>
      </c>
      <c r="D16" s="485" t="s">
        <v>20</v>
      </c>
      <c r="E16" s="491" t="s">
        <v>963</v>
      </c>
      <c r="F16" s="492"/>
      <c r="G16" s="492"/>
      <c r="H16" s="493"/>
      <c r="I16" s="493"/>
      <c r="K16" s="580">
        <f>IF( SUM(K17:K32)=0, 0, SUM(K17:K32))</f>
        <v>19140000</v>
      </c>
      <c r="L16" s="494">
        <v>0.66000000000000014</v>
      </c>
      <c r="M16" s="495">
        <f>IF(L16=0, 0, SUM(M17:M32)*L16)</f>
        <v>0.65999999999999981</v>
      </c>
      <c r="O16" s="493"/>
      <c r="P16" s="495"/>
      <c r="Q16" s="493"/>
      <c r="R16" s="495"/>
      <c r="S16" s="493"/>
      <c r="T16" s="495"/>
      <c r="U16" s="493"/>
      <c r="V16" s="495"/>
      <c r="W16" s="493"/>
      <c r="X16" s="495"/>
      <c r="Z16" s="493"/>
      <c r="AA16" s="495"/>
      <c r="AB16" s="495"/>
    </row>
    <row r="17" spans="2:28" s="477" customFormat="1" ht="14.25" customHeight="1">
      <c r="B17" s="472"/>
      <c r="C17" s="472"/>
      <c r="D17" s="472"/>
      <c r="E17" s="496" t="s">
        <v>1665</v>
      </c>
      <c r="F17" s="473">
        <f ca="1">IF($E17="", "", IFERROR(INDEX(OFFSET('Fund Guide'!$B$4,1,MATCH(F$12,OFFSET('Fund Guide'!$B$4,,,,COUNTA('Fund Guide'!6:6)),0)-1,COUNTA('Fund Guide'!$B:$B)-COUNTA('Fund Guide'!$B$1:$B$4)),MATCH($E17,OFFSET('Fund Guide'!$B$4,1,,COUNTA('Fund Guide'!$B:$B)-COUNTA('Fund Guide'!$B$1:$B$4)),0)),"-"))</f>
        <v>0</v>
      </c>
      <c r="G17" s="474" t="str">
        <f ca="1">IF($E17="", "", IFERROR(INDEX(OFFSET('Fund Guide'!$B$4,1,MATCH(G$12,OFFSET('Fund Guide'!$B$4,,,,COUNTA('Fund Guide'!6:6)),0)-1,COUNTA('Fund Guide'!$B:$B)-COUNTA('Fund Guide'!$B$1:$B$4)),MATCH($E17,OFFSET('Fund Guide'!$B$4,1,,COUNTA('Fund Guide'!$B:$B)-COUNTA('Fund Guide'!$B$1:$B$4)),0)),"-"))</f>
        <v>BRL</v>
      </c>
      <c r="H17" s="475" t="str">
        <f ca="1">IF($E17="", "", IFERROR(INDEX(OFFSET('Fund Guide'!$B$4,1,MATCH(H$12,OFFSET('Fund Guide'!$B$4,,,,COUNTA('Fund Guide'!6:6)),0)-1,COUNTA('Fund Guide'!$B:$B)-COUNTA('Fund Guide'!$B$1:$B$4)),MATCH($E17,OFFSET('Fund Guide'!$B$4,1,,COUNTA('Fund Guide'!$B:$B)-COUNTA('Fund Guide'!$B$1:$B$4)),0)),"-"))</f>
        <v>-</v>
      </c>
      <c r="I17" s="476">
        <f ca="1">IF($E17="", "", IFERROR(INDEX(OFFSET('Fund Guide'!$B$4,1,MATCH(I$12,OFFSET('Fund Guide'!$B$4,,,,COUNTA('Fund Guide'!6:6)),0)-1,COUNTA('Fund Guide'!$B:$B)-COUNTA('Fund Guide'!$B$1:$B$4)),MATCH($E17,OFFSET('Fund Guide'!$B$4,1,,COUNTA('Fund Guide'!$B:$B)-COUNTA('Fund Guide'!$B$1:$B$4)),0)),"-"))</f>
        <v>43228</v>
      </c>
      <c r="K17" s="581">
        <f t="shared" ref="K17:K31" si="0">IF(OR($L$7=0, L17=0), "", L17*$L$7)</f>
        <v>2679600.0000000005</v>
      </c>
      <c r="L17" s="478">
        <v>9.240000000000001E-2</v>
      </c>
      <c r="M17" s="479">
        <f t="shared" ref="M17:M31" si="1">IFERROR(IF(L17=0, "", L17/L$16),0)</f>
        <v>0.13999999999999999</v>
      </c>
      <c r="O17" s="480">
        <f ca="1">IF($E17="", "", IFERROR(INDEX(OFFSET('Fund Guide'!$B$4,1,MATCH(O$12,OFFSET('Fund Guide'!$B$4,,,,COUNTA('Fund Guide'!6:6)),0)-1,COUNTA('Fund Guide'!$B:$B)-COUNTA('Fund Guide'!$B$1:$B$4)),MATCH($E17,OFFSET('Fund Guide'!$B$4,1,,COUNTA('Fund Guide'!$B:$B)-COUNTA('Fund Guide'!$B$1:$B$4)),0)),"-"))</f>
        <v>6.59E-2</v>
      </c>
      <c r="P17" s="481">
        <f ca="1">IF($E17="", "", IFERROR(INDEX(OFFSET('Fund Guide'!$B$4,1,MATCH(P$12,OFFSET('Fund Guide'!$B$4,,,,COUNTA('Fund Guide'!6:6)),0)-1,COUNTA('Fund Guide'!$B:$B)-COUNTA('Fund Guide'!$B$1:$B$4)),MATCH($E17,OFFSET('Fund Guide'!$B$4,1,,COUNTA('Fund Guide'!$B:$B)-COUNTA('Fund Guide'!$B$1:$B$4)),0)),"-"))</f>
        <v>1.0146999999999999</v>
      </c>
      <c r="Q17" s="480">
        <f ca="1">IF($E17="", "", IFERROR(INDEX(OFFSET('Fund Guide'!$B$4,1,MATCH(Q$12,OFFSET('Fund Guide'!$B$4,,,,COUNTA('Fund Guide'!6:6)),0)-1,COUNTA('Fund Guide'!$B:$B)-COUNTA('Fund Guide'!$B$1:$B$4)),MATCH($E17,OFFSET('Fund Guide'!$B$4,1,,COUNTA('Fund Guide'!$B:$B)-COUNTA('Fund Guide'!$B$1:$B$4)),0)),"-"))</f>
        <v>9.6299999999999997E-2</v>
      </c>
      <c r="R17" s="481">
        <f ca="1">IF($E17="", "", IFERROR(INDEX(OFFSET('Fund Guide'!$B$4,1,MATCH(R$12,OFFSET('Fund Guide'!$B$4,,,,COUNTA('Fund Guide'!6:6)),0)-1,COUNTA('Fund Guide'!$B:$B)-COUNTA('Fund Guide'!$B$1:$B$4)),MATCH($E17,OFFSET('Fund Guide'!$B$4,1,,COUNTA('Fund Guide'!$B:$B)-COUNTA('Fund Guide'!$B$1:$B$4)),0)),"-"))</f>
        <v>1.0232000000000001</v>
      </c>
      <c r="S17" s="480">
        <f ca="1">IF($E17="", "", IFERROR(INDEX(OFFSET('Fund Guide'!$B$4,1,MATCH(S$12,OFFSET('Fund Guide'!$B$4,,,,COUNTA('Fund Guide'!6:6)),0)-1,COUNTA('Fund Guide'!$B:$B)-COUNTA('Fund Guide'!$B$1:$B$4)),MATCH($E17,OFFSET('Fund Guide'!$B$4,1,,COUNTA('Fund Guide'!$B:$B)-COUNTA('Fund Guide'!$B$1:$B$4)),0)),"-"))</f>
        <v>0.1158</v>
      </c>
      <c r="T17" s="481">
        <f ca="1">IF($E17="", "", IFERROR(INDEX(OFFSET('Fund Guide'!$B$4,1,MATCH(T$12,OFFSET('Fund Guide'!$B$4,,,,COUNTA('Fund Guide'!6:6)),0)-1,COUNTA('Fund Guide'!$B:$B)-COUNTA('Fund Guide'!$B$1:$B$4)),MATCH($E17,OFFSET('Fund Guide'!$B$4,1,,COUNTA('Fund Guide'!$B:$B)-COUNTA('Fund Guide'!$B$1:$B$4)),0)),"-"))</f>
        <v>0.95850000000000002</v>
      </c>
      <c r="U17" s="480">
        <f ca="1">IF($E17="", "", IFERROR(INDEX(OFFSET('Fund Guide'!$B$4,1,MATCH(U$12,OFFSET('Fund Guide'!$B$4,,,,COUNTA('Fund Guide'!6:6)),0)-1,COUNTA('Fund Guide'!$B:$B)-COUNTA('Fund Guide'!$B$1:$B$4)),MATCH($E17,OFFSET('Fund Guide'!$B$4,1,,COUNTA('Fund Guide'!$B:$B)-COUNTA('Fund Guide'!$B$1:$B$4)),0)),"-"))</f>
        <v>0.16259999999999999</v>
      </c>
      <c r="V17" s="481">
        <f ca="1">IF($E17="", "", IFERROR(INDEX(OFFSET('Fund Guide'!$B$4,1,MATCH(V$12,OFFSET('Fund Guide'!$B$4,,,,COUNTA('Fund Guide'!6:6)),0)-1,COUNTA('Fund Guide'!$B:$B)-COUNTA('Fund Guide'!$B$1:$B$4)),MATCH($E17,OFFSET('Fund Guide'!$B$4,1,,COUNTA('Fund Guide'!$B:$B)-COUNTA('Fund Guide'!$B$1:$B$4)),0)),"-"))</f>
        <v>0.96509999999999996</v>
      </c>
      <c r="W17" s="482">
        <f ca="1">IF($E17="", "", IFERROR(INDEX(OFFSET('Fund Guide'!$B$4,1,MATCH(W$12,OFFSET('Fund Guide'!$B$4,,,,COUNTA('Fund Guide'!6:6)),0)-1,COUNTA('Fund Guide'!$B:$B)-COUNTA('Fund Guide'!$B$1:$B$4)),MATCH($E17,OFFSET('Fund Guide'!$B$4,1,,COUNTA('Fund Guide'!$B:$B)-COUNTA('Fund Guide'!$B$1:$B$4)),0)),"-"))</f>
        <v>1.6000000000000001E-3</v>
      </c>
      <c r="X17" s="483" t="str">
        <f ca="1">IF($E17="", "", IFERROR(INDEX(OFFSET('Fund Guide'!$B$4,1,MATCH(X$12,OFFSET('Fund Guide'!$B$4,,,,COUNTA('Fund Guide'!6:6)),0)-1,COUNTA('Fund Guide'!$B:$B)-COUNTA('Fund Guide'!$B$1:$B$4)),MATCH($E17,OFFSET('Fund Guide'!$B$4,1,,COUNTA('Fund Guide'!$B:$B)-COUNTA('Fund Guide'!$B$1:$B$4)),0)),"-"))</f>
        <v>-</v>
      </c>
      <c r="Z17" s="484"/>
      <c r="AA17" s="484"/>
      <c r="AB17" s="478"/>
    </row>
    <row r="18" spans="2:28" s="477" customFormat="1" ht="14.25" customHeight="1">
      <c r="B18" s="472"/>
      <c r="C18" s="472"/>
      <c r="D18" s="472"/>
      <c r="E18" s="496" t="s">
        <v>1870</v>
      </c>
      <c r="F18" s="473" t="str">
        <f ca="1">IF($E18="", "", IFERROR(INDEX(OFFSET('Fund Guide'!$B$4,1,MATCH(F$12,OFFSET('Fund Guide'!$B$4,,,,COUNTA('Fund Guide'!7:7)),0)-1,COUNTA('Fund Guide'!$B:$B)-COUNTA('Fund Guide'!$B$1:$B$4)),MATCH($E18,OFFSET('Fund Guide'!$B$4,1,,COUNTA('Fund Guide'!$B:$B)-COUNTA('Fund Guide'!$B$1:$B$4)),0)),"-"))</f>
        <v>-</v>
      </c>
      <c r="G18" s="474" t="str">
        <f ca="1">IF($E18="", "", IFERROR(INDEX(OFFSET('Fund Guide'!$B$4,1,MATCH(G$12,OFFSET('Fund Guide'!$B$4,,,,COUNTA('Fund Guide'!7:7)),0)-1,COUNTA('Fund Guide'!$B:$B)-COUNTA('Fund Guide'!$B$1:$B$4)),MATCH($E18,OFFSET('Fund Guide'!$B$4,1,,COUNTA('Fund Guide'!$B:$B)-COUNTA('Fund Guide'!$B$1:$B$4)),0)),"-"))</f>
        <v>-</v>
      </c>
      <c r="H18" s="475" t="str">
        <f ca="1">IF($E18="", "", IFERROR(INDEX(OFFSET('Fund Guide'!$B$4,1,MATCH(H$12,OFFSET('Fund Guide'!$B$4,,,,COUNTA('Fund Guide'!7:7)),0)-1,COUNTA('Fund Guide'!$B:$B)-COUNTA('Fund Guide'!$B$1:$B$4)),MATCH($E18,OFFSET('Fund Guide'!$B$4,1,,COUNTA('Fund Guide'!$B:$B)-COUNTA('Fund Guide'!$B$1:$B$4)),0)),"-"))</f>
        <v>-</v>
      </c>
      <c r="I18" s="476" t="str">
        <f ca="1">IF($E18="", "", IFERROR(INDEX(OFFSET('Fund Guide'!$B$4,1,MATCH(I$12,OFFSET('Fund Guide'!$B$4,,,,COUNTA('Fund Guide'!7:7)),0)-1,COUNTA('Fund Guide'!$B:$B)-COUNTA('Fund Guide'!$B$1:$B$4)),MATCH($E18,OFFSET('Fund Guide'!$B$4,1,,COUNTA('Fund Guide'!$B:$B)-COUNTA('Fund Guide'!$B$1:$B$4)),0)),"-"))</f>
        <v>-</v>
      </c>
      <c r="K18" s="581">
        <f t="shared" si="0"/>
        <v>1722600</v>
      </c>
      <c r="L18" s="478">
        <v>5.9400000000000001E-2</v>
      </c>
      <c r="M18" s="479">
        <f t="shared" si="1"/>
        <v>8.9999999999999983E-2</v>
      </c>
      <c r="O18" s="480" t="str">
        <f ca="1">IF($E18="", "", IFERROR(INDEX(OFFSET('Fund Guide'!$B$4,1,MATCH(O$12,OFFSET('Fund Guide'!$B$4,,,,COUNTA('Fund Guide'!7:7)),0)-1,COUNTA('Fund Guide'!$B:$B)-COUNTA('Fund Guide'!$B$1:$B$4)),MATCH($E18,OFFSET('Fund Guide'!$B$4,1,,COUNTA('Fund Guide'!$B:$B)-COUNTA('Fund Guide'!$B$1:$B$4)),0)),"-"))</f>
        <v>-</v>
      </c>
      <c r="P18" s="481" t="str">
        <f ca="1">IF($E18="", "", IFERROR(INDEX(OFFSET('Fund Guide'!$B$4,1,MATCH(P$12,OFFSET('Fund Guide'!$B$4,,,,COUNTA('Fund Guide'!7:7)),0)-1,COUNTA('Fund Guide'!$B:$B)-COUNTA('Fund Guide'!$B$1:$B$4)),MATCH($E18,OFFSET('Fund Guide'!$B$4,1,,COUNTA('Fund Guide'!$B:$B)-COUNTA('Fund Guide'!$B$1:$B$4)),0)),"-"))</f>
        <v>-</v>
      </c>
      <c r="Q18" s="480" t="str">
        <f ca="1">IF($E18="", "", IFERROR(INDEX(OFFSET('Fund Guide'!$B$4,1,MATCH(Q$12,OFFSET('Fund Guide'!$B$4,,,,COUNTA('Fund Guide'!7:7)),0)-1,COUNTA('Fund Guide'!$B:$B)-COUNTA('Fund Guide'!$B$1:$B$4)),MATCH($E18,OFFSET('Fund Guide'!$B$4,1,,COUNTA('Fund Guide'!$B:$B)-COUNTA('Fund Guide'!$B$1:$B$4)),0)),"-"))</f>
        <v>-</v>
      </c>
      <c r="R18" s="481" t="str">
        <f ca="1">IF($E18="", "", IFERROR(INDEX(OFFSET('Fund Guide'!$B$4,1,MATCH(R$12,OFFSET('Fund Guide'!$B$4,,,,COUNTA('Fund Guide'!7:7)),0)-1,COUNTA('Fund Guide'!$B:$B)-COUNTA('Fund Guide'!$B$1:$B$4)),MATCH($E18,OFFSET('Fund Guide'!$B$4,1,,COUNTA('Fund Guide'!$B:$B)-COUNTA('Fund Guide'!$B$1:$B$4)),0)),"-"))</f>
        <v>-</v>
      </c>
      <c r="S18" s="480" t="str">
        <f ca="1">IF($E18="", "", IFERROR(INDEX(OFFSET('Fund Guide'!$B$4,1,MATCH(S$12,OFFSET('Fund Guide'!$B$4,,,,COUNTA('Fund Guide'!7:7)),0)-1,COUNTA('Fund Guide'!$B:$B)-COUNTA('Fund Guide'!$B$1:$B$4)),MATCH($E18,OFFSET('Fund Guide'!$B$4,1,,COUNTA('Fund Guide'!$B:$B)-COUNTA('Fund Guide'!$B$1:$B$4)),0)),"-"))</f>
        <v>-</v>
      </c>
      <c r="T18" s="481" t="str">
        <f ca="1">IF($E18="", "", IFERROR(INDEX(OFFSET('Fund Guide'!$B$4,1,MATCH(T$12,OFFSET('Fund Guide'!$B$4,,,,COUNTA('Fund Guide'!7:7)),0)-1,COUNTA('Fund Guide'!$B:$B)-COUNTA('Fund Guide'!$B$1:$B$4)),MATCH($E18,OFFSET('Fund Guide'!$B$4,1,,COUNTA('Fund Guide'!$B:$B)-COUNTA('Fund Guide'!$B$1:$B$4)),0)),"-"))</f>
        <v>-</v>
      </c>
      <c r="U18" s="480" t="str">
        <f ca="1">IF($E18="", "", IFERROR(INDEX(OFFSET('Fund Guide'!$B$4,1,MATCH(U$12,OFFSET('Fund Guide'!$B$4,,,,COUNTA('Fund Guide'!7:7)),0)-1,COUNTA('Fund Guide'!$B:$B)-COUNTA('Fund Guide'!$B$1:$B$4)),MATCH($E18,OFFSET('Fund Guide'!$B$4,1,,COUNTA('Fund Guide'!$B:$B)-COUNTA('Fund Guide'!$B$1:$B$4)),0)),"-"))</f>
        <v>-</v>
      </c>
      <c r="V18" s="481" t="str">
        <f ca="1">IF($E18="", "", IFERROR(INDEX(OFFSET('Fund Guide'!$B$4,1,MATCH(V$12,OFFSET('Fund Guide'!$B$4,,,,COUNTA('Fund Guide'!7:7)),0)-1,COUNTA('Fund Guide'!$B:$B)-COUNTA('Fund Guide'!$B$1:$B$4)),MATCH($E18,OFFSET('Fund Guide'!$B$4,1,,COUNTA('Fund Guide'!$B:$B)-COUNTA('Fund Guide'!$B$1:$B$4)),0)),"-"))</f>
        <v>-</v>
      </c>
      <c r="W18" s="482" t="str">
        <f ca="1">IF($E18="", "", IFERROR(INDEX(OFFSET('Fund Guide'!$B$4,1,MATCH(W$12,OFFSET('Fund Guide'!$B$4,,,,COUNTA('Fund Guide'!7:7)),0)-1,COUNTA('Fund Guide'!$B:$B)-COUNTA('Fund Guide'!$B$1:$B$4)),MATCH($E18,OFFSET('Fund Guide'!$B$4,1,,COUNTA('Fund Guide'!$B:$B)-COUNTA('Fund Guide'!$B$1:$B$4)),0)),"-"))</f>
        <v>-</v>
      </c>
      <c r="X18" s="483" t="str">
        <f ca="1">IF($E18="", "", IFERROR(INDEX(OFFSET('Fund Guide'!$B$4,1,MATCH(X$12,OFFSET('Fund Guide'!$B$4,,,,COUNTA('Fund Guide'!7:7)),0)-1,COUNTA('Fund Guide'!$B:$B)-COUNTA('Fund Guide'!$B$1:$B$4)),MATCH($E18,OFFSET('Fund Guide'!$B$4,1,,COUNTA('Fund Guide'!$B:$B)-COUNTA('Fund Guide'!$B$1:$B$4)),0)),"-"))</f>
        <v>-</v>
      </c>
      <c r="Z18" s="484"/>
      <c r="AA18" s="484"/>
      <c r="AB18" s="478"/>
    </row>
    <row r="19" spans="2:28" s="477" customFormat="1" ht="14.25" customHeight="1">
      <c r="B19" s="472"/>
      <c r="C19" s="472"/>
      <c r="D19" s="472"/>
      <c r="E19" s="496" t="s">
        <v>1970</v>
      </c>
      <c r="F19" s="473" t="str">
        <f ca="1">IF($E19="", "", IFERROR(INDEX(OFFSET('Fund Guide'!$B$4,1,MATCH(F$12,OFFSET('Fund Guide'!$B$4,,,,COUNTA('Fund Guide'!8:8)),0)-1,COUNTA('Fund Guide'!$B:$B)-COUNTA('Fund Guide'!$B$1:$B$4)),MATCH($E19,OFFSET('Fund Guide'!$B$4,1,,COUNTA('Fund Guide'!$B:$B)-COUNTA('Fund Guide'!$B$1:$B$4)),0)),"-"))</f>
        <v>-</v>
      </c>
      <c r="G19" s="474" t="str">
        <f ca="1">IF($E19="", "", IFERROR(INDEX(OFFSET('Fund Guide'!$B$4,1,MATCH(G$12,OFFSET('Fund Guide'!$B$4,,,,COUNTA('Fund Guide'!8:8)),0)-1,COUNTA('Fund Guide'!$B:$B)-COUNTA('Fund Guide'!$B$1:$B$4)),MATCH($E19,OFFSET('Fund Guide'!$B$4,1,,COUNTA('Fund Guide'!$B:$B)-COUNTA('Fund Guide'!$B$1:$B$4)),0)),"-"))</f>
        <v>-</v>
      </c>
      <c r="H19" s="475" t="str">
        <f ca="1">IF($E19="", "", IFERROR(INDEX(OFFSET('Fund Guide'!$B$4,1,MATCH(H$12,OFFSET('Fund Guide'!$B$4,,,,COUNTA('Fund Guide'!8:8)),0)-1,COUNTA('Fund Guide'!$B:$B)-COUNTA('Fund Guide'!$B$1:$B$4)),MATCH($E19,OFFSET('Fund Guide'!$B$4,1,,COUNTA('Fund Guide'!$B:$B)-COUNTA('Fund Guide'!$B$1:$B$4)),0)),"-"))</f>
        <v>-</v>
      </c>
      <c r="I19" s="476" t="str">
        <f ca="1">IF($E19="", "", IFERROR(INDEX(OFFSET('Fund Guide'!$B$4,1,MATCH(I$12,OFFSET('Fund Guide'!$B$4,,,,COUNTA('Fund Guide'!8:8)),0)-1,COUNTA('Fund Guide'!$B:$B)-COUNTA('Fund Guide'!$B$1:$B$4)),MATCH($E19,OFFSET('Fund Guide'!$B$4,1,,COUNTA('Fund Guide'!$B:$B)-COUNTA('Fund Guide'!$B$1:$B$4)),0)),"-"))</f>
        <v>-</v>
      </c>
      <c r="K19" s="581">
        <f t="shared" si="0"/>
        <v>1339800.0000000002</v>
      </c>
      <c r="L19" s="478">
        <v>4.6200000000000005E-2</v>
      </c>
      <c r="M19" s="479">
        <f t="shared" si="1"/>
        <v>6.9999999999999993E-2</v>
      </c>
      <c r="O19" s="480" t="str">
        <f ca="1">IF($E19="", "", IFERROR(INDEX(OFFSET('Fund Guide'!$B$4,1,MATCH(O$12,OFFSET('Fund Guide'!$B$4,,,,COUNTA('Fund Guide'!8:8)),0)-1,COUNTA('Fund Guide'!$B:$B)-COUNTA('Fund Guide'!$B$1:$B$4)),MATCH($E19,OFFSET('Fund Guide'!$B$4,1,,COUNTA('Fund Guide'!$B:$B)-COUNTA('Fund Guide'!$B$1:$B$4)),0)),"-"))</f>
        <v>-</v>
      </c>
      <c r="P19" s="481" t="str">
        <f ca="1">IF($E19="", "", IFERROR(INDEX(OFFSET('Fund Guide'!$B$4,1,MATCH(P$12,OFFSET('Fund Guide'!$B$4,,,,COUNTA('Fund Guide'!8:8)),0)-1,COUNTA('Fund Guide'!$B:$B)-COUNTA('Fund Guide'!$B$1:$B$4)),MATCH($E19,OFFSET('Fund Guide'!$B$4,1,,COUNTA('Fund Guide'!$B:$B)-COUNTA('Fund Guide'!$B$1:$B$4)),0)),"-"))</f>
        <v>-</v>
      </c>
      <c r="Q19" s="480" t="str">
        <f ca="1">IF($E19="", "", IFERROR(INDEX(OFFSET('Fund Guide'!$B$4,1,MATCH(Q$12,OFFSET('Fund Guide'!$B$4,,,,COUNTA('Fund Guide'!8:8)),0)-1,COUNTA('Fund Guide'!$B:$B)-COUNTA('Fund Guide'!$B$1:$B$4)),MATCH($E19,OFFSET('Fund Guide'!$B$4,1,,COUNTA('Fund Guide'!$B:$B)-COUNTA('Fund Guide'!$B$1:$B$4)),0)),"-"))</f>
        <v>-</v>
      </c>
      <c r="R19" s="481" t="str">
        <f ca="1">IF($E19="", "", IFERROR(INDEX(OFFSET('Fund Guide'!$B$4,1,MATCH(R$12,OFFSET('Fund Guide'!$B$4,,,,COUNTA('Fund Guide'!8:8)),0)-1,COUNTA('Fund Guide'!$B:$B)-COUNTA('Fund Guide'!$B$1:$B$4)),MATCH($E19,OFFSET('Fund Guide'!$B$4,1,,COUNTA('Fund Guide'!$B:$B)-COUNTA('Fund Guide'!$B$1:$B$4)),0)),"-"))</f>
        <v>-</v>
      </c>
      <c r="S19" s="480" t="str">
        <f ca="1">IF($E19="", "", IFERROR(INDEX(OFFSET('Fund Guide'!$B$4,1,MATCH(S$12,OFFSET('Fund Guide'!$B$4,,,,COUNTA('Fund Guide'!8:8)),0)-1,COUNTA('Fund Guide'!$B:$B)-COUNTA('Fund Guide'!$B$1:$B$4)),MATCH($E19,OFFSET('Fund Guide'!$B$4,1,,COUNTA('Fund Guide'!$B:$B)-COUNTA('Fund Guide'!$B$1:$B$4)),0)),"-"))</f>
        <v>-</v>
      </c>
      <c r="T19" s="481" t="str">
        <f ca="1">IF($E19="", "", IFERROR(INDEX(OFFSET('Fund Guide'!$B$4,1,MATCH(T$12,OFFSET('Fund Guide'!$B$4,,,,COUNTA('Fund Guide'!8:8)),0)-1,COUNTA('Fund Guide'!$B:$B)-COUNTA('Fund Guide'!$B$1:$B$4)),MATCH($E19,OFFSET('Fund Guide'!$B$4,1,,COUNTA('Fund Guide'!$B:$B)-COUNTA('Fund Guide'!$B$1:$B$4)),0)),"-"))</f>
        <v>-</v>
      </c>
      <c r="U19" s="480" t="str">
        <f ca="1">IF($E19="", "", IFERROR(INDEX(OFFSET('Fund Guide'!$B$4,1,MATCH(U$12,OFFSET('Fund Guide'!$B$4,,,,COUNTA('Fund Guide'!8:8)),0)-1,COUNTA('Fund Guide'!$B:$B)-COUNTA('Fund Guide'!$B$1:$B$4)),MATCH($E19,OFFSET('Fund Guide'!$B$4,1,,COUNTA('Fund Guide'!$B:$B)-COUNTA('Fund Guide'!$B$1:$B$4)),0)),"-"))</f>
        <v>-</v>
      </c>
      <c r="V19" s="481" t="str">
        <f ca="1">IF($E19="", "", IFERROR(INDEX(OFFSET('Fund Guide'!$B$4,1,MATCH(V$12,OFFSET('Fund Guide'!$B$4,,,,COUNTA('Fund Guide'!8:8)),0)-1,COUNTA('Fund Guide'!$B:$B)-COUNTA('Fund Guide'!$B$1:$B$4)),MATCH($E19,OFFSET('Fund Guide'!$B$4,1,,COUNTA('Fund Guide'!$B:$B)-COUNTA('Fund Guide'!$B$1:$B$4)),0)),"-"))</f>
        <v>-</v>
      </c>
      <c r="W19" s="482" t="str">
        <f ca="1">IF($E19="", "", IFERROR(INDEX(OFFSET('Fund Guide'!$B$4,1,MATCH(W$12,OFFSET('Fund Guide'!$B$4,,,,COUNTA('Fund Guide'!8:8)),0)-1,COUNTA('Fund Guide'!$B:$B)-COUNTA('Fund Guide'!$B$1:$B$4)),MATCH($E19,OFFSET('Fund Guide'!$B$4,1,,COUNTA('Fund Guide'!$B:$B)-COUNTA('Fund Guide'!$B$1:$B$4)),0)),"-"))</f>
        <v>-</v>
      </c>
      <c r="X19" s="483" t="str">
        <f ca="1">IF($E19="", "", IFERROR(INDEX(OFFSET('Fund Guide'!$B$4,1,MATCH(X$12,OFFSET('Fund Guide'!$B$4,,,,COUNTA('Fund Guide'!8:8)),0)-1,COUNTA('Fund Guide'!$B:$B)-COUNTA('Fund Guide'!$B$1:$B$4)),MATCH($E19,OFFSET('Fund Guide'!$B$4,1,,COUNTA('Fund Guide'!$B:$B)-COUNTA('Fund Guide'!$B$1:$B$4)),0)),"-"))</f>
        <v>-</v>
      </c>
      <c r="Z19" s="484"/>
      <c r="AA19" s="484"/>
      <c r="AB19" s="478"/>
    </row>
    <row r="20" spans="2:28" s="477" customFormat="1" ht="14.25" customHeight="1">
      <c r="B20" s="472"/>
      <c r="C20" s="472"/>
      <c r="D20" s="472"/>
      <c r="E20" s="496" t="s">
        <v>1971</v>
      </c>
      <c r="F20" s="473" t="str">
        <f ca="1">IF($E20="", "", IFERROR(INDEX(OFFSET('Fund Guide'!$B$4,1,MATCH(F$12,OFFSET('Fund Guide'!$B$4,,,,COUNTA('Fund Guide'!9:9)),0)-1,COUNTA('Fund Guide'!$B:$B)-COUNTA('Fund Guide'!$B$1:$B$4)),MATCH($E20,OFFSET('Fund Guide'!$B$4,1,,COUNTA('Fund Guide'!$B:$B)-COUNTA('Fund Guide'!$B$1:$B$4)),0)),"-"))</f>
        <v>-</v>
      </c>
      <c r="G20" s="474" t="str">
        <f ca="1">IF($E20="", "", IFERROR(INDEX(OFFSET('Fund Guide'!$B$4,1,MATCH(G$12,OFFSET('Fund Guide'!$B$4,,,,COUNTA('Fund Guide'!9:9)),0)-1,COUNTA('Fund Guide'!$B:$B)-COUNTA('Fund Guide'!$B$1:$B$4)),MATCH($E20,OFFSET('Fund Guide'!$B$4,1,,COUNTA('Fund Guide'!$B:$B)-COUNTA('Fund Guide'!$B$1:$B$4)),0)),"-"))</f>
        <v>-</v>
      </c>
      <c r="H20" s="475" t="str">
        <f ca="1">IF($E20="", "", IFERROR(INDEX(OFFSET('Fund Guide'!$B$4,1,MATCH(H$12,OFFSET('Fund Guide'!$B$4,,,,COUNTA('Fund Guide'!9:9)),0)-1,COUNTA('Fund Guide'!$B:$B)-COUNTA('Fund Guide'!$B$1:$B$4)),MATCH($E20,OFFSET('Fund Guide'!$B$4,1,,COUNTA('Fund Guide'!$B:$B)-COUNTA('Fund Guide'!$B$1:$B$4)),0)),"-"))</f>
        <v>-</v>
      </c>
      <c r="I20" s="476" t="str">
        <f ca="1">IF($E20="", "", IFERROR(INDEX(OFFSET('Fund Guide'!$B$4,1,MATCH(I$12,OFFSET('Fund Guide'!$B$4,,,,COUNTA('Fund Guide'!9:9)),0)-1,COUNTA('Fund Guide'!$B:$B)-COUNTA('Fund Guide'!$B$1:$B$4)),MATCH($E20,OFFSET('Fund Guide'!$B$4,1,,COUNTA('Fund Guide'!$B:$B)-COUNTA('Fund Guide'!$B$1:$B$4)),0)),"-"))</f>
        <v>-</v>
      </c>
      <c r="K20" s="581">
        <f t="shared" si="0"/>
        <v>1148400</v>
      </c>
      <c r="L20" s="478">
        <v>3.9600000000000003E-2</v>
      </c>
      <c r="M20" s="479">
        <f t="shared" si="1"/>
        <v>5.9999999999999991E-2</v>
      </c>
      <c r="O20" s="480" t="str">
        <f ca="1">IF($E20="", "", IFERROR(INDEX(OFFSET('Fund Guide'!$B$4,1,MATCH(O$12,OFFSET('Fund Guide'!$B$4,,,,COUNTA('Fund Guide'!9:9)),0)-1,COUNTA('Fund Guide'!$B:$B)-COUNTA('Fund Guide'!$B$1:$B$4)),MATCH($E20,OFFSET('Fund Guide'!$B$4,1,,COUNTA('Fund Guide'!$B:$B)-COUNTA('Fund Guide'!$B$1:$B$4)),0)),"-"))</f>
        <v>-</v>
      </c>
      <c r="P20" s="481" t="str">
        <f ca="1">IF($E20="", "", IFERROR(INDEX(OFFSET('Fund Guide'!$B$4,1,MATCH(P$12,OFFSET('Fund Guide'!$B$4,,,,COUNTA('Fund Guide'!9:9)),0)-1,COUNTA('Fund Guide'!$B:$B)-COUNTA('Fund Guide'!$B$1:$B$4)),MATCH($E20,OFFSET('Fund Guide'!$B$4,1,,COUNTA('Fund Guide'!$B:$B)-COUNTA('Fund Guide'!$B$1:$B$4)),0)),"-"))</f>
        <v>-</v>
      </c>
      <c r="Q20" s="480" t="str">
        <f ca="1">IF($E20="", "", IFERROR(INDEX(OFFSET('Fund Guide'!$B$4,1,MATCH(Q$12,OFFSET('Fund Guide'!$B$4,,,,COUNTA('Fund Guide'!9:9)),0)-1,COUNTA('Fund Guide'!$B:$B)-COUNTA('Fund Guide'!$B$1:$B$4)),MATCH($E20,OFFSET('Fund Guide'!$B$4,1,,COUNTA('Fund Guide'!$B:$B)-COUNTA('Fund Guide'!$B$1:$B$4)),0)),"-"))</f>
        <v>-</v>
      </c>
      <c r="R20" s="481" t="str">
        <f ca="1">IF($E20="", "", IFERROR(INDEX(OFFSET('Fund Guide'!$B$4,1,MATCH(R$12,OFFSET('Fund Guide'!$B$4,,,,COUNTA('Fund Guide'!9:9)),0)-1,COUNTA('Fund Guide'!$B:$B)-COUNTA('Fund Guide'!$B$1:$B$4)),MATCH($E20,OFFSET('Fund Guide'!$B$4,1,,COUNTA('Fund Guide'!$B:$B)-COUNTA('Fund Guide'!$B$1:$B$4)),0)),"-"))</f>
        <v>-</v>
      </c>
      <c r="S20" s="480" t="str">
        <f ca="1">IF($E20="", "", IFERROR(INDEX(OFFSET('Fund Guide'!$B$4,1,MATCH(S$12,OFFSET('Fund Guide'!$B$4,,,,COUNTA('Fund Guide'!9:9)),0)-1,COUNTA('Fund Guide'!$B:$B)-COUNTA('Fund Guide'!$B$1:$B$4)),MATCH($E20,OFFSET('Fund Guide'!$B$4,1,,COUNTA('Fund Guide'!$B:$B)-COUNTA('Fund Guide'!$B$1:$B$4)),0)),"-"))</f>
        <v>-</v>
      </c>
      <c r="T20" s="481" t="str">
        <f ca="1">IF($E20="", "", IFERROR(INDEX(OFFSET('Fund Guide'!$B$4,1,MATCH(T$12,OFFSET('Fund Guide'!$B$4,,,,COUNTA('Fund Guide'!9:9)),0)-1,COUNTA('Fund Guide'!$B:$B)-COUNTA('Fund Guide'!$B$1:$B$4)),MATCH($E20,OFFSET('Fund Guide'!$B$4,1,,COUNTA('Fund Guide'!$B:$B)-COUNTA('Fund Guide'!$B$1:$B$4)),0)),"-"))</f>
        <v>-</v>
      </c>
      <c r="U20" s="480" t="str">
        <f ca="1">IF($E20="", "", IFERROR(INDEX(OFFSET('Fund Guide'!$B$4,1,MATCH(U$12,OFFSET('Fund Guide'!$B$4,,,,COUNTA('Fund Guide'!9:9)),0)-1,COUNTA('Fund Guide'!$B:$B)-COUNTA('Fund Guide'!$B$1:$B$4)),MATCH($E20,OFFSET('Fund Guide'!$B$4,1,,COUNTA('Fund Guide'!$B:$B)-COUNTA('Fund Guide'!$B$1:$B$4)),0)),"-"))</f>
        <v>-</v>
      </c>
      <c r="V20" s="481" t="str">
        <f ca="1">IF($E20="", "", IFERROR(INDEX(OFFSET('Fund Guide'!$B$4,1,MATCH(V$12,OFFSET('Fund Guide'!$B$4,,,,COUNTA('Fund Guide'!9:9)),0)-1,COUNTA('Fund Guide'!$B:$B)-COUNTA('Fund Guide'!$B$1:$B$4)),MATCH($E20,OFFSET('Fund Guide'!$B$4,1,,COUNTA('Fund Guide'!$B:$B)-COUNTA('Fund Guide'!$B$1:$B$4)),0)),"-"))</f>
        <v>-</v>
      </c>
      <c r="W20" s="482" t="str">
        <f ca="1">IF($E20="", "", IFERROR(INDEX(OFFSET('Fund Guide'!$B$4,1,MATCH(W$12,OFFSET('Fund Guide'!$B$4,,,,COUNTA('Fund Guide'!9:9)),0)-1,COUNTA('Fund Guide'!$B:$B)-COUNTA('Fund Guide'!$B$1:$B$4)),MATCH($E20,OFFSET('Fund Guide'!$B$4,1,,COUNTA('Fund Guide'!$B:$B)-COUNTA('Fund Guide'!$B$1:$B$4)),0)),"-"))</f>
        <v>-</v>
      </c>
      <c r="X20" s="483" t="str">
        <f ca="1">IF($E20="", "", IFERROR(INDEX(OFFSET('Fund Guide'!$B$4,1,MATCH(X$12,OFFSET('Fund Guide'!$B$4,,,,COUNTA('Fund Guide'!9:9)),0)-1,COUNTA('Fund Guide'!$B:$B)-COUNTA('Fund Guide'!$B$1:$B$4)),MATCH($E20,OFFSET('Fund Guide'!$B$4,1,,COUNTA('Fund Guide'!$B:$B)-COUNTA('Fund Guide'!$B$1:$B$4)),0)),"-"))</f>
        <v>-</v>
      </c>
      <c r="Z20" s="484"/>
      <c r="AA20" s="484"/>
      <c r="AB20" s="478"/>
    </row>
    <row r="21" spans="2:28" s="477" customFormat="1" ht="14.25" customHeight="1">
      <c r="B21" s="472"/>
      <c r="C21" s="472"/>
      <c r="D21" s="472"/>
      <c r="E21" s="496" t="s">
        <v>1874</v>
      </c>
      <c r="F21" s="473" t="str">
        <f ca="1">IF($E21="", "", IFERROR(INDEX(OFFSET('Fund Guide'!$B$4,1,MATCH(F$12,OFFSET('Fund Guide'!$B$4,,,,COUNTA('Fund Guide'!10:10)),0)-1,COUNTA('Fund Guide'!$B:$B)-COUNTA('Fund Guide'!$B$1:$B$4)),MATCH($E21,OFFSET('Fund Guide'!$B$4,1,,COUNTA('Fund Guide'!$B:$B)-COUNTA('Fund Guide'!$B$1:$B$4)),0)),"-"))</f>
        <v>-</v>
      </c>
      <c r="G21" s="474" t="str">
        <f ca="1">IF($E21="", "", IFERROR(INDEX(OFFSET('Fund Guide'!$B$4,1,MATCH(G$12,OFFSET('Fund Guide'!$B$4,,,,COUNTA('Fund Guide'!10:10)),0)-1,COUNTA('Fund Guide'!$B:$B)-COUNTA('Fund Guide'!$B$1:$B$4)),MATCH($E21,OFFSET('Fund Guide'!$B$4,1,,COUNTA('Fund Guide'!$B:$B)-COUNTA('Fund Guide'!$B$1:$B$4)),0)),"-"))</f>
        <v>-</v>
      </c>
      <c r="H21" s="475" t="str">
        <f ca="1">IF($E21="", "", IFERROR(INDEX(OFFSET('Fund Guide'!$B$4,1,MATCH(H$12,OFFSET('Fund Guide'!$B$4,,,,COUNTA('Fund Guide'!10:10)),0)-1,COUNTA('Fund Guide'!$B:$B)-COUNTA('Fund Guide'!$B$1:$B$4)),MATCH($E21,OFFSET('Fund Guide'!$B$4,1,,COUNTA('Fund Guide'!$B:$B)-COUNTA('Fund Guide'!$B$1:$B$4)),0)),"-"))</f>
        <v>-</v>
      </c>
      <c r="I21" s="476" t="str">
        <f ca="1">IF($E21="", "", IFERROR(INDEX(OFFSET('Fund Guide'!$B$4,1,MATCH(I$12,OFFSET('Fund Guide'!$B$4,,,,COUNTA('Fund Guide'!10:10)),0)-1,COUNTA('Fund Guide'!$B:$B)-COUNTA('Fund Guide'!$B$1:$B$4)),MATCH($E21,OFFSET('Fund Guide'!$B$4,1,,COUNTA('Fund Guide'!$B:$B)-COUNTA('Fund Guide'!$B$1:$B$4)),0)),"-"))</f>
        <v>-</v>
      </c>
      <c r="K21" s="581">
        <f t="shared" si="0"/>
        <v>1148400</v>
      </c>
      <c r="L21" s="478">
        <v>3.9600000000000003E-2</v>
      </c>
      <c r="M21" s="479">
        <f t="shared" si="1"/>
        <v>5.9999999999999991E-2</v>
      </c>
      <c r="O21" s="480" t="str">
        <f ca="1">IF($E21="", "", IFERROR(INDEX(OFFSET('Fund Guide'!$B$4,1,MATCH(O$12,OFFSET('Fund Guide'!$B$4,,,,COUNTA('Fund Guide'!10:10)),0)-1,COUNTA('Fund Guide'!$B:$B)-COUNTA('Fund Guide'!$B$1:$B$4)),MATCH($E21,OFFSET('Fund Guide'!$B$4,1,,COUNTA('Fund Guide'!$B:$B)-COUNTA('Fund Guide'!$B$1:$B$4)),0)),"-"))</f>
        <v>-</v>
      </c>
      <c r="P21" s="481" t="str">
        <f ca="1">IF($E21="", "", IFERROR(INDEX(OFFSET('Fund Guide'!$B$4,1,MATCH(P$12,OFFSET('Fund Guide'!$B$4,,,,COUNTA('Fund Guide'!10:10)),0)-1,COUNTA('Fund Guide'!$B:$B)-COUNTA('Fund Guide'!$B$1:$B$4)),MATCH($E21,OFFSET('Fund Guide'!$B$4,1,,COUNTA('Fund Guide'!$B:$B)-COUNTA('Fund Guide'!$B$1:$B$4)),0)),"-"))</f>
        <v>-</v>
      </c>
      <c r="Q21" s="480" t="str">
        <f ca="1">IF($E21="", "", IFERROR(INDEX(OFFSET('Fund Guide'!$B$4,1,MATCH(Q$12,OFFSET('Fund Guide'!$B$4,,,,COUNTA('Fund Guide'!10:10)),0)-1,COUNTA('Fund Guide'!$B:$B)-COUNTA('Fund Guide'!$B$1:$B$4)),MATCH($E21,OFFSET('Fund Guide'!$B$4,1,,COUNTA('Fund Guide'!$B:$B)-COUNTA('Fund Guide'!$B$1:$B$4)),0)),"-"))</f>
        <v>-</v>
      </c>
      <c r="R21" s="481" t="str">
        <f ca="1">IF($E21="", "", IFERROR(INDEX(OFFSET('Fund Guide'!$B$4,1,MATCH(R$12,OFFSET('Fund Guide'!$B$4,,,,COUNTA('Fund Guide'!10:10)),0)-1,COUNTA('Fund Guide'!$B:$B)-COUNTA('Fund Guide'!$B$1:$B$4)),MATCH($E21,OFFSET('Fund Guide'!$B$4,1,,COUNTA('Fund Guide'!$B:$B)-COUNTA('Fund Guide'!$B$1:$B$4)),0)),"-"))</f>
        <v>-</v>
      </c>
      <c r="S21" s="480" t="str">
        <f ca="1">IF($E21="", "", IFERROR(INDEX(OFFSET('Fund Guide'!$B$4,1,MATCH(S$12,OFFSET('Fund Guide'!$B$4,,,,COUNTA('Fund Guide'!10:10)),0)-1,COUNTA('Fund Guide'!$B:$B)-COUNTA('Fund Guide'!$B$1:$B$4)),MATCH($E21,OFFSET('Fund Guide'!$B$4,1,,COUNTA('Fund Guide'!$B:$B)-COUNTA('Fund Guide'!$B$1:$B$4)),0)),"-"))</f>
        <v>-</v>
      </c>
      <c r="T21" s="481" t="str">
        <f ca="1">IF($E21="", "", IFERROR(INDEX(OFFSET('Fund Guide'!$B$4,1,MATCH(T$12,OFFSET('Fund Guide'!$B$4,,,,COUNTA('Fund Guide'!10:10)),0)-1,COUNTA('Fund Guide'!$B:$B)-COUNTA('Fund Guide'!$B$1:$B$4)),MATCH($E21,OFFSET('Fund Guide'!$B$4,1,,COUNTA('Fund Guide'!$B:$B)-COUNTA('Fund Guide'!$B$1:$B$4)),0)),"-"))</f>
        <v>-</v>
      </c>
      <c r="U21" s="480" t="str">
        <f ca="1">IF($E21="", "", IFERROR(INDEX(OFFSET('Fund Guide'!$B$4,1,MATCH(U$12,OFFSET('Fund Guide'!$B$4,,,,COUNTA('Fund Guide'!10:10)),0)-1,COUNTA('Fund Guide'!$B:$B)-COUNTA('Fund Guide'!$B$1:$B$4)),MATCH($E21,OFFSET('Fund Guide'!$B$4,1,,COUNTA('Fund Guide'!$B:$B)-COUNTA('Fund Guide'!$B$1:$B$4)),0)),"-"))</f>
        <v>-</v>
      </c>
      <c r="V21" s="481" t="str">
        <f ca="1">IF($E21="", "", IFERROR(INDEX(OFFSET('Fund Guide'!$B$4,1,MATCH(V$12,OFFSET('Fund Guide'!$B$4,,,,COUNTA('Fund Guide'!10:10)),0)-1,COUNTA('Fund Guide'!$B:$B)-COUNTA('Fund Guide'!$B$1:$B$4)),MATCH($E21,OFFSET('Fund Guide'!$B$4,1,,COUNTA('Fund Guide'!$B:$B)-COUNTA('Fund Guide'!$B$1:$B$4)),0)),"-"))</f>
        <v>-</v>
      </c>
      <c r="W21" s="482" t="str">
        <f ca="1">IF($E21="", "", IFERROR(INDEX(OFFSET('Fund Guide'!$B$4,1,MATCH(W$12,OFFSET('Fund Guide'!$B$4,,,,COUNTA('Fund Guide'!10:10)),0)-1,COUNTA('Fund Guide'!$B:$B)-COUNTA('Fund Guide'!$B$1:$B$4)),MATCH($E21,OFFSET('Fund Guide'!$B$4,1,,COUNTA('Fund Guide'!$B:$B)-COUNTA('Fund Guide'!$B$1:$B$4)),0)),"-"))</f>
        <v>-</v>
      </c>
      <c r="X21" s="483" t="str">
        <f ca="1">IF($E21="", "", IFERROR(INDEX(OFFSET('Fund Guide'!$B$4,1,MATCH(X$12,OFFSET('Fund Guide'!$B$4,,,,COUNTA('Fund Guide'!10:10)),0)-1,COUNTA('Fund Guide'!$B:$B)-COUNTA('Fund Guide'!$B$1:$B$4)),MATCH($E21,OFFSET('Fund Guide'!$B$4,1,,COUNTA('Fund Guide'!$B:$B)-COUNTA('Fund Guide'!$B$1:$B$4)),0)),"-"))</f>
        <v>-</v>
      </c>
      <c r="Z21" s="484"/>
      <c r="AA21" s="484"/>
      <c r="AB21" s="478"/>
    </row>
    <row r="22" spans="2:28" s="477" customFormat="1" ht="14.25" customHeight="1">
      <c r="B22" s="472"/>
      <c r="C22" s="472"/>
      <c r="D22" s="472"/>
      <c r="E22" s="496" t="s">
        <v>1875</v>
      </c>
      <c r="F22" s="473" t="str">
        <f ca="1">IF($E22="", "", IFERROR(INDEX(OFFSET('Fund Guide'!$B$4,1,MATCH(F$12,OFFSET('Fund Guide'!$B$4,,,,COUNTA('Fund Guide'!11:11)),0)-1,COUNTA('Fund Guide'!$B:$B)-COUNTA('Fund Guide'!$B$1:$B$4)),MATCH($E22,OFFSET('Fund Guide'!$B$4,1,,COUNTA('Fund Guide'!$B:$B)-COUNTA('Fund Guide'!$B$1:$B$4)),0)),"-"))</f>
        <v>-</v>
      </c>
      <c r="G22" s="474" t="str">
        <f ca="1">IF($E22="", "", IFERROR(INDEX(OFFSET('Fund Guide'!$B$4,1,MATCH(G$12,OFFSET('Fund Guide'!$B$4,,,,COUNTA('Fund Guide'!11:11)),0)-1,COUNTA('Fund Guide'!$B:$B)-COUNTA('Fund Guide'!$B$1:$B$4)),MATCH($E22,OFFSET('Fund Guide'!$B$4,1,,COUNTA('Fund Guide'!$B:$B)-COUNTA('Fund Guide'!$B$1:$B$4)),0)),"-"))</f>
        <v>-</v>
      </c>
      <c r="H22" s="475" t="str">
        <f ca="1">IF($E22="", "", IFERROR(INDEX(OFFSET('Fund Guide'!$B$4,1,MATCH(H$12,OFFSET('Fund Guide'!$B$4,,,,COUNTA('Fund Guide'!11:11)),0)-1,COUNTA('Fund Guide'!$B:$B)-COUNTA('Fund Guide'!$B$1:$B$4)),MATCH($E22,OFFSET('Fund Guide'!$B$4,1,,COUNTA('Fund Guide'!$B:$B)-COUNTA('Fund Guide'!$B$1:$B$4)),0)),"-"))</f>
        <v>-</v>
      </c>
      <c r="I22" s="476" t="str">
        <f ca="1">IF($E22="", "", IFERROR(INDEX(OFFSET('Fund Guide'!$B$4,1,MATCH(I$12,OFFSET('Fund Guide'!$B$4,,,,COUNTA('Fund Guide'!11:11)),0)-1,COUNTA('Fund Guide'!$B:$B)-COUNTA('Fund Guide'!$B$1:$B$4)),MATCH($E22,OFFSET('Fund Guide'!$B$4,1,,COUNTA('Fund Guide'!$B:$B)-COUNTA('Fund Guide'!$B$1:$B$4)),0)),"-"))</f>
        <v>-</v>
      </c>
      <c r="K22" s="581">
        <f t="shared" si="0"/>
        <v>1148400</v>
      </c>
      <c r="L22" s="478">
        <v>3.9600000000000003E-2</v>
      </c>
      <c r="M22" s="479">
        <f t="shared" si="1"/>
        <v>5.9999999999999991E-2</v>
      </c>
      <c r="O22" s="480" t="str">
        <f ca="1">IF($E22="", "", IFERROR(INDEX(OFFSET('Fund Guide'!$B$4,1,MATCH(O$12,OFFSET('Fund Guide'!$B$4,,,,COUNTA('Fund Guide'!11:11)),0)-1,COUNTA('Fund Guide'!$B:$B)-COUNTA('Fund Guide'!$B$1:$B$4)),MATCH($E22,OFFSET('Fund Guide'!$B$4,1,,COUNTA('Fund Guide'!$B:$B)-COUNTA('Fund Guide'!$B$1:$B$4)),0)),"-"))</f>
        <v>-</v>
      </c>
      <c r="P22" s="481" t="str">
        <f ca="1">IF($E22="", "", IFERROR(INDEX(OFFSET('Fund Guide'!$B$4,1,MATCH(P$12,OFFSET('Fund Guide'!$B$4,,,,COUNTA('Fund Guide'!11:11)),0)-1,COUNTA('Fund Guide'!$B:$B)-COUNTA('Fund Guide'!$B$1:$B$4)),MATCH($E22,OFFSET('Fund Guide'!$B$4,1,,COUNTA('Fund Guide'!$B:$B)-COUNTA('Fund Guide'!$B$1:$B$4)),0)),"-"))</f>
        <v>-</v>
      </c>
      <c r="Q22" s="480" t="str">
        <f ca="1">IF($E22="", "", IFERROR(INDEX(OFFSET('Fund Guide'!$B$4,1,MATCH(Q$12,OFFSET('Fund Guide'!$B$4,,,,COUNTA('Fund Guide'!11:11)),0)-1,COUNTA('Fund Guide'!$B:$B)-COUNTA('Fund Guide'!$B$1:$B$4)),MATCH($E22,OFFSET('Fund Guide'!$B$4,1,,COUNTA('Fund Guide'!$B:$B)-COUNTA('Fund Guide'!$B$1:$B$4)),0)),"-"))</f>
        <v>-</v>
      </c>
      <c r="R22" s="481" t="str">
        <f ca="1">IF($E22="", "", IFERROR(INDEX(OFFSET('Fund Guide'!$B$4,1,MATCH(R$12,OFFSET('Fund Guide'!$B$4,,,,COUNTA('Fund Guide'!11:11)),0)-1,COUNTA('Fund Guide'!$B:$B)-COUNTA('Fund Guide'!$B$1:$B$4)),MATCH($E22,OFFSET('Fund Guide'!$B$4,1,,COUNTA('Fund Guide'!$B:$B)-COUNTA('Fund Guide'!$B$1:$B$4)),0)),"-"))</f>
        <v>-</v>
      </c>
      <c r="S22" s="480" t="str">
        <f ca="1">IF($E22="", "", IFERROR(INDEX(OFFSET('Fund Guide'!$B$4,1,MATCH(S$12,OFFSET('Fund Guide'!$B$4,,,,COUNTA('Fund Guide'!11:11)),0)-1,COUNTA('Fund Guide'!$B:$B)-COUNTA('Fund Guide'!$B$1:$B$4)),MATCH($E22,OFFSET('Fund Guide'!$B$4,1,,COUNTA('Fund Guide'!$B:$B)-COUNTA('Fund Guide'!$B$1:$B$4)),0)),"-"))</f>
        <v>-</v>
      </c>
      <c r="T22" s="481" t="str">
        <f ca="1">IF($E22="", "", IFERROR(INDEX(OFFSET('Fund Guide'!$B$4,1,MATCH(T$12,OFFSET('Fund Guide'!$B$4,,,,COUNTA('Fund Guide'!11:11)),0)-1,COUNTA('Fund Guide'!$B:$B)-COUNTA('Fund Guide'!$B$1:$B$4)),MATCH($E22,OFFSET('Fund Guide'!$B$4,1,,COUNTA('Fund Guide'!$B:$B)-COUNTA('Fund Guide'!$B$1:$B$4)),0)),"-"))</f>
        <v>-</v>
      </c>
      <c r="U22" s="480" t="str">
        <f ca="1">IF($E22="", "", IFERROR(INDEX(OFFSET('Fund Guide'!$B$4,1,MATCH(U$12,OFFSET('Fund Guide'!$B$4,,,,COUNTA('Fund Guide'!11:11)),0)-1,COUNTA('Fund Guide'!$B:$B)-COUNTA('Fund Guide'!$B$1:$B$4)),MATCH($E22,OFFSET('Fund Guide'!$B$4,1,,COUNTA('Fund Guide'!$B:$B)-COUNTA('Fund Guide'!$B$1:$B$4)),0)),"-"))</f>
        <v>-</v>
      </c>
      <c r="V22" s="481" t="str">
        <f ca="1">IF($E22="", "", IFERROR(INDEX(OFFSET('Fund Guide'!$B$4,1,MATCH(V$12,OFFSET('Fund Guide'!$B$4,,,,COUNTA('Fund Guide'!11:11)),0)-1,COUNTA('Fund Guide'!$B:$B)-COUNTA('Fund Guide'!$B$1:$B$4)),MATCH($E22,OFFSET('Fund Guide'!$B$4,1,,COUNTA('Fund Guide'!$B:$B)-COUNTA('Fund Guide'!$B$1:$B$4)),0)),"-"))</f>
        <v>-</v>
      </c>
      <c r="W22" s="482" t="str">
        <f ca="1">IF($E22="", "", IFERROR(INDEX(OFFSET('Fund Guide'!$B$4,1,MATCH(W$12,OFFSET('Fund Guide'!$B$4,,,,COUNTA('Fund Guide'!11:11)),0)-1,COUNTA('Fund Guide'!$B:$B)-COUNTA('Fund Guide'!$B$1:$B$4)),MATCH($E22,OFFSET('Fund Guide'!$B$4,1,,COUNTA('Fund Guide'!$B:$B)-COUNTA('Fund Guide'!$B$1:$B$4)),0)),"-"))</f>
        <v>-</v>
      </c>
      <c r="X22" s="483" t="str">
        <f ca="1">IF($E22="", "", IFERROR(INDEX(OFFSET('Fund Guide'!$B$4,1,MATCH(X$12,OFFSET('Fund Guide'!$B$4,,,,COUNTA('Fund Guide'!11:11)),0)-1,COUNTA('Fund Guide'!$B:$B)-COUNTA('Fund Guide'!$B$1:$B$4)),MATCH($E22,OFFSET('Fund Guide'!$B$4,1,,COUNTA('Fund Guide'!$B:$B)-COUNTA('Fund Guide'!$B$1:$B$4)),0)),"-"))</f>
        <v>-</v>
      </c>
      <c r="Z22" s="484"/>
      <c r="AA22" s="484"/>
      <c r="AB22" s="478"/>
    </row>
    <row r="23" spans="2:28" s="477" customFormat="1" ht="14.25" customHeight="1">
      <c r="B23" s="472"/>
      <c r="C23" s="472"/>
      <c r="D23" s="472"/>
      <c r="E23" s="496" t="s">
        <v>1153</v>
      </c>
      <c r="F23" s="473">
        <f ca="1">IF($E23="", "", IFERROR(INDEX(OFFSET('Fund Guide'!$B$4,1,MATCH(F$12,OFFSET('Fund Guide'!$B$4,,,,COUNTA('Fund Guide'!12:12)),0)-1,COUNTA('Fund Guide'!$B:$B)-COUNTA('Fund Guide'!$B$1:$B$4)),MATCH($E23,OFFSET('Fund Guide'!$B$4,1,,COUNTA('Fund Guide'!$B:$B)-COUNTA('Fund Guide'!$B$1:$B$4)),0)),"-"))</f>
        <v>1</v>
      </c>
      <c r="G23" s="474" t="str">
        <f ca="1">IF($E23="", "", IFERROR(INDEX(OFFSET('Fund Guide'!$B$4,1,MATCH(G$12,OFFSET('Fund Guide'!$B$4,,,,COUNTA('Fund Guide'!12:12)),0)-1,COUNTA('Fund Guide'!$B:$B)-COUNTA('Fund Guide'!$B$1:$B$4)),MATCH($E23,OFFSET('Fund Guide'!$B$4,1,,COUNTA('Fund Guide'!$B:$B)-COUNTA('Fund Guide'!$B$1:$B$4)),0)),"-"))</f>
        <v>BRL</v>
      </c>
      <c r="H23" s="475">
        <f ca="1">IF($E23="", "", IFERROR(INDEX(OFFSET('Fund Guide'!$B$4,1,MATCH(H$12,OFFSET('Fund Guide'!$B$4,,,,COUNTA('Fund Guide'!12:12)),0)-1,COUNTA('Fund Guide'!$B:$B)-COUNTA('Fund Guide'!$B$1:$B$4)),MATCH($E23,OFFSET('Fund Guide'!$B$4,1,,COUNTA('Fund Guide'!$B:$B)-COUNTA('Fund Guide'!$B$1:$B$4)),0)),"-"))</f>
        <v>1.1200000000000001E-3</v>
      </c>
      <c r="I23" s="476">
        <f ca="1">IF($E23="", "", IFERROR(INDEX(OFFSET('Fund Guide'!$B$4,1,MATCH(I$12,OFFSET('Fund Guide'!$B$4,,,,COUNTA('Fund Guide'!12:12)),0)-1,COUNTA('Fund Guide'!$B:$B)-COUNTA('Fund Guide'!$B$1:$B$4)),MATCH($E23,OFFSET('Fund Guide'!$B$4,1,,COUNTA('Fund Guide'!$B:$B)-COUNTA('Fund Guide'!$B$1:$B$4)),0)),"-"))</f>
        <v>43336</v>
      </c>
      <c r="K23" s="581">
        <f t="shared" si="0"/>
        <v>1339800.0000000002</v>
      </c>
      <c r="L23" s="478">
        <v>4.6200000000000005E-2</v>
      </c>
      <c r="M23" s="479">
        <f t="shared" si="1"/>
        <v>6.9999999999999993E-2</v>
      </c>
      <c r="O23" s="480">
        <f ca="1">IF($E23="", "", IFERROR(INDEX(OFFSET('Fund Guide'!$B$4,1,MATCH(O$12,OFFSET('Fund Guide'!$B$4,,,,COUNTA('Fund Guide'!12:12)),0)-1,COUNTA('Fund Guide'!$B:$B)-COUNTA('Fund Guide'!$B$1:$B$4)),MATCH($E23,OFFSET('Fund Guide'!$B$4,1,,COUNTA('Fund Guide'!$B:$B)-COUNTA('Fund Guide'!$B$1:$B$4)),0)),"-"))</f>
        <v>7.1499999999999994E-2</v>
      </c>
      <c r="P23" s="481">
        <f ca="1">IF($E23="", "", IFERROR(INDEX(OFFSET('Fund Guide'!$B$4,1,MATCH(P$12,OFFSET('Fund Guide'!$B$4,,,,COUNTA('Fund Guide'!12:12)),0)-1,COUNTA('Fund Guide'!$B:$B)-COUNTA('Fund Guide'!$B$1:$B$4)),MATCH($E23,OFFSET('Fund Guide'!$B$4,1,,COUNTA('Fund Guide'!$B:$B)-COUNTA('Fund Guide'!$B$1:$B$4)),0)),"-"))</f>
        <v>1.1020000000000001</v>
      </c>
      <c r="Q23" s="480">
        <f ca="1">IF($E23="", "", IFERROR(INDEX(OFFSET('Fund Guide'!$B$4,1,MATCH(Q$12,OFFSET('Fund Guide'!$B$4,,,,COUNTA('Fund Guide'!12:12)),0)-1,COUNTA('Fund Guide'!$B:$B)-COUNTA('Fund Guide'!$B$1:$B$4)),MATCH($E23,OFFSET('Fund Guide'!$B$4,1,,COUNTA('Fund Guide'!$B:$B)-COUNTA('Fund Guide'!$B$1:$B$4)),0)),"-"))</f>
        <v>0.1095</v>
      </c>
      <c r="R23" s="481">
        <f ca="1">IF($E23="", "", IFERROR(INDEX(OFFSET('Fund Guide'!$B$4,1,MATCH(R$12,OFFSET('Fund Guide'!$B$4,,,,COUNTA('Fund Guide'!12:12)),0)-1,COUNTA('Fund Guide'!$B:$B)-COUNTA('Fund Guide'!$B$1:$B$4)),MATCH($E23,OFFSET('Fund Guide'!$B$4,1,,COUNTA('Fund Guide'!$B:$B)-COUNTA('Fund Guide'!$B$1:$B$4)),0)),"-"))</f>
        <v>1.1636</v>
      </c>
      <c r="S23" s="480">
        <f ca="1">IF($E23="", "", IFERROR(INDEX(OFFSET('Fund Guide'!$B$4,1,MATCH(S$12,OFFSET('Fund Guide'!$B$4,,,,COUNTA('Fund Guide'!12:12)),0)-1,COUNTA('Fund Guide'!$B:$B)-COUNTA('Fund Guide'!$B$1:$B$4)),MATCH($E23,OFFSET('Fund Guide'!$B$4,1,,COUNTA('Fund Guide'!$B:$B)-COUNTA('Fund Guide'!$B$1:$B$4)),0)),"-"))</f>
        <v>0.16869999999999999</v>
      </c>
      <c r="T23" s="481">
        <f ca="1">IF($E23="", "", IFERROR(INDEX(OFFSET('Fund Guide'!$B$4,1,MATCH(T$12,OFFSET('Fund Guide'!$B$4,,,,COUNTA('Fund Guide'!12:12)),0)-1,COUNTA('Fund Guide'!$B:$B)-COUNTA('Fund Guide'!$B$1:$B$4)),MATCH($E23,OFFSET('Fund Guide'!$B$4,1,,COUNTA('Fund Guide'!$B:$B)-COUNTA('Fund Guide'!$B$1:$B$4)),0)),"-"))</f>
        <v>1.3960999999999999</v>
      </c>
      <c r="U23" s="480">
        <f ca="1">IF($E23="", "", IFERROR(INDEX(OFFSET('Fund Guide'!$B$4,1,MATCH(U$12,OFFSET('Fund Guide'!$B$4,,,,COUNTA('Fund Guide'!12:12)),0)-1,COUNTA('Fund Guide'!$B:$B)-COUNTA('Fund Guide'!$B$1:$B$4)),MATCH($E23,OFFSET('Fund Guide'!$B$4,1,,COUNTA('Fund Guide'!$B:$B)-COUNTA('Fund Guide'!$B$1:$B$4)),0)),"-"))</f>
        <v>0.19259999999999999</v>
      </c>
      <c r="V23" s="481">
        <f ca="1">IF($E23="", "", IFERROR(INDEX(OFFSET('Fund Guide'!$B$4,1,MATCH(V$12,OFFSET('Fund Guide'!$B$4,,,,COUNTA('Fund Guide'!12:12)),0)-1,COUNTA('Fund Guide'!$B:$B)-COUNTA('Fund Guide'!$B$1:$B$4)),MATCH($E23,OFFSET('Fund Guide'!$B$4,1,,COUNTA('Fund Guide'!$B:$B)-COUNTA('Fund Guide'!$B$1:$B$4)),0)),"-"))</f>
        <v>1.1428</v>
      </c>
      <c r="W23" s="482">
        <f ca="1">IF($E23="", "", IFERROR(INDEX(OFFSET('Fund Guide'!$B$4,1,MATCH(W$12,OFFSET('Fund Guide'!$B$4,,,,COUNTA('Fund Guide'!12:12)),0)-1,COUNTA('Fund Guide'!$B:$B)-COUNTA('Fund Guide'!$B$1:$B$4)),MATCH($E23,OFFSET('Fund Guide'!$B$4,1,,COUNTA('Fund Guide'!$B:$B)-COUNTA('Fund Guide'!$B$1:$B$4)),0)),"-"))</f>
        <v>1.6999999999999999E-3</v>
      </c>
      <c r="X23" s="483">
        <f ca="1">IF($E23="", "", IFERROR(INDEX(OFFSET('Fund Guide'!$B$4,1,MATCH(X$12,OFFSET('Fund Guide'!$B$4,,,,COUNTA('Fund Guide'!12:12)),0)-1,COUNTA('Fund Guide'!$B:$B)-COUNTA('Fund Guide'!$B$1:$B$4)),MATCH($E23,OFFSET('Fund Guide'!$B$4,1,,COUNTA('Fund Guide'!$B:$B)-COUNTA('Fund Guide'!$B$1:$B$4)),0)),"-"))</f>
        <v>8.090375830924069</v>
      </c>
      <c r="Z23" s="484"/>
      <c r="AA23" s="484"/>
      <c r="AB23" s="478"/>
    </row>
    <row r="24" spans="2:28" s="477" customFormat="1" ht="14.25" customHeight="1">
      <c r="B24" s="472"/>
      <c r="C24" s="472"/>
      <c r="D24" s="472"/>
      <c r="E24" s="496" t="s">
        <v>416</v>
      </c>
      <c r="F24" s="473">
        <f ca="1">IF($E24="", "", IFERROR(INDEX(OFFSET('Fund Guide'!$B$4,1,MATCH(F$12,OFFSET('Fund Guide'!$B$4,,,,COUNTA('Fund Guide'!13:13)),0)-1,COUNTA('Fund Guide'!$B:$B)-COUNTA('Fund Guide'!$B$1:$B$4)),MATCH($E24,OFFSET('Fund Guide'!$B$4,1,,COUNTA('Fund Guide'!$B:$B)-COUNTA('Fund Guide'!$B$1:$B$4)),0)),"-"))</f>
        <v>1</v>
      </c>
      <c r="G24" s="474" t="str">
        <f ca="1">IF($E24="", "", IFERROR(INDEX(OFFSET('Fund Guide'!$B$4,1,MATCH(G$12,OFFSET('Fund Guide'!$B$4,,,,COUNTA('Fund Guide'!13:13)),0)-1,COUNTA('Fund Guide'!$B:$B)-COUNTA('Fund Guide'!$B$1:$B$4)),MATCH($E24,OFFSET('Fund Guide'!$B$4,1,,COUNTA('Fund Guide'!$B:$B)-COUNTA('Fund Guide'!$B$1:$B$4)),0)),"-"))</f>
        <v>BRL</v>
      </c>
      <c r="H24" s="475">
        <f ca="1">IF($E24="", "", IFERROR(INDEX(OFFSET('Fund Guide'!$B$4,1,MATCH(H$12,OFFSET('Fund Guide'!$B$4,,,,COUNTA('Fund Guide'!13:13)),0)-1,COUNTA('Fund Guide'!$B:$B)-COUNTA('Fund Guide'!$B$1:$B$4)),MATCH($E24,OFFSET('Fund Guide'!$B$4,1,,COUNTA('Fund Guide'!$B:$B)-COUNTA('Fund Guide'!$B$1:$B$4)),0)),"-"))</f>
        <v>1E-3</v>
      </c>
      <c r="I24" s="476">
        <f ca="1">IF($E24="", "", IFERROR(INDEX(OFFSET('Fund Guide'!$B$4,1,MATCH(I$12,OFFSET('Fund Guide'!$B$4,,,,COUNTA('Fund Guide'!13:13)),0)-1,COUNTA('Fund Guide'!$B:$B)-COUNTA('Fund Guide'!$B$1:$B$4)),MATCH($E24,OFFSET('Fund Guide'!$B$4,1,,COUNTA('Fund Guide'!$B:$B)-COUNTA('Fund Guide'!$B$1:$B$4)),0)),"-"))</f>
        <v>42551</v>
      </c>
      <c r="K24" s="581">
        <f t="shared" si="0"/>
        <v>1339800.0000000002</v>
      </c>
      <c r="L24" s="478">
        <v>4.6200000000000005E-2</v>
      </c>
      <c r="M24" s="479">
        <f t="shared" si="1"/>
        <v>6.9999999999999993E-2</v>
      </c>
      <c r="O24" s="480">
        <f ca="1">IF($E24="", "", IFERROR(INDEX(OFFSET('Fund Guide'!$B$4,1,MATCH(O$12,OFFSET('Fund Guide'!$B$4,,,,COUNTA('Fund Guide'!13:13)),0)-1,COUNTA('Fund Guide'!$B:$B)-COUNTA('Fund Guide'!$B$1:$B$4)),MATCH($E24,OFFSET('Fund Guide'!$B$4,1,,COUNTA('Fund Guide'!$B:$B)-COUNTA('Fund Guide'!$B$1:$B$4)),0)),"-"))</f>
        <v>7.5200000000000003E-2</v>
      </c>
      <c r="P24" s="481">
        <f ca="1">IF($E24="", "", IFERROR(INDEX(OFFSET('Fund Guide'!$B$4,1,MATCH(P$12,OFFSET('Fund Guide'!$B$4,,,,COUNTA('Fund Guide'!13:13)),0)-1,COUNTA('Fund Guide'!$B:$B)-COUNTA('Fund Guide'!$B$1:$B$4)),MATCH($E24,OFFSET('Fund Guide'!$B$4,1,,COUNTA('Fund Guide'!$B:$B)-COUNTA('Fund Guide'!$B$1:$B$4)),0)),"-"))</f>
        <v>1.1585000000000001</v>
      </c>
      <c r="Q24" s="480">
        <f ca="1">IF($E24="", "", IFERROR(INDEX(OFFSET('Fund Guide'!$B$4,1,MATCH(Q$12,OFFSET('Fund Guide'!$B$4,,,,COUNTA('Fund Guide'!13:13)),0)-1,COUNTA('Fund Guide'!$B:$B)-COUNTA('Fund Guide'!$B$1:$B$4)),MATCH($E24,OFFSET('Fund Guide'!$B$4,1,,COUNTA('Fund Guide'!$B:$B)-COUNTA('Fund Guide'!$B$1:$B$4)),0)),"-"))</f>
        <v>0.11119999999999999</v>
      </c>
      <c r="R24" s="481">
        <f ca="1">IF($E24="", "", IFERROR(INDEX(OFFSET('Fund Guide'!$B$4,1,MATCH(R$12,OFFSET('Fund Guide'!$B$4,,,,COUNTA('Fund Guide'!13:13)),0)-1,COUNTA('Fund Guide'!$B:$B)-COUNTA('Fund Guide'!$B$1:$B$4)),MATCH($E24,OFFSET('Fund Guide'!$B$4,1,,COUNTA('Fund Guide'!$B:$B)-COUNTA('Fund Guide'!$B$1:$B$4)),0)),"-"))</f>
        <v>1.1816</v>
      </c>
      <c r="S24" s="480">
        <f ca="1">IF($E24="", "", IFERROR(INDEX(OFFSET('Fund Guide'!$B$4,1,MATCH(S$12,OFFSET('Fund Guide'!$B$4,,,,COUNTA('Fund Guide'!13:13)),0)-1,COUNTA('Fund Guide'!$B:$B)-COUNTA('Fund Guide'!$B$1:$B$4)),MATCH($E24,OFFSET('Fund Guide'!$B$4,1,,COUNTA('Fund Guide'!$B:$B)-COUNTA('Fund Guide'!$B$1:$B$4)),0)),"-"))</f>
        <v>0.20830000000000001</v>
      </c>
      <c r="T24" s="481">
        <f ca="1">IF($E24="", "", IFERROR(INDEX(OFFSET('Fund Guide'!$B$4,1,MATCH(T$12,OFFSET('Fund Guide'!$B$4,,,,COUNTA('Fund Guide'!13:13)),0)-1,COUNTA('Fund Guide'!$B:$B)-COUNTA('Fund Guide'!$B$1:$B$4)),MATCH($E24,OFFSET('Fund Guide'!$B$4,1,,COUNTA('Fund Guide'!$B:$B)-COUNTA('Fund Guide'!$B$1:$B$4)),0)),"-"))</f>
        <v>1.724</v>
      </c>
      <c r="U24" s="480">
        <f ca="1">IF($E24="", "", IFERROR(INDEX(OFFSET('Fund Guide'!$B$4,1,MATCH(U$12,OFFSET('Fund Guide'!$B$4,,,,COUNTA('Fund Guide'!13:13)),0)-1,COUNTA('Fund Guide'!$B:$B)-COUNTA('Fund Guide'!$B$1:$B$4)),MATCH($E24,OFFSET('Fund Guide'!$B$4,1,,COUNTA('Fund Guide'!$B:$B)-COUNTA('Fund Guide'!$B$1:$B$4)),0)),"-"))</f>
        <v>0.1883</v>
      </c>
      <c r="V24" s="481">
        <f ca="1">IF($E24="", "", IFERROR(INDEX(OFFSET('Fund Guide'!$B$4,1,MATCH(V$12,OFFSET('Fund Guide'!$B$4,,,,COUNTA('Fund Guide'!13:13)),0)-1,COUNTA('Fund Guide'!$B:$B)-COUNTA('Fund Guide'!$B$1:$B$4)),MATCH($E24,OFFSET('Fund Guide'!$B$4,1,,COUNTA('Fund Guide'!$B:$B)-COUNTA('Fund Guide'!$B$1:$B$4)),0)),"-"))</f>
        <v>1.1173</v>
      </c>
      <c r="W24" s="482">
        <f ca="1">IF($E24="", "", IFERROR(INDEX(OFFSET('Fund Guide'!$B$4,1,MATCH(W$12,OFFSET('Fund Guide'!$B$4,,,,COUNTA('Fund Guide'!13:13)),0)-1,COUNTA('Fund Guide'!$B:$B)-COUNTA('Fund Guide'!$B$1:$B$4)),MATCH($E24,OFFSET('Fund Guide'!$B$4,1,,COUNTA('Fund Guide'!$B:$B)-COUNTA('Fund Guide'!$B$1:$B$4)),0)),"-"))</f>
        <v>2.8E-3</v>
      </c>
      <c r="X24" s="483">
        <f ca="1">IF($E24="", "", IFERROR(INDEX(OFFSET('Fund Guide'!$B$4,1,MATCH(X$12,OFFSET('Fund Guide'!$B$4,,,,COUNTA('Fund Guide'!13:13)),0)-1,COUNTA('Fund Guide'!$B:$B)-COUNTA('Fund Guide'!$B$1:$B$4)),MATCH($E24,OFFSET('Fund Guide'!$B$4,1,,COUNTA('Fund Guide'!$B:$B)-COUNTA('Fund Guide'!$B$1:$B$4)),0)),"-"))</f>
        <v>5.574901847253896</v>
      </c>
      <c r="Z24" s="484"/>
      <c r="AA24" s="484"/>
      <c r="AB24" s="478"/>
    </row>
    <row r="25" spans="2:28" s="477" customFormat="1" ht="14.25" customHeight="1">
      <c r="B25" s="472"/>
      <c r="C25" s="472"/>
      <c r="D25" s="472"/>
      <c r="E25" s="496" t="s">
        <v>45</v>
      </c>
      <c r="F25" s="473">
        <f ca="1">IF($E25="", "", IFERROR(INDEX(OFFSET('Fund Guide'!$B$4,1,MATCH(F$12,OFFSET('Fund Guide'!$B$4,,,,COUNTA('Fund Guide'!14:14)),0)-1,COUNTA('Fund Guide'!$B:$B)-COUNTA('Fund Guide'!$B$1:$B$4)),MATCH($E25,OFFSET('Fund Guide'!$B$4,1,,COUNTA('Fund Guide'!$B:$B)-COUNTA('Fund Guide'!$B$1:$B$4)),0)),"-"))</f>
        <v>31</v>
      </c>
      <c r="G25" s="474" t="str">
        <f ca="1">IF($E25="", "", IFERROR(INDEX(OFFSET('Fund Guide'!$B$4,1,MATCH(G$12,OFFSET('Fund Guide'!$B$4,,,,COUNTA('Fund Guide'!14:14)),0)-1,COUNTA('Fund Guide'!$B:$B)-COUNTA('Fund Guide'!$B$1:$B$4)),MATCH($E25,OFFSET('Fund Guide'!$B$4,1,,COUNTA('Fund Guide'!$B:$B)-COUNTA('Fund Guide'!$B$1:$B$4)),0)),"-"))</f>
        <v>BRL</v>
      </c>
      <c r="H25" s="475">
        <f ca="1">IF($E25="", "", IFERROR(INDEX(OFFSET('Fund Guide'!$B$4,1,MATCH(H$12,OFFSET('Fund Guide'!$B$4,,,,COUNTA('Fund Guide'!14:14)),0)-1,COUNTA('Fund Guide'!$B:$B)-COUNTA('Fund Guide'!$B$1:$B$4)),MATCH($E25,OFFSET('Fund Guide'!$B$4,1,,COUNTA('Fund Guide'!$B:$B)-COUNTA('Fund Guide'!$B$1:$B$4)),0)),"-"))</f>
        <v>1.5529333333333332E-3</v>
      </c>
      <c r="I25" s="476">
        <f ca="1">IF($E25="", "", IFERROR(INDEX(OFFSET('Fund Guide'!$B$4,1,MATCH(I$12,OFFSET('Fund Guide'!$B$4,,,,COUNTA('Fund Guide'!14:14)),0)-1,COUNTA('Fund Guide'!$B:$B)-COUNTA('Fund Guide'!$B$1:$B$4)),MATCH($E25,OFFSET('Fund Guide'!$B$4,1,,COUNTA('Fund Guide'!$B:$B)-COUNTA('Fund Guide'!$B$1:$B$4)),0)),"-"))</f>
        <v>44043</v>
      </c>
      <c r="K25" s="581">
        <f t="shared" si="0"/>
        <v>1148400</v>
      </c>
      <c r="L25" s="478">
        <v>3.9600000000000003E-2</v>
      </c>
      <c r="M25" s="479">
        <f t="shared" si="1"/>
        <v>5.9999999999999991E-2</v>
      </c>
      <c r="O25" s="480">
        <f ca="1">IF($E25="", "", IFERROR(INDEX(OFFSET('Fund Guide'!$B$4,1,MATCH(O$12,OFFSET('Fund Guide'!$B$4,,,,COUNTA('Fund Guide'!14:14)),0)-1,COUNTA('Fund Guide'!$B:$B)-COUNTA('Fund Guide'!$B$1:$B$4)),MATCH($E25,OFFSET('Fund Guide'!$B$4,1,,COUNTA('Fund Guide'!$B:$B)-COUNTA('Fund Guide'!$B$1:$B$4)),0)),"-"))</f>
        <v>6.4699999999999994E-2</v>
      </c>
      <c r="P25" s="481">
        <f ca="1">IF($E25="", "", IFERROR(INDEX(OFFSET('Fund Guide'!$B$4,1,MATCH(P$12,OFFSET('Fund Guide'!$B$4,,,,COUNTA('Fund Guide'!14:14)),0)-1,COUNTA('Fund Guide'!$B:$B)-COUNTA('Fund Guide'!$B$1:$B$4)),MATCH($E25,OFFSET('Fund Guide'!$B$4,1,,COUNTA('Fund Guide'!$B:$B)-COUNTA('Fund Guide'!$B$1:$B$4)),0)),"-"))</f>
        <v>0.99719999999999998</v>
      </c>
      <c r="Q25" s="480">
        <f ca="1">IF($E25="", "", IFERROR(INDEX(OFFSET('Fund Guide'!$B$4,1,MATCH(Q$12,OFFSET('Fund Guide'!$B$4,,,,COUNTA('Fund Guide'!14:14)),0)-1,COUNTA('Fund Guide'!$B:$B)-COUNTA('Fund Guide'!$B$1:$B$4)),MATCH($E25,OFFSET('Fund Guide'!$B$4,1,,COUNTA('Fund Guide'!$B:$B)-COUNTA('Fund Guide'!$B$1:$B$4)),0)),"-"))</f>
        <v>0.1055</v>
      </c>
      <c r="R25" s="481">
        <f ca="1">IF($E25="", "", IFERROR(INDEX(OFFSET('Fund Guide'!$B$4,1,MATCH(R$12,OFFSET('Fund Guide'!$B$4,,,,COUNTA('Fund Guide'!14:14)),0)-1,COUNTA('Fund Guide'!$B:$B)-COUNTA('Fund Guide'!$B$1:$B$4)),MATCH($E25,OFFSET('Fund Guide'!$B$4,1,,COUNTA('Fund Guide'!$B:$B)-COUNTA('Fund Guide'!$B$1:$B$4)),0)),"-"))</f>
        <v>1.1217999999999999</v>
      </c>
      <c r="S25" s="480" t="str">
        <f ca="1">IF($E25="", "", IFERROR(INDEX(OFFSET('Fund Guide'!$B$4,1,MATCH(S$12,OFFSET('Fund Guide'!$B$4,,,,COUNTA('Fund Guide'!14:14)),0)-1,COUNTA('Fund Guide'!$B:$B)-COUNTA('Fund Guide'!$B$1:$B$4)),MATCH($E25,OFFSET('Fund Guide'!$B$4,1,,COUNTA('Fund Guide'!$B:$B)-COUNTA('Fund Guide'!$B$1:$B$4)),0)),"-"))</f>
        <v>-</v>
      </c>
      <c r="T25" s="481" t="str">
        <f ca="1">IF($E25="", "", IFERROR(INDEX(OFFSET('Fund Guide'!$B$4,1,MATCH(T$12,OFFSET('Fund Guide'!$B$4,,,,COUNTA('Fund Guide'!14:14)),0)-1,COUNTA('Fund Guide'!$B:$B)-COUNTA('Fund Guide'!$B$1:$B$4)),MATCH($E25,OFFSET('Fund Guide'!$B$4,1,,COUNTA('Fund Guide'!$B:$B)-COUNTA('Fund Guide'!$B$1:$B$4)),0)),"-"))</f>
        <v>-</v>
      </c>
      <c r="U25" s="480" t="str">
        <f ca="1">IF($E25="", "", IFERROR(INDEX(OFFSET('Fund Guide'!$B$4,1,MATCH(U$12,OFFSET('Fund Guide'!$B$4,,,,COUNTA('Fund Guide'!14:14)),0)-1,COUNTA('Fund Guide'!$B:$B)-COUNTA('Fund Guide'!$B$1:$B$4)),MATCH($E25,OFFSET('Fund Guide'!$B$4,1,,COUNTA('Fund Guide'!$B:$B)-COUNTA('Fund Guide'!$B$1:$B$4)),0)),"-"))</f>
        <v>-</v>
      </c>
      <c r="V25" s="481" t="str">
        <f ca="1">IF($E25="", "", IFERROR(INDEX(OFFSET('Fund Guide'!$B$4,1,MATCH(V$12,OFFSET('Fund Guide'!$B$4,,,,COUNTA('Fund Guide'!14:14)),0)-1,COUNTA('Fund Guide'!$B:$B)-COUNTA('Fund Guide'!$B$1:$B$4)),MATCH($E25,OFFSET('Fund Guide'!$B$4,1,,COUNTA('Fund Guide'!$B:$B)-COUNTA('Fund Guide'!$B$1:$B$4)),0)),"-"))</f>
        <v>-</v>
      </c>
      <c r="W25" s="482">
        <f ca="1">IF($E25="", "", IFERROR(INDEX(OFFSET('Fund Guide'!$B$4,1,MATCH(W$12,OFFSET('Fund Guide'!$B$4,,,,COUNTA('Fund Guide'!14:14)),0)-1,COUNTA('Fund Guide'!$B:$B)-COUNTA('Fund Guide'!$B$1:$B$4)),MATCH($E25,OFFSET('Fund Guide'!$B$4,1,,COUNTA('Fund Guide'!$B:$B)-COUNTA('Fund Guide'!$B$1:$B$4)),0)),"-"))</f>
        <v>4.5999999999999999E-3</v>
      </c>
      <c r="X25" s="483">
        <f ca="1">IF($E25="", "", IFERROR(INDEX(OFFSET('Fund Guide'!$B$4,1,MATCH(X$12,OFFSET('Fund Guide'!$B$4,,,,COUNTA('Fund Guide'!14:14)),0)-1,COUNTA('Fund Guide'!$B:$B)-COUNTA('Fund Guide'!$B$1:$B$4)),MATCH($E25,OFFSET('Fund Guide'!$B$4,1,,COUNTA('Fund Guide'!$B:$B)-COUNTA('Fund Guide'!$B$1:$B$4)),0)),"-"))</f>
        <v>2.2749097129064659</v>
      </c>
      <c r="Z25" s="484"/>
      <c r="AA25" s="484"/>
      <c r="AB25" s="478"/>
    </row>
    <row r="26" spans="2:28" s="477" customFormat="1" ht="14.25" customHeight="1">
      <c r="B26" s="472"/>
      <c r="C26" s="472"/>
      <c r="D26" s="472"/>
      <c r="E26" s="496" t="s">
        <v>647</v>
      </c>
      <c r="F26" s="473">
        <f ca="1">IF($E26="", "", IFERROR(INDEX(OFFSET('Fund Guide'!$B$4,1,MATCH(F$12,OFFSET('Fund Guide'!$B$4,,,,COUNTA('Fund Guide'!15:15)),0)-1,COUNTA('Fund Guide'!$B:$B)-COUNTA('Fund Guide'!$B$1:$B$4)),MATCH($E26,OFFSET('Fund Guide'!$B$4,1,,COUNTA('Fund Guide'!$B:$B)-COUNTA('Fund Guide'!$B$1:$B$4)),0)),"-"))</f>
        <v>32</v>
      </c>
      <c r="G26" s="474" t="str">
        <f ca="1">IF($E26="", "", IFERROR(INDEX(OFFSET('Fund Guide'!$B$4,1,MATCH(G$12,OFFSET('Fund Guide'!$B$4,,,,COUNTA('Fund Guide'!15:15)),0)-1,COUNTA('Fund Guide'!$B:$B)-COUNTA('Fund Guide'!$B$1:$B$4)),MATCH($E26,OFFSET('Fund Guide'!$B$4,1,,COUNTA('Fund Guide'!$B:$B)-COUNTA('Fund Guide'!$B$1:$B$4)),0)),"-"))</f>
        <v>BRL</v>
      </c>
      <c r="H26" s="475">
        <f ca="1">IF($E26="", "", IFERROR(INDEX(OFFSET('Fund Guide'!$B$4,1,MATCH(H$12,OFFSET('Fund Guide'!$B$4,,,,COUNTA('Fund Guide'!15:15)),0)-1,COUNTA('Fund Guide'!$B:$B)-COUNTA('Fund Guide'!$B$1:$B$4)),MATCH($E26,OFFSET('Fund Guide'!$B$4,1,,COUNTA('Fund Guide'!$B:$B)-COUNTA('Fund Guide'!$B$1:$B$4)),0)),"-"))</f>
        <v>1.4E-3</v>
      </c>
      <c r="I26" s="476">
        <f ca="1">IF($E26="", "", IFERROR(INDEX(OFFSET('Fund Guide'!$B$4,1,MATCH(I$12,OFFSET('Fund Guide'!$B$4,,,,COUNTA('Fund Guide'!15:15)),0)-1,COUNTA('Fund Guide'!$B:$B)-COUNTA('Fund Guide'!$B$1:$B$4)),MATCH($E26,OFFSET('Fund Guide'!$B$4,1,,COUNTA('Fund Guide'!$B:$B)-COUNTA('Fund Guide'!$B$1:$B$4)),0)),"-"))</f>
        <v>40946</v>
      </c>
      <c r="K26" s="581">
        <f t="shared" si="0"/>
        <v>1339800.0000000002</v>
      </c>
      <c r="L26" s="478">
        <v>4.6200000000000005E-2</v>
      </c>
      <c r="M26" s="479">
        <f t="shared" si="1"/>
        <v>6.9999999999999993E-2</v>
      </c>
      <c r="O26" s="480">
        <f ca="1">IF($E26="", "", IFERROR(INDEX(OFFSET('Fund Guide'!$B$4,1,MATCH(O$12,OFFSET('Fund Guide'!$B$4,,,,COUNTA('Fund Guide'!15:15)),0)-1,COUNTA('Fund Guide'!$B:$B)-COUNTA('Fund Guide'!$B$1:$B$4)),MATCH($E26,OFFSET('Fund Guide'!$B$4,1,,COUNTA('Fund Guide'!$B:$B)-COUNTA('Fund Guide'!$B$1:$B$4)),0)),"-"))</f>
        <v>7.46E-2</v>
      </c>
      <c r="P26" s="481">
        <f ca="1">IF($E26="", "", IFERROR(INDEX(OFFSET('Fund Guide'!$B$4,1,MATCH(P$12,OFFSET('Fund Guide'!$B$4,,,,COUNTA('Fund Guide'!15:15)),0)-1,COUNTA('Fund Guide'!$B:$B)-COUNTA('Fund Guide'!$B$1:$B$4)),MATCH($E26,OFFSET('Fund Guide'!$B$4,1,,COUNTA('Fund Guide'!$B:$B)-COUNTA('Fund Guide'!$B$1:$B$4)),0)),"-"))</f>
        <v>1.1485000000000001</v>
      </c>
      <c r="Q26" s="480">
        <f ca="1">IF($E26="", "", IFERROR(INDEX(OFFSET('Fund Guide'!$B$4,1,MATCH(Q$12,OFFSET('Fund Guide'!$B$4,,,,COUNTA('Fund Guide'!15:15)),0)-1,COUNTA('Fund Guide'!$B:$B)-COUNTA('Fund Guide'!$B$1:$B$4)),MATCH($E26,OFFSET('Fund Guide'!$B$4,1,,COUNTA('Fund Guide'!$B:$B)-COUNTA('Fund Guide'!$B$1:$B$4)),0)),"-"))</f>
        <v>0.11409999999999999</v>
      </c>
      <c r="R26" s="481">
        <f ca="1">IF($E26="", "", IFERROR(INDEX(OFFSET('Fund Guide'!$B$4,1,MATCH(R$12,OFFSET('Fund Guide'!$B$4,,,,COUNTA('Fund Guide'!15:15)),0)-1,COUNTA('Fund Guide'!$B:$B)-COUNTA('Fund Guide'!$B$1:$B$4)),MATCH($E26,OFFSET('Fund Guide'!$B$4,1,,COUNTA('Fund Guide'!$B:$B)-COUNTA('Fund Guide'!$B$1:$B$4)),0)),"-"))</f>
        <v>1.2124999999999999</v>
      </c>
      <c r="S26" s="480">
        <f ca="1">IF($E26="", "", IFERROR(INDEX(OFFSET('Fund Guide'!$B$4,1,MATCH(S$12,OFFSET('Fund Guide'!$B$4,,,,COUNTA('Fund Guide'!15:15)),0)-1,COUNTA('Fund Guide'!$B:$B)-COUNTA('Fund Guide'!$B$1:$B$4)),MATCH($E26,OFFSET('Fund Guide'!$B$4,1,,COUNTA('Fund Guide'!$B:$B)-COUNTA('Fund Guide'!$B$1:$B$4)),0)),"-"))</f>
        <v>0.18629999999999999</v>
      </c>
      <c r="T26" s="481">
        <f ca="1">IF($E26="", "", IFERROR(INDEX(OFFSET('Fund Guide'!$B$4,1,MATCH(T$12,OFFSET('Fund Guide'!$B$4,,,,COUNTA('Fund Guide'!15:15)),0)-1,COUNTA('Fund Guide'!$B:$B)-COUNTA('Fund Guide'!$B$1:$B$4)),MATCH($E26,OFFSET('Fund Guide'!$B$4,1,,COUNTA('Fund Guide'!$B:$B)-COUNTA('Fund Guide'!$B$1:$B$4)),0)),"-"))</f>
        <v>1.5422</v>
      </c>
      <c r="U26" s="480">
        <f ca="1">IF($E26="", "", IFERROR(INDEX(OFFSET('Fund Guide'!$B$4,1,MATCH(U$12,OFFSET('Fund Guide'!$B$4,,,,COUNTA('Fund Guide'!15:15)),0)-1,COUNTA('Fund Guide'!$B:$B)-COUNTA('Fund Guide'!$B$1:$B$4)),MATCH($E26,OFFSET('Fund Guide'!$B$4,1,,COUNTA('Fund Guide'!$B:$B)-COUNTA('Fund Guide'!$B$1:$B$4)),0)),"-"))</f>
        <v>0.19539999999999999</v>
      </c>
      <c r="V26" s="481">
        <f ca="1">IF($E26="", "", IFERROR(INDEX(OFFSET('Fund Guide'!$B$4,1,MATCH(V$12,OFFSET('Fund Guide'!$B$4,,,,COUNTA('Fund Guide'!15:15)),0)-1,COUNTA('Fund Guide'!$B:$B)-COUNTA('Fund Guide'!$B$1:$B$4)),MATCH($E26,OFFSET('Fund Guide'!$B$4,1,,COUNTA('Fund Guide'!$B:$B)-COUNTA('Fund Guide'!$B$1:$B$4)),0)),"-"))</f>
        <v>1.1597999999999999</v>
      </c>
      <c r="W26" s="482">
        <f ca="1">IF($E26="", "", IFERROR(INDEX(OFFSET('Fund Guide'!$B$4,1,MATCH(W$12,OFFSET('Fund Guide'!$B$4,,,,COUNTA('Fund Guide'!15:15)),0)-1,COUNTA('Fund Guide'!$B:$B)-COUNTA('Fund Guide'!$B$1:$B$4)),MATCH($E26,OFFSET('Fund Guide'!$B$4,1,,COUNTA('Fund Guide'!$B:$B)-COUNTA('Fund Guide'!$B$1:$B$4)),0)),"-"))</f>
        <v>2E-3</v>
      </c>
      <c r="X26" s="483">
        <f ca="1">IF($E26="", "", IFERROR(INDEX(OFFSET('Fund Guide'!$B$4,1,MATCH(X$12,OFFSET('Fund Guide'!$B$4,,,,COUNTA('Fund Guide'!15:15)),0)-1,COUNTA('Fund Guide'!$B:$B)-COUNTA('Fund Guide'!$B$1:$B$4)),MATCH($E26,OFFSET('Fund Guide'!$B$4,1,,COUNTA('Fund Guide'!$B:$B)-COUNTA('Fund Guide'!$B$1:$B$4)),0)),"-"))</f>
        <v>9.2537306185948776</v>
      </c>
      <c r="Z26" s="484"/>
      <c r="AA26" s="484"/>
      <c r="AB26" s="478"/>
    </row>
    <row r="27" spans="2:28" s="477" customFormat="1" ht="14.25" customHeight="1">
      <c r="B27" s="472"/>
      <c r="C27" s="472"/>
      <c r="D27" s="472"/>
      <c r="E27" s="496" t="s">
        <v>989</v>
      </c>
      <c r="F27" s="473">
        <f ca="1">IF($E27="", "", IFERROR(INDEX(OFFSET('Fund Guide'!$B$4,1,MATCH(F$12,OFFSET('Fund Guide'!$B$4,,,,COUNTA('Fund Guide'!16:16)),0)-1,COUNTA('Fund Guide'!$B:$B)-COUNTA('Fund Guide'!$B$1:$B$4)),MATCH($E27,OFFSET('Fund Guide'!$B$4,1,,COUNTA('Fund Guide'!$B:$B)-COUNTA('Fund Guide'!$B$1:$B$4)),0)),"-"))</f>
        <v>45</v>
      </c>
      <c r="G27" s="474" t="str">
        <f ca="1">IF($E27="", "", IFERROR(INDEX(OFFSET('Fund Guide'!$B$4,1,MATCH(G$12,OFFSET('Fund Guide'!$B$4,,,,COUNTA('Fund Guide'!16:16)),0)-1,COUNTA('Fund Guide'!$B:$B)-COUNTA('Fund Guide'!$B$1:$B$4)),MATCH($E27,OFFSET('Fund Guide'!$B$4,1,,COUNTA('Fund Guide'!$B:$B)-COUNTA('Fund Guide'!$B$1:$B$4)),0)),"-"))</f>
        <v>BRL</v>
      </c>
      <c r="H27" s="475">
        <f ca="1">IF($E27="", "", IFERROR(INDEX(OFFSET('Fund Guide'!$B$4,1,MATCH(H$12,OFFSET('Fund Guide'!$B$4,,,,COUNTA('Fund Guide'!16:16)),0)-1,COUNTA('Fund Guide'!$B:$B)-COUNTA('Fund Guide'!$B$1:$B$4)),MATCH($E27,OFFSET('Fund Guide'!$B$4,1,,COUNTA('Fund Guide'!$B:$B)-COUNTA('Fund Guide'!$B$1:$B$4)),0)),"-"))</f>
        <v>1.6499999999999998E-3</v>
      </c>
      <c r="I27" s="476">
        <f ca="1">IF($E27="", "", IFERROR(INDEX(OFFSET('Fund Guide'!$B$4,1,MATCH(I$12,OFFSET('Fund Guide'!$B$4,,,,COUNTA('Fund Guide'!16:16)),0)-1,COUNTA('Fund Guide'!$B:$B)-COUNTA('Fund Guide'!$B$1:$B$4)),MATCH($E27,OFFSET('Fund Guide'!$B$4,1,,COUNTA('Fund Guide'!$B:$B)-COUNTA('Fund Guide'!$B$1:$B$4)),0)),"-"))</f>
        <v>41949</v>
      </c>
      <c r="K27" s="581">
        <f t="shared" si="0"/>
        <v>1339800.0000000002</v>
      </c>
      <c r="L27" s="478">
        <v>4.6200000000000005E-2</v>
      </c>
      <c r="M27" s="479">
        <f t="shared" si="1"/>
        <v>6.9999999999999993E-2</v>
      </c>
      <c r="O27" s="480">
        <f ca="1">IF($E27="", "", IFERROR(INDEX(OFFSET('Fund Guide'!$B$4,1,MATCH(O$12,OFFSET('Fund Guide'!$B$4,,,,COUNTA('Fund Guide'!16:16)),0)-1,COUNTA('Fund Guide'!$B:$B)-COUNTA('Fund Guide'!$B$1:$B$4)),MATCH($E27,OFFSET('Fund Guide'!$B$4,1,,COUNTA('Fund Guide'!$B:$B)-COUNTA('Fund Guide'!$B$1:$B$4)),0)),"-"))</f>
        <v>7.7200000000000005E-2</v>
      </c>
      <c r="P27" s="481">
        <f ca="1">IF($E27="", "", IFERROR(INDEX(OFFSET('Fund Guide'!$B$4,1,MATCH(P$12,OFFSET('Fund Guide'!$B$4,,,,COUNTA('Fund Guide'!16:16)),0)-1,COUNTA('Fund Guide'!$B:$B)-COUNTA('Fund Guide'!$B$1:$B$4)),MATCH($E27,OFFSET('Fund Guide'!$B$4,1,,COUNTA('Fund Guide'!$B:$B)-COUNTA('Fund Guide'!$B$1:$B$4)),0)),"-"))</f>
        <v>1.1893</v>
      </c>
      <c r="Q27" s="480">
        <f ca="1">IF($E27="", "", IFERROR(INDEX(OFFSET('Fund Guide'!$B$4,1,MATCH(Q$12,OFFSET('Fund Guide'!$B$4,,,,COUNTA('Fund Guide'!16:16)),0)-1,COUNTA('Fund Guide'!$B:$B)-COUNTA('Fund Guide'!$B$1:$B$4)),MATCH($E27,OFFSET('Fund Guide'!$B$4,1,,COUNTA('Fund Guide'!$B:$B)-COUNTA('Fund Guide'!$B$1:$B$4)),0)),"-"))</f>
        <v>0.1154</v>
      </c>
      <c r="R27" s="481">
        <f ca="1">IF($E27="", "", IFERROR(INDEX(OFFSET('Fund Guide'!$B$4,1,MATCH(R$12,OFFSET('Fund Guide'!$B$4,,,,COUNTA('Fund Guide'!16:16)),0)-1,COUNTA('Fund Guide'!$B:$B)-COUNTA('Fund Guide'!$B$1:$B$4)),MATCH($E27,OFFSET('Fund Guide'!$B$4,1,,COUNTA('Fund Guide'!$B:$B)-COUNTA('Fund Guide'!$B$1:$B$4)),0)),"-"))</f>
        <v>1.2267999999999999</v>
      </c>
      <c r="S27" s="480">
        <f ca="1">IF($E27="", "", IFERROR(INDEX(OFFSET('Fund Guide'!$B$4,1,MATCH(S$12,OFFSET('Fund Guide'!$B$4,,,,COUNTA('Fund Guide'!16:16)),0)-1,COUNTA('Fund Guide'!$B:$B)-COUNTA('Fund Guide'!$B$1:$B$4)),MATCH($E27,OFFSET('Fund Guide'!$B$4,1,,COUNTA('Fund Guide'!$B:$B)-COUNTA('Fund Guide'!$B$1:$B$4)),0)),"-"))</f>
        <v>0.2026</v>
      </c>
      <c r="T27" s="481">
        <f ca="1">IF($E27="", "", IFERROR(INDEX(OFFSET('Fund Guide'!$B$4,1,MATCH(T$12,OFFSET('Fund Guide'!$B$4,,,,COUNTA('Fund Guide'!16:16)),0)-1,COUNTA('Fund Guide'!$B:$B)-COUNTA('Fund Guide'!$B$1:$B$4)),MATCH($E27,OFFSET('Fund Guide'!$B$4,1,,COUNTA('Fund Guide'!$B:$B)-COUNTA('Fund Guide'!$B$1:$B$4)),0)),"-"))</f>
        <v>1.6771</v>
      </c>
      <c r="U27" s="480">
        <f ca="1">IF($E27="", "", IFERROR(INDEX(OFFSET('Fund Guide'!$B$4,1,MATCH(U$12,OFFSET('Fund Guide'!$B$4,,,,COUNTA('Fund Guide'!16:16)),0)-1,COUNTA('Fund Guide'!$B:$B)-COUNTA('Fund Guide'!$B$1:$B$4)),MATCH($E27,OFFSET('Fund Guide'!$B$4,1,,COUNTA('Fund Guide'!$B:$B)-COUNTA('Fund Guide'!$B$1:$B$4)),0)),"-"))</f>
        <v>0.2417</v>
      </c>
      <c r="V27" s="481">
        <f ca="1">IF($E27="", "", IFERROR(INDEX(OFFSET('Fund Guide'!$B$4,1,MATCH(V$12,OFFSET('Fund Guide'!$B$4,,,,COUNTA('Fund Guide'!16:16)),0)-1,COUNTA('Fund Guide'!$B:$B)-COUNTA('Fund Guide'!$B$1:$B$4)),MATCH($E27,OFFSET('Fund Guide'!$B$4,1,,COUNTA('Fund Guide'!$B:$B)-COUNTA('Fund Guide'!$B$1:$B$4)),0)),"-"))</f>
        <v>1.4341999999999999</v>
      </c>
      <c r="W27" s="482">
        <f ca="1">IF($E27="", "", IFERROR(INDEX(OFFSET('Fund Guide'!$B$4,1,MATCH(W$12,OFFSET('Fund Guide'!$B$4,,,,COUNTA('Fund Guide'!16:16)),0)-1,COUNTA('Fund Guide'!$B:$B)-COUNTA('Fund Guide'!$B$1:$B$4)),MATCH($E27,OFFSET('Fund Guide'!$B$4,1,,COUNTA('Fund Guide'!$B:$B)-COUNTA('Fund Guide'!$B$1:$B$4)),0)),"-"))</f>
        <v>5.8999999999999999E-3</v>
      </c>
      <c r="X27" s="483">
        <f ca="1">IF($E27="", "", IFERROR(INDEX(OFFSET('Fund Guide'!$B$4,1,MATCH(X$12,OFFSET('Fund Guide'!$B$4,,,,COUNTA('Fund Guide'!16:16)),0)-1,COUNTA('Fund Guide'!$B:$B)-COUNTA('Fund Guide'!$B$1:$B$4)),MATCH($E27,OFFSET('Fund Guide'!$B$4,1,,COUNTA('Fund Guide'!$B:$B)-COUNTA('Fund Guide'!$B$1:$B$4)),0)),"-"))</f>
        <v>3.252860791496504</v>
      </c>
      <c r="Z27" s="484"/>
      <c r="AA27" s="484"/>
      <c r="AB27" s="478"/>
    </row>
    <row r="28" spans="2:28" s="477" customFormat="1" ht="14.25" customHeight="1">
      <c r="B28" s="472"/>
      <c r="C28" s="472"/>
      <c r="D28" s="472"/>
      <c r="E28" s="496" t="s">
        <v>791</v>
      </c>
      <c r="F28" s="473">
        <f ca="1">IF($E28="", "", IFERROR(INDEX(OFFSET('Fund Guide'!$B$4,1,MATCH(F$12,OFFSET('Fund Guide'!$B$4,,,,COUNTA('Fund Guide'!17:17)),0)-1,COUNTA('Fund Guide'!$B:$B)-COUNTA('Fund Guide'!$B$1:$B$4)),MATCH($E28,OFFSET('Fund Guide'!$B$4,1,,COUNTA('Fund Guide'!$B:$B)-COUNTA('Fund Guide'!$B$1:$B$4)),0)),"-"))</f>
        <v>46</v>
      </c>
      <c r="G28" s="474" t="str">
        <f ca="1">IF($E28="", "", IFERROR(INDEX(OFFSET('Fund Guide'!$B$4,1,MATCH(G$12,OFFSET('Fund Guide'!$B$4,,,,COUNTA('Fund Guide'!17:17)),0)-1,COUNTA('Fund Guide'!$B:$B)-COUNTA('Fund Guide'!$B$1:$B$4)),MATCH($E28,OFFSET('Fund Guide'!$B$4,1,,COUNTA('Fund Guide'!$B:$B)-COUNTA('Fund Guide'!$B$1:$B$4)),0)),"-"))</f>
        <v>BRL</v>
      </c>
      <c r="H28" s="475">
        <f ca="1">IF($E28="", "", IFERROR(INDEX(OFFSET('Fund Guide'!$B$4,1,MATCH(H$12,OFFSET('Fund Guide'!$B$4,,,,COUNTA('Fund Guide'!17:17)),0)-1,COUNTA('Fund Guide'!$B:$B)-COUNTA('Fund Guide'!$B$1:$B$4)),MATCH($E28,OFFSET('Fund Guide'!$B$4,1,,COUNTA('Fund Guide'!$B:$B)-COUNTA('Fund Guide'!$B$1:$B$4)),0)),"-"))</f>
        <v>1.4E-3</v>
      </c>
      <c r="I28" s="476">
        <f ca="1">IF($E28="", "", IFERROR(INDEX(OFFSET('Fund Guide'!$B$4,1,MATCH(I$12,OFFSET('Fund Guide'!$B$4,,,,COUNTA('Fund Guide'!17:17)),0)-1,COUNTA('Fund Guide'!$B:$B)-COUNTA('Fund Guide'!$B$1:$B$4)),MATCH($E28,OFFSET('Fund Guide'!$B$4,1,,COUNTA('Fund Guide'!$B:$B)-COUNTA('Fund Guide'!$B$1:$B$4)),0)),"-"))</f>
        <v>43817</v>
      </c>
      <c r="K28" s="581">
        <f t="shared" si="0"/>
        <v>1148400</v>
      </c>
      <c r="L28" s="478">
        <v>3.9600000000000003E-2</v>
      </c>
      <c r="M28" s="479">
        <f t="shared" si="1"/>
        <v>5.9999999999999991E-2</v>
      </c>
      <c r="O28" s="480">
        <f ca="1">IF($E28="", "", IFERROR(INDEX(OFFSET('Fund Guide'!$B$4,1,MATCH(O$12,OFFSET('Fund Guide'!$B$4,,,,COUNTA('Fund Guide'!17:17)),0)-1,COUNTA('Fund Guide'!$B:$B)-COUNTA('Fund Guide'!$B$1:$B$4)),MATCH($E28,OFFSET('Fund Guide'!$B$4,1,,COUNTA('Fund Guide'!$B:$B)-COUNTA('Fund Guide'!$B$1:$B$4)),0)),"-"))</f>
        <v>7.3700000000000002E-2</v>
      </c>
      <c r="P28" s="481">
        <f ca="1">IF($E28="", "", IFERROR(INDEX(OFFSET('Fund Guide'!$B$4,1,MATCH(P$12,OFFSET('Fund Guide'!$B$4,,,,COUNTA('Fund Guide'!17:17)),0)-1,COUNTA('Fund Guide'!$B:$B)-COUNTA('Fund Guide'!$B$1:$B$4)),MATCH($E28,OFFSET('Fund Guide'!$B$4,1,,COUNTA('Fund Guide'!$B:$B)-COUNTA('Fund Guide'!$B$1:$B$4)),0)),"-"))</f>
        <v>1.1347</v>
      </c>
      <c r="Q28" s="480">
        <f ca="1">IF($E28="", "", IFERROR(INDEX(OFFSET('Fund Guide'!$B$4,1,MATCH(Q$12,OFFSET('Fund Guide'!$B$4,,,,COUNTA('Fund Guide'!17:17)),0)-1,COUNTA('Fund Guide'!$B:$B)-COUNTA('Fund Guide'!$B$1:$B$4)),MATCH($E28,OFFSET('Fund Guide'!$B$4,1,,COUNTA('Fund Guide'!$B:$B)-COUNTA('Fund Guide'!$B$1:$B$4)),0)),"-"))</f>
        <v>0.1109</v>
      </c>
      <c r="R28" s="481">
        <f ca="1">IF($E28="", "", IFERROR(INDEX(OFFSET('Fund Guide'!$B$4,1,MATCH(R$12,OFFSET('Fund Guide'!$B$4,,,,COUNTA('Fund Guide'!17:17)),0)-1,COUNTA('Fund Guide'!$B:$B)-COUNTA('Fund Guide'!$B$1:$B$4)),MATCH($E28,OFFSET('Fund Guide'!$B$4,1,,COUNTA('Fund Guide'!$B:$B)-COUNTA('Fund Guide'!$B$1:$B$4)),0)),"-"))</f>
        <v>1.1782999999999999</v>
      </c>
      <c r="S28" s="480">
        <f ca="1">IF($E28="", "", IFERROR(INDEX(OFFSET('Fund Guide'!$B$4,1,MATCH(S$12,OFFSET('Fund Guide'!$B$4,,,,COUNTA('Fund Guide'!17:17)),0)-1,COUNTA('Fund Guide'!$B:$B)-COUNTA('Fund Guide'!$B$1:$B$4)),MATCH($E28,OFFSET('Fund Guide'!$B$4,1,,COUNTA('Fund Guide'!$B:$B)-COUNTA('Fund Guide'!$B$1:$B$4)),0)),"-"))</f>
        <v>0.18820000000000001</v>
      </c>
      <c r="T28" s="481">
        <f ca="1">IF($E28="", "", IFERROR(INDEX(OFFSET('Fund Guide'!$B$4,1,MATCH(T$12,OFFSET('Fund Guide'!$B$4,,,,COUNTA('Fund Guide'!17:17)),0)-1,COUNTA('Fund Guide'!$B:$B)-COUNTA('Fund Guide'!$B$1:$B$4)),MATCH($E28,OFFSET('Fund Guide'!$B$4,1,,COUNTA('Fund Guide'!$B:$B)-COUNTA('Fund Guide'!$B$1:$B$4)),0)),"-"))</f>
        <v>1.5580000000000001</v>
      </c>
      <c r="U28" s="480" t="str">
        <f ca="1">IF($E28="", "", IFERROR(INDEX(OFFSET('Fund Guide'!$B$4,1,MATCH(U$12,OFFSET('Fund Guide'!$B$4,,,,COUNTA('Fund Guide'!17:17)),0)-1,COUNTA('Fund Guide'!$B:$B)-COUNTA('Fund Guide'!$B$1:$B$4)),MATCH($E28,OFFSET('Fund Guide'!$B$4,1,,COUNTA('Fund Guide'!$B:$B)-COUNTA('Fund Guide'!$B$1:$B$4)),0)),"-"))</f>
        <v>-</v>
      </c>
      <c r="V28" s="481" t="str">
        <f ca="1">IF($E28="", "", IFERROR(INDEX(OFFSET('Fund Guide'!$B$4,1,MATCH(V$12,OFFSET('Fund Guide'!$B$4,,,,COUNTA('Fund Guide'!17:17)),0)-1,COUNTA('Fund Guide'!$B:$B)-COUNTA('Fund Guide'!$B$1:$B$4)),MATCH($E28,OFFSET('Fund Guide'!$B$4,1,,COUNTA('Fund Guide'!$B:$B)-COUNTA('Fund Guide'!$B$1:$B$4)),0)),"-"))</f>
        <v>-</v>
      </c>
      <c r="W28" s="482">
        <f ca="1">IF($E28="", "", IFERROR(INDEX(OFFSET('Fund Guide'!$B$4,1,MATCH(W$12,OFFSET('Fund Guide'!$B$4,,,,COUNTA('Fund Guide'!17:17)),0)-1,COUNTA('Fund Guide'!$B:$B)-COUNTA('Fund Guide'!$B$1:$B$4)),MATCH($E28,OFFSET('Fund Guide'!$B$4,1,,COUNTA('Fund Guide'!$B:$B)-COUNTA('Fund Guide'!$B$1:$B$4)),0)),"-"))</f>
        <v>2.3E-3</v>
      </c>
      <c r="X28" s="483">
        <f ca="1">IF($E28="", "", IFERROR(INDEX(OFFSET('Fund Guide'!$B$4,1,MATCH(X$12,OFFSET('Fund Guide'!$B$4,,,,COUNTA('Fund Guide'!17:17)),0)-1,COUNTA('Fund Guide'!$B:$B)-COUNTA('Fund Guide'!$B$1:$B$4)),MATCH($E28,OFFSET('Fund Guide'!$B$4,1,,COUNTA('Fund Guide'!$B:$B)-COUNTA('Fund Guide'!$B$1:$B$4)),0)),"-"))</f>
        <v>6.6523575605915477</v>
      </c>
      <c r="Z28" s="484"/>
      <c r="AA28" s="484"/>
      <c r="AB28" s="478"/>
    </row>
    <row r="29" spans="2:28" s="477" customFormat="1" ht="14.25" customHeight="1">
      <c r="B29" s="472"/>
      <c r="C29" s="472"/>
      <c r="D29" s="472"/>
      <c r="E29" s="496" t="s">
        <v>43</v>
      </c>
      <c r="F29" s="473">
        <f ca="1">IF($E29="", "", IFERROR(INDEX(OFFSET('Fund Guide'!$B$4,1,MATCH(F$12,OFFSET('Fund Guide'!$B$4,,,,COUNTA('Fund Guide'!18:18)),0)-1,COUNTA('Fund Guide'!$B:$B)-COUNTA('Fund Guide'!$B$1:$B$4)),MATCH($E29,OFFSET('Fund Guide'!$B$4,1,,COUNTA('Fund Guide'!$B:$B)-COUNTA('Fund Guide'!$B$1:$B$4)),0)),"-"))</f>
        <v>91</v>
      </c>
      <c r="G29" s="474" t="str">
        <f ca="1">IF($E29="", "", IFERROR(INDEX(OFFSET('Fund Guide'!$B$4,1,MATCH(G$12,OFFSET('Fund Guide'!$B$4,,,,COUNTA('Fund Guide'!18:18)),0)-1,COUNTA('Fund Guide'!$B:$B)-COUNTA('Fund Guide'!$B$1:$B$4)),MATCH($E29,OFFSET('Fund Guide'!$B$4,1,,COUNTA('Fund Guide'!$B:$B)-COUNTA('Fund Guide'!$B$1:$B$4)),0)),"-"))</f>
        <v>BRL</v>
      </c>
      <c r="H29" s="475">
        <f ca="1">IF($E29="", "", IFERROR(INDEX(OFFSET('Fund Guide'!$B$4,1,MATCH(H$12,OFFSET('Fund Guide'!$B$4,,,,COUNTA('Fund Guide'!18:18)),0)-1,COUNTA('Fund Guide'!$B:$B)-COUNTA('Fund Guide'!$B$1:$B$4)),MATCH($E29,OFFSET('Fund Guide'!$B$4,1,,COUNTA('Fund Guide'!$B:$B)-COUNTA('Fund Guide'!$B$1:$B$4)),0)),"-"))</f>
        <v>6.4666666666666666E-3</v>
      </c>
      <c r="I29" s="476">
        <f ca="1">IF($E29="", "", IFERROR(INDEX(OFFSET('Fund Guide'!$B$4,1,MATCH(I$12,OFFSET('Fund Guide'!$B$4,,,,COUNTA('Fund Guide'!18:18)),0)-1,COUNTA('Fund Guide'!$B:$B)-COUNTA('Fund Guide'!$B$1:$B$4)),MATCH($E29,OFFSET('Fund Guide'!$B$4,1,,COUNTA('Fund Guide'!$B:$B)-COUNTA('Fund Guide'!$B$1:$B$4)),0)),"-"))</f>
        <v>44069</v>
      </c>
      <c r="K29" s="581">
        <f t="shared" si="0"/>
        <v>1148400</v>
      </c>
      <c r="L29" s="478">
        <v>3.9600000000000003E-2</v>
      </c>
      <c r="M29" s="479">
        <f t="shared" si="1"/>
        <v>5.9999999999999991E-2</v>
      </c>
      <c r="O29" s="480">
        <f ca="1">IF($E29="", "", IFERROR(INDEX(OFFSET('Fund Guide'!$B$4,1,MATCH(O$12,OFFSET('Fund Guide'!$B$4,,,,COUNTA('Fund Guide'!18:18)),0)-1,COUNTA('Fund Guide'!$B:$B)-COUNTA('Fund Guide'!$B$1:$B$4)),MATCH($E29,OFFSET('Fund Guide'!$B$4,1,,COUNTA('Fund Guide'!$B:$B)-COUNTA('Fund Guide'!$B$1:$B$4)),0)),"-"))</f>
        <v>8.4900000000000003E-2</v>
      </c>
      <c r="P29" s="481">
        <f ca="1">IF($E29="", "", IFERROR(INDEX(OFFSET('Fund Guide'!$B$4,1,MATCH(P$12,OFFSET('Fund Guide'!$B$4,,,,COUNTA('Fund Guide'!18:18)),0)-1,COUNTA('Fund Guide'!$B:$B)-COUNTA('Fund Guide'!$B$1:$B$4)),MATCH($E29,OFFSET('Fund Guide'!$B$4,1,,COUNTA('Fund Guide'!$B:$B)-COUNTA('Fund Guide'!$B$1:$B$4)),0)),"-"))</f>
        <v>1.3083</v>
      </c>
      <c r="Q29" s="480">
        <f ca="1">IF($E29="", "", IFERROR(INDEX(OFFSET('Fund Guide'!$B$4,1,MATCH(Q$12,OFFSET('Fund Guide'!$B$4,,,,COUNTA('Fund Guide'!18:18)),0)-1,COUNTA('Fund Guide'!$B:$B)-COUNTA('Fund Guide'!$B$1:$B$4)),MATCH($E29,OFFSET('Fund Guide'!$B$4,1,,COUNTA('Fund Guide'!$B:$B)-COUNTA('Fund Guide'!$B$1:$B$4)),0)),"-"))</f>
        <v>0.13270000000000001</v>
      </c>
      <c r="R29" s="481">
        <f ca="1">IF($E29="", "", IFERROR(INDEX(OFFSET('Fund Guide'!$B$4,1,MATCH(R$12,OFFSET('Fund Guide'!$B$4,,,,COUNTA('Fund Guide'!18:18)),0)-1,COUNTA('Fund Guide'!$B:$B)-COUNTA('Fund Guide'!$B$1:$B$4)),MATCH($E29,OFFSET('Fund Guide'!$B$4,1,,COUNTA('Fund Guide'!$B:$B)-COUNTA('Fund Guide'!$B$1:$B$4)),0)),"-"))</f>
        <v>1.4101999999999999</v>
      </c>
      <c r="S29" s="480" t="str">
        <f ca="1">IF($E29="", "", IFERROR(INDEX(OFFSET('Fund Guide'!$B$4,1,MATCH(S$12,OFFSET('Fund Guide'!$B$4,,,,COUNTA('Fund Guide'!18:18)),0)-1,COUNTA('Fund Guide'!$B:$B)-COUNTA('Fund Guide'!$B$1:$B$4)),MATCH($E29,OFFSET('Fund Guide'!$B$4,1,,COUNTA('Fund Guide'!$B:$B)-COUNTA('Fund Guide'!$B$1:$B$4)),0)),"-"))</f>
        <v>-</v>
      </c>
      <c r="T29" s="481" t="str">
        <f ca="1">IF($E29="", "", IFERROR(INDEX(OFFSET('Fund Guide'!$B$4,1,MATCH(T$12,OFFSET('Fund Guide'!$B$4,,,,COUNTA('Fund Guide'!18:18)),0)-1,COUNTA('Fund Guide'!$B:$B)-COUNTA('Fund Guide'!$B$1:$B$4)),MATCH($E29,OFFSET('Fund Guide'!$B$4,1,,COUNTA('Fund Guide'!$B:$B)-COUNTA('Fund Guide'!$B$1:$B$4)),0)),"-"))</f>
        <v>-</v>
      </c>
      <c r="U29" s="480" t="str">
        <f ca="1">IF($E29="", "", IFERROR(INDEX(OFFSET('Fund Guide'!$B$4,1,MATCH(U$12,OFFSET('Fund Guide'!$B$4,,,,COUNTA('Fund Guide'!18:18)),0)-1,COUNTA('Fund Guide'!$B:$B)-COUNTA('Fund Guide'!$B$1:$B$4)),MATCH($E29,OFFSET('Fund Guide'!$B$4,1,,COUNTA('Fund Guide'!$B:$B)-COUNTA('Fund Guide'!$B$1:$B$4)),0)),"-"))</f>
        <v>-</v>
      </c>
      <c r="V29" s="481" t="str">
        <f ca="1">IF($E29="", "", IFERROR(INDEX(OFFSET('Fund Guide'!$B$4,1,MATCH(V$12,OFFSET('Fund Guide'!$B$4,,,,COUNTA('Fund Guide'!18:18)),0)-1,COUNTA('Fund Guide'!$B:$B)-COUNTA('Fund Guide'!$B$1:$B$4)),MATCH($E29,OFFSET('Fund Guide'!$B$4,1,,COUNTA('Fund Guide'!$B:$B)-COUNTA('Fund Guide'!$B$1:$B$4)),0)),"-"))</f>
        <v>-</v>
      </c>
      <c r="W29" s="482">
        <f ca="1">IF($E29="", "", IFERROR(INDEX(OFFSET('Fund Guide'!$B$4,1,MATCH(W$12,OFFSET('Fund Guide'!$B$4,,,,COUNTA('Fund Guide'!18:18)),0)-1,COUNTA('Fund Guide'!$B:$B)-COUNTA('Fund Guide'!$B$1:$B$4)),MATCH($E29,OFFSET('Fund Guide'!$B$4,1,,COUNTA('Fund Guide'!$B:$B)-COUNTA('Fund Guide'!$B$1:$B$4)),0)),"-"))</f>
        <v>1.5E-3</v>
      </c>
      <c r="X29" s="483">
        <f ca="1">IF($E29="", "", IFERROR(INDEX(OFFSET('Fund Guide'!$B$4,1,MATCH(X$12,OFFSET('Fund Guide'!$B$4,,,,COUNTA('Fund Guide'!18:18)),0)-1,COUNTA('Fund Guide'!$B:$B)-COUNTA('Fund Guide'!$B$1:$B$4)),MATCH($E29,OFFSET('Fund Guide'!$B$4,1,,COUNTA('Fund Guide'!$B:$B)-COUNTA('Fund Guide'!$B$1:$B$4)),0)),"-"))</f>
        <v>22.804494655070034</v>
      </c>
      <c r="Z29" s="484"/>
      <c r="AA29" s="484"/>
      <c r="AB29" s="478"/>
    </row>
    <row r="30" spans="2:28" s="477" customFormat="1" ht="14.25" customHeight="1">
      <c r="B30" s="472"/>
      <c r="C30" s="472"/>
      <c r="D30" s="472"/>
      <c r="E30" s="496" t="s">
        <v>1467</v>
      </c>
      <c r="F30" s="473">
        <f ca="1">IF($E30="", "", IFERROR(INDEX(OFFSET('Fund Guide'!$B$4,1,MATCH(F$12,OFFSET('Fund Guide'!$B$4,,,,COUNTA('Fund Guide'!21:21)),0)-1,COUNTA('Fund Guide'!$B:$B)-COUNTA('Fund Guide'!$B$1:$B$4)),MATCH($E30,OFFSET('Fund Guide'!$B$4,1,,COUNTA('Fund Guide'!$B:$B)-COUNTA('Fund Guide'!$B$1:$B$4)),0)),"-"))</f>
        <v>181</v>
      </c>
      <c r="G30" s="474" t="str">
        <f ca="1">IF($E30="", "", IFERROR(INDEX(OFFSET('Fund Guide'!$B$4,1,MATCH(G$12,OFFSET('Fund Guide'!$B$4,,,,COUNTA('Fund Guide'!21:21)),0)-1,COUNTA('Fund Guide'!$B:$B)-COUNTA('Fund Guide'!$B$1:$B$4)),MATCH($E30,OFFSET('Fund Guide'!$B$4,1,,COUNTA('Fund Guide'!$B:$B)-COUNTA('Fund Guide'!$B$1:$B$4)),0)),"-"))</f>
        <v>BRL</v>
      </c>
      <c r="H30" s="475">
        <f ca="1">IF($E30="", "", IFERROR(INDEX(OFFSET('Fund Guide'!$B$4,1,MATCH(H$12,OFFSET('Fund Guide'!$B$4,,,,COUNTA('Fund Guide'!21:21)),0)-1,COUNTA('Fund Guide'!$B:$B)-COUNTA('Fund Guide'!$B$1:$B$4)),MATCH($E30,OFFSET('Fund Guide'!$B$4,1,,COUNTA('Fund Guide'!$B:$B)-COUNTA('Fund Guide'!$B$1:$B$4)),0)),"-"))</f>
        <v>6.6666666666666662E-3</v>
      </c>
      <c r="I30" s="476">
        <f ca="1">IF($E30="", "", IFERROR(INDEX(OFFSET('Fund Guide'!$B$4,1,MATCH(I$12,OFFSET('Fund Guide'!$B$4,,,,COUNTA('Fund Guide'!21:21)),0)-1,COUNTA('Fund Guide'!$B:$B)-COUNTA('Fund Guide'!$B$1:$B$4)),MATCH($E30,OFFSET('Fund Guide'!$B$4,1,,COUNTA('Fund Guide'!$B:$B)-COUNTA('Fund Guide'!$B$1:$B$4)),0)),"-"))</f>
        <v>43311</v>
      </c>
      <c r="K30" s="581">
        <f t="shared" si="0"/>
        <v>1148400</v>
      </c>
      <c r="L30" s="478">
        <v>3.9600000000000003E-2</v>
      </c>
      <c r="M30" s="479">
        <f t="shared" si="1"/>
        <v>5.9999999999999991E-2</v>
      </c>
      <c r="O30" s="480">
        <f ca="1">IF($E30="", "", IFERROR(INDEX(OFFSET('Fund Guide'!$B$4,1,MATCH(O$12,OFFSET('Fund Guide'!$B$4,,,,COUNTA('Fund Guide'!21:21)),0)-1,COUNTA('Fund Guide'!$B:$B)-COUNTA('Fund Guide'!$B$1:$B$4)),MATCH($E30,OFFSET('Fund Guide'!$B$4,1,,COUNTA('Fund Guide'!$B:$B)-COUNTA('Fund Guide'!$B$1:$B$4)),0)),"-"))</f>
        <v>8.1799999999999998E-2</v>
      </c>
      <c r="P30" s="481">
        <f ca="1">IF($E30="", "", IFERROR(INDEX(OFFSET('Fund Guide'!$B$4,1,MATCH(P$12,OFFSET('Fund Guide'!$B$4,,,,COUNTA('Fund Guide'!21:21)),0)-1,COUNTA('Fund Guide'!$B:$B)-COUNTA('Fund Guide'!$B$1:$B$4)),MATCH($E30,OFFSET('Fund Guide'!$B$4,1,,COUNTA('Fund Guide'!$B:$B)-COUNTA('Fund Guide'!$B$1:$B$4)),0)),"-"))</f>
        <v>1.2605</v>
      </c>
      <c r="Q30" s="480">
        <f ca="1">IF($E30="", "", IFERROR(INDEX(OFFSET('Fund Guide'!$B$4,1,MATCH(Q$12,OFFSET('Fund Guide'!$B$4,,,,COUNTA('Fund Guide'!21:21)),0)-1,COUNTA('Fund Guide'!$B:$B)-COUNTA('Fund Guide'!$B$1:$B$4)),MATCH($E30,OFFSET('Fund Guide'!$B$4,1,,COUNTA('Fund Guide'!$B:$B)-COUNTA('Fund Guide'!$B$1:$B$4)),0)),"-"))</f>
        <v>0.1431</v>
      </c>
      <c r="R30" s="481">
        <f ca="1">IF($E30="", "", IFERROR(INDEX(OFFSET('Fund Guide'!$B$4,1,MATCH(R$12,OFFSET('Fund Guide'!$B$4,,,,COUNTA('Fund Guide'!21:21)),0)-1,COUNTA('Fund Guide'!$B:$B)-COUNTA('Fund Guide'!$B$1:$B$4)),MATCH($E30,OFFSET('Fund Guide'!$B$4,1,,COUNTA('Fund Guide'!$B:$B)-COUNTA('Fund Guide'!$B$1:$B$4)),0)),"-"))</f>
        <v>1.5212000000000001</v>
      </c>
      <c r="S30" s="480">
        <f ca="1">IF($E30="", "", IFERROR(INDEX(OFFSET('Fund Guide'!$B$4,1,MATCH(S$12,OFFSET('Fund Guide'!$B$4,,,,COUNTA('Fund Guide'!21:21)),0)-1,COUNTA('Fund Guide'!$B:$B)-COUNTA('Fund Guide'!$B$1:$B$4)),MATCH($E30,OFFSET('Fund Guide'!$B$4,1,,COUNTA('Fund Guide'!$B:$B)-COUNTA('Fund Guide'!$B$1:$B$4)),0)),"-"))</f>
        <v>0.2026</v>
      </c>
      <c r="T30" s="481">
        <f ca="1">IF($E30="", "", IFERROR(INDEX(OFFSET('Fund Guide'!$B$4,1,MATCH(T$12,OFFSET('Fund Guide'!$B$4,,,,COUNTA('Fund Guide'!21:21)),0)-1,COUNTA('Fund Guide'!$B:$B)-COUNTA('Fund Guide'!$B$1:$B$4)),MATCH($E30,OFFSET('Fund Guide'!$B$4,1,,COUNTA('Fund Guide'!$B:$B)-COUNTA('Fund Guide'!$B$1:$B$4)),0)),"-"))</f>
        <v>1.6769000000000001</v>
      </c>
      <c r="U30" s="480">
        <f ca="1">IF($E30="", "", IFERROR(INDEX(OFFSET('Fund Guide'!$B$4,1,MATCH(U$12,OFFSET('Fund Guide'!$B$4,,,,COUNTA('Fund Guide'!21:21)),0)-1,COUNTA('Fund Guide'!$B:$B)-COUNTA('Fund Guide'!$B$1:$B$4)),MATCH($E30,OFFSET('Fund Guide'!$B$4,1,,COUNTA('Fund Guide'!$B:$B)-COUNTA('Fund Guide'!$B$1:$B$4)),0)),"-"))</f>
        <v>0.30659999999999998</v>
      </c>
      <c r="V30" s="481">
        <f ca="1">IF($E30="", "", IFERROR(INDEX(OFFSET('Fund Guide'!$B$4,1,MATCH(V$12,OFFSET('Fund Guide'!$B$4,,,,COUNTA('Fund Guide'!21:21)),0)-1,COUNTA('Fund Guide'!$B:$B)-COUNTA('Fund Guide'!$B$1:$B$4)),MATCH($E30,OFFSET('Fund Guide'!$B$4,1,,COUNTA('Fund Guide'!$B:$B)-COUNTA('Fund Guide'!$B$1:$B$4)),0)),"-"))</f>
        <v>1.8191999999999999</v>
      </c>
      <c r="W30" s="482">
        <f ca="1">IF($E30="", "", IFERROR(INDEX(OFFSET('Fund Guide'!$B$4,1,MATCH(W$12,OFFSET('Fund Guide'!$B$4,,,,COUNTA('Fund Guide'!21:21)),0)-1,COUNTA('Fund Guide'!$B:$B)-COUNTA('Fund Guide'!$B$1:$B$4)),MATCH($E30,OFFSET('Fund Guide'!$B$4,1,,COUNTA('Fund Guide'!$B:$B)-COUNTA('Fund Guide'!$B$1:$B$4)),0)),"-"))</f>
        <v>7.7999999999999996E-3</v>
      </c>
      <c r="X30" s="483">
        <f ca="1">IF($E30="", "", IFERROR(INDEX(OFFSET('Fund Guide'!$B$4,1,MATCH(X$12,OFFSET('Fund Guide'!$B$4,,,,COUNTA('Fund Guide'!21:21)),0)-1,COUNTA('Fund Guide'!$B:$B)-COUNTA('Fund Guide'!$B$1:$B$4)),MATCH($E30,OFFSET('Fund Guide'!$B$4,1,,COUNTA('Fund Guide'!$B:$B)-COUNTA('Fund Guide'!$B$1:$B$4)),0)),"-"))</f>
        <v>5.6279201621262889</v>
      </c>
      <c r="Z30" s="484"/>
      <c r="AA30" s="484"/>
      <c r="AB30" s="478"/>
    </row>
    <row r="31" spans="2:28" s="477" customFormat="1" ht="14.25" customHeight="1">
      <c r="B31" s="472"/>
      <c r="C31" s="472"/>
      <c r="D31" s="472"/>
      <c r="E31" s="496"/>
      <c r="F31" s="473" t="str">
        <f ca="1">IF($E31="", "", IFERROR(INDEX(OFFSET('Fund Guide'!$B$4,1,MATCH(F$12,OFFSET('Fund Guide'!$B$4,,,,COUNTA('Fund Guide'!7:7)),0)-1,COUNTA('Fund Guide'!$B:$B)-COUNTA('Fund Guide'!$B$1:$B$4)),MATCH($E31,OFFSET('Fund Guide'!$B$4,1,,COUNTA('Fund Guide'!$B:$B)-COUNTA('Fund Guide'!$B$1:$B$4)),0)),"-"))</f>
        <v/>
      </c>
      <c r="G31" s="474" t="str">
        <f ca="1">IF($E31="", "", IFERROR(INDEX(OFFSET('Fund Guide'!$B$4,1,MATCH(G$12,OFFSET('Fund Guide'!$B$4,,,,COUNTA('Fund Guide'!7:7)),0)-1,COUNTA('Fund Guide'!$B:$B)-COUNTA('Fund Guide'!$B$1:$B$4)),MATCH($E31,OFFSET('Fund Guide'!$B$4,1,,COUNTA('Fund Guide'!$B:$B)-COUNTA('Fund Guide'!$B$1:$B$4)),0)),"-"))</f>
        <v/>
      </c>
      <c r="H31" s="475" t="str">
        <f ca="1">IF($E31="", "", IFERROR(INDEX(OFFSET('Fund Guide'!$B$4,1,MATCH(H$12,OFFSET('Fund Guide'!$B$4,,,,COUNTA('Fund Guide'!7:7)),0)-1,COUNTA('Fund Guide'!$B:$B)-COUNTA('Fund Guide'!$B$1:$B$4)),MATCH($E31,OFFSET('Fund Guide'!$B$4,1,,COUNTA('Fund Guide'!$B:$B)-COUNTA('Fund Guide'!$B$1:$B$4)),0)),"-"))</f>
        <v/>
      </c>
      <c r="I31" s="476" t="str">
        <f ca="1">IF($E31="", "", IFERROR(INDEX(OFFSET('Fund Guide'!$B$4,1,MATCH(I$12,OFFSET('Fund Guide'!$B$4,,,,COUNTA('Fund Guide'!7:7)),0)-1,COUNTA('Fund Guide'!$B:$B)-COUNTA('Fund Guide'!$B$1:$B$4)),MATCH($E31,OFFSET('Fund Guide'!$B$4,1,,COUNTA('Fund Guide'!$B:$B)-COUNTA('Fund Guide'!$B$1:$B$4)),0)),"-"))</f>
        <v/>
      </c>
      <c r="K31" s="581" t="str">
        <f t="shared" si="0"/>
        <v/>
      </c>
      <c r="L31" s="478"/>
      <c r="M31" s="479" t="str">
        <f t="shared" si="1"/>
        <v/>
      </c>
      <c r="O31" s="480" t="str">
        <f ca="1">IF($E31="", "", IFERROR(INDEX(OFFSET('Fund Guide'!$B$4,1,MATCH(O$12,OFFSET('Fund Guide'!$B$4,,,,COUNTA('Fund Guide'!7:7)),0)-1,COUNTA('Fund Guide'!$B:$B)-COUNTA('Fund Guide'!$B$1:$B$4)),MATCH($E31,OFFSET('Fund Guide'!$B$4,1,,COUNTA('Fund Guide'!$B:$B)-COUNTA('Fund Guide'!$B$1:$B$4)),0)),"-"))</f>
        <v/>
      </c>
      <c r="P31" s="481" t="str">
        <f ca="1">IF($E31="", "", IFERROR(INDEX(OFFSET('Fund Guide'!$B$4,1,MATCH(P$12,OFFSET('Fund Guide'!$B$4,,,,COUNTA('Fund Guide'!7:7)),0)-1,COUNTA('Fund Guide'!$B:$B)-COUNTA('Fund Guide'!$B$1:$B$4)),MATCH($E31,OFFSET('Fund Guide'!$B$4,1,,COUNTA('Fund Guide'!$B:$B)-COUNTA('Fund Guide'!$B$1:$B$4)),0)),"-"))</f>
        <v/>
      </c>
      <c r="Q31" s="480" t="str">
        <f ca="1">IF($E31="", "", IFERROR(INDEX(OFFSET('Fund Guide'!$B$4,1,MATCH(Q$12,OFFSET('Fund Guide'!$B$4,,,,COUNTA('Fund Guide'!7:7)),0)-1,COUNTA('Fund Guide'!$B:$B)-COUNTA('Fund Guide'!$B$1:$B$4)),MATCH($E31,OFFSET('Fund Guide'!$B$4,1,,COUNTA('Fund Guide'!$B:$B)-COUNTA('Fund Guide'!$B$1:$B$4)),0)),"-"))</f>
        <v/>
      </c>
      <c r="R31" s="481" t="str">
        <f ca="1">IF($E31="", "", IFERROR(INDEX(OFFSET('Fund Guide'!$B$4,1,MATCH(R$12,OFFSET('Fund Guide'!$B$4,,,,COUNTA('Fund Guide'!7:7)),0)-1,COUNTA('Fund Guide'!$B:$B)-COUNTA('Fund Guide'!$B$1:$B$4)),MATCH($E31,OFFSET('Fund Guide'!$B$4,1,,COUNTA('Fund Guide'!$B:$B)-COUNTA('Fund Guide'!$B$1:$B$4)),0)),"-"))</f>
        <v/>
      </c>
      <c r="S31" s="480" t="str">
        <f ca="1">IF($E31="", "", IFERROR(INDEX(OFFSET('Fund Guide'!$B$4,1,MATCH(S$12,OFFSET('Fund Guide'!$B$4,,,,COUNTA('Fund Guide'!7:7)),0)-1,COUNTA('Fund Guide'!$B:$B)-COUNTA('Fund Guide'!$B$1:$B$4)),MATCH($E31,OFFSET('Fund Guide'!$B$4,1,,COUNTA('Fund Guide'!$B:$B)-COUNTA('Fund Guide'!$B$1:$B$4)),0)),"-"))</f>
        <v/>
      </c>
      <c r="T31" s="481" t="str">
        <f ca="1">IF($E31="", "", IFERROR(INDEX(OFFSET('Fund Guide'!$B$4,1,MATCH(T$12,OFFSET('Fund Guide'!$B$4,,,,COUNTA('Fund Guide'!7:7)),0)-1,COUNTA('Fund Guide'!$B:$B)-COUNTA('Fund Guide'!$B$1:$B$4)),MATCH($E31,OFFSET('Fund Guide'!$B$4,1,,COUNTA('Fund Guide'!$B:$B)-COUNTA('Fund Guide'!$B$1:$B$4)),0)),"-"))</f>
        <v/>
      </c>
      <c r="U31" s="480" t="str">
        <f ca="1">IF($E31="", "", IFERROR(INDEX(OFFSET('Fund Guide'!$B$4,1,MATCH(U$12,OFFSET('Fund Guide'!$B$4,,,,COUNTA('Fund Guide'!7:7)),0)-1,COUNTA('Fund Guide'!$B:$B)-COUNTA('Fund Guide'!$B$1:$B$4)),MATCH($E31,OFFSET('Fund Guide'!$B$4,1,,COUNTA('Fund Guide'!$B:$B)-COUNTA('Fund Guide'!$B$1:$B$4)),0)),"-"))</f>
        <v/>
      </c>
      <c r="V31" s="481" t="str">
        <f ca="1">IF($E31="", "", IFERROR(INDEX(OFFSET('Fund Guide'!$B$4,1,MATCH(V$12,OFFSET('Fund Guide'!$B$4,,,,COUNTA('Fund Guide'!7:7)),0)-1,COUNTA('Fund Guide'!$B:$B)-COUNTA('Fund Guide'!$B$1:$B$4)),MATCH($E31,OFFSET('Fund Guide'!$B$4,1,,COUNTA('Fund Guide'!$B:$B)-COUNTA('Fund Guide'!$B$1:$B$4)),0)),"-"))</f>
        <v/>
      </c>
      <c r="W31" s="482" t="str">
        <f ca="1">IF($E31="", "", IFERROR(INDEX(OFFSET('Fund Guide'!$B$4,1,MATCH(W$12,OFFSET('Fund Guide'!$B$4,,,,COUNTA('Fund Guide'!7:7)),0)-1,COUNTA('Fund Guide'!$B:$B)-COUNTA('Fund Guide'!$B$1:$B$4)),MATCH($E31,OFFSET('Fund Guide'!$B$4,1,,COUNTA('Fund Guide'!$B:$B)-COUNTA('Fund Guide'!$B$1:$B$4)),0)),"-"))</f>
        <v/>
      </c>
      <c r="X31" s="483" t="str">
        <f ca="1">IF($E31="", "", IFERROR(INDEX(OFFSET('Fund Guide'!$B$4,1,MATCH(X$12,OFFSET('Fund Guide'!$B$4,,,,COUNTA('Fund Guide'!7:7)),0)-1,COUNTA('Fund Guide'!$B:$B)-COUNTA('Fund Guide'!$B$1:$B$4)),MATCH($E31,OFFSET('Fund Guide'!$B$4,1,,COUNTA('Fund Guide'!$B:$B)-COUNTA('Fund Guide'!$B$1:$B$4)),0)),"-"))</f>
        <v/>
      </c>
      <c r="Z31" s="484"/>
      <c r="AA31" s="484"/>
      <c r="AB31" s="478"/>
    </row>
    <row r="32" spans="2:28" s="385" customFormat="1" ht="5.25" customHeight="1">
      <c r="B32" s="461"/>
      <c r="C32" s="461"/>
      <c r="D32" s="461"/>
      <c r="E32" s="400"/>
      <c r="F32" s="431"/>
      <c r="G32" s="431"/>
      <c r="H32" s="396"/>
      <c r="I32" s="396"/>
      <c r="K32" s="579"/>
      <c r="O32" s="396"/>
      <c r="Q32" s="396"/>
      <c r="S32" s="396"/>
      <c r="U32" s="396"/>
      <c r="W32" s="396"/>
      <c r="Z32" s="396"/>
    </row>
    <row r="33" spans="2:28" s="282" customFormat="1" ht="14.25" customHeight="1">
      <c r="B33" s="485"/>
      <c r="C33" s="485" t="s">
        <v>20</v>
      </c>
      <c r="D33" s="485" t="s">
        <v>20</v>
      </c>
      <c r="E33" s="491" t="s">
        <v>964</v>
      </c>
      <c r="F33" s="492"/>
      <c r="G33" s="492"/>
      <c r="H33" s="493"/>
      <c r="I33" s="493"/>
      <c r="K33" s="580">
        <f>K35+K38+K43</f>
        <v>4350000</v>
      </c>
      <c r="L33" s="494">
        <v>0.15</v>
      </c>
      <c r="M33" s="495">
        <f>M35+M38+M43</f>
        <v>0.15</v>
      </c>
      <c r="O33" s="493"/>
      <c r="P33" s="495"/>
      <c r="Q33" s="493"/>
      <c r="R33" s="495"/>
      <c r="S33" s="493"/>
      <c r="T33" s="495"/>
      <c r="U33" s="493"/>
      <c r="V33" s="495"/>
      <c r="W33" s="493"/>
      <c r="X33" s="495"/>
      <c r="Z33" s="493"/>
      <c r="AA33" s="495"/>
      <c r="AB33" s="495"/>
    </row>
    <row r="34" spans="2:28" s="513" customFormat="1" ht="3" customHeight="1">
      <c r="B34" s="509"/>
      <c r="C34" s="509"/>
      <c r="D34" s="509"/>
      <c r="E34" s="510"/>
      <c r="F34" s="511"/>
      <c r="G34" s="511"/>
      <c r="H34" s="512"/>
      <c r="I34" s="512"/>
      <c r="K34" s="582"/>
      <c r="L34" s="514"/>
      <c r="O34" s="512"/>
      <c r="Q34" s="512"/>
      <c r="S34" s="512"/>
      <c r="U34" s="512"/>
      <c r="W34" s="512"/>
      <c r="Z34" s="512"/>
    </row>
    <row r="35" spans="2:28" s="282" customFormat="1" ht="14.25" customHeight="1">
      <c r="B35" s="485"/>
      <c r="C35" s="485"/>
      <c r="D35" s="485" t="s">
        <v>20</v>
      </c>
      <c r="E35" s="486" t="s">
        <v>1891</v>
      </c>
      <c r="F35" s="487"/>
      <c r="G35" s="487"/>
      <c r="H35" s="488"/>
      <c r="I35" s="488"/>
      <c r="K35" s="583">
        <f>IF( SUM(K36:K37)=0, 0, SUM(K36:K37))</f>
        <v>0</v>
      </c>
      <c r="L35" s="489">
        <v>0</v>
      </c>
      <c r="M35" s="490">
        <f>IF(L35=0, 0, SUM(M36:M37)*L35)</f>
        <v>0</v>
      </c>
      <c r="O35" s="488"/>
      <c r="P35" s="490"/>
      <c r="Q35" s="488"/>
      <c r="R35" s="490"/>
      <c r="S35" s="488"/>
      <c r="T35" s="490"/>
      <c r="U35" s="488"/>
      <c r="V35" s="490"/>
      <c r="W35" s="488"/>
      <c r="X35" s="490"/>
      <c r="Z35" s="488"/>
      <c r="AA35" s="490"/>
      <c r="AB35" s="490"/>
    </row>
    <row r="36" spans="2:28" s="477" customFormat="1" ht="14.25" customHeight="1">
      <c r="B36" s="472"/>
      <c r="C36" s="472"/>
      <c r="D36" s="472"/>
      <c r="E36" s="496"/>
      <c r="F36" s="473" t="str">
        <f ca="1">IF($E36="", "", IFERROR(INDEX(OFFSET('Fund Guide'!$B$4,1,MATCH(F$12,OFFSET('Fund Guide'!$B$4,,,,COUNTA('Fund Guide'!11:11)),0)-1,COUNTA('Fund Guide'!$B:$B)-COUNTA('Fund Guide'!$B$1:$B$4)),MATCH($E36,OFFSET('Fund Guide'!$B$4,1,,COUNTA('Fund Guide'!$B:$B)-COUNTA('Fund Guide'!$B$1:$B$4)),0)),"-"))</f>
        <v/>
      </c>
      <c r="G36" s="474" t="str">
        <f ca="1">IF($E36="", "", IFERROR(INDEX(OFFSET('Fund Guide'!$B$4,1,MATCH(G$12,OFFSET('Fund Guide'!$B$4,,,,COUNTA('Fund Guide'!11:11)),0)-1,COUNTA('Fund Guide'!$B:$B)-COUNTA('Fund Guide'!$B$1:$B$4)),MATCH($E36,OFFSET('Fund Guide'!$B$4,1,,COUNTA('Fund Guide'!$B:$B)-COUNTA('Fund Guide'!$B$1:$B$4)),0)),"-"))</f>
        <v/>
      </c>
      <c r="H36" s="475" t="str">
        <f ca="1">IF($E36="", "", IFERROR(INDEX(OFFSET('Fund Guide'!$B$4,1,MATCH(H$12,OFFSET('Fund Guide'!$B$4,,,,COUNTA('Fund Guide'!11:11)),0)-1,COUNTA('Fund Guide'!$B:$B)-COUNTA('Fund Guide'!$B$1:$B$4)),MATCH($E36,OFFSET('Fund Guide'!$B$4,1,,COUNTA('Fund Guide'!$B:$B)-COUNTA('Fund Guide'!$B$1:$B$4)),0)),"-"))</f>
        <v/>
      </c>
      <c r="I36" s="476" t="str">
        <f ca="1">IF($E36="", "", IFERROR(INDEX(OFFSET('Fund Guide'!$B$4,1,MATCH(I$12,OFFSET('Fund Guide'!$B$4,,,,COUNTA('Fund Guide'!11:11)),0)-1,COUNTA('Fund Guide'!$B:$B)-COUNTA('Fund Guide'!$B$1:$B$4)),MATCH($E36,OFFSET('Fund Guide'!$B$4,1,,COUNTA('Fund Guide'!$B:$B)-COUNTA('Fund Guide'!$B$1:$B$4)),0)),"-"))</f>
        <v/>
      </c>
      <c r="K36" s="581" t="str">
        <f>IF(OR($L$7=0, L36=0), "", L36*$L$7)</f>
        <v/>
      </c>
      <c r="L36" s="478"/>
      <c r="M36" s="479" t="str">
        <f>IFERROR(IF(L36=0, "", L36/L$70),0)</f>
        <v/>
      </c>
      <c r="O36" s="480" t="str">
        <f ca="1">IF($E36="", "", IFERROR(INDEX(OFFSET('Fund Guide'!$B$4,1,MATCH(O$12,OFFSET('Fund Guide'!$B$4,,,,COUNTA('Fund Guide'!11:11)),0)-1,COUNTA('Fund Guide'!$B:$B)-COUNTA('Fund Guide'!$B$1:$B$4)),MATCH($E36,OFFSET('Fund Guide'!$B$4,1,,COUNTA('Fund Guide'!$B:$B)-COUNTA('Fund Guide'!$B$1:$B$4)),0)),"-"))</f>
        <v/>
      </c>
      <c r="P36" s="481" t="str">
        <f ca="1">IF($E36="", "", IFERROR(INDEX(OFFSET('Fund Guide'!$B$4,1,MATCH(P$12,OFFSET('Fund Guide'!$B$4,,,,COUNTA('Fund Guide'!11:11)),0)-1,COUNTA('Fund Guide'!$B:$B)-COUNTA('Fund Guide'!$B$1:$B$4)),MATCH($E36,OFFSET('Fund Guide'!$B$4,1,,COUNTA('Fund Guide'!$B:$B)-COUNTA('Fund Guide'!$B$1:$B$4)),0)),"-"))</f>
        <v/>
      </c>
      <c r="Q36" s="480" t="str">
        <f ca="1">IF($E36="", "", IFERROR(INDEX(OFFSET('Fund Guide'!$B$4,1,MATCH(Q$12,OFFSET('Fund Guide'!$B$4,,,,COUNTA('Fund Guide'!11:11)),0)-1,COUNTA('Fund Guide'!$B:$B)-COUNTA('Fund Guide'!$B$1:$B$4)),MATCH($E36,OFFSET('Fund Guide'!$B$4,1,,COUNTA('Fund Guide'!$B:$B)-COUNTA('Fund Guide'!$B$1:$B$4)),0)),"-"))</f>
        <v/>
      </c>
      <c r="R36" s="481" t="str">
        <f ca="1">IF($E36="", "", IFERROR(INDEX(OFFSET('Fund Guide'!$B$4,1,MATCH(R$12,OFFSET('Fund Guide'!$B$4,,,,COUNTA('Fund Guide'!11:11)),0)-1,COUNTA('Fund Guide'!$B:$B)-COUNTA('Fund Guide'!$B$1:$B$4)),MATCH($E36,OFFSET('Fund Guide'!$B$4,1,,COUNTA('Fund Guide'!$B:$B)-COUNTA('Fund Guide'!$B$1:$B$4)),0)),"-"))</f>
        <v/>
      </c>
      <c r="S36" s="480" t="str">
        <f ca="1">IF($E36="", "", IFERROR(INDEX(OFFSET('Fund Guide'!$B$4,1,MATCH(S$12,OFFSET('Fund Guide'!$B$4,,,,COUNTA('Fund Guide'!11:11)),0)-1,COUNTA('Fund Guide'!$B:$B)-COUNTA('Fund Guide'!$B$1:$B$4)),MATCH($E36,OFFSET('Fund Guide'!$B$4,1,,COUNTA('Fund Guide'!$B:$B)-COUNTA('Fund Guide'!$B$1:$B$4)),0)),"-"))</f>
        <v/>
      </c>
      <c r="T36" s="481" t="str">
        <f ca="1">IF($E36="", "", IFERROR(INDEX(OFFSET('Fund Guide'!$B$4,1,MATCH(T$12,OFFSET('Fund Guide'!$B$4,,,,COUNTA('Fund Guide'!11:11)),0)-1,COUNTA('Fund Guide'!$B:$B)-COUNTA('Fund Guide'!$B$1:$B$4)),MATCH($E36,OFFSET('Fund Guide'!$B$4,1,,COUNTA('Fund Guide'!$B:$B)-COUNTA('Fund Guide'!$B$1:$B$4)),0)),"-"))</f>
        <v/>
      </c>
      <c r="U36" s="480" t="str">
        <f ca="1">IF($E36="", "", IFERROR(INDEX(OFFSET('Fund Guide'!$B$4,1,MATCH(U$12,OFFSET('Fund Guide'!$B$4,,,,COUNTA('Fund Guide'!11:11)),0)-1,COUNTA('Fund Guide'!$B:$B)-COUNTA('Fund Guide'!$B$1:$B$4)),MATCH($E36,OFFSET('Fund Guide'!$B$4,1,,COUNTA('Fund Guide'!$B:$B)-COUNTA('Fund Guide'!$B$1:$B$4)),0)),"-"))</f>
        <v/>
      </c>
      <c r="V36" s="481" t="str">
        <f ca="1">IF($E36="", "", IFERROR(INDEX(OFFSET('Fund Guide'!$B$4,1,MATCH(V$12,OFFSET('Fund Guide'!$B$4,,,,COUNTA('Fund Guide'!11:11)),0)-1,COUNTA('Fund Guide'!$B:$B)-COUNTA('Fund Guide'!$B$1:$B$4)),MATCH($E36,OFFSET('Fund Guide'!$B$4,1,,COUNTA('Fund Guide'!$B:$B)-COUNTA('Fund Guide'!$B$1:$B$4)),0)),"-"))</f>
        <v/>
      </c>
      <c r="W36" s="482" t="str">
        <f ca="1">IF($E36="", "", IFERROR(INDEX(OFFSET('Fund Guide'!$B$4,1,MATCH(W$12,OFFSET('Fund Guide'!$B$4,,,,COUNTA('Fund Guide'!11:11)),0)-1,COUNTA('Fund Guide'!$B:$B)-COUNTA('Fund Guide'!$B$1:$B$4)),MATCH($E36,OFFSET('Fund Guide'!$B$4,1,,COUNTA('Fund Guide'!$B:$B)-COUNTA('Fund Guide'!$B$1:$B$4)),0)),"-"))</f>
        <v/>
      </c>
      <c r="X36" s="483" t="str">
        <f ca="1">IF($E36="", "", IFERROR(INDEX(OFFSET('Fund Guide'!$B$4,1,MATCH(X$12,OFFSET('Fund Guide'!$B$4,,,,COUNTA('Fund Guide'!11:11)),0)-1,COUNTA('Fund Guide'!$B:$B)-COUNTA('Fund Guide'!$B$1:$B$4)),MATCH($E36,OFFSET('Fund Guide'!$B$4,1,,COUNTA('Fund Guide'!$B:$B)-COUNTA('Fund Guide'!$B$1:$B$4)),0)),"-"))</f>
        <v/>
      </c>
      <c r="Z36" s="484"/>
      <c r="AA36" s="484"/>
      <c r="AB36" s="478"/>
    </row>
    <row r="37" spans="2:28" s="513" customFormat="1" ht="4.5" customHeight="1">
      <c r="B37" s="509"/>
      <c r="C37" s="509"/>
      <c r="D37" s="509"/>
      <c r="E37" s="510"/>
      <c r="F37" s="511"/>
      <c r="G37" s="511"/>
      <c r="H37" s="512"/>
      <c r="I37" s="512"/>
      <c r="K37" s="582"/>
      <c r="O37" s="512"/>
      <c r="Q37" s="512"/>
      <c r="S37" s="512"/>
      <c r="U37" s="512"/>
      <c r="W37" s="512"/>
      <c r="Z37" s="512"/>
    </row>
    <row r="38" spans="2:28" s="282" customFormat="1" ht="14.25" customHeight="1">
      <c r="B38" s="485"/>
      <c r="C38" s="485"/>
      <c r="D38" s="485" t="s">
        <v>20</v>
      </c>
      <c r="E38" s="486" t="s">
        <v>1898</v>
      </c>
      <c r="F38" s="487"/>
      <c r="G38" s="487"/>
      <c r="H38" s="488"/>
      <c r="I38" s="488"/>
      <c r="K38" s="583">
        <f>IF( SUM(K39:K42)=0, 0, SUM(K39:K42))</f>
        <v>3190000</v>
      </c>
      <c r="L38" s="489">
        <v>0.11</v>
      </c>
      <c r="M38" s="490">
        <f>IF(L38=0, 0, SUM(M39:M42)*L38)</f>
        <v>0.11</v>
      </c>
      <c r="O38" s="488"/>
      <c r="P38" s="490"/>
      <c r="Q38" s="488"/>
      <c r="R38" s="490"/>
      <c r="S38" s="488"/>
      <c r="T38" s="490"/>
      <c r="U38" s="488"/>
      <c r="V38" s="490"/>
      <c r="W38" s="488"/>
      <c r="X38" s="490"/>
      <c r="Z38" s="488"/>
      <c r="AA38" s="490"/>
      <c r="AB38" s="490"/>
    </row>
    <row r="39" spans="2:28" s="477" customFormat="1" ht="15" customHeight="1">
      <c r="B39" s="472"/>
      <c r="C39" s="472"/>
      <c r="D39" s="472"/>
      <c r="E39" s="496" t="s">
        <v>991</v>
      </c>
      <c r="F39" s="473" t="str">
        <f ca="1">IF($E39="", "", IFERROR(INDEX(OFFSET('Fund Guide'!$B$4,1,MATCH(F$12,OFFSET('Fund Guide'!$B$4,,,,COUNTA('Fund Guide'!13:13)),0)-1,COUNTA('Fund Guide'!$B:$B)-COUNTA('Fund Guide'!$B$1:$B$4)),MATCH($E39,OFFSET('Fund Guide'!$B$4,1,,COUNTA('Fund Guide'!$B:$B)-COUNTA('Fund Guide'!$B$1:$B$4)),0)),"-"))</f>
        <v>-</v>
      </c>
      <c r="G39" s="474" t="str">
        <f ca="1">IF($E39="", "", IFERROR(INDEX(OFFSET('Fund Guide'!$B$4,1,MATCH(G$12,OFFSET('Fund Guide'!$B$4,,,,COUNTA('Fund Guide'!13:13)),0)-1,COUNTA('Fund Guide'!$B:$B)-COUNTA('Fund Guide'!$B$1:$B$4)),MATCH($E39,OFFSET('Fund Guide'!$B$4,1,,COUNTA('Fund Guide'!$B:$B)-COUNTA('Fund Guide'!$B$1:$B$4)),0)),"-"))</f>
        <v>-</v>
      </c>
      <c r="H39" s="475" t="str">
        <f ca="1">IF($E39="", "", IFERROR(INDEX(OFFSET('Fund Guide'!$B$4,1,MATCH(H$12,OFFSET('Fund Guide'!$B$4,,,,COUNTA('Fund Guide'!13:13)),0)-1,COUNTA('Fund Guide'!$B:$B)-COUNTA('Fund Guide'!$B$1:$B$4)),MATCH($E39,OFFSET('Fund Guide'!$B$4,1,,COUNTA('Fund Guide'!$B:$B)-COUNTA('Fund Guide'!$B$1:$B$4)),0)),"-"))</f>
        <v>-</v>
      </c>
      <c r="I39" s="476" t="str">
        <f ca="1">IF($E39="", "", IFERROR(INDEX(OFFSET('Fund Guide'!$B$4,1,MATCH(I$12,OFFSET('Fund Guide'!$B$4,,,,COUNTA('Fund Guide'!13:13)),0)-1,COUNTA('Fund Guide'!$B:$B)-COUNTA('Fund Guide'!$B$1:$B$4)),MATCH($E39,OFFSET('Fund Guide'!$B$4,1,,COUNTA('Fund Guide'!$B:$B)-COUNTA('Fund Guide'!$B$1:$B$4)),0)),"-"))</f>
        <v>-</v>
      </c>
      <c r="K39" s="581">
        <f>IF(OR($L$7=0, L39=0), "", L39*$L$7)</f>
        <v>1450000</v>
      </c>
      <c r="L39" s="478">
        <v>0.05</v>
      </c>
      <c r="M39" s="479">
        <f>IFERROR(IF(L39=0, "", L39/L$38),0)</f>
        <v>0.45454545454545459</v>
      </c>
      <c r="O39" s="480" t="str">
        <f ca="1">IF($E39="", "", IFERROR(INDEX(OFFSET('Fund Guide'!$B$4,1,MATCH(O$12,OFFSET('Fund Guide'!$B$4,,,,COUNTA('Fund Guide'!13:13)),0)-1,COUNTA('Fund Guide'!$B:$B)-COUNTA('Fund Guide'!$B$1:$B$4)),MATCH($E39,OFFSET('Fund Guide'!$B$4,1,,COUNTA('Fund Guide'!$B:$B)-COUNTA('Fund Guide'!$B$1:$B$4)),0)),"-"))</f>
        <v>-</v>
      </c>
      <c r="P39" s="481" t="str">
        <f ca="1">IF($E39="", "", IFERROR(INDEX(OFFSET('Fund Guide'!$B$4,1,MATCH(P$12,OFFSET('Fund Guide'!$B$4,,,,COUNTA('Fund Guide'!13:13)),0)-1,COUNTA('Fund Guide'!$B:$B)-COUNTA('Fund Guide'!$B$1:$B$4)),MATCH($E39,OFFSET('Fund Guide'!$B$4,1,,COUNTA('Fund Guide'!$B:$B)-COUNTA('Fund Guide'!$B$1:$B$4)),0)),"-"))</f>
        <v>-</v>
      </c>
      <c r="Q39" s="480" t="str">
        <f ca="1">IF($E39="", "", IFERROR(INDEX(OFFSET('Fund Guide'!$B$4,1,MATCH(Q$12,OFFSET('Fund Guide'!$B$4,,,,COUNTA('Fund Guide'!13:13)),0)-1,COUNTA('Fund Guide'!$B:$B)-COUNTA('Fund Guide'!$B$1:$B$4)),MATCH($E39,OFFSET('Fund Guide'!$B$4,1,,COUNTA('Fund Guide'!$B:$B)-COUNTA('Fund Guide'!$B$1:$B$4)),0)),"-"))</f>
        <v>-</v>
      </c>
      <c r="R39" s="481" t="str">
        <f ca="1">IF($E39="", "", IFERROR(INDEX(OFFSET('Fund Guide'!$B$4,1,MATCH(R$12,OFFSET('Fund Guide'!$B$4,,,,COUNTA('Fund Guide'!13:13)),0)-1,COUNTA('Fund Guide'!$B:$B)-COUNTA('Fund Guide'!$B$1:$B$4)),MATCH($E39,OFFSET('Fund Guide'!$B$4,1,,COUNTA('Fund Guide'!$B:$B)-COUNTA('Fund Guide'!$B$1:$B$4)),0)),"-"))</f>
        <v>-</v>
      </c>
      <c r="S39" s="480" t="str">
        <f ca="1">IF($E39="", "", IFERROR(INDEX(OFFSET('Fund Guide'!$B$4,1,MATCH(S$12,OFFSET('Fund Guide'!$B$4,,,,COUNTA('Fund Guide'!13:13)),0)-1,COUNTA('Fund Guide'!$B:$B)-COUNTA('Fund Guide'!$B$1:$B$4)),MATCH($E39,OFFSET('Fund Guide'!$B$4,1,,COUNTA('Fund Guide'!$B:$B)-COUNTA('Fund Guide'!$B$1:$B$4)),0)),"-"))</f>
        <v>-</v>
      </c>
      <c r="T39" s="481" t="str">
        <f ca="1">IF($E39="", "", IFERROR(INDEX(OFFSET('Fund Guide'!$B$4,1,MATCH(T$12,OFFSET('Fund Guide'!$B$4,,,,COUNTA('Fund Guide'!13:13)),0)-1,COUNTA('Fund Guide'!$B:$B)-COUNTA('Fund Guide'!$B$1:$B$4)),MATCH($E39,OFFSET('Fund Guide'!$B$4,1,,COUNTA('Fund Guide'!$B:$B)-COUNTA('Fund Guide'!$B$1:$B$4)),0)),"-"))</f>
        <v>-</v>
      </c>
      <c r="U39" s="480" t="str">
        <f ca="1">IF($E39="", "", IFERROR(INDEX(OFFSET('Fund Guide'!$B$4,1,MATCH(U$12,OFFSET('Fund Guide'!$B$4,,,,COUNTA('Fund Guide'!13:13)),0)-1,COUNTA('Fund Guide'!$B:$B)-COUNTA('Fund Guide'!$B$1:$B$4)),MATCH($E39,OFFSET('Fund Guide'!$B$4,1,,COUNTA('Fund Guide'!$B:$B)-COUNTA('Fund Guide'!$B$1:$B$4)),0)),"-"))</f>
        <v>-</v>
      </c>
      <c r="V39" s="481" t="str">
        <f ca="1">IF($E39="", "", IFERROR(INDEX(OFFSET('Fund Guide'!$B$4,1,MATCH(V$12,OFFSET('Fund Guide'!$B$4,,,,COUNTA('Fund Guide'!13:13)),0)-1,COUNTA('Fund Guide'!$B:$B)-COUNTA('Fund Guide'!$B$1:$B$4)),MATCH($E39,OFFSET('Fund Guide'!$B$4,1,,COUNTA('Fund Guide'!$B:$B)-COUNTA('Fund Guide'!$B$1:$B$4)),0)),"-"))</f>
        <v>-</v>
      </c>
      <c r="W39" s="482" t="str">
        <f ca="1">IF($E39="", "", IFERROR(INDEX(OFFSET('Fund Guide'!$B$4,1,MATCH(W$12,OFFSET('Fund Guide'!$B$4,,,,COUNTA('Fund Guide'!13:13)),0)-1,COUNTA('Fund Guide'!$B:$B)-COUNTA('Fund Guide'!$B$1:$B$4)),MATCH($E39,OFFSET('Fund Guide'!$B$4,1,,COUNTA('Fund Guide'!$B:$B)-COUNTA('Fund Guide'!$B$1:$B$4)),0)),"-"))</f>
        <v>-</v>
      </c>
      <c r="X39" s="483" t="str">
        <f ca="1">IF($E39="", "", IFERROR(INDEX(OFFSET('Fund Guide'!$B$4,1,MATCH(X$12,OFFSET('Fund Guide'!$B$4,,,,COUNTA('Fund Guide'!13:13)),0)-1,COUNTA('Fund Guide'!$B:$B)-COUNTA('Fund Guide'!$B$1:$B$4)),MATCH($E39,OFFSET('Fund Guide'!$B$4,1,,COUNTA('Fund Guide'!$B:$B)-COUNTA('Fund Guide'!$B$1:$B$4)),0)),"-"))</f>
        <v>-</v>
      </c>
      <c r="Z39" s="484"/>
      <c r="AA39" s="484"/>
      <c r="AB39" s="478"/>
    </row>
    <row r="40" spans="2:28" s="477" customFormat="1" ht="15" customHeight="1">
      <c r="B40" s="472"/>
      <c r="C40" s="472"/>
      <c r="D40" s="472"/>
      <c r="E40" s="496" t="s">
        <v>1972</v>
      </c>
      <c r="F40" s="473" t="str">
        <f ca="1">IF($E40="", "", IFERROR(INDEX(OFFSET('Fund Guide'!$B$4,1,MATCH(F$12,OFFSET('Fund Guide'!$B$4,,,,COUNTA('Fund Guide'!14:14)),0)-1,COUNTA('Fund Guide'!$B:$B)-COUNTA('Fund Guide'!$B$1:$B$4)),MATCH($E40,OFFSET('Fund Guide'!$B$4,1,,COUNTA('Fund Guide'!$B:$B)-COUNTA('Fund Guide'!$B$1:$B$4)),0)),"-"))</f>
        <v>-</v>
      </c>
      <c r="G40" s="474" t="str">
        <f ca="1">IF($E40="", "", IFERROR(INDEX(OFFSET('Fund Guide'!$B$4,1,MATCH(G$12,OFFSET('Fund Guide'!$B$4,,,,COUNTA('Fund Guide'!14:14)),0)-1,COUNTA('Fund Guide'!$B:$B)-COUNTA('Fund Guide'!$B$1:$B$4)),MATCH($E40,OFFSET('Fund Guide'!$B$4,1,,COUNTA('Fund Guide'!$B:$B)-COUNTA('Fund Guide'!$B$1:$B$4)),0)),"-"))</f>
        <v>-</v>
      </c>
      <c r="H40" s="475" t="str">
        <f ca="1">IF($E40="", "", IFERROR(INDEX(OFFSET('Fund Guide'!$B$4,1,MATCH(H$12,OFFSET('Fund Guide'!$B$4,,,,COUNTA('Fund Guide'!14:14)),0)-1,COUNTA('Fund Guide'!$B:$B)-COUNTA('Fund Guide'!$B$1:$B$4)),MATCH($E40,OFFSET('Fund Guide'!$B$4,1,,COUNTA('Fund Guide'!$B:$B)-COUNTA('Fund Guide'!$B$1:$B$4)),0)),"-"))</f>
        <v>-</v>
      </c>
      <c r="I40" s="476" t="str">
        <f ca="1">IF($E40="", "", IFERROR(INDEX(OFFSET('Fund Guide'!$B$4,1,MATCH(I$12,OFFSET('Fund Guide'!$B$4,,,,COUNTA('Fund Guide'!14:14)),0)-1,COUNTA('Fund Guide'!$B:$B)-COUNTA('Fund Guide'!$B$1:$B$4)),MATCH($E40,OFFSET('Fund Guide'!$B$4,1,,COUNTA('Fund Guide'!$B:$B)-COUNTA('Fund Guide'!$B$1:$B$4)),0)),"-"))</f>
        <v>-</v>
      </c>
      <c r="K40" s="581">
        <f>IF(OR($L$7=0, L40=0), "", L40*$L$7)</f>
        <v>870000</v>
      </c>
      <c r="L40" s="478">
        <v>0.03</v>
      </c>
      <c r="M40" s="479">
        <f>IFERROR(IF(L40=0, "", L40/L$38),0)</f>
        <v>0.27272727272727271</v>
      </c>
      <c r="O40" s="480" t="str">
        <f ca="1">IF($E40="", "", IFERROR(INDEX(OFFSET('Fund Guide'!$B$4,1,MATCH(O$12,OFFSET('Fund Guide'!$B$4,,,,COUNTA('Fund Guide'!14:14)),0)-1,COUNTA('Fund Guide'!$B:$B)-COUNTA('Fund Guide'!$B$1:$B$4)),MATCH($E40,OFFSET('Fund Guide'!$B$4,1,,COUNTA('Fund Guide'!$B:$B)-COUNTA('Fund Guide'!$B$1:$B$4)),0)),"-"))</f>
        <v>-</v>
      </c>
      <c r="P40" s="481" t="str">
        <f ca="1">IF($E40="", "", IFERROR(INDEX(OFFSET('Fund Guide'!$B$4,1,MATCH(P$12,OFFSET('Fund Guide'!$B$4,,,,COUNTA('Fund Guide'!14:14)),0)-1,COUNTA('Fund Guide'!$B:$B)-COUNTA('Fund Guide'!$B$1:$B$4)),MATCH($E40,OFFSET('Fund Guide'!$B$4,1,,COUNTA('Fund Guide'!$B:$B)-COUNTA('Fund Guide'!$B$1:$B$4)),0)),"-"))</f>
        <v>-</v>
      </c>
      <c r="Q40" s="480" t="str">
        <f ca="1">IF($E40="", "", IFERROR(INDEX(OFFSET('Fund Guide'!$B$4,1,MATCH(Q$12,OFFSET('Fund Guide'!$B$4,,,,COUNTA('Fund Guide'!14:14)),0)-1,COUNTA('Fund Guide'!$B:$B)-COUNTA('Fund Guide'!$B$1:$B$4)),MATCH($E40,OFFSET('Fund Guide'!$B$4,1,,COUNTA('Fund Guide'!$B:$B)-COUNTA('Fund Guide'!$B$1:$B$4)),0)),"-"))</f>
        <v>-</v>
      </c>
      <c r="R40" s="481" t="str">
        <f ca="1">IF($E40="", "", IFERROR(INDEX(OFFSET('Fund Guide'!$B$4,1,MATCH(R$12,OFFSET('Fund Guide'!$B$4,,,,COUNTA('Fund Guide'!14:14)),0)-1,COUNTA('Fund Guide'!$B:$B)-COUNTA('Fund Guide'!$B$1:$B$4)),MATCH($E40,OFFSET('Fund Guide'!$B$4,1,,COUNTA('Fund Guide'!$B:$B)-COUNTA('Fund Guide'!$B$1:$B$4)),0)),"-"))</f>
        <v>-</v>
      </c>
      <c r="S40" s="480" t="str">
        <f ca="1">IF($E40="", "", IFERROR(INDEX(OFFSET('Fund Guide'!$B$4,1,MATCH(S$12,OFFSET('Fund Guide'!$B$4,,,,COUNTA('Fund Guide'!14:14)),0)-1,COUNTA('Fund Guide'!$B:$B)-COUNTA('Fund Guide'!$B$1:$B$4)),MATCH($E40,OFFSET('Fund Guide'!$B$4,1,,COUNTA('Fund Guide'!$B:$B)-COUNTA('Fund Guide'!$B$1:$B$4)),0)),"-"))</f>
        <v>-</v>
      </c>
      <c r="T40" s="481" t="str">
        <f ca="1">IF($E40="", "", IFERROR(INDEX(OFFSET('Fund Guide'!$B$4,1,MATCH(T$12,OFFSET('Fund Guide'!$B$4,,,,COUNTA('Fund Guide'!14:14)),0)-1,COUNTA('Fund Guide'!$B:$B)-COUNTA('Fund Guide'!$B$1:$B$4)),MATCH($E40,OFFSET('Fund Guide'!$B$4,1,,COUNTA('Fund Guide'!$B:$B)-COUNTA('Fund Guide'!$B$1:$B$4)),0)),"-"))</f>
        <v>-</v>
      </c>
      <c r="U40" s="480" t="str">
        <f ca="1">IF($E40="", "", IFERROR(INDEX(OFFSET('Fund Guide'!$B$4,1,MATCH(U$12,OFFSET('Fund Guide'!$B$4,,,,COUNTA('Fund Guide'!14:14)),0)-1,COUNTA('Fund Guide'!$B:$B)-COUNTA('Fund Guide'!$B$1:$B$4)),MATCH($E40,OFFSET('Fund Guide'!$B$4,1,,COUNTA('Fund Guide'!$B:$B)-COUNTA('Fund Guide'!$B$1:$B$4)),0)),"-"))</f>
        <v>-</v>
      </c>
      <c r="V40" s="481" t="str">
        <f ca="1">IF($E40="", "", IFERROR(INDEX(OFFSET('Fund Guide'!$B$4,1,MATCH(V$12,OFFSET('Fund Guide'!$B$4,,,,COUNTA('Fund Guide'!14:14)),0)-1,COUNTA('Fund Guide'!$B:$B)-COUNTA('Fund Guide'!$B$1:$B$4)),MATCH($E40,OFFSET('Fund Guide'!$B$4,1,,COUNTA('Fund Guide'!$B:$B)-COUNTA('Fund Guide'!$B$1:$B$4)),0)),"-"))</f>
        <v>-</v>
      </c>
      <c r="W40" s="482" t="str">
        <f ca="1">IF($E40="", "", IFERROR(INDEX(OFFSET('Fund Guide'!$B$4,1,MATCH(W$12,OFFSET('Fund Guide'!$B$4,,,,COUNTA('Fund Guide'!14:14)),0)-1,COUNTA('Fund Guide'!$B:$B)-COUNTA('Fund Guide'!$B$1:$B$4)),MATCH($E40,OFFSET('Fund Guide'!$B$4,1,,COUNTA('Fund Guide'!$B:$B)-COUNTA('Fund Guide'!$B$1:$B$4)),0)),"-"))</f>
        <v>-</v>
      </c>
      <c r="X40" s="483" t="str">
        <f ca="1">IF($E40="", "", IFERROR(INDEX(OFFSET('Fund Guide'!$B$4,1,MATCH(X$12,OFFSET('Fund Guide'!$B$4,,,,COUNTA('Fund Guide'!14:14)),0)-1,COUNTA('Fund Guide'!$B:$B)-COUNTA('Fund Guide'!$B$1:$B$4)),MATCH($E40,OFFSET('Fund Guide'!$B$4,1,,COUNTA('Fund Guide'!$B:$B)-COUNTA('Fund Guide'!$B$1:$B$4)),0)),"-"))</f>
        <v>-</v>
      </c>
      <c r="Z40" s="484"/>
      <c r="AA40" s="484"/>
      <c r="AB40" s="478"/>
    </row>
    <row r="41" spans="2:28" s="477" customFormat="1" ht="15" customHeight="1">
      <c r="B41" s="472"/>
      <c r="C41" s="472"/>
      <c r="D41" s="472"/>
      <c r="E41" s="496" t="s">
        <v>1973</v>
      </c>
      <c r="F41" s="473" t="str">
        <f ca="1">IF($E41="", "", IFERROR(INDEX(OFFSET('Fund Guide'!$B$4,1,MATCH(F$12,OFFSET('Fund Guide'!$B$4,,,,COUNTA('Fund Guide'!15:15)),0)-1,COUNTA('Fund Guide'!$B:$B)-COUNTA('Fund Guide'!$B$1:$B$4)),MATCH($E41,OFFSET('Fund Guide'!$B$4,1,,COUNTA('Fund Guide'!$B:$B)-COUNTA('Fund Guide'!$B$1:$B$4)),0)),"-"))</f>
        <v>-</v>
      </c>
      <c r="G41" s="474" t="str">
        <f ca="1">IF($E41="", "", IFERROR(INDEX(OFFSET('Fund Guide'!$B$4,1,MATCH(G$12,OFFSET('Fund Guide'!$B$4,,,,COUNTA('Fund Guide'!15:15)),0)-1,COUNTA('Fund Guide'!$B:$B)-COUNTA('Fund Guide'!$B$1:$B$4)),MATCH($E41,OFFSET('Fund Guide'!$B$4,1,,COUNTA('Fund Guide'!$B:$B)-COUNTA('Fund Guide'!$B$1:$B$4)),0)),"-"))</f>
        <v>-</v>
      </c>
      <c r="H41" s="475" t="str">
        <f ca="1">IF($E41="", "", IFERROR(INDEX(OFFSET('Fund Guide'!$B$4,1,MATCH(H$12,OFFSET('Fund Guide'!$B$4,,,,COUNTA('Fund Guide'!15:15)),0)-1,COUNTA('Fund Guide'!$B:$B)-COUNTA('Fund Guide'!$B$1:$B$4)),MATCH($E41,OFFSET('Fund Guide'!$B$4,1,,COUNTA('Fund Guide'!$B:$B)-COUNTA('Fund Guide'!$B$1:$B$4)),0)),"-"))</f>
        <v>-</v>
      </c>
      <c r="I41" s="476" t="str">
        <f ca="1">IF($E41="", "", IFERROR(INDEX(OFFSET('Fund Guide'!$B$4,1,MATCH(I$12,OFFSET('Fund Guide'!$B$4,,,,COUNTA('Fund Guide'!15:15)),0)-1,COUNTA('Fund Guide'!$B:$B)-COUNTA('Fund Guide'!$B$1:$B$4)),MATCH($E41,OFFSET('Fund Guide'!$B$4,1,,COUNTA('Fund Guide'!$B:$B)-COUNTA('Fund Guide'!$B$1:$B$4)),0)),"-"))</f>
        <v>-</v>
      </c>
      <c r="K41" s="581">
        <f>IF(OR($L$7=0, L41=0), "", L41*$L$7)</f>
        <v>870000</v>
      </c>
      <c r="L41" s="478">
        <v>0.03</v>
      </c>
      <c r="M41" s="479">
        <f>IFERROR(IF(L41=0, "", L41/L$38),0)</f>
        <v>0.27272727272727271</v>
      </c>
      <c r="O41" s="480" t="str">
        <f ca="1">IF($E41="", "", IFERROR(INDEX(OFFSET('Fund Guide'!$B$4,1,MATCH(O$12,OFFSET('Fund Guide'!$B$4,,,,COUNTA('Fund Guide'!15:15)),0)-1,COUNTA('Fund Guide'!$B:$B)-COUNTA('Fund Guide'!$B$1:$B$4)),MATCH($E41,OFFSET('Fund Guide'!$B$4,1,,COUNTA('Fund Guide'!$B:$B)-COUNTA('Fund Guide'!$B$1:$B$4)),0)),"-"))</f>
        <v>-</v>
      </c>
      <c r="P41" s="481" t="str">
        <f ca="1">IF($E41="", "", IFERROR(INDEX(OFFSET('Fund Guide'!$B$4,1,MATCH(P$12,OFFSET('Fund Guide'!$B$4,,,,COUNTA('Fund Guide'!15:15)),0)-1,COUNTA('Fund Guide'!$B:$B)-COUNTA('Fund Guide'!$B$1:$B$4)),MATCH($E41,OFFSET('Fund Guide'!$B$4,1,,COUNTA('Fund Guide'!$B:$B)-COUNTA('Fund Guide'!$B$1:$B$4)),0)),"-"))</f>
        <v>-</v>
      </c>
      <c r="Q41" s="480" t="str">
        <f ca="1">IF($E41="", "", IFERROR(INDEX(OFFSET('Fund Guide'!$B$4,1,MATCH(Q$12,OFFSET('Fund Guide'!$B$4,,,,COUNTA('Fund Guide'!15:15)),0)-1,COUNTA('Fund Guide'!$B:$B)-COUNTA('Fund Guide'!$B$1:$B$4)),MATCH($E41,OFFSET('Fund Guide'!$B$4,1,,COUNTA('Fund Guide'!$B:$B)-COUNTA('Fund Guide'!$B$1:$B$4)),0)),"-"))</f>
        <v>-</v>
      </c>
      <c r="R41" s="481" t="str">
        <f ca="1">IF($E41="", "", IFERROR(INDEX(OFFSET('Fund Guide'!$B$4,1,MATCH(R$12,OFFSET('Fund Guide'!$B$4,,,,COUNTA('Fund Guide'!15:15)),0)-1,COUNTA('Fund Guide'!$B:$B)-COUNTA('Fund Guide'!$B$1:$B$4)),MATCH($E41,OFFSET('Fund Guide'!$B$4,1,,COUNTA('Fund Guide'!$B:$B)-COUNTA('Fund Guide'!$B$1:$B$4)),0)),"-"))</f>
        <v>-</v>
      </c>
      <c r="S41" s="480" t="str">
        <f ca="1">IF($E41="", "", IFERROR(INDEX(OFFSET('Fund Guide'!$B$4,1,MATCH(S$12,OFFSET('Fund Guide'!$B$4,,,,COUNTA('Fund Guide'!15:15)),0)-1,COUNTA('Fund Guide'!$B:$B)-COUNTA('Fund Guide'!$B$1:$B$4)),MATCH($E41,OFFSET('Fund Guide'!$B$4,1,,COUNTA('Fund Guide'!$B:$B)-COUNTA('Fund Guide'!$B$1:$B$4)),0)),"-"))</f>
        <v>-</v>
      </c>
      <c r="T41" s="481" t="str">
        <f ca="1">IF($E41="", "", IFERROR(INDEX(OFFSET('Fund Guide'!$B$4,1,MATCH(T$12,OFFSET('Fund Guide'!$B$4,,,,COUNTA('Fund Guide'!15:15)),0)-1,COUNTA('Fund Guide'!$B:$B)-COUNTA('Fund Guide'!$B$1:$B$4)),MATCH($E41,OFFSET('Fund Guide'!$B$4,1,,COUNTA('Fund Guide'!$B:$B)-COUNTA('Fund Guide'!$B$1:$B$4)),0)),"-"))</f>
        <v>-</v>
      </c>
      <c r="U41" s="480" t="str">
        <f ca="1">IF($E41="", "", IFERROR(INDEX(OFFSET('Fund Guide'!$B$4,1,MATCH(U$12,OFFSET('Fund Guide'!$B$4,,,,COUNTA('Fund Guide'!15:15)),0)-1,COUNTA('Fund Guide'!$B:$B)-COUNTA('Fund Guide'!$B$1:$B$4)),MATCH($E41,OFFSET('Fund Guide'!$B$4,1,,COUNTA('Fund Guide'!$B:$B)-COUNTA('Fund Guide'!$B$1:$B$4)),0)),"-"))</f>
        <v>-</v>
      </c>
      <c r="V41" s="481" t="str">
        <f ca="1">IF($E41="", "", IFERROR(INDEX(OFFSET('Fund Guide'!$B$4,1,MATCH(V$12,OFFSET('Fund Guide'!$B$4,,,,COUNTA('Fund Guide'!15:15)),0)-1,COUNTA('Fund Guide'!$B:$B)-COUNTA('Fund Guide'!$B$1:$B$4)),MATCH($E41,OFFSET('Fund Guide'!$B$4,1,,COUNTA('Fund Guide'!$B:$B)-COUNTA('Fund Guide'!$B$1:$B$4)),0)),"-"))</f>
        <v>-</v>
      </c>
      <c r="W41" s="482" t="str">
        <f ca="1">IF($E41="", "", IFERROR(INDEX(OFFSET('Fund Guide'!$B$4,1,MATCH(W$12,OFFSET('Fund Guide'!$B$4,,,,COUNTA('Fund Guide'!15:15)),0)-1,COUNTA('Fund Guide'!$B:$B)-COUNTA('Fund Guide'!$B$1:$B$4)),MATCH($E41,OFFSET('Fund Guide'!$B$4,1,,COUNTA('Fund Guide'!$B:$B)-COUNTA('Fund Guide'!$B$1:$B$4)),0)),"-"))</f>
        <v>-</v>
      </c>
      <c r="X41" s="483" t="str">
        <f ca="1">IF($E41="", "", IFERROR(INDEX(OFFSET('Fund Guide'!$B$4,1,MATCH(X$12,OFFSET('Fund Guide'!$B$4,,,,COUNTA('Fund Guide'!15:15)),0)-1,COUNTA('Fund Guide'!$B:$B)-COUNTA('Fund Guide'!$B$1:$B$4)),MATCH($E41,OFFSET('Fund Guide'!$B$4,1,,COUNTA('Fund Guide'!$B:$B)-COUNTA('Fund Guide'!$B$1:$B$4)),0)),"-"))</f>
        <v>-</v>
      </c>
      <c r="Z41" s="484"/>
      <c r="AA41" s="484"/>
      <c r="AB41" s="478"/>
    </row>
    <row r="42" spans="2:28" s="513" customFormat="1" ht="4.5" customHeight="1">
      <c r="B42" s="509"/>
      <c r="C42" s="509"/>
      <c r="D42" s="509"/>
      <c r="E42" s="510"/>
      <c r="F42" s="511"/>
      <c r="G42" s="511"/>
      <c r="H42" s="512"/>
      <c r="I42" s="512"/>
      <c r="K42" s="582"/>
      <c r="O42" s="512"/>
      <c r="Q42" s="512"/>
      <c r="S42" s="512"/>
      <c r="U42" s="512"/>
      <c r="W42" s="512"/>
      <c r="Z42" s="512"/>
    </row>
    <row r="43" spans="2:28" s="282" customFormat="1" ht="14.25" customHeight="1">
      <c r="B43" s="485"/>
      <c r="C43" s="485"/>
      <c r="D43" s="485" t="s">
        <v>20</v>
      </c>
      <c r="E43" s="486" t="s">
        <v>1888</v>
      </c>
      <c r="F43" s="487"/>
      <c r="G43" s="487"/>
      <c r="H43" s="488"/>
      <c r="I43" s="488"/>
      <c r="K43" s="583">
        <f>IF( SUM(K44:K46)=0, 0, SUM(K44:K46))</f>
        <v>1160000</v>
      </c>
      <c r="L43" s="489">
        <v>0.04</v>
      </c>
      <c r="M43" s="490">
        <f>IF(L43=0, 0, SUM(M44:M46)*L43)</f>
        <v>0.04</v>
      </c>
      <c r="O43" s="488"/>
      <c r="P43" s="490"/>
      <c r="Q43" s="488"/>
      <c r="R43" s="490"/>
      <c r="S43" s="488"/>
      <c r="T43" s="490"/>
      <c r="U43" s="488"/>
      <c r="V43" s="490"/>
      <c r="W43" s="488"/>
      <c r="X43" s="490"/>
      <c r="Z43" s="488"/>
      <c r="AA43" s="490"/>
      <c r="AB43" s="490"/>
    </row>
    <row r="44" spans="2:28" s="477" customFormat="1" ht="15" customHeight="1">
      <c r="B44" s="472"/>
      <c r="C44" s="472"/>
      <c r="D44" s="472"/>
      <c r="E44" s="496" t="s">
        <v>1974</v>
      </c>
      <c r="F44" s="473" t="str">
        <f ca="1">IF($E44="", "", IFERROR(INDEX(OFFSET('Fund Guide'!$B$4,1,MATCH(F$12,OFFSET('Fund Guide'!$B$4,,,,COUNTA('Fund Guide'!16:16)),0)-1,COUNTA('Fund Guide'!$B:$B)-COUNTA('Fund Guide'!$B$1:$B$4)),MATCH($E44,OFFSET('Fund Guide'!$B$4,1,,COUNTA('Fund Guide'!$B:$B)-COUNTA('Fund Guide'!$B$1:$B$4)),0)),"-"))</f>
        <v>-</v>
      </c>
      <c r="G44" s="474" t="str">
        <f ca="1">IF($E44="", "", IFERROR(INDEX(OFFSET('Fund Guide'!$B$4,1,MATCH(G$12,OFFSET('Fund Guide'!$B$4,,,,COUNTA('Fund Guide'!16:16)),0)-1,COUNTA('Fund Guide'!$B:$B)-COUNTA('Fund Guide'!$B$1:$B$4)),MATCH($E44,OFFSET('Fund Guide'!$B$4,1,,COUNTA('Fund Guide'!$B:$B)-COUNTA('Fund Guide'!$B$1:$B$4)),0)),"-"))</f>
        <v>-</v>
      </c>
      <c r="H44" s="475" t="str">
        <f ca="1">IF($E44="", "", IFERROR(INDEX(OFFSET('Fund Guide'!$B$4,1,MATCH(H$12,OFFSET('Fund Guide'!$B$4,,,,COUNTA('Fund Guide'!16:16)),0)-1,COUNTA('Fund Guide'!$B:$B)-COUNTA('Fund Guide'!$B$1:$B$4)),MATCH($E44,OFFSET('Fund Guide'!$B$4,1,,COUNTA('Fund Guide'!$B:$B)-COUNTA('Fund Guide'!$B$1:$B$4)),0)),"-"))</f>
        <v>-</v>
      </c>
      <c r="I44" s="476" t="str">
        <f ca="1">IF($E44="", "", IFERROR(INDEX(OFFSET('Fund Guide'!$B$4,1,MATCH(I$12,OFFSET('Fund Guide'!$B$4,,,,COUNTA('Fund Guide'!16:16)),0)-1,COUNTA('Fund Guide'!$B:$B)-COUNTA('Fund Guide'!$B$1:$B$4)),MATCH($E44,OFFSET('Fund Guide'!$B$4,1,,COUNTA('Fund Guide'!$B:$B)-COUNTA('Fund Guide'!$B$1:$B$4)),0)),"-"))</f>
        <v>-</v>
      </c>
      <c r="K44" s="581">
        <f>IF(OR($L$7=0, L44=0), "", L44*$L$7)</f>
        <v>580000</v>
      </c>
      <c r="L44" s="478">
        <v>0.02</v>
      </c>
      <c r="M44" s="479">
        <f>IFERROR(IF(L44=0, "", L44/L$43),0)</f>
        <v>0.5</v>
      </c>
      <c r="O44" s="480" t="str">
        <f ca="1">IF($E44="", "", IFERROR(INDEX(OFFSET('Fund Guide'!$B$4,1,MATCH(O$12,OFFSET('Fund Guide'!$B$4,,,,COUNTA('Fund Guide'!16:16)),0)-1,COUNTA('Fund Guide'!$B:$B)-COUNTA('Fund Guide'!$B$1:$B$4)),MATCH($E44,OFFSET('Fund Guide'!$B$4,1,,COUNTA('Fund Guide'!$B:$B)-COUNTA('Fund Guide'!$B$1:$B$4)),0)),"-"))</f>
        <v>-</v>
      </c>
      <c r="P44" s="481" t="str">
        <f ca="1">IF($E44="", "", IFERROR(INDEX(OFFSET('Fund Guide'!$B$4,1,MATCH(P$12,OFFSET('Fund Guide'!$B$4,,,,COUNTA('Fund Guide'!16:16)),0)-1,COUNTA('Fund Guide'!$B:$B)-COUNTA('Fund Guide'!$B$1:$B$4)),MATCH($E44,OFFSET('Fund Guide'!$B$4,1,,COUNTA('Fund Guide'!$B:$B)-COUNTA('Fund Guide'!$B$1:$B$4)),0)),"-"))</f>
        <v>-</v>
      </c>
      <c r="Q44" s="480" t="str">
        <f ca="1">IF($E44="", "", IFERROR(INDEX(OFFSET('Fund Guide'!$B$4,1,MATCH(Q$12,OFFSET('Fund Guide'!$B$4,,,,COUNTA('Fund Guide'!16:16)),0)-1,COUNTA('Fund Guide'!$B:$B)-COUNTA('Fund Guide'!$B$1:$B$4)),MATCH($E44,OFFSET('Fund Guide'!$B$4,1,,COUNTA('Fund Guide'!$B:$B)-COUNTA('Fund Guide'!$B$1:$B$4)),0)),"-"))</f>
        <v>-</v>
      </c>
      <c r="R44" s="481" t="str">
        <f ca="1">IF($E44="", "", IFERROR(INDEX(OFFSET('Fund Guide'!$B$4,1,MATCH(R$12,OFFSET('Fund Guide'!$B$4,,,,COUNTA('Fund Guide'!16:16)),0)-1,COUNTA('Fund Guide'!$B:$B)-COUNTA('Fund Guide'!$B$1:$B$4)),MATCH($E44,OFFSET('Fund Guide'!$B$4,1,,COUNTA('Fund Guide'!$B:$B)-COUNTA('Fund Guide'!$B$1:$B$4)),0)),"-"))</f>
        <v>-</v>
      </c>
      <c r="S44" s="480" t="str">
        <f ca="1">IF($E44="", "", IFERROR(INDEX(OFFSET('Fund Guide'!$B$4,1,MATCH(S$12,OFFSET('Fund Guide'!$B$4,,,,COUNTA('Fund Guide'!16:16)),0)-1,COUNTA('Fund Guide'!$B:$B)-COUNTA('Fund Guide'!$B$1:$B$4)),MATCH($E44,OFFSET('Fund Guide'!$B$4,1,,COUNTA('Fund Guide'!$B:$B)-COUNTA('Fund Guide'!$B$1:$B$4)),0)),"-"))</f>
        <v>-</v>
      </c>
      <c r="T44" s="481" t="str">
        <f ca="1">IF($E44="", "", IFERROR(INDEX(OFFSET('Fund Guide'!$B$4,1,MATCH(T$12,OFFSET('Fund Guide'!$B$4,,,,COUNTA('Fund Guide'!16:16)),0)-1,COUNTA('Fund Guide'!$B:$B)-COUNTA('Fund Guide'!$B$1:$B$4)),MATCH($E44,OFFSET('Fund Guide'!$B$4,1,,COUNTA('Fund Guide'!$B:$B)-COUNTA('Fund Guide'!$B$1:$B$4)),0)),"-"))</f>
        <v>-</v>
      </c>
      <c r="U44" s="480" t="str">
        <f ca="1">IF($E44="", "", IFERROR(INDEX(OFFSET('Fund Guide'!$B$4,1,MATCH(U$12,OFFSET('Fund Guide'!$B$4,,,,COUNTA('Fund Guide'!16:16)),0)-1,COUNTA('Fund Guide'!$B:$B)-COUNTA('Fund Guide'!$B$1:$B$4)),MATCH($E44,OFFSET('Fund Guide'!$B$4,1,,COUNTA('Fund Guide'!$B:$B)-COUNTA('Fund Guide'!$B$1:$B$4)),0)),"-"))</f>
        <v>-</v>
      </c>
      <c r="V44" s="481" t="str">
        <f ca="1">IF($E44="", "", IFERROR(INDEX(OFFSET('Fund Guide'!$B$4,1,MATCH(V$12,OFFSET('Fund Guide'!$B$4,,,,COUNTA('Fund Guide'!16:16)),0)-1,COUNTA('Fund Guide'!$B:$B)-COUNTA('Fund Guide'!$B$1:$B$4)),MATCH($E44,OFFSET('Fund Guide'!$B$4,1,,COUNTA('Fund Guide'!$B:$B)-COUNTA('Fund Guide'!$B$1:$B$4)),0)),"-"))</f>
        <v>-</v>
      </c>
      <c r="W44" s="482" t="str">
        <f ca="1">IF($E44="", "", IFERROR(INDEX(OFFSET('Fund Guide'!$B$4,1,MATCH(W$12,OFFSET('Fund Guide'!$B$4,,,,COUNTA('Fund Guide'!16:16)),0)-1,COUNTA('Fund Guide'!$B:$B)-COUNTA('Fund Guide'!$B$1:$B$4)),MATCH($E44,OFFSET('Fund Guide'!$B$4,1,,COUNTA('Fund Guide'!$B:$B)-COUNTA('Fund Guide'!$B$1:$B$4)),0)),"-"))</f>
        <v>-</v>
      </c>
      <c r="X44" s="483" t="str">
        <f ca="1">IF($E44="", "", IFERROR(INDEX(OFFSET('Fund Guide'!$B$4,1,MATCH(X$12,OFFSET('Fund Guide'!$B$4,,,,COUNTA('Fund Guide'!16:16)),0)-1,COUNTA('Fund Guide'!$B:$B)-COUNTA('Fund Guide'!$B$1:$B$4)),MATCH($E44,OFFSET('Fund Guide'!$B$4,1,,COUNTA('Fund Guide'!$B:$B)-COUNTA('Fund Guide'!$B$1:$B$4)),0)),"-"))</f>
        <v>-</v>
      </c>
      <c r="Z44" s="484"/>
      <c r="AA44" s="484"/>
      <c r="AB44" s="478"/>
    </row>
    <row r="45" spans="2:28" s="477" customFormat="1" ht="15" customHeight="1">
      <c r="B45" s="472"/>
      <c r="C45" s="472"/>
      <c r="D45" s="472"/>
      <c r="E45" s="496" t="s">
        <v>1975</v>
      </c>
      <c r="F45" s="473" t="str">
        <f ca="1">IF($E45="", "", IFERROR(INDEX(OFFSET('Fund Guide'!$B$4,1,MATCH(F$12,OFFSET('Fund Guide'!$B$4,,,,COUNTA('Fund Guide'!17:17)),0)-1,COUNTA('Fund Guide'!$B:$B)-COUNTA('Fund Guide'!$B$1:$B$4)),MATCH($E45,OFFSET('Fund Guide'!$B$4,1,,COUNTA('Fund Guide'!$B:$B)-COUNTA('Fund Guide'!$B$1:$B$4)),0)),"-"))</f>
        <v>-</v>
      </c>
      <c r="G45" s="474" t="str">
        <f ca="1">IF($E45="", "", IFERROR(INDEX(OFFSET('Fund Guide'!$B$4,1,MATCH(G$12,OFFSET('Fund Guide'!$B$4,,,,COUNTA('Fund Guide'!17:17)),0)-1,COUNTA('Fund Guide'!$B:$B)-COUNTA('Fund Guide'!$B$1:$B$4)),MATCH($E45,OFFSET('Fund Guide'!$B$4,1,,COUNTA('Fund Guide'!$B:$B)-COUNTA('Fund Guide'!$B$1:$B$4)),0)),"-"))</f>
        <v>-</v>
      </c>
      <c r="H45" s="475" t="str">
        <f ca="1">IF($E45="", "", IFERROR(INDEX(OFFSET('Fund Guide'!$B$4,1,MATCH(H$12,OFFSET('Fund Guide'!$B$4,,,,COUNTA('Fund Guide'!17:17)),0)-1,COUNTA('Fund Guide'!$B:$B)-COUNTA('Fund Guide'!$B$1:$B$4)),MATCH($E45,OFFSET('Fund Guide'!$B$4,1,,COUNTA('Fund Guide'!$B:$B)-COUNTA('Fund Guide'!$B$1:$B$4)),0)),"-"))</f>
        <v>-</v>
      </c>
      <c r="I45" s="476" t="str">
        <f ca="1">IF($E45="", "", IFERROR(INDEX(OFFSET('Fund Guide'!$B$4,1,MATCH(I$12,OFFSET('Fund Guide'!$B$4,,,,COUNTA('Fund Guide'!17:17)),0)-1,COUNTA('Fund Guide'!$B:$B)-COUNTA('Fund Guide'!$B$1:$B$4)),MATCH($E45,OFFSET('Fund Guide'!$B$4,1,,COUNTA('Fund Guide'!$B:$B)-COUNTA('Fund Guide'!$B$1:$B$4)),0)),"-"))</f>
        <v>-</v>
      </c>
      <c r="K45" s="581">
        <f>IF(OR($L$7=0, L45=0), "", L45*$L$7)</f>
        <v>580000</v>
      </c>
      <c r="L45" s="478">
        <v>0.02</v>
      </c>
      <c r="M45" s="479">
        <f>IFERROR(IF(L45=0, "", L45/L$43),0)</f>
        <v>0.5</v>
      </c>
      <c r="O45" s="480" t="str">
        <f ca="1">IF($E45="", "", IFERROR(INDEX(OFFSET('Fund Guide'!$B$4,1,MATCH(O$12,OFFSET('Fund Guide'!$B$4,,,,COUNTA('Fund Guide'!17:17)),0)-1,COUNTA('Fund Guide'!$B:$B)-COUNTA('Fund Guide'!$B$1:$B$4)),MATCH($E45,OFFSET('Fund Guide'!$B$4,1,,COUNTA('Fund Guide'!$B:$B)-COUNTA('Fund Guide'!$B$1:$B$4)),0)),"-"))</f>
        <v>-</v>
      </c>
      <c r="P45" s="481" t="str">
        <f ca="1">IF($E45="", "", IFERROR(INDEX(OFFSET('Fund Guide'!$B$4,1,MATCH(P$12,OFFSET('Fund Guide'!$B$4,,,,COUNTA('Fund Guide'!17:17)),0)-1,COUNTA('Fund Guide'!$B:$B)-COUNTA('Fund Guide'!$B$1:$B$4)),MATCH($E45,OFFSET('Fund Guide'!$B$4,1,,COUNTA('Fund Guide'!$B:$B)-COUNTA('Fund Guide'!$B$1:$B$4)),0)),"-"))</f>
        <v>-</v>
      </c>
      <c r="Q45" s="480" t="str">
        <f ca="1">IF($E45="", "", IFERROR(INDEX(OFFSET('Fund Guide'!$B$4,1,MATCH(Q$12,OFFSET('Fund Guide'!$B$4,,,,COUNTA('Fund Guide'!17:17)),0)-1,COUNTA('Fund Guide'!$B:$B)-COUNTA('Fund Guide'!$B$1:$B$4)),MATCH($E45,OFFSET('Fund Guide'!$B$4,1,,COUNTA('Fund Guide'!$B:$B)-COUNTA('Fund Guide'!$B$1:$B$4)),0)),"-"))</f>
        <v>-</v>
      </c>
      <c r="R45" s="481" t="str">
        <f ca="1">IF($E45="", "", IFERROR(INDEX(OFFSET('Fund Guide'!$B$4,1,MATCH(R$12,OFFSET('Fund Guide'!$B$4,,,,COUNTA('Fund Guide'!17:17)),0)-1,COUNTA('Fund Guide'!$B:$B)-COUNTA('Fund Guide'!$B$1:$B$4)),MATCH($E45,OFFSET('Fund Guide'!$B$4,1,,COUNTA('Fund Guide'!$B:$B)-COUNTA('Fund Guide'!$B$1:$B$4)),0)),"-"))</f>
        <v>-</v>
      </c>
      <c r="S45" s="480" t="str">
        <f ca="1">IF($E45="", "", IFERROR(INDEX(OFFSET('Fund Guide'!$B$4,1,MATCH(S$12,OFFSET('Fund Guide'!$B$4,,,,COUNTA('Fund Guide'!17:17)),0)-1,COUNTA('Fund Guide'!$B:$B)-COUNTA('Fund Guide'!$B$1:$B$4)),MATCH($E45,OFFSET('Fund Guide'!$B$4,1,,COUNTA('Fund Guide'!$B:$B)-COUNTA('Fund Guide'!$B$1:$B$4)),0)),"-"))</f>
        <v>-</v>
      </c>
      <c r="T45" s="481" t="str">
        <f ca="1">IF($E45="", "", IFERROR(INDEX(OFFSET('Fund Guide'!$B$4,1,MATCH(T$12,OFFSET('Fund Guide'!$B$4,,,,COUNTA('Fund Guide'!17:17)),0)-1,COUNTA('Fund Guide'!$B:$B)-COUNTA('Fund Guide'!$B$1:$B$4)),MATCH($E45,OFFSET('Fund Guide'!$B$4,1,,COUNTA('Fund Guide'!$B:$B)-COUNTA('Fund Guide'!$B$1:$B$4)),0)),"-"))</f>
        <v>-</v>
      </c>
      <c r="U45" s="480" t="str">
        <f ca="1">IF($E45="", "", IFERROR(INDEX(OFFSET('Fund Guide'!$B$4,1,MATCH(U$12,OFFSET('Fund Guide'!$B$4,,,,COUNTA('Fund Guide'!17:17)),0)-1,COUNTA('Fund Guide'!$B:$B)-COUNTA('Fund Guide'!$B$1:$B$4)),MATCH($E45,OFFSET('Fund Guide'!$B$4,1,,COUNTA('Fund Guide'!$B:$B)-COUNTA('Fund Guide'!$B$1:$B$4)),0)),"-"))</f>
        <v>-</v>
      </c>
      <c r="V45" s="481" t="str">
        <f ca="1">IF($E45="", "", IFERROR(INDEX(OFFSET('Fund Guide'!$B$4,1,MATCH(V$12,OFFSET('Fund Guide'!$B$4,,,,COUNTA('Fund Guide'!17:17)),0)-1,COUNTA('Fund Guide'!$B:$B)-COUNTA('Fund Guide'!$B$1:$B$4)),MATCH($E45,OFFSET('Fund Guide'!$B$4,1,,COUNTA('Fund Guide'!$B:$B)-COUNTA('Fund Guide'!$B$1:$B$4)),0)),"-"))</f>
        <v>-</v>
      </c>
      <c r="W45" s="482" t="str">
        <f ca="1">IF($E45="", "", IFERROR(INDEX(OFFSET('Fund Guide'!$B$4,1,MATCH(W$12,OFFSET('Fund Guide'!$B$4,,,,COUNTA('Fund Guide'!17:17)),0)-1,COUNTA('Fund Guide'!$B:$B)-COUNTA('Fund Guide'!$B$1:$B$4)),MATCH($E45,OFFSET('Fund Guide'!$B$4,1,,COUNTA('Fund Guide'!$B:$B)-COUNTA('Fund Guide'!$B$1:$B$4)),0)),"-"))</f>
        <v>-</v>
      </c>
      <c r="X45" s="483" t="str">
        <f ca="1">IF($E45="", "", IFERROR(INDEX(OFFSET('Fund Guide'!$B$4,1,MATCH(X$12,OFFSET('Fund Guide'!$B$4,,,,COUNTA('Fund Guide'!17:17)),0)-1,COUNTA('Fund Guide'!$B:$B)-COUNTA('Fund Guide'!$B$1:$B$4)),MATCH($E45,OFFSET('Fund Guide'!$B$4,1,,COUNTA('Fund Guide'!$B:$B)-COUNTA('Fund Guide'!$B$1:$B$4)),0)),"-"))</f>
        <v>-</v>
      </c>
      <c r="Z45" s="484"/>
      <c r="AA45" s="484"/>
      <c r="AB45" s="478"/>
    </row>
    <row r="46" spans="2:28" s="513" customFormat="1" ht="5.25" customHeight="1">
      <c r="B46" s="509"/>
      <c r="C46" s="509"/>
      <c r="D46" s="509"/>
      <c r="E46" s="510"/>
      <c r="F46" s="511"/>
      <c r="G46" s="511"/>
      <c r="H46" s="512"/>
      <c r="I46" s="512"/>
      <c r="K46" s="582"/>
      <c r="O46" s="512"/>
      <c r="Q46" s="512"/>
      <c r="S46" s="512"/>
      <c r="U46" s="512"/>
      <c r="W46" s="512"/>
      <c r="Z46" s="512"/>
    </row>
    <row r="47" spans="2:28" s="282" customFormat="1" ht="14.25" customHeight="1">
      <c r="B47" s="485"/>
      <c r="C47" s="485" t="s">
        <v>20</v>
      </c>
      <c r="D47" s="485" t="s">
        <v>20</v>
      </c>
      <c r="E47" s="491" t="s">
        <v>1009</v>
      </c>
      <c r="F47" s="492"/>
      <c r="G47" s="492"/>
      <c r="H47" s="493"/>
      <c r="I47" s="493"/>
      <c r="K47" s="580">
        <f>K49+K53+K57</f>
        <v>1450000</v>
      </c>
      <c r="L47" s="494">
        <v>0.05</v>
      </c>
      <c r="M47" s="495">
        <f>M49+M53+M57</f>
        <v>0.05</v>
      </c>
      <c r="O47" s="493"/>
      <c r="P47" s="495"/>
      <c r="Q47" s="493"/>
      <c r="R47" s="495"/>
      <c r="S47" s="493"/>
      <c r="T47" s="495"/>
      <c r="U47" s="493"/>
      <c r="V47" s="495"/>
      <c r="W47" s="493"/>
      <c r="X47" s="495"/>
      <c r="Z47" s="493"/>
      <c r="AA47" s="495"/>
      <c r="AB47" s="495"/>
    </row>
    <row r="48" spans="2:28" s="513" customFormat="1" ht="3" customHeight="1">
      <c r="B48" s="509"/>
      <c r="C48" s="509"/>
      <c r="D48" s="509"/>
      <c r="E48" s="510"/>
      <c r="F48" s="511"/>
      <c r="G48" s="511"/>
      <c r="H48" s="512"/>
      <c r="I48" s="512"/>
      <c r="K48" s="582"/>
      <c r="L48" s="514"/>
      <c r="O48" s="512"/>
      <c r="Q48" s="512"/>
      <c r="S48" s="512"/>
      <c r="U48" s="512"/>
      <c r="W48" s="512"/>
      <c r="Z48" s="512"/>
    </row>
    <row r="49" spans="2:28" s="282" customFormat="1" ht="14.25" customHeight="1">
      <c r="B49" s="485"/>
      <c r="C49" s="485"/>
      <c r="D49" s="485" t="s">
        <v>20</v>
      </c>
      <c r="E49" s="486" t="s">
        <v>1892</v>
      </c>
      <c r="F49" s="487"/>
      <c r="G49" s="487"/>
      <c r="H49" s="488"/>
      <c r="I49" s="488"/>
      <c r="K49" s="583">
        <f>IF( SUM(K50:K52)=0, 0, SUM(K50:K52))</f>
        <v>1015000.0000000001</v>
      </c>
      <c r="L49" s="489">
        <v>3.5000000000000003E-2</v>
      </c>
      <c r="M49" s="490">
        <f>IF(L49=0, 0, SUM(M50:M52)*L49)</f>
        <v>3.5000000000000003E-2</v>
      </c>
      <c r="O49" s="488"/>
      <c r="P49" s="490"/>
      <c r="Q49" s="488"/>
      <c r="R49" s="490"/>
      <c r="S49" s="488"/>
      <c r="T49" s="490"/>
      <c r="U49" s="488"/>
      <c r="V49" s="490"/>
      <c r="W49" s="488"/>
      <c r="X49" s="490"/>
      <c r="Z49" s="488"/>
      <c r="AA49" s="490"/>
      <c r="AB49" s="490"/>
    </row>
    <row r="50" spans="2:28" s="477" customFormat="1" ht="14.25" customHeight="1">
      <c r="B50" s="472"/>
      <c r="C50" s="472"/>
      <c r="D50" s="472"/>
      <c r="E50" s="496" t="s">
        <v>1920</v>
      </c>
      <c r="F50" s="473" t="str">
        <f ca="1">IF($E50="", "", IFERROR(INDEX(OFFSET('Fund Guide'!$B$4,1,MATCH(F$12,OFFSET('Fund Guide'!$B$4,,,,COUNTA('Fund Guide'!20:20)),0)-1,COUNTA('Fund Guide'!$B:$B)-COUNTA('Fund Guide'!$B$1:$B$4)),MATCH($E50,OFFSET('Fund Guide'!$B$4,1,,COUNTA('Fund Guide'!$B:$B)-COUNTA('Fund Guide'!$B$1:$B$4)),0)),"-"))</f>
        <v>-</v>
      </c>
      <c r="G50" s="474" t="str">
        <f ca="1">IF($E50="", "", IFERROR(INDEX(OFFSET('Fund Guide'!$B$4,1,MATCH(G$12,OFFSET('Fund Guide'!$B$4,,,,COUNTA('Fund Guide'!20:20)),0)-1,COUNTA('Fund Guide'!$B:$B)-COUNTA('Fund Guide'!$B$1:$B$4)),MATCH($E50,OFFSET('Fund Guide'!$B$4,1,,COUNTA('Fund Guide'!$B:$B)-COUNTA('Fund Guide'!$B$1:$B$4)),0)),"-"))</f>
        <v>-</v>
      </c>
      <c r="H50" s="475" t="str">
        <f ca="1">IF($E50="", "", IFERROR(INDEX(OFFSET('Fund Guide'!$B$4,1,MATCH(H$12,OFFSET('Fund Guide'!$B$4,,,,COUNTA('Fund Guide'!20:20)),0)-1,COUNTA('Fund Guide'!$B:$B)-COUNTA('Fund Guide'!$B$1:$B$4)),MATCH($E50,OFFSET('Fund Guide'!$B$4,1,,COUNTA('Fund Guide'!$B:$B)-COUNTA('Fund Guide'!$B$1:$B$4)),0)),"-"))</f>
        <v>-</v>
      </c>
      <c r="I50" s="476" t="str">
        <f ca="1">IF($E50="", "", IFERROR(INDEX(OFFSET('Fund Guide'!$B$4,1,MATCH(I$12,OFFSET('Fund Guide'!$B$4,,,,COUNTA('Fund Guide'!20:20)),0)-1,COUNTA('Fund Guide'!$B:$B)-COUNTA('Fund Guide'!$B$1:$B$4)),MATCH($E50,OFFSET('Fund Guide'!$B$4,1,,COUNTA('Fund Guide'!$B:$B)-COUNTA('Fund Guide'!$B$1:$B$4)),0)),"-"))</f>
        <v>-</v>
      </c>
      <c r="K50" s="581">
        <f>IF(OR($L$7=0, L50=0), "", L50*$L$7)</f>
        <v>507500.00000000006</v>
      </c>
      <c r="L50" s="478">
        <v>1.7500000000000002E-2</v>
      </c>
      <c r="M50" s="479">
        <f>IFERROR(IF(L50=0, "", L50/L$49),0)</f>
        <v>0.5</v>
      </c>
      <c r="O50" s="480" t="str">
        <f ca="1">IF($E50="", "", IFERROR(INDEX(OFFSET('Fund Guide'!$B$4,1,MATCH(O$12,OFFSET('Fund Guide'!$B$4,,,,COUNTA('Fund Guide'!20:20)),0)-1,COUNTA('Fund Guide'!$B:$B)-COUNTA('Fund Guide'!$B$1:$B$4)),MATCH($E50,OFFSET('Fund Guide'!$B$4,1,,COUNTA('Fund Guide'!$B:$B)-COUNTA('Fund Guide'!$B$1:$B$4)),0)),"-"))</f>
        <v>-</v>
      </c>
      <c r="P50" s="481" t="str">
        <f ca="1">IF($E50="", "", IFERROR(INDEX(OFFSET('Fund Guide'!$B$4,1,MATCH(P$12,OFFSET('Fund Guide'!$B$4,,,,COUNTA('Fund Guide'!20:20)),0)-1,COUNTA('Fund Guide'!$B:$B)-COUNTA('Fund Guide'!$B$1:$B$4)),MATCH($E50,OFFSET('Fund Guide'!$B$4,1,,COUNTA('Fund Guide'!$B:$B)-COUNTA('Fund Guide'!$B$1:$B$4)),0)),"-"))</f>
        <v>-</v>
      </c>
      <c r="Q50" s="480" t="str">
        <f ca="1">IF($E50="", "", IFERROR(INDEX(OFFSET('Fund Guide'!$B$4,1,MATCH(Q$12,OFFSET('Fund Guide'!$B$4,,,,COUNTA('Fund Guide'!20:20)),0)-1,COUNTA('Fund Guide'!$B:$B)-COUNTA('Fund Guide'!$B$1:$B$4)),MATCH($E50,OFFSET('Fund Guide'!$B$4,1,,COUNTA('Fund Guide'!$B:$B)-COUNTA('Fund Guide'!$B$1:$B$4)),0)),"-"))</f>
        <v>-</v>
      </c>
      <c r="R50" s="481" t="str">
        <f ca="1">IF($E50="", "", IFERROR(INDEX(OFFSET('Fund Guide'!$B$4,1,MATCH(R$12,OFFSET('Fund Guide'!$B$4,,,,COUNTA('Fund Guide'!20:20)),0)-1,COUNTA('Fund Guide'!$B:$B)-COUNTA('Fund Guide'!$B$1:$B$4)),MATCH($E50,OFFSET('Fund Guide'!$B$4,1,,COUNTA('Fund Guide'!$B:$B)-COUNTA('Fund Guide'!$B$1:$B$4)),0)),"-"))</f>
        <v>-</v>
      </c>
      <c r="S50" s="480" t="str">
        <f ca="1">IF($E50="", "", IFERROR(INDEX(OFFSET('Fund Guide'!$B$4,1,MATCH(S$12,OFFSET('Fund Guide'!$B$4,,,,COUNTA('Fund Guide'!20:20)),0)-1,COUNTA('Fund Guide'!$B:$B)-COUNTA('Fund Guide'!$B$1:$B$4)),MATCH($E50,OFFSET('Fund Guide'!$B$4,1,,COUNTA('Fund Guide'!$B:$B)-COUNTA('Fund Guide'!$B$1:$B$4)),0)),"-"))</f>
        <v>-</v>
      </c>
      <c r="T50" s="481" t="str">
        <f ca="1">IF($E50="", "", IFERROR(INDEX(OFFSET('Fund Guide'!$B$4,1,MATCH(T$12,OFFSET('Fund Guide'!$B$4,,,,COUNTA('Fund Guide'!20:20)),0)-1,COUNTA('Fund Guide'!$B:$B)-COUNTA('Fund Guide'!$B$1:$B$4)),MATCH($E50,OFFSET('Fund Guide'!$B$4,1,,COUNTA('Fund Guide'!$B:$B)-COUNTA('Fund Guide'!$B$1:$B$4)),0)),"-"))</f>
        <v>-</v>
      </c>
      <c r="U50" s="480" t="str">
        <f ca="1">IF($E50="", "", IFERROR(INDEX(OFFSET('Fund Guide'!$B$4,1,MATCH(U$12,OFFSET('Fund Guide'!$B$4,,,,COUNTA('Fund Guide'!20:20)),0)-1,COUNTA('Fund Guide'!$B:$B)-COUNTA('Fund Guide'!$B$1:$B$4)),MATCH($E50,OFFSET('Fund Guide'!$B$4,1,,COUNTA('Fund Guide'!$B:$B)-COUNTA('Fund Guide'!$B$1:$B$4)),0)),"-"))</f>
        <v>-</v>
      </c>
      <c r="V50" s="481" t="str">
        <f ca="1">IF($E50="", "", IFERROR(INDEX(OFFSET('Fund Guide'!$B$4,1,MATCH(V$12,OFFSET('Fund Guide'!$B$4,,,,COUNTA('Fund Guide'!20:20)),0)-1,COUNTA('Fund Guide'!$B:$B)-COUNTA('Fund Guide'!$B$1:$B$4)),MATCH($E50,OFFSET('Fund Guide'!$B$4,1,,COUNTA('Fund Guide'!$B:$B)-COUNTA('Fund Guide'!$B$1:$B$4)),0)),"-"))</f>
        <v>-</v>
      </c>
      <c r="W50" s="482" t="str">
        <f ca="1">IF($E50="", "", IFERROR(INDEX(OFFSET('Fund Guide'!$B$4,1,MATCH(W$12,OFFSET('Fund Guide'!$B$4,,,,COUNTA('Fund Guide'!20:20)),0)-1,COUNTA('Fund Guide'!$B:$B)-COUNTA('Fund Guide'!$B$1:$B$4)),MATCH($E50,OFFSET('Fund Guide'!$B$4,1,,COUNTA('Fund Guide'!$B:$B)-COUNTA('Fund Guide'!$B$1:$B$4)),0)),"-"))</f>
        <v>-</v>
      </c>
      <c r="X50" s="483" t="str">
        <f ca="1">IF($E50="", "", IFERROR(INDEX(OFFSET('Fund Guide'!$B$4,1,MATCH(X$12,OFFSET('Fund Guide'!$B$4,,,,COUNTA('Fund Guide'!20:20)),0)-1,COUNTA('Fund Guide'!$B:$B)-COUNTA('Fund Guide'!$B$1:$B$4)),MATCH($E50,OFFSET('Fund Guide'!$B$4,1,,COUNTA('Fund Guide'!$B:$B)-COUNTA('Fund Guide'!$B$1:$B$4)),0)),"-"))</f>
        <v>-</v>
      </c>
      <c r="Z50" s="484"/>
      <c r="AA50" s="484"/>
      <c r="AB50" s="478"/>
    </row>
    <row r="51" spans="2:28" s="477" customFormat="1" ht="14.25" customHeight="1">
      <c r="B51" s="472"/>
      <c r="C51" s="472"/>
      <c r="D51" s="472"/>
      <c r="E51" s="496" t="s">
        <v>1921</v>
      </c>
      <c r="F51" s="473" t="str">
        <f ca="1">IF($E51="", "", IFERROR(INDEX(OFFSET('Fund Guide'!$B$4,1,MATCH(F$12,OFFSET('Fund Guide'!$B$4,,,,COUNTA('Fund Guide'!21:21)),0)-1,COUNTA('Fund Guide'!$B:$B)-COUNTA('Fund Guide'!$B$1:$B$4)),MATCH($E51,OFFSET('Fund Guide'!$B$4,1,,COUNTA('Fund Guide'!$B:$B)-COUNTA('Fund Guide'!$B$1:$B$4)),0)),"-"))</f>
        <v>-</v>
      </c>
      <c r="G51" s="474" t="str">
        <f ca="1">IF($E51="", "", IFERROR(INDEX(OFFSET('Fund Guide'!$B$4,1,MATCH(G$12,OFFSET('Fund Guide'!$B$4,,,,COUNTA('Fund Guide'!21:21)),0)-1,COUNTA('Fund Guide'!$B:$B)-COUNTA('Fund Guide'!$B$1:$B$4)),MATCH($E51,OFFSET('Fund Guide'!$B$4,1,,COUNTA('Fund Guide'!$B:$B)-COUNTA('Fund Guide'!$B$1:$B$4)),0)),"-"))</f>
        <v>-</v>
      </c>
      <c r="H51" s="475" t="str">
        <f ca="1">IF($E51="", "", IFERROR(INDEX(OFFSET('Fund Guide'!$B$4,1,MATCH(H$12,OFFSET('Fund Guide'!$B$4,,,,COUNTA('Fund Guide'!21:21)),0)-1,COUNTA('Fund Guide'!$B:$B)-COUNTA('Fund Guide'!$B$1:$B$4)),MATCH($E51,OFFSET('Fund Guide'!$B$4,1,,COUNTA('Fund Guide'!$B:$B)-COUNTA('Fund Guide'!$B$1:$B$4)),0)),"-"))</f>
        <v>-</v>
      </c>
      <c r="I51" s="476" t="str">
        <f ca="1">IF($E51="", "", IFERROR(INDEX(OFFSET('Fund Guide'!$B$4,1,MATCH(I$12,OFFSET('Fund Guide'!$B$4,,,,COUNTA('Fund Guide'!21:21)),0)-1,COUNTA('Fund Guide'!$B:$B)-COUNTA('Fund Guide'!$B$1:$B$4)),MATCH($E51,OFFSET('Fund Guide'!$B$4,1,,COUNTA('Fund Guide'!$B:$B)-COUNTA('Fund Guide'!$B$1:$B$4)),0)),"-"))</f>
        <v>-</v>
      </c>
      <c r="K51" s="581">
        <f>IF(OR($L$7=0, L51=0), "", L51*$L$7)</f>
        <v>507500.00000000006</v>
      </c>
      <c r="L51" s="478">
        <v>1.7500000000000002E-2</v>
      </c>
      <c r="M51" s="479">
        <f>IFERROR(IF(L51=0, "", L51/L$49),0)</f>
        <v>0.5</v>
      </c>
      <c r="O51" s="480" t="str">
        <f ca="1">IF($E51="", "", IFERROR(INDEX(OFFSET('Fund Guide'!$B$4,1,MATCH(O$12,OFFSET('Fund Guide'!$B$4,,,,COUNTA('Fund Guide'!21:21)),0)-1,COUNTA('Fund Guide'!$B:$B)-COUNTA('Fund Guide'!$B$1:$B$4)),MATCH($E51,OFFSET('Fund Guide'!$B$4,1,,COUNTA('Fund Guide'!$B:$B)-COUNTA('Fund Guide'!$B$1:$B$4)),0)),"-"))</f>
        <v>-</v>
      </c>
      <c r="P51" s="481" t="str">
        <f ca="1">IF($E51="", "", IFERROR(INDEX(OFFSET('Fund Guide'!$B$4,1,MATCH(P$12,OFFSET('Fund Guide'!$B$4,,,,COUNTA('Fund Guide'!21:21)),0)-1,COUNTA('Fund Guide'!$B:$B)-COUNTA('Fund Guide'!$B$1:$B$4)),MATCH($E51,OFFSET('Fund Guide'!$B$4,1,,COUNTA('Fund Guide'!$B:$B)-COUNTA('Fund Guide'!$B$1:$B$4)),0)),"-"))</f>
        <v>-</v>
      </c>
      <c r="Q51" s="480" t="str">
        <f ca="1">IF($E51="", "", IFERROR(INDEX(OFFSET('Fund Guide'!$B$4,1,MATCH(Q$12,OFFSET('Fund Guide'!$B$4,,,,COUNTA('Fund Guide'!21:21)),0)-1,COUNTA('Fund Guide'!$B:$B)-COUNTA('Fund Guide'!$B$1:$B$4)),MATCH($E51,OFFSET('Fund Guide'!$B$4,1,,COUNTA('Fund Guide'!$B:$B)-COUNTA('Fund Guide'!$B$1:$B$4)),0)),"-"))</f>
        <v>-</v>
      </c>
      <c r="R51" s="481" t="str">
        <f ca="1">IF($E51="", "", IFERROR(INDEX(OFFSET('Fund Guide'!$B$4,1,MATCH(R$12,OFFSET('Fund Guide'!$B$4,,,,COUNTA('Fund Guide'!21:21)),0)-1,COUNTA('Fund Guide'!$B:$B)-COUNTA('Fund Guide'!$B$1:$B$4)),MATCH($E51,OFFSET('Fund Guide'!$B$4,1,,COUNTA('Fund Guide'!$B:$B)-COUNTA('Fund Guide'!$B$1:$B$4)),0)),"-"))</f>
        <v>-</v>
      </c>
      <c r="S51" s="480" t="str">
        <f ca="1">IF($E51="", "", IFERROR(INDEX(OFFSET('Fund Guide'!$B$4,1,MATCH(S$12,OFFSET('Fund Guide'!$B$4,,,,COUNTA('Fund Guide'!21:21)),0)-1,COUNTA('Fund Guide'!$B:$B)-COUNTA('Fund Guide'!$B$1:$B$4)),MATCH($E51,OFFSET('Fund Guide'!$B$4,1,,COUNTA('Fund Guide'!$B:$B)-COUNTA('Fund Guide'!$B$1:$B$4)),0)),"-"))</f>
        <v>-</v>
      </c>
      <c r="T51" s="481" t="str">
        <f ca="1">IF($E51="", "", IFERROR(INDEX(OFFSET('Fund Guide'!$B$4,1,MATCH(T$12,OFFSET('Fund Guide'!$B$4,,,,COUNTA('Fund Guide'!21:21)),0)-1,COUNTA('Fund Guide'!$B:$B)-COUNTA('Fund Guide'!$B$1:$B$4)),MATCH($E51,OFFSET('Fund Guide'!$B$4,1,,COUNTA('Fund Guide'!$B:$B)-COUNTA('Fund Guide'!$B$1:$B$4)),0)),"-"))</f>
        <v>-</v>
      </c>
      <c r="U51" s="480" t="str">
        <f ca="1">IF($E51="", "", IFERROR(INDEX(OFFSET('Fund Guide'!$B$4,1,MATCH(U$12,OFFSET('Fund Guide'!$B$4,,,,COUNTA('Fund Guide'!21:21)),0)-1,COUNTA('Fund Guide'!$B:$B)-COUNTA('Fund Guide'!$B$1:$B$4)),MATCH($E51,OFFSET('Fund Guide'!$B$4,1,,COUNTA('Fund Guide'!$B:$B)-COUNTA('Fund Guide'!$B$1:$B$4)),0)),"-"))</f>
        <v>-</v>
      </c>
      <c r="V51" s="481" t="str">
        <f ca="1">IF($E51="", "", IFERROR(INDEX(OFFSET('Fund Guide'!$B$4,1,MATCH(V$12,OFFSET('Fund Guide'!$B$4,,,,COUNTA('Fund Guide'!21:21)),0)-1,COUNTA('Fund Guide'!$B:$B)-COUNTA('Fund Guide'!$B$1:$B$4)),MATCH($E51,OFFSET('Fund Guide'!$B$4,1,,COUNTA('Fund Guide'!$B:$B)-COUNTA('Fund Guide'!$B$1:$B$4)),0)),"-"))</f>
        <v>-</v>
      </c>
      <c r="W51" s="482" t="str">
        <f ca="1">IF($E51="", "", IFERROR(INDEX(OFFSET('Fund Guide'!$B$4,1,MATCH(W$12,OFFSET('Fund Guide'!$B$4,,,,COUNTA('Fund Guide'!21:21)),0)-1,COUNTA('Fund Guide'!$B:$B)-COUNTA('Fund Guide'!$B$1:$B$4)),MATCH($E51,OFFSET('Fund Guide'!$B$4,1,,COUNTA('Fund Guide'!$B:$B)-COUNTA('Fund Guide'!$B$1:$B$4)),0)),"-"))</f>
        <v>-</v>
      </c>
      <c r="X51" s="483" t="str">
        <f ca="1">IF($E51="", "", IFERROR(INDEX(OFFSET('Fund Guide'!$B$4,1,MATCH(X$12,OFFSET('Fund Guide'!$B$4,,,,COUNTA('Fund Guide'!21:21)),0)-1,COUNTA('Fund Guide'!$B:$B)-COUNTA('Fund Guide'!$B$1:$B$4)),MATCH($E51,OFFSET('Fund Guide'!$B$4,1,,COUNTA('Fund Guide'!$B:$B)-COUNTA('Fund Guide'!$B$1:$B$4)),0)),"-"))</f>
        <v>-</v>
      </c>
      <c r="Z51" s="484"/>
      <c r="AA51" s="484"/>
      <c r="AB51" s="478"/>
    </row>
    <row r="52" spans="2:28" s="385" customFormat="1" ht="4.5" customHeight="1">
      <c r="B52" s="461"/>
      <c r="C52" s="461"/>
      <c r="D52" s="461"/>
      <c r="E52" s="400"/>
      <c r="F52" s="431"/>
      <c r="G52" s="431"/>
      <c r="H52" s="396"/>
      <c r="I52" s="396"/>
      <c r="K52" s="579"/>
      <c r="O52" s="396"/>
      <c r="Q52" s="396"/>
      <c r="S52" s="396"/>
      <c r="U52" s="396"/>
      <c r="W52" s="396"/>
      <c r="Z52" s="396"/>
    </row>
    <row r="53" spans="2:28" s="282" customFormat="1" ht="14.25" customHeight="1">
      <c r="B53" s="485"/>
      <c r="C53" s="485"/>
      <c r="D53" s="485" t="s">
        <v>20</v>
      </c>
      <c r="E53" s="486" t="s">
        <v>1899</v>
      </c>
      <c r="F53" s="487"/>
      <c r="G53" s="487"/>
      <c r="H53" s="488"/>
      <c r="I53" s="488"/>
      <c r="K53" s="583">
        <f>IF( SUM(K54:K56)=0, 0, SUM(K54:K56))</f>
        <v>435000</v>
      </c>
      <c r="L53" s="489">
        <v>1.4999999999999999E-2</v>
      </c>
      <c r="M53" s="490">
        <f>IF(L53=0, 0, SUM(M54:M56)*L53)</f>
        <v>1.4999999999999999E-2</v>
      </c>
      <c r="O53" s="488"/>
      <c r="P53" s="490"/>
      <c r="Q53" s="488"/>
      <c r="R53" s="490"/>
      <c r="S53" s="488"/>
      <c r="T53" s="490"/>
      <c r="U53" s="488"/>
      <c r="V53" s="490"/>
      <c r="W53" s="488"/>
      <c r="X53" s="490"/>
      <c r="Z53" s="488"/>
      <c r="AA53" s="490"/>
      <c r="AB53" s="490"/>
    </row>
    <row r="54" spans="2:28" s="477" customFormat="1" ht="14.25" customHeight="1">
      <c r="B54" s="472"/>
      <c r="C54" s="472"/>
      <c r="D54" s="472"/>
      <c r="E54" s="496" t="s">
        <v>1922</v>
      </c>
      <c r="F54" s="473" t="str">
        <f ca="1">IF($E54="", "", IFERROR(INDEX(OFFSET('Fund Guide'!$B$4,1,MATCH(F$12,OFFSET('Fund Guide'!$B$4,,,,COUNTA('Fund Guide'!24:24)),0)-1,COUNTA('Fund Guide'!$B:$B)-COUNTA('Fund Guide'!$B$1:$B$4)),MATCH($E54,OFFSET('Fund Guide'!$B$4,1,,COUNTA('Fund Guide'!$B:$B)-COUNTA('Fund Guide'!$B$1:$B$4)),0)),"-"))</f>
        <v>-</v>
      </c>
      <c r="G54" s="474" t="str">
        <f ca="1">IF($E54="", "", IFERROR(INDEX(OFFSET('Fund Guide'!$B$4,1,MATCH(G$12,OFFSET('Fund Guide'!$B$4,,,,COUNTA('Fund Guide'!24:24)),0)-1,COUNTA('Fund Guide'!$B:$B)-COUNTA('Fund Guide'!$B$1:$B$4)),MATCH($E54,OFFSET('Fund Guide'!$B$4,1,,COUNTA('Fund Guide'!$B:$B)-COUNTA('Fund Guide'!$B$1:$B$4)),0)),"-"))</f>
        <v>-</v>
      </c>
      <c r="H54" s="475" t="str">
        <f ca="1">IF($E54="", "", IFERROR(INDEX(OFFSET('Fund Guide'!$B$4,1,MATCH(H$12,OFFSET('Fund Guide'!$B$4,,,,COUNTA('Fund Guide'!24:24)),0)-1,COUNTA('Fund Guide'!$B:$B)-COUNTA('Fund Guide'!$B$1:$B$4)),MATCH($E54,OFFSET('Fund Guide'!$B$4,1,,COUNTA('Fund Guide'!$B:$B)-COUNTA('Fund Guide'!$B$1:$B$4)),0)),"-"))</f>
        <v>-</v>
      </c>
      <c r="I54" s="476" t="str">
        <f ca="1">IF($E54="", "", IFERROR(INDEX(OFFSET('Fund Guide'!$B$4,1,MATCH(I$12,OFFSET('Fund Guide'!$B$4,,,,COUNTA('Fund Guide'!24:24)),0)-1,COUNTA('Fund Guide'!$B:$B)-COUNTA('Fund Guide'!$B$1:$B$4)),MATCH($E54,OFFSET('Fund Guide'!$B$4,1,,COUNTA('Fund Guide'!$B:$B)-COUNTA('Fund Guide'!$B$1:$B$4)),0)),"-"))</f>
        <v>-</v>
      </c>
      <c r="K54" s="581">
        <f>IF(OR($L$7=0, L54=0), "", L54*$L$7)</f>
        <v>217500</v>
      </c>
      <c r="L54" s="478">
        <v>7.4999999999999997E-3</v>
      </c>
      <c r="M54" s="479">
        <f>IFERROR(IF(L54=0, "", L54/L$53),0)</f>
        <v>0.5</v>
      </c>
      <c r="O54" s="480" t="str">
        <f ca="1">IF($E54="", "", IFERROR(INDEX(OFFSET('Fund Guide'!$B$4,1,MATCH(O$12,OFFSET('Fund Guide'!$B$4,,,,COUNTA('Fund Guide'!24:24)),0)-1,COUNTA('Fund Guide'!$B:$B)-COUNTA('Fund Guide'!$B$1:$B$4)),MATCH($E54,OFFSET('Fund Guide'!$B$4,1,,COUNTA('Fund Guide'!$B:$B)-COUNTA('Fund Guide'!$B$1:$B$4)),0)),"-"))</f>
        <v>-</v>
      </c>
      <c r="P54" s="481" t="str">
        <f ca="1">IF($E54="", "", IFERROR(INDEX(OFFSET('Fund Guide'!$B$4,1,MATCH(P$12,OFFSET('Fund Guide'!$B$4,,,,COUNTA('Fund Guide'!24:24)),0)-1,COUNTA('Fund Guide'!$B:$B)-COUNTA('Fund Guide'!$B$1:$B$4)),MATCH($E54,OFFSET('Fund Guide'!$B$4,1,,COUNTA('Fund Guide'!$B:$B)-COUNTA('Fund Guide'!$B$1:$B$4)),0)),"-"))</f>
        <v>-</v>
      </c>
      <c r="Q54" s="480" t="str">
        <f ca="1">IF($E54="", "", IFERROR(INDEX(OFFSET('Fund Guide'!$B$4,1,MATCH(Q$12,OFFSET('Fund Guide'!$B$4,,,,COUNTA('Fund Guide'!24:24)),0)-1,COUNTA('Fund Guide'!$B:$B)-COUNTA('Fund Guide'!$B$1:$B$4)),MATCH($E54,OFFSET('Fund Guide'!$B$4,1,,COUNTA('Fund Guide'!$B:$B)-COUNTA('Fund Guide'!$B$1:$B$4)),0)),"-"))</f>
        <v>-</v>
      </c>
      <c r="R54" s="481" t="str">
        <f ca="1">IF($E54="", "", IFERROR(INDEX(OFFSET('Fund Guide'!$B$4,1,MATCH(R$12,OFFSET('Fund Guide'!$B$4,,,,COUNTA('Fund Guide'!24:24)),0)-1,COUNTA('Fund Guide'!$B:$B)-COUNTA('Fund Guide'!$B$1:$B$4)),MATCH($E54,OFFSET('Fund Guide'!$B$4,1,,COUNTA('Fund Guide'!$B:$B)-COUNTA('Fund Guide'!$B$1:$B$4)),0)),"-"))</f>
        <v>-</v>
      </c>
      <c r="S54" s="480" t="str">
        <f ca="1">IF($E54="", "", IFERROR(INDEX(OFFSET('Fund Guide'!$B$4,1,MATCH(S$12,OFFSET('Fund Guide'!$B$4,,,,COUNTA('Fund Guide'!24:24)),0)-1,COUNTA('Fund Guide'!$B:$B)-COUNTA('Fund Guide'!$B$1:$B$4)),MATCH($E54,OFFSET('Fund Guide'!$B$4,1,,COUNTA('Fund Guide'!$B:$B)-COUNTA('Fund Guide'!$B$1:$B$4)),0)),"-"))</f>
        <v>-</v>
      </c>
      <c r="T54" s="481" t="str">
        <f ca="1">IF($E54="", "", IFERROR(INDEX(OFFSET('Fund Guide'!$B$4,1,MATCH(T$12,OFFSET('Fund Guide'!$B$4,,,,COUNTA('Fund Guide'!24:24)),0)-1,COUNTA('Fund Guide'!$B:$B)-COUNTA('Fund Guide'!$B$1:$B$4)),MATCH($E54,OFFSET('Fund Guide'!$B$4,1,,COUNTA('Fund Guide'!$B:$B)-COUNTA('Fund Guide'!$B$1:$B$4)),0)),"-"))</f>
        <v>-</v>
      </c>
      <c r="U54" s="480" t="str">
        <f ca="1">IF($E54="", "", IFERROR(INDEX(OFFSET('Fund Guide'!$B$4,1,MATCH(U$12,OFFSET('Fund Guide'!$B$4,,,,COUNTA('Fund Guide'!24:24)),0)-1,COUNTA('Fund Guide'!$B:$B)-COUNTA('Fund Guide'!$B$1:$B$4)),MATCH($E54,OFFSET('Fund Guide'!$B$4,1,,COUNTA('Fund Guide'!$B:$B)-COUNTA('Fund Guide'!$B$1:$B$4)),0)),"-"))</f>
        <v>-</v>
      </c>
      <c r="V54" s="481" t="str">
        <f ca="1">IF($E54="", "", IFERROR(INDEX(OFFSET('Fund Guide'!$B$4,1,MATCH(V$12,OFFSET('Fund Guide'!$B$4,,,,COUNTA('Fund Guide'!24:24)),0)-1,COUNTA('Fund Guide'!$B:$B)-COUNTA('Fund Guide'!$B$1:$B$4)),MATCH($E54,OFFSET('Fund Guide'!$B$4,1,,COUNTA('Fund Guide'!$B:$B)-COUNTA('Fund Guide'!$B$1:$B$4)),0)),"-"))</f>
        <v>-</v>
      </c>
      <c r="W54" s="482" t="str">
        <f ca="1">IF($E54="", "", IFERROR(INDEX(OFFSET('Fund Guide'!$B$4,1,MATCH(W$12,OFFSET('Fund Guide'!$B$4,,,,COUNTA('Fund Guide'!24:24)),0)-1,COUNTA('Fund Guide'!$B:$B)-COUNTA('Fund Guide'!$B$1:$B$4)),MATCH($E54,OFFSET('Fund Guide'!$B$4,1,,COUNTA('Fund Guide'!$B:$B)-COUNTA('Fund Guide'!$B$1:$B$4)),0)),"-"))</f>
        <v>-</v>
      </c>
      <c r="X54" s="483" t="str">
        <f ca="1">IF($E54="", "", IFERROR(INDEX(OFFSET('Fund Guide'!$B$4,1,MATCH(X$12,OFFSET('Fund Guide'!$B$4,,,,COUNTA('Fund Guide'!24:24)),0)-1,COUNTA('Fund Guide'!$B:$B)-COUNTA('Fund Guide'!$B$1:$B$4)),MATCH($E54,OFFSET('Fund Guide'!$B$4,1,,COUNTA('Fund Guide'!$B:$B)-COUNTA('Fund Guide'!$B$1:$B$4)),0)),"-"))</f>
        <v>-</v>
      </c>
      <c r="Z54" s="484"/>
      <c r="AA54" s="484"/>
      <c r="AB54" s="478"/>
    </row>
    <row r="55" spans="2:28" s="477" customFormat="1" ht="14.25" customHeight="1">
      <c r="B55" s="472"/>
      <c r="C55" s="472"/>
      <c r="D55" s="472"/>
      <c r="E55" s="496" t="s">
        <v>1923</v>
      </c>
      <c r="F55" s="473" t="str">
        <f ca="1">IF($E55="", "", IFERROR(INDEX(OFFSET('Fund Guide'!$B$4,1,MATCH(F$12,OFFSET('Fund Guide'!$B$4,,,,COUNTA('Fund Guide'!25:25)),0)-1,COUNTA('Fund Guide'!$B:$B)-COUNTA('Fund Guide'!$B$1:$B$4)),MATCH($E55,OFFSET('Fund Guide'!$B$4,1,,COUNTA('Fund Guide'!$B:$B)-COUNTA('Fund Guide'!$B$1:$B$4)),0)),"-"))</f>
        <v>-</v>
      </c>
      <c r="G55" s="474" t="str">
        <f ca="1">IF($E55="", "", IFERROR(INDEX(OFFSET('Fund Guide'!$B$4,1,MATCH(G$12,OFFSET('Fund Guide'!$B$4,,,,COUNTA('Fund Guide'!25:25)),0)-1,COUNTA('Fund Guide'!$B:$B)-COUNTA('Fund Guide'!$B$1:$B$4)),MATCH($E55,OFFSET('Fund Guide'!$B$4,1,,COUNTA('Fund Guide'!$B:$B)-COUNTA('Fund Guide'!$B$1:$B$4)),0)),"-"))</f>
        <v>-</v>
      </c>
      <c r="H55" s="475" t="str">
        <f ca="1">IF($E55="", "", IFERROR(INDEX(OFFSET('Fund Guide'!$B$4,1,MATCH(H$12,OFFSET('Fund Guide'!$B$4,,,,COUNTA('Fund Guide'!25:25)),0)-1,COUNTA('Fund Guide'!$B:$B)-COUNTA('Fund Guide'!$B$1:$B$4)),MATCH($E55,OFFSET('Fund Guide'!$B$4,1,,COUNTA('Fund Guide'!$B:$B)-COUNTA('Fund Guide'!$B$1:$B$4)),0)),"-"))</f>
        <v>-</v>
      </c>
      <c r="I55" s="476" t="str">
        <f ca="1">IF($E55="", "", IFERROR(INDEX(OFFSET('Fund Guide'!$B$4,1,MATCH(I$12,OFFSET('Fund Guide'!$B$4,,,,COUNTA('Fund Guide'!25:25)),0)-1,COUNTA('Fund Guide'!$B:$B)-COUNTA('Fund Guide'!$B$1:$B$4)),MATCH($E55,OFFSET('Fund Guide'!$B$4,1,,COUNTA('Fund Guide'!$B:$B)-COUNTA('Fund Guide'!$B$1:$B$4)),0)),"-"))</f>
        <v>-</v>
      </c>
      <c r="K55" s="581">
        <f>IF(OR($L$7=0, L55=0), "", L55*$L$7)</f>
        <v>217500</v>
      </c>
      <c r="L55" s="478">
        <v>7.4999999999999997E-3</v>
      </c>
      <c r="M55" s="479">
        <f>IFERROR(IF(L55=0, "", L55/L$53),0)</f>
        <v>0.5</v>
      </c>
      <c r="O55" s="480" t="str">
        <f ca="1">IF($E55="", "", IFERROR(INDEX(OFFSET('Fund Guide'!$B$4,1,MATCH(O$12,OFFSET('Fund Guide'!$B$4,,,,COUNTA('Fund Guide'!25:25)),0)-1,COUNTA('Fund Guide'!$B:$B)-COUNTA('Fund Guide'!$B$1:$B$4)),MATCH($E55,OFFSET('Fund Guide'!$B$4,1,,COUNTA('Fund Guide'!$B:$B)-COUNTA('Fund Guide'!$B$1:$B$4)),0)),"-"))</f>
        <v>-</v>
      </c>
      <c r="P55" s="481" t="str">
        <f ca="1">IF($E55="", "", IFERROR(INDEX(OFFSET('Fund Guide'!$B$4,1,MATCH(P$12,OFFSET('Fund Guide'!$B$4,,,,COUNTA('Fund Guide'!25:25)),0)-1,COUNTA('Fund Guide'!$B:$B)-COUNTA('Fund Guide'!$B$1:$B$4)),MATCH($E55,OFFSET('Fund Guide'!$B$4,1,,COUNTA('Fund Guide'!$B:$B)-COUNTA('Fund Guide'!$B$1:$B$4)),0)),"-"))</f>
        <v>-</v>
      </c>
      <c r="Q55" s="480" t="str">
        <f ca="1">IF($E55="", "", IFERROR(INDEX(OFFSET('Fund Guide'!$B$4,1,MATCH(Q$12,OFFSET('Fund Guide'!$B$4,,,,COUNTA('Fund Guide'!25:25)),0)-1,COUNTA('Fund Guide'!$B:$B)-COUNTA('Fund Guide'!$B$1:$B$4)),MATCH($E55,OFFSET('Fund Guide'!$B$4,1,,COUNTA('Fund Guide'!$B:$B)-COUNTA('Fund Guide'!$B$1:$B$4)),0)),"-"))</f>
        <v>-</v>
      </c>
      <c r="R55" s="481" t="str">
        <f ca="1">IF($E55="", "", IFERROR(INDEX(OFFSET('Fund Guide'!$B$4,1,MATCH(R$12,OFFSET('Fund Guide'!$B$4,,,,COUNTA('Fund Guide'!25:25)),0)-1,COUNTA('Fund Guide'!$B:$B)-COUNTA('Fund Guide'!$B$1:$B$4)),MATCH($E55,OFFSET('Fund Guide'!$B$4,1,,COUNTA('Fund Guide'!$B:$B)-COUNTA('Fund Guide'!$B$1:$B$4)),0)),"-"))</f>
        <v>-</v>
      </c>
      <c r="S55" s="480" t="str">
        <f ca="1">IF($E55="", "", IFERROR(INDEX(OFFSET('Fund Guide'!$B$4,1,MATCH(S$12,OFFSET('Fund Guide'!$B$4,,,,COUNTA('Fund Guide'!25:25)),0)-1,COUNTA('Fund Guide'!$B:$B)-COUNTA('Fund Guide'!$B$1:$B$4)),MATCH($E55,OFFSET('Fund Guide'!$B$4,1,,COUNTA('Fund Guide'!$B:$B)-COUNTA('Fund Guide'!$B$1:$B$4)),0)),"-"))</f>
        <v>-</v>
      </c>
      <c r="T55" s="481" t="str">
        <f ca="1">IF($E55="", "", IFERROR(INDEX(OFFSET('Fund Guide'!$B$4,1,MATCH(T$12,OFFSET('Fund Guide'!$B$4,,,,COUNTA('Fund Guide'!25:25)),0)-1,COUNTA('Fund Guide'!$B:$B)-COUNTA('Fund Guide'!$B$1:$B$4)),MATCH($E55,OFFSET('Fund Guide'!$B$4,1,,COUNTA('Fund Guide'!$B:$B)-COUNTA('Fund Guide'!$B$1:$B$4)),0)),"-"))</f>
        <v>-</v>
      </c>
      <c r="U55" s="480" t="str">
        <f ca="1">IF($E55="", "", IFERROR(INDEX(OFFSET('Fund Guide'!$B$4,1,MATCH(U$12,OFFSET('Fund Guide'!$B$4,,,,COUNTA('Fund Guide'!25:25)),0)-1,COUNTA('Fund Guide'!$B:$B)-COUNTA('Fund Guide'!$B$1:$B$4)),MATCH($E55,OFFSET('Fund Guide'!$B$4,1,,COUNTA('Fund Guide'!$B:$B)-COUNTA('Fund Guide'!$B$1:$B$4)),0)),"-"))</f>
        <v>-</v>
      </c>
      <c r="V55" s="481" t="str">
        <f ca="1">IF($E55="", "", IFERROR(INDEX(OFFSET('Fund Guide'!$B$4,1,MATCH(V$12,OFFSET('Fund Guide'!$B$4,,,,COUNTA('Fund Guide'!25:25)),0)-1,COUNTA('Fund Guide'!$B:$B)-COUNTA('Fund Guide'!$B$1:$B$4)),MATCH($E55,OFFSET('Fund Guide'!$B$4,1,,COUNTA('Fund Guide'!$B:$B)-COUNTA('Fund Guide'!$B$1:$B$4)),0)),"-"))</f>
        <v>-</v>
      </c>
      <c r="W55" s="482" t="str">
        <f ca="1">IF($E55="", "", IFERROR(INDEX(OFFSET('Fund Guide'!$B$4,1,MATCH(W$12,OFFSET('Fund Guide'!$B$4,,,,COUNTA('Fund Guide'!25:25)),0)-1,COUNTA('Fund Guide'!$B:$B)-COUNTA('Fund Guide'!$B$1:$B$4)),MATCH($E55,OFFSET('Fund Guide'!$B$4,1,,COUNTA('Fund Guide'!$B:$B)-COUNTA('Fund Guide'!$B$1:$B$4)),0)),"-"))</f>
        <v>-</v>
      </c>
      <c r="X55" s="483" t="str">
        <f ca="1">IF($E55="", "", IFERROR(INDEX(OFFSET('Fund Guide'!$B$4,1,MATCH(X$12,OFFSET('Fund Guide'!$B$4,,,,COUNTA('Fund Guide'!25:25)),0)-1,COUNTA('Fund Guide'!$B:$B)-COUNTA('Fund Guide'!$B$1:$B$4)),MATCH($E55,OFFSET('Fund Guide'!$B$4,1,,COUNTA('Fund Guide'!$B:$B)-COUNTA('Fund Guide'!$B$1:$B$4)),0)),"-"))</f>
        <v>-</v>
      </c>
      <c r="Z55" s="484"/>
      <c r="AA55" s="484"/>
      <c r="AB55" s="478"/>
    </row>
    <row r="56" spans="2:28" s="385" customFormat="1" ht="4.5" customHeight="1">
      <c r="B56" s="461"/>
      <c r="C56" s="461"/>
      <c r="D56" s="461"/>
      <c r="E56" s="400"/>
      <c r="F56" s="431"/>
      <c r="G56" s="431"/>
      <c r="H56" s="396"/>
      <c r="I56" s="396"/>
      <c r="K56" s="579"/>
      <c r="O56" s="396"/>
      <c r="Q56" s="396"/>
      <c r="S56" s="396"/>
      <c r="U56" s="396"/>
      <c r="W56" s="396"/>
      <c r="Z56" s="396"/>
    </row>
    <row r="57" spans="2:28" s="282" customFormat="1" ht="14.25" customHeight="1">
      <c r="B57" s="485"/>
      <c r="C57" s="485"/>
      <c r="D57" s="485" t="s">
        <v>20</v>
      </c>
      <c r="E57" s="486" t="s">
        <v>1889</v>
      </c>
      <c r="F57" s="487"/>
      <c r="G57" s="487"/>
      <c r="H57" s="488"/>
      <c r="I57" s="488"/>
      <c r="K57" s="583">
        <f>IF( SUM(K58:K59)=0, 0, SUM(K58:K59))</f>
        <v>0</v>
      </c>
      <c r="L57" s="489">
        <v>0</v>
      </c>
      <c r="M57" s="490">
        <f>IF(L57=0, 0, SUM(M58:M59)*L57)</f>
        <v>0</v>
      </c>
      <c r="O57" s="488"/>
      <c r="P57" s="490"/>
      <c r="Q57" s="488"/>
      <c r="R57" s="490"/>
      <c r="S57" s="488"/>
      <c r="T57" s="490"/>
      <c r="U57" s="488"/>
      <c r="V57" s="490"/>
      <c r="W57" s="488"/>
      <c r="X57" s="490"/>
      <c r="Z57" s="488"/>
      <c r="AA57" s="490"/>
      <c r="AB57" s="490"/>
    </row>
    <row r="58" spans="2:28" s="477" customFormat="1" ht="14.25" customHeight="1">
      <c r="B58" s="472"/>
      <c r="C58" s="472"/>
      <c r="D58" s="472"/>
      <c r="E58" s="496"/>
      <c r="F58" s="473" t="str">
        <f ca="1">IF($E58="", "", IFERROR(INDEX(OFFSET('Fund Guide'!$B$4,1,MATCH(F$12,OFFSET('Fund Guide'!$B$4,,,,COUNTA('Fund Guide'!27:27)),0)-1,COUNTA('Fund Guide'!$B:$B)-COUNTA('Fund Guide'!$B$1:$B$4)),MATCH($E58,OFFSET('Fund Guide'!$B$4,1,,COUNTA('Fund Guide'!$B:$B)-COUNTA('Fund Guide'!$B$1:$B$4)),0)),"-"))</f>
        <v/>
      </c>
      <c r="G58" s="474" t="str">
        <f ca="1">IF($E58="", "", IFERROR(INDEX(OFFSET('Fund Guide'!$B$4,1,MATCH(G$12,OFFSET('Fund Guide'!$B$4,,,,COUNTA('Fund Guide'!27:27)),0)-1,COUNTA('Fund Guide'!$B:$B)-COUNTA('Fund Guide'!$B$1:$B$4)),MATCH($E58,OFFSET('Fund Guide'!$B$4,1,,COUNTA('Fund Guide'!$B:$B)-COUNTA('Fund Guide'!$B$1:$B$4)),0)),"-"))</f>
        <v/>
      </c>
      <c r="H58" s="475" t="str">
        <f ca="1">IF($E58="", "", IFERROR(INDEX(OFFSET('Fund Guide'!$B$4,1,MATCH(H$12,OFFSET('Fund Guide'!$B$4,,,,COUNTA('Fund Guide'!27:27)),0)-1,COUNTA('Fund Guide'!$B:$B)-COUNTA('Fund Guide'!$B$1:$B$4)),MATCH($E58,OFFSET('Fund Guide'!$B$4,1,,COUNTA('Fund Guide'!$B:$B)-COUNTA('Fund Guide'!$B$1:$B$4)),0)),"-"))</f>
        <v/>
      </c>
      <c r="I58" s="476" t="str">
        <f ca="1">IF($E58="", "", IFERROR(INDEX(OFFSET('Fund Guide'!$B$4,1,MATCH(I$12,OFFSET('Fund Guide'!$B$4,,,,COUNTA('Fund Guide'!27:27)),0)-1,COUNTA('Fund Guide'!$B:$B)-COUNTA('Fund Guide'!$B$1:$B$4)),MATCH($E58,OFFSET('Fund Guide'!$B$4,1,,COUNTA('Fund Guide'!$B:$B)-COUNTA('Fund Guide'!$B$1:$B$4)),0)),"-"))</f>
        <v/>
      </c>
      <c r="K58" s="581" t="str">
        <f>IF(OR($L$7=0, L58=0), "", L58*$L$7)</f>
        <v/>
      </c>
      <c r="L58" s="478"/>
      <c r="M58" s="479" t="str">
        <f>IFERROR(IF(L58=0, "", L58/L$57),0)</f>
        <v/>
      </c>
      <c r="O58" s="480" t="str">
        <f ca="1">IF($E58="", "", IFERROR(INDEX(OFFSET('Fund Guide'!$B$4,1,MATCH(O$12,OFFSET('Fund Guide'!$B$4,,,,COUNTA('Fund Guide'!27:27)),0)-1,COUNTA('Fund Guide'!$B:$B)-COUNTA('Fund Guide'!$B$1:$B$4)),MATCH($E58,OFFSET('Fund Guide'!$B$4,1,,COUNTA('Fund Guide'!$B:$B)-COUNTA('Fund Guide'!$B$1:$B$4)),0)),"-"))</f>
        <v/>
      </c>
      <c r="P58" s="481" t="str">
        <f ca="1">IF($E58="", "", IFERROR(INDEX(OFFSET('Fund Guide'!$B$4,1,MATCH(P$12,OFFSET('Fund Guide'!$B$4,,,,COUNTA('Fund Guide'!27:27)),0)-1,COUNTA('Fund Guide'!$B:$B)-COUNTA('Fund Guide'!$B$1:$B$4)),MATCH($E58,OFFSET('Fund Guide'!$B$4,1,,COUNTA('Fund Guide'!$B:$B)-COUNTA('Fund Guide'!$B$1:$B$4)),0)),"-"))</f>
        <v/>
      </c>
      <c r="Q58" s="480" t="str">
        <f ca="1">IF($E58="", "", IFERROR(INDEX(OFFSET('Fund Guide'!$B$4,1,MATCH(Q$12,OFFSET('Fund Guide'!$B$4,,,,COUNTA('Fund Guide'!27:27)),0)-1,COUNTA('Fund Guide'!$B:$B)-COUNTA('Fund Guide'!$B$1:$B$4)),MATCH($E58,OFFSET('Fund Guide'!$B$4,1,,COUNTA('Fund Guide'!$B:$B)-COUNTA('Fund Guide'!$B$1:$B$4)),0)),"-"))</f>
        <v/>
      </c>
      <c r="R58" s="481" t="str">
        <f ca="1">IF($E58="", "", IFERROR(INDEX(OFFSET('Fund Guide'!$B$4,1,MATCH(R$12,OFFSET('Fund Guide'!$B$4,,,,COUNTA('Fund Guide'!27:27)),0)-1,COUNTA('Fund Guide'!$B:$B)-COUNTA('Fund Guide'!$B$1:$B$4)),MATCH($E58,OFFSET('Fund Guide'!$B$4,1,,COUNTA('Fund Guide'!$B:$B)-COUNTA('Fund Guide'!$B$1:$B$4)),0)),"-"))</f>
        <v/>
      </c>
      <c r="S58" s="480" t="str">
        <f ca="1">IF($E58="", "", IFERROR(INDEX(OFFSET('Fund Guide'!$B$4,1,MATCH(S$12,OFFSET('Fund Guide'!$B$4,,,,COUNTA('Fund Guide'!27:27)),0)-1,COUNTA('Fund Guide'!$B:$B)-COUNTA('Fund Guide'!$B$1:$B$4)),MATCH($E58,OFFSET('Fund Guide'!$B$4,1,,COUNTA('Fund Guide'!$B:$B)-COUNTA('Fund Guide'!$B$1:$B$4)),0)),"-"))</f>
        <v/>
      </c>
      <c r="T58" s="481" t="str">
        <f ca="1">IF($E58="", "", IFERROR(INDEX(OFFSET('Fund Guide'!$B$4,1,MATCH(T$12,OFFSET('Fund Guide'!$B$4,,,,COUNTA('Fund Guide'!27:27)),0)-1,COUNTA('Fund Guide'!$B:$B)-COUNTA('Fund Guide'!$B$1:$B$4)),MATCH($E58,OFFSET('Fund Guide'!$B$4,1,,COUNTA('Fund Guide'!$B:$B)-COUNTA('Fund Guide'!$B$1:$B$4)),0)),"-"))</f>
        <v/>
      </c>
      <c r="U58" s="480" t="str">
        <f ca="1">IF($E58="", "", IFERROR(INDEX(OFFSET('Fund Guide'!$B$4,1,MATCH(U$12,OFFSET('Fund Guide'!$B$4,,,,COUNTA('Fund Guide'!27:27)),0)-1,COUNTA('Fund Guide'!$B:$B)-COUNTA('Fund Guide'!$B$1:$B$4)),MATCH($E58,OFFSET('Fund Guide'!$B$4,1,,COUNTA('Fund Guide'!$B:$B)-COUNTA('Fund Guide'!$B$1:$B$4)),0)),"-"))</f>
        <v/>
      </c>
      <c r="V58" s="481" t="str">
        <f ca="1">IF($E58="", "", IFERROR(INDEX(OFFSET('Fund Guide'!$B$4,1,MATCH(V$12,OFFSET('Fund Guide'!$B$4,,,,COUNTA('Fund Guide'!27:27)),0)-1,COUNTA('Fund Guide'!$B:$B)-COUNTA('Fund Guide'!$B$1:$B$4)),MATCH($E58,OFFSET('Fund Guide'!$B$4,1,,COUNTA('Fund Guide'!$B:$B)-COUNTA('Fund Guide'!$B$1:$B$4)),0)),"-"))</f>
        <v/>
      </c>
      <c r="W58" s="482" t="str">
        <f ca="1">IF($E58="", "", IFERROR(INDEX(OFFSET('Fund Guide'!$B$4,1,MATCH(W$12,OFFSET('Fund Guide'!$B$4,,,,COUNTA('Fund Guide'!27:27)),0)-1,COUNTA('Fund Guide'!$B:$B)-COUNTA('Fund Guide'!$B$1:$B$4)),MATCH($E58,OFFSET('Fund Guide'!$B$4,1,,COUNTA('Fund Guide'!$B:$B)-COUNTA('Fund Guide'!$B$1:$B$4)),0)),"-"))</f>
        <v/>
      </c>
      <c r="X58" s="483" t="str">
        <f ca="1">IF($E58="", "", IFERROR(INDEX(OFFSET('Fund Guide'!$B$4,1,MATCH(X$12,OFFSET('Fund Guide'!$B$4,,,,COUNTA('Fund Guide'!27:27)),0)-1,COUNTA('Fund Guide'!$B:$B)-COUNTA('Fund Guide'!$B$1:$B$4)),MATCH($E58,OFFSET('Fund Guide'!$B$4,1,,COUNTA('Fund Guide'!$B:$B)-COUNTA('Fund Guide'!$B$1:$B$4)),0)),"-"))</f>
        <v/>
      </c>
      <c r="Z58" s="484"/>
      <c r="AA58" s="484"/>
      <c r="AB58" s="478"/>
    </row>
    <row r="59" spans="2:28" s="385" customFormat="1" ht="7.5" customHeight="1">
      <c r="B59" s="461"/>
      <c r="C59" s="461"/>
      <c r="D59" s="461"/>
      <c r="E59" s="400"/>
      <c r="F59" s="431"/>
      <c r="G59" s="431"/>
      <c r="H59" s="396"/>
      <c r="I59" s="396"/>
      <c r="K59" s="579"/>
      <c r="L59" s="426"/>
      <c r="O59" s="396"/>
      <c r="Q59" s="396"/>
      <c r="S59" s="396"/>
      <c r="U59" s="396"/>
      <c r="W59" s="396"/>
      <c r="Z59" s="396"/>
    </row>
    <row r="60" spans="2:28" s="282" customFormat="1" ht="14.25" customHeight="1">
      <c r="B60" s="485"/>
      <c r="C60" s="485"/>
      <c r="D60" s="485" t="s">
        <v>1917</v>
      </c>
      <c r="E60" s="497" t="s">
        <v>25</v>
      </c>
      <c r="F60" s="498"/>
      <c r="G60" s="498"/>
      <c r="H60" s="499"/>
      <c r="I60" s="499"/>
      <c r="K60" s="578">
        <f>IFERROR(IF(K62+K68=0, 0,K62+K68),"")</f>
        <v>2900000</v>
      </c>
      <c r="L60" s="500">
        <f>L62+L68</f>
        <v>0.1</v>
      </c>
      <c r="M60" s="501">
        <f>M62+M68</f>
        <v>0.1</v>
      </c>
      <c r="O60" s="499"/>
      <c r="P60" s="501"/>
      <c r="Q60" s="499"/>
      <c r="R60" s="501"/>
      <c r="S60" s="499"/>
      <c r="T60" s="501"/>
      <c r="U60" s="499"/>
      <c r="V60" s="501"/>
      <c r="W60" s="499"/>
      <c r="X60" s="501"/>
      <c r="Z60" s="499"/>
      <c r="AA60" s="501"/>
      <c r="AB60" s="501"/>
    </row>
    <row r="61" spans="2:28" s="385" customFormat="1" ht="4.5" customHeight="1">
      <c r="B61" s="461"/>
      <c r="C61" s="461"/>
      <c r="D61" s="461"/>
      <c r="E61" s="400"/>
      <c r="F61" s="431"/>
      <c r="G61" s="431"/>
      <c r="H61" s="396"/>
      <c r="I61" s="396"/>
      <c r="K61" s="579"/>
      <c r="O61" s="396"/>
      <c r="Q61" s="396"/>
      <c r="S61" s="396"/>
      <c r="U61" s="396"/>
      <c r="W61" s="396"/>
      <c r="Z61" s="396"/>
    </row>
    <row r="62" spans="2:28" s="282" customFormat="1" ht="14.25" customHeight="1">
      <c r="B62" s="485"/>
      <c r="C62" s="485" t="s">
        <v>20</v>
      </c>
      <c r="D62" s="485" t="s">
        <v>20</v>
      </c>
      <c r="E62" s="491" t="s">
        <v>958</v>
      </c>
      <c r="F62" s="492"/>
      <c r="G62" s="492"/>
      <c r="H62" s="493"/>
      <c r="I62" s="493"/>
      <c r="K62" s="580">
        <f>IF( SUM(K63:K67)=0, 0, SUM(K63:K67))</f>
        <v>2320000</v>
      </c>
      <c r="L62" s="494">
        <v>0.08</v>
      </c>
      <c r="M62" s="495">
        <f>IF(L62=0, 0, SUM(M63:M67)*L62)</f>
        <v>0.08</v>
      </c>
      <c r="O62" s="493"/>
      <c r="P62" s="495"/>
      <c r="Q62" s="493"/>
      <c r="R62" s="495"/>
      <c r="S62" s="493"/>
      <c r="T62" s="495"/>
      <c r="U62" s="493"/>
      <c r="V62" s="495"/>
      <c r="W62" s="493"/>
      <c r="X62" s="495"/>
      <c r="Z62" s="493"/>
      <c r="AA62" s="495"/>
      <c r="AB62" s="495"/>
    </row>
    <row r="63" spans="2:28" s="477" customFormat="1" ht="14.25" customHeight="1">
      <c r="B63" s="472"/>
      <c r="C63" s="472"/>
      <c r="D63" s="472"/>
      <c r="E63" s="496" t="s">
        <v>433</v>
      </c>
      <c r="F63" s="473">
        <f ca="1">IF($E63="", "", IFERROR(INDEX(OFFSET('Fund Guide'!$B$4,1,MATCH(F$12,OFFSET('Fund Guide'!$B$4,,,,COUNTA('Fund Guide'!36:36)),0)-1,COUNTA('Fund Guide'!$B:$B)-COUNTA('Fund Guide'!$B$1:$B$4)),MATCH($E63,OFFSET('Fund Guide'!$B$4,1,,COUNTA('Fund Guide'!$B:$B)-COUNTA('Fund Guide'!$B$1:$B$4)),0)),"-"))</f>
        <v>31</v>
      </c>
      <c r="G63" s="474" t="str">
        <f ca="1">IF($E63="", "", IFERROR(INDEX(OFFSET('Fund Guide'!$B$4,1,MATCH(G$12,OFFSET('Fund Guide'!$B$4,,,,COUNTA('Fund Guide'!36:36)),0)-1,COUNTA('Fund Guide'!$B:$B)-COUNTA('Fund Guide'!$B$1:$B$4)),MATCH($E63,OFFSET('Fund Guide'!$B$4,1,,COUNTA('Fund Guide'!$B:$B)-COUNTA('Fund Guide'!$B$1:$B$4)),0)),"-"))</f>
        <v>BRL</v>
      </c>
      <c r="H63" s="475">
        <f ca="1">IF($E63="", "", IFERROR(INDEX(OFFSET('Fund Guide'!$B$4,1,MATCH(H$12,OFFSET('Fund Guide'!$B$4,,,,COUNTA('Fund Guide'!36:36)),0)-1,COUNTA('Fund Guide'!$B:$B)-COUNTA('Fund Guide'!$B$1:$B$4)),MATCH($E63,OFFSET('Fund Guide'!$B$4,1,,COUNTA('Fund Guide'!$B:$B)-COUNTA('Fund Guide'!$B$1:$B$4)),0)),"-"))</f>
        <v>4.0000000000000001E-3</v>
      </c>
      <c r="I63" s="476">
        <f ca="1">IF($E63="", "", IFERROR(INDEX(OFFSET('Fund Guide'!$B$4,1,MATCH(I$12,OFFSET('Fund Guide'!$B$4,,,,COUNTA('Fund Guide'!36:36)),0)-1,COUNTA('Fund Guide'!$B:$B)-COUNTA('Fund Guide'!$B$1:$B$4)),MATCH($E63,OFFSET('Fund Guide'!$B$4,1,,COUNTA('Fund Guide'!$B:$B)-COUNTA('Fund Guide'!$B$1:$B$4)),0)),"-"))</f>
        <v>43236</v>
      </c>
      <c r="K63" s="581">
        <f>IF(OR($L$7=0, L63=0), "", L63*$L$7)</f>
        <v>580000</v>
      </c>
      <c r="L63" s="478">
        <v>0.02</v>
      </c>
      <c r="M63" s="479">
        <f>IFERROR(IF(L63=0, "", L63/L$62),0)</f>
        <v>0.25</v>
      </c>
      <c r="O63" s="480">
        <f ca="1">IF($E63="", "", IFERROR(INDEX(OFFSET('Fund Guide'!$B$4,1,MATCH(O$12,OFFSET('Fund Guide'!$B$4,,,,COUNTA('Fund Guide'!36:36)),0)-1,COUNTA('Fund Guide'!$B:$B)-COUNTA('Fund Guide'!$B$1:$B$4)),MATCH($E63,OFFSET('Fund Guide'!$B$4,1,,COUNTA('Fund Guide'!$B:$B)-COUNTA('Fund Guide'!$B$1:$B$4)),0)),"-"))</f>
        <v>0.12989999999999999</v>
      </c>
      <c r="P63" s="481">
        <f ca="1">IF($E63="", "", IFERROR(INDEX(OFFSET('Fund Guide'!$B$4,1,MATCH(P$12,OFFSET('Fund Guide'!$B$4,,,,COUNTA('Fund Guide'!36:36)),0)-1,COUNTA('Fund Guide'!$B:$B)-COUNTA('Fund Guide'!$B$1:$B$4)),MATCH($E63,OFFSET('Fund Guide'!$B$4,1,,COUNTA('Fund Guide'!$B:$B)-COUNTA('Fund Guide'!$B$1:$B$4)),0)),"-"))</f>
        <v>2.0007999999999999</v>
      </c>
      <c r="Q63" s="480">
        <f ca="1">IF($E63="", "", IFERROR(INDEX(OFFSET('Fund Guide'!$B$4,1,MATCH(Q$12,OFFSET('Fund Guide'!$B$4,,,,COUNTA('Fund Guide'!36:36)),0)-1,COUNTA('Fund Guide'!$B:$B)-COUNTA('Fund Guide'!$B$1:$B$4)),MATCH($E63,OFFSET('Fund Guide'!$B$4,1,,COUNTA('Fund Guide'!$B:$B)-COUNTA('Fund Guide'!$B$1:$B$4)),0)),"-"))</f>
        <v>0.2064</v>
      </c>
      <c r="R63" s="481">
        <f ca="1">IF($E63="", "", IFERROR(INDEX(OFFSET('Fund Guide'!$B$4,1,MATCH(R$12,OFFSET('Fund Guide'!$B$4,,,,COUNTA('Fund Guide'!36:36)),0)-1,COUNTA('Fund Guide'!$B:$B)-COUNTA('Fund Guide'!$B$1:$B$4)),MATCH($E63,OFFSET('Fund Guide'!$B$4,1,,COUNTA('Fund Guide'!$B:$B)-COUNTA('Fund Guide'!$B$1:$B$4)),0)),"-"))</f>
        <v>2.1943000000000001</v>
      </c>
      <c r="S63" s="480">
        <f ca="1">IF($E63="", "", IFERROR(INDEX(OFFSET('Fund Guide'!$B$4,1,MATCH(S$12,OFFSET('Fund Guide'!$B$4,,,,COUNTA('Fund Guide'!36:36)),0)-1,COUNTA('Fund Guide'!$B:$B)-COUNTA('Fund Guide'!$B$1:$B$4)),MATCH($E63,OFFSET('Fund Guide'!$B$4,1,,COUNTA('Fund Guide'!$B:$B)-COUNTA('Fund Guide'!$B$1:$B$4)),0)),"-"))</f>
        <v>0.38140000000000002</v>
      </c>
      <c r="T63" s="481">
        <f ca="1">IF($E63="", "", IFERROR(INDEX(OFFSET('Fund Guide'!$B$4,1,MATCH(T$12,OFFSET('Fund Guide'!$B$4,,,,COUNTA('Fund Guide'!36:36)),0)-1,COUNTA('Fund Guide'!$B:$B)-COUNTA('Fund Guide'!$B$1:$B$4)),MATCH($E63,OFFSET('Fund Guide'!$B$4,1,,COUNTA('Fund Guide'!$B:$B)-COUNTA('Fund Guide'!$B$1:$B$4)),0)),"-"))</f>
        <v>3.1570999999999998</v>
      </c>
      <c r="U63" s="480">
        <f ca="1">IF($E63="", "", IFERROR(INDEX(OFFSET('Fund Guide'!$B$4,1,MATCH(U$12,OFFSET('Fund Guide'!$B$4,,,,COUNTA('Fund Guide'!36:36)),0)-1,COUNTA('Fund Guide'!$B:$B)-COUNTA('Fund Guide'!$B$1:$B$4)),MATCH($E63,OFFSET('Fund Guide'!$B$4,1,,COUNTA('Fund Guide'!$B:$B)-COUNTA('Fund Guide'!$B$1:$B$4)),0)),"-"))</f>
        <v>0.50719999999999998</v>
      </c>
      <c r="V63" s="481">
        <f ca="1">IF($E63="", "", IFERROR(INDEX(OFFSET('Fund Guide'!$B$4,1,MATCH(V$12,OFFSET('Fund Guide'!$B$4,,,,COUNTA('Fund Guide'!36:36)),0)-1,COUNTA('Fund Guide'!$B:$B)-COUNTA('Fund Guide'!$B$1:$B$4)),MATCH($E63,OFFSET('Fund Guide'!$B$4,1,,COUNTA('Fund Guide'!$B:$B)-COUNTA('Fund Guide'!$B$1:$B$4)),0)),"-"))</f>
        <v>3.0095999999999998</v>
      </c>
      <c r="W63" s="482">
        <f ca="1">IF($E63="", "", IFERROR(INDEX(OFFSET('Fund Guide'!$B$4,1,MATCH(W$12,OFFSET('Fund Guide'!$B$4,,,,COUNTA('Fund Guide'!36:36)),0)-1,COUNTA('Fund Guide'!$B:$B)-COUNTA('Fund Guide'!$B$1:$B$4)),MATCH($E63,OFFSET('Fund Guide'!$B$4,1,,COUNTA('Fund Guide'!$B:$B)-COUNTA('Fund Guide'!$B$1:$B$4)),0)),"-"))</f>
        <v>5.5899999999999998E-2</v>
      </c>
      <c r="X63" s="483">
        <f ca="1">IF($E63="", "", IFERROR(INDEX(OFFSET('Fund Guide'!$B$4,1,MATCH(X$12,OFFSET('Fund Guide'!$B$4,,,,COUNTA('Fund Guide'!36:36)),0)-1,COUNTA('Fund Guide'!$B:$B)-COUNTA('Fund Guide'!$B$1:$B$4)),MATCH($E63,OFFSET('Fund Guide'!$B$4,1,,COUNTA('Fund Guide'!$B:$B)-COUNTA('Fund Guide'!$B$1:$B$4)),0)),"-"))</f>
        <v>1.7762688557506026</v>
      </c>
      <c r="Z63" s="484"/>
      <c r="AA63" s="484"/>
      <c r="AB63" s="478"/>
    </row>
    <row r="64" spans="2:28" s="477" customFormat="1" ht="14.25" customHeight="1">
      <c r="B64" s="472"/>
      <c r="C64" s="472"/>
      <c r="D64" s="472"/>
      <c r="E64" s="496" t="s">
        <v>997</v>
      </c>
      <c r="F64" s="473">
        <f ca="1">IF($E64="", "", IFERROR(INDEX(OFFSET('Fund Guide'!$B$4,1,MATCH(F$12,OFFSET('Fund Guide'!$B$4,,,,COUNTA('Fund Guide'!37:37)),0)-1,COUNTA('Fund Guide'!$B:$B)-COUNTA('Fund Guide'!$B$1:$B$4)),MATCH($E64,OFFSET('Fund Guide'!$B$4,1,,COUNTA('Fund Guide'!$B:$B)-COUNTA('Fund Guide'!$B$1:$B$4)),0)),"-"))</f>
        <v>61</v>
      </c>
      <c r="G64" s="474" t="str">
        <f ca="1">IF($E64="", "", IFERROR(INDEX(OFFSET('Fund Guide'!$B$4,1,MATCH(G$12,OFFSET('Fund Guide'!$B$4,,,,COUNTA('Fund Guide'!37:37)),0)-1,COUNTA('Fund Guide'!$B:$B)-COUNTA('Fund Guide'!$B$1:$B$4)),MATCH($E64,OFFSET('Fund Guide'!$B$4,1,,COUNTA('Fund Guide'!$B:$B)-COUNTA('Fund Guide'!$B$1:$B$4)),0)),"-"))</f>
        <v>BRL</v>
      </c>
      <c r="H64" s="475">
        <f ca="1">IF($E64="", "", IFERROR(INDEX(OFFSET('Fund Guide'!$B$4,1,MATCH(H$12,OFFSET('Fund Guide'!$B$4,,,,COUNTA('Fund Guide'!37:37)),0)-1,COUNTA('Fund Guide'!$B:$B)-COUNTA('Fund Guide'!$B$1:$B$4)),MATCH($E64,OFFSET('Fund Guide'!$B$4,1,,COUNTA('Fund Guide'!$B:$B)-COUNTA('Fund Guide'!$B$1:$B$4)),0)),"-"))</f>
        <v>3.3333333333333331E-3</v>
      </c>
      <c r="I64" s="476">
        <f ca="1">IF($E64="", "", IFERROR(INDEX(OFFSET('Fund Guide'!$B$4,1,MATCH(I$12,OFFSET('Fund Guide'!$B$4,,,,COUNTA('Fund Guide'!37:37)),0)-1,COUNTA('Fund Guide'!$B:$B)-COUNTA('Fund Guide'!$B$1:$B$4)),MATCH($E64,OFFSET('Fund Guide'!$B$4,1,,COUNTA('Fund Guide'!$B:$B)-COUNTA('Fund Guide'!$B$1:$B$4)),0)),"-"))</f>
        <v>43159</v>
      </c>
      <c r="K64" s="581">
        <f>IF(OR($L$7=0, L64=0), "", L64*$L$7)</f>
        <v>580000</v>
      </c>
      <c r="L64" s="478">
        <v>0.02</v>
      </c>
      <c r="M64" s="479">
        <f>IFERROR(IF(L64=0, "", L64/L$62),0)</f>
        <v>0.25</v>
      </c>
      <c r="O64" s="480" t="str">
        <f ca="1">IF($E64="", "", IFERROR(INDEX(OFFSET('Fund Guide'!$B$4,1,MATCH(O$12,OFFSET('Fund Guide'!$B$4,,,,COUNTA('Fund Guide'!37:37)),0)-1,COUNTA('Fund Guide'!$B:$B)-COUNTA('Fund Guide'!$B$1:$B$4)),MATCH($E64,OFFSET('Fund Guide'!$B$4,1,,COUNTA('Fund Guide'!$B:$B)-COUNTA('Fund Guide'!$B$1:$B$4)),0)),"-"))</f>
        <v>-</v>
      </c>
      <c r="P64" s="481" t="str">
        <f ca="1">IF($E64="", "", IFERROR(INDEX(OFFSET('Fund Guide'!$B$4,1,MATCH(P$12,OFFSET('Fund Guide'!$B$4,,,,COUNTA('Fund Guide'!37:37)),0)-1,COUNTA('Fund Guide'!$B:$B)-COUNTA('Fund Guide'!$B$1:$B$4)),MATCH($E64,OFFSET('Fund Guide'!$B$4,1,,COUNTA('Fund Guide'!$B:$B)-COUNTA('Fund Guide'!$B$1:$B$4)),0)),"-"))</f>
        <v>-</v>
      </c>
      <c r="Q64" s="480" t="str">
        <f ca="1">IF($E64="", "", IFERROR(INDEX(OFFSET('Fund Guide'!$B$4,1,MATCH(Q$12,OFFSET('Fund Guide'!$B$4,,,,COUNTA('Fund Guide'!37:37)),0)-1,COUNTA('Fund Guide'!$B:$B)-COUNTA('Fund Guide'!$B$1:$B$4)),MATCH($E64,OFFSET('Fund Guide'!$B$4,1,,COUNTA('Fund Guide'!$B:$B)-COUNTA('Fund Guide'!$B$1:$B$4)),0)),"-"))</f>
        <v>-</v>
      </c>
      <c r="R64" s="481" t="str">
        <f ca="1">IF($E64="", "", IFERROR(INDEX(OFFSET('Fund Guide'!$B$4,1,MATCH(R$12,OFFSET('Fund Guide'!$B$4,,,,COUNTA('Fund Guide'!37:37)),0)-1,COUNTA('Fund Guide'!$B:$B)-COUNTA('Fund Guide'!$B$1:$B$4)),MATCH($E64,OFFSET('Fund Guide'!$B$4,1,,COUNTA('Fund Guide'!$B:$B)-COUNTA('Fund Guide'!$B$1:$B$4)),0)),"-"))</f>
        <v>-</v>
      </c>
      <c r="S64" s="480" t="str">
        <f ca="1">IF($E64="", "", IFERROR(INDEX(OFFSET('Fund Guide'!$B$4,1,MATCH(S$12,OFFSET('Fund Guide'!$B$4,,,,COUNTA('Fund Guide'!37:37)),0)-1,COUNTA('Fund Guide'!$B:$B)-COUNTA('Fund Guide'!$B$1:$B$4)),MATCH($E64,OFFSET('Fund Guide'!$B$4,1,,COUNTA('Fund Guide'!$B:$B)-COUNTA('Fund Guide'!$B$1:$B$4)),0)),"-"))</f>
        <v>-</v>
      </c>
      <c r="T64" s="481" t="str">
        <f ca="1">IF($E64="", "", IFERROR(INDEX(OFFSET('Fund Guide'!$B$4,1,MATCH(T$12,OFFSET('Fund Guide'!$B$4,,,,COUNTA('Fund Guide'!37:37)),0)-1,COUNTA('Fund Guide'!$B:$B)-COUNTA('Fund Guide'!$B$1:$B$4)),MATCH($E64,OFFSET('Fund Guide'!$B$4,1,,COUNTA('Fund Guide'!$B:$B)-COUNTA('Fund Guide'!$B$1:$B$4)),0)),"-"))</f>
        <v>-</v>
      </c>
      <c r="U64" s="480" t="str">
        <f ca="1">IF($E64="", "", IFERROR(INDEX(OFFSET('Fund Guide'!$B$4,1,MATCH(U$12,OFFSET('Fund Guide'!$B$4,,,,COUNTA('Fund Guide'!37:37)),0)-1,COUNTA('Fund Guide'!$B:$B)-COUNTA('Fund Guide'!$B$1:$B$4)),MATCH($E64,OFFSET('Fund Guide'!$B$4,1,,COUNTA('Fund Guide'!$B:$B)-COUNTA('Fund Guide'!$B$1:$B$4)),0)),"-"))</f>
        <v>-</v>
      </c>
      <c r="V64" s="481" t="str">
        <f ca="1">IF($E64="", "", IFERROR(INDEX(OFFSET('Fund Guide'!$B$4,1,MATCH(V$12,OFFSET('Fund Guide'!$B$4,,,,COUNTA('Fund Guide'!37:37)),0)-1,COUNTA('Fund Guide'!$B:$B)-COUNTA('Fund Guide'!$B$1:$B$4)),MATCH($E64,OFFSET('Fund Guide'!$B$4,1,,COUNTA('Fund Guide'!$B:$B)-COUNTA('Fund Guide'!$B$1:$B$4)),0)),"-"))</f>
        <v>-</v>
      </c>
      <c r="W64" s="482" t="str">
        <f ca="1">IF($E64="", "", IFERROR(INDEX(OFFSET('Fund Guide'!$B$4,1,MATCH(W$12,OFFSET('Fund Guide'!$B$4,,,,COUNTA('Fund Guide'!37:37)),0)-1,COUNTA('Fund Guide'!$B:$B)-COUNTA('Fund Guide'!$B$1:$B$4)),MATCH($E64,OFFSET('Fund Guide'!$B$4,1,,COUNTA('Fund Guide'!$B:$B)-COUNTA('Fund Guide'!$B$1:$B$4)),0)),"-"))</f>
        <v>-</v>
      </c>
      <c r="X64" s="483" t="str">
        <f ca="1">IF($E64="", "", IFERROR(INDEX(OFFSET('Fund Guide'!$B$4,1,MATCH(X$12,OFFSET('Fund Guide'!$B$4,,,,COUNTA('Fund Guide'!37:37)),0)-1,COUNTA('Fund Guide'!$B:$B)-COUNTA('Fund Guide'!$B$1:$B$4)),MATCH($E64,OFFSET('Fund Guide'!$B$4,1,,COUNTA('Fund Guide'!$B:$B)-COUNTA('Fund Guide'!$B$1:$B$4)),0)),"-"))</f>
        <v>-</v>
      </c>
      <c r="Z64" s="484"/>
      <c r="AA64" s="484"/>
      <c r="AB64" s="478"/>
    </row>
    <row r="65" spans="2:28" s="477" customFormat="1" ht="14.25" customHeight="1">
      <c r="B65" s="472"/>
      <c r="C65" s="472"/>
      <c r="D65" s="472"/>
      <c r="E65" s="496" t="s">
        <v>457</v>
      </c>
      <c r="F65" s="473">
        <f ca="1">IF($E65="", "", IFERROR(INDEX(OFFSET('Fund Guide'!$B$4,1,MATCH(F$12,OFFSET('Fund Guide'!$B$4,,,,COUNTA('Fund Guide'!38:38)),0)-1,COUNTA('Fund Guide'!$B:$B)-COUNTA('Fund Guide'!$B$1:$B$4)),MATCH($E65,OFFSET('Fund Guide'!$B$4,1,,COUNTA('Fund Guide'!$B:$B)-COUNTA('Fund Guide'!$B$1:$B$4)),0)),"-"))</f>
        <v>31</v>
      </c>
      <c r="G65" s="474" t="str">
        <f ca="1">IF($E65="", "", IFERROR(INDEX(OFFSET('Fund Guide'!$B$4,1,MATCH(G$12,OFFSET('Fund Guide'!$B$4,,,,COUNTA('Fund Guide'!38:38)),0)-1,COUNTA('Fund Guide'!$B:$B)-COUNTA('Fund Guide'!$B$1:$B$4)),MATCH($E65,OFFSET('Fund Guide'!$B$4,1,,COUNTA('Fund Guide'!$B:$B)-COUNTA('Fund Guide'!$B$1:$B$4)),0)),"-"))</f>
        <v>BRL</v>
      </c>
      <c r="H65" s="475">
        <f ca="1">IF($E65="", "", IFERROR(INDEX(OFFSET('Fund Guide'!$B$4,1,MATCH(H$12,OFFSET('Fund Guide'!$B$4,,,,COUNTA('Fund Guide'!38:38)),0)-1,COUNTA('Fund Guide'!$B:$B)-COUNTA('Fund Guide'!$B$1:$B$4)),MATCH($E65,OFFSET('Fund Guide'!$B$4,1,,COUNTA('Fund Guide'!$B:$B)-COUNTA('Fund Guide'!$B$1:$B$4)),0)),"-"))</f>
        <v>3.8E-3</v>
      </c>
      <c r="I65" s="476">
        <f ca="1">IF($E65="", "", IFERROR(INDEX(OFFSET('Fund Guide'!$B$4,1,MATCH(I$12,OFFSET('Fund Guide'!$B$4,,,,COUNTA('Fund Guide'!38:38)),0)-1,COUNTA('Fund Guide'!$B:$B)-COUNTA('Fund Guide'!$B$1:$B$4)),MATCH($E65,OFFSET('Fund Guide'!$B$4,1,,COUNTA('Fund Guide'!$B:$B)-COUNTA('Fund Guide'!$B$1:$B$4)),0)),"-"))</f>
        <v>43280</v>
      </c>
      <c r="K65" s="581">
        <f>IF(OR($L$7=0, L65=0), "", L65*$L$7)</f>
        <v>580000</v>
      </c>
      <c r="L65" s="478">
        <v>0.02</v>
      </c>
      <c r="M65" s="479">
        <f>IFERROR(IF(L65=0, "", L65/L$62),0)</f>
        <v>0.25</v>
      </c>
      <c r="O65" s="480">
        <f ca="1">IF($E65="", "", IFERROR(INDEX(OFFSET('Fund Guide'!$B$4,1,MATCH(O$12,OFFSET('Fund Guide'!$B$4,,,,COUNTA('Fund Guide'!38:38)),0)-1,COUNTA('Fund Guide'!$B:$B)-COUNTA('Fund Guide'!$B$1:$B$4)),MATCH($E65,OFFSET('Fund Guide'!$B$4,1,,COUNTA('Fund Guide'!$B:$B)-COUNTA('Fund Guide'!$B$1:$B$4)),0)),"-"))</f>
        <v>0.18149999999999999</v>
      </c>
      <c r="P65" s="481">
        <f ca="1">IF($E65="", "", IFERROR(INDEX(OFFSET('Fund Guide'!$B$4,1,MATCH(P$12,OFFSET('Fund Guide'!$B$4,,,,COUNTA('Fund Guide'!38:38)),0)-1,COUNTA('Fund Guide'!$B:$B)-COUNTA('Fund Guide'!$B$1:$B$4)),MATCH($E65,OFFSET('Fund Guide'!$B$4,1,,COUNTA('Fund Guide'!$B:$B)-COUNTA('Fund Guide'!$B$1:$B$4)),0)),"-"))</f>
        <v>2.7949000000000002</v>
      </c>
      <c r="Q65" s="480">
        <f ca="1">IF($E65="", "", IFERROR(INDEX(OFFSET('Fund Guide'!$B$4,1,MATCH(Q$12,OFFSET('Fund Guide'!$B$4,,,,COUNTA('Fund Guide'!38:38)),0)-1,COUNTA('Fund Guide'!$B:$B)-COUNTA('Fund Guide'!$B$1:$B$4)),MATCH($E65,OFFSET('Fund Guide'!$B$4,1,,COUNTA('Fund Guide'!$B:$B)-COUNTA('Fund Guide'!$B$1:$B$4)),0)),"-"))</f>
        <v>0.2157</v>
      </c>
      <c r="R65" s="481">
        <f ca="1">IF($E65="", "", IFERROR(INDEX(OFFSET('Fund Guide'!$B$4,1,MATCH(R$12,OFFSET('Fund Guide'!$B$4,,,,COUNTA('Fund Guide'!38:38)),0)-1,COUNTA('Fund Guide'!$B:$B)-COUNTA('Fund Guide'!$B$1:$B$4)),MATCH($E65,OFFSET('Fund Guide'!$B$4,1,,COUNTA('Fund Guide'!$B:$B)-COUNTA('Fund Guide'!$B$1:$B$4)),0)),"-"))</f>
        <v>2.2930000000000001</v>
      </c>
      <c r="S65" s="480">
        <f ca="1">IF($E65="", "", IFERROR(INDEX(OFFSET('Fund Guide'!$B$4,1,MATCH(S$12,OFFSET('Fund Guide'!$B$4,,,,COUNTA('Fund Guide'!38:38)),0)-1,COUNTA('Fund Guide'!$B:$B)-COUNTA('Fund Guide'!$B$1:$B$4)),MATCH($E65,OFFSET('Fund Guide'!$B$4,1,,COUNTA('Fund Guide'!$B:$B)-COUNTA('Fund Guide'!$B$1:$B$4)),0)),"-"))</f>
        <v>0.27950000000000003</v>
      </c>
      <c r="T65" s="481">
        <f ca="1">IF($E65="", "", IFERROR(INDEX(OFFSET('Fund Guide'!$B$4,1,MATCH(T$12,OFFSET('Fund Guide'!$B$4,,,,COUNTA('Fund Guide'!38:38)),0)-1,COUNTA('Fund Guide'!$B:$B)-COUNTA('Fund Guide'!$B$1:$B$4)),MATCH($E65,OFFSET('Fund Guide'!$B$4,1,,COUNTA('Fund Guide'!$B:$B)-COUNTA('Fund Guide'!$B$1:$B$4)),0)),"-"))</f>
        <v>2.3138999999999998</v>
      </c>
      <c r="U65" s="480">
        <f ca="1">IF($E65="", "", IFERROR(INDEX(OFFSET('Fund Guide'!$B$4,1,MATCH(U$12,OFFSET('Fund Guide'!$B$4,,,,COUNTA('Fund Guide'!38:38)),0)-1,COUNTA('Fund Guide'!$B:$B)-COUNTA('Fund Guide'!$B$1:$B$4)),MATCH($E65,OFFSET('Fund Guide'!$B$4,1,,COUNTA('Fund Guide'!$B:$B)-COUNTA('Fund Guide'!$B$1:$B$4)),0)),"-"))</f>
        <v>0.40389999999999998</v>
      </c>
      <c r="V65" s="481">
        <f ca="1">IF($E65="", "", IFERROR(INDEX(OFFSET('Fund Guide'!$B$4,1,MATCH(V$12,OFFSET('Fund Guide'!$B$4,,,,COUNTA('Fund Guide'!38:38)),0)-1,COUNTA('Fund Guide'!$B:$B)-COUNTA('Fund Guide'!$B$1:$B$4)),MATCH($E65,OFFSET('Fund Guide'!$B$4,1,,COUNTA('Fund Guide'!$B:$B)-COUNTA('Fund Guide'!$B$1:$B$4)),0)),"-"))</f>
        <v>2.3967999999999998</v>
      </c>
      <c r="W65" s="482">
        <f ca="1">IF($E65="", "", IFERROR(INDEX(OFFSET('Fund Guide'!$B$4,1,MATCH(W$12,OFFSET('Fund Guide'!$B$4,,,,COUNTA('Fund Guide'!38:38)),0)-1,COUNTA('Fund Guide'!$B:$B)-COUNTA('Fund Guide'!$B$1:$B$4)),MATCH($E65,OFFSET('Fund Guide'!$B$4,1,,COUNTA('Fund Guide'!$B:$B)-COUNTA('Fund Guide'!$B$1:$B$4)),0)),"-"))</f>
        <v>5.67E-2</v>
      </c>
      <c r="X65" s="483">
        <f ca="1">IF($E65="", "", IFERROR(INDEX(OFFSET('Fund Guide'!$B$4,1,MATCH(X$12,OFFSET('Fund Guide'!$B$4,,,,COUNTA('Fund Guide'!38:38)),0)-1,COUNTA('Fund Guide'!$B:$B)-COUNTA('Fund Guide'!$B$1:$B$4)),MATCH($E65,OFFSET('Fund Guide'!$B$4,1,,COUNTA('Fund Guide'!$B:$B)-COUNTA('Fund Guide'!$B$1:$B$4)),0)),"-"))</f>
        <v>1.88927703699306</v>
      </c>
      <c r="Z65" s="484"/>
      <c r="AA65" s="484"/>
      <c r="AB65" s="478"/>
    </row>
    <row r="66" spans="2:28" s="477" customFormat="1" ht="14.25" customHeight="1">
      <c r="B66" s="472"/>
      <c r="C66" s="472"/>
      <c r="D66" s="472"/>
      <c r="E66" s="496" t="s">
        <v>115</v>
      </c>
      <c r="F66" s="473">
        <f ca="1">IF($E66="", "", IFERROR(INDEX(OFFSET('Fund Guide'!$B$4,1,MATCH(F$12,OFFSET('Fund Guide'!$B$4,,,,COUNTA('Fund Guide'!39:39)),0)-1,COUNTA('Fund Guide'!$B:$B)-COUNTA('Fund Guide'!$B$1:$B$4)),MATCH($E66,OFFSET('Fund Guide'!$B$4,1,,COUNTA('Fund Guide'!$B:$B)-COUNTA('Fund Guide'!$B$1:$B$4)),0)),"-"))</f>
        <v>30</v>
      </c>
      <c r="G66" s="474" t="str">
        <f ca="1">IF($E66="", "", IFERROR(INDEX(OFFSET('Fund Guide'!$B$4,1,MATCH(G$12,OFFSET('Fund Guide'!$B$4,,,,COUNTA('Fund Guide'!39:39)),0)-1,COUNTA('Fund Guide'!$B:$B)-COUNTA('Fund Guide'!$B$1:$B$4)),MATCH($E66,OFFSET('Fund Guide'!$B$4,1,,COUNTA('Fund Guide'!$B:$B)-COUNTA('Fund Guide'!$B$1:$B$4)),0)),"-"))</f>
        <v>BRL</v>
      </c>
      <c r="H66" s="475">
        <f ca="1">IF($E66="", "", IFERROR(INDEX(OFFSET('Fund Guide'!$B$4,1,MATCH(H$12,OFFSET('Fund Guide'!$B$4,,,,COUNTA('Fund Guide'!39:39)),0)-1,COUNTA('Fund Guide'!$B:$B)-COUNTA('Fund Guide'!$B$1:$B$4)),MATCH($E66,OFFSET('Fund Guide'!$B$4,1,,COUNTA('Fund Guide'!$B:$B)-COUNTA('Fund Guide'!$B$1:$B$4)),0)),"-"))</f>
        <v>3.8E-3</v>
      </c>
      <c r="I66" s="476">
        <f ca="1">IF($E66="", "", IFERROR(INDEX(OFFSET('Fund Guide'!$B$4,1,MATCH(I$12,OFFSET('Fund Guide'!$B$4,,,,COUNTA('Fund Guide'!39:39)),0)-1,COUNTA('Fund Guide'!$B:$B)-COUNTA('Fund Guide'!$B$1:$B$4)),MATCH($E66,OFFSET('Fund Guide'!$B$4,1,,COUNTA('Fund Guide'!$B:$B)-COUNTA('Fund Guide'!$B$1:$B$4)),0)),"-"))</f>
        <v>42366</v>
      </c>
      <c r="K66" s="581">
        <f>IF(OR($L$7=0, L66=0), "", L66*$L$7)</f>
        <v>580000</v>
      </c>
      <c r="L66" s="478">
        <v>0.02</v>
      </c>
      <c r="M66" s="479">
        <f>IFERROR(IF(L66=0, "", L66/L$62),0)</f>
        <v>0.25</v>
      </c>
      <c r="O66" s="480">
        <f ca="1">IF($E66="", "", IFERROR(INDEX(OFFSET('Fund Guide'!$B$4,1,MATCH(O$12,OFFSET('Fund Guide'!$B$4,,,,COUNTA('Fund Guide'!39:39)),0)-1,COUNTA('Fund Guide'!$B:$B)-COUNTA('Fund Guide'!$B$1:$B$4)),MATCH($E66,OFFSET('Fund Guide'!$B$4,1,,COUNTA('Fund Guide'!$B:$B)-COUNTA('Fund Guide'!$B$1:$B$4)),0)),"-"))</f>
        <v>0.13500000000000001</v>
      </c>
      <c r="P66" s="481">
        <f ca="1">IF($E66="", "", IFERROR(INDEX(OFFSET('Fund Guide'!$B$4,1,MATCH(P$12,OFFSET('Fund Guide'!$B$4,,,,COUNTA('Fund Guide'!39:39)),0)-1,COUNTA('Fund Guide'!$B:$B)-COUNTA('Fund Guide'!$B$1:$B$4)),MATCH($E66,OFFSET('Fund Guide'!$B$4,1,,COUNTA('Fund Guide'!$B:$B)-COUNTA('Fund Guide'!$B$1:$B$4)),0)),"-"))</f>
        <v>2.0790000000000002</v>
      </c>
      <c r="Q66" s="480">
        <f ca="1">IF($E66="", "", IFERROR(INDEX(OFFSET('Fund Guide'!$B$4,1,MATCH(Q$12,OFFSET('Fund Guide'!$B$4,,,,COUNTA('Fund Guide'!39:39)),0)-1,COUNTA('Fund Guide'!$B:$B)-COUNTA('Fund Guide'!$B$1:$B$4)),MATCH($E66,OFFSET('Fund Guide'!$B$4,1,,COUNTA('Fund Guide'!$B:$B)-COUNTA('Fund Guide'!$B$1:$B$4)),0)),"-"))</f>
        <v>0.18340000000000001</v>
      </c>
      <c r="R66" s="481">
        <f ca="1">IF($E66="", "", IFERROR(INDEX(OFFSET('Fund Guide'!$B$4,1,MATCH(R$12,OFFSET('Fund Guide'!$B$4,,,,COUNTA('Fund Guide'!39:39)),0)-1,COUNTA('Fund Guide'!$B:$B)-COUNTA('Fund Guide'!$B$1:$B$4)),MATCH($E66,OFFSET('Fund Guide'!$B$4,1,,COUNTA('Fund Guide'!$B:$B)-COUNTA('Fund Guide'!$B$1:$B$4)),0)),"-"))</f>
        <v>1.9497</v>
      </c>
      <c r="S66" s="480">
        <f ca="1">IF($E66="", "", IFERROR(INDEX(OFFSET('Fund Guide'!$B$4,1,MATCH(S$12,OFFSET('Fund Guide'!$B$4,,,,COUNTA('Fund Guide'!39:39)),0)-1,COUNTA('Fund Guide'!$B:$B)-COUNTA('Fund Guide'!$B$1:$B$4)),MATCH($E66,OFFSET('Fund Guide'!$B$4,1,,COUNTA('Fund Guide'!$B:$B)-COUNTA('Fund Guide'!$B$1:$B$4)),0)),"-"))</f>
        <v>0.25090000000000001</v>
      </c>
      <c r="T66" s="481">
        <f ca="1">IF($E66="", "", IFERROR(INDEX(OFFSET('Fund Guide'!$B$4,1,MATCH(T$12,OFFSET('Fund Guide'!$B$4,,,,COUNTA('Fund Guide'!39:39)),0)-1,COUNTA('Fund Guide'!$B:$B)-COUNTA('Fund Guide'!$B$1:$B$4)),MATCH($E66,OFFSET('Fund Guide'!$B$4,1,,COUNTA('Fund Guide'!$B:$B)-COUNTA('Fund Guide'!$B$1:$B$4)),0)),"-"))</f>
        <v>2.077</v>
      </c>
      <c r="U66" s="480">
        <f ca="1">IF($E66="", "", IFERROR(INDEX(OFFSET('Fund Guide'!$B$4,1,MATCH(U$12,OFFSET('Fund Guide'!$B$4,,,,COUNTA('Fund Guide'!39:39)),0)-1,COUNTA('Fund Guide'!$B:$B)-COUNTA('Fund Guide'!$B$1:$B$4)),MATCH($E66,OFFSET('Fund Guide'!$B$4,1,,COUNTA('Fund Guide'!$B:$B)-COUNTA('Fund Guide'!$B$1:$B$4)),0)),"-"))</f>
        <v>0.33139999999999997</v>
      </c>
      <c r="V66" s="481">
        <f ca="1">IF($E66="", "", IFERROR(INDEX(OFFSET('Fund Guide'!$B$4,1,MATCH(V$12,OFFSET('Fund Guide'!$B$4,,,,COUNTA('Fund Guide'!39:39)),0)-1,COUNTA('Fund Guide'!$B:$B)-COUNTA('Fund Guide'!$B$1:$B$4)),MATCH($E66,OFFSET('Fund Guide'!$B$4,1,,COUNTA('Fund Guide'!$B:$B)-COUNTA('Fund Guide'!$B$1:$B$4)),0)),"-"))</f>
        <v>1.9663999999999999</v>
      </c>
      <c r="W66" s="482">
        <f ca="1">IF($E66="", "", IFERROR(INDEX(OFFSET('Fund Guide'!$B$4,1,MATCH(W$12,OFFSET('Fund Guide'!$B$4,,,,COUNTA('Fund Guide'!39:39)),0)-1,COUNTA('Fund Guide'!$B:$B)-COUNTA('Fund Guide'!$B$1:$B$4)),MATCH($E66,OFFSET('Fund Guide'!$B$4,1,,COUNTA('Fund Guide'!$B:$B)-COUNTA('Fund Guide'!$B$1:$B$4)),0)),"-"))</f>
        <v>4.2599999999999999E-2</v>
      </c>
      <c r="X66" s="483">
        <f ca="1">IF($E66="", "", IFERROR(INDEX(OFFSET('Fund Guide'!$B$4,1,MATCH(X$12,OFFSET('Fund Guide'!$B$4,,,,COUNTA('Fund Guide'!39:39)),0)-1,COUNTA('Fund Guide'!$B:$B)-COUNTA('Fund Guide'!$B$1:$B$4)),MATCH($E66,OFFSET('Fund Guide'!$B$4,1,,COUNTA('Fund Guide'!$B:$B)-COUNTA('Fund Guide'!$B$1:$B$4)),0)),"-"))</f>
        <v>1.8651055090406587</v>
      </c>
      <c r="Z66" s="484"/>
      <c r="AA66" s="484"/>
      <c r="AB66" s="478"/>
    </row>
    <row r="67" spans="2:28" s="385" customFormat="1" ht="5.25" customHeight="1">
      <c r="B67" s="461"/>
      <c r="C67" s="461"/>
      <c r="D67" s="461"/>
      <c r="E67" s="400"/>
      <c r="F67" s="431"/>
      <c r="G67" s="431"/>
      <c r="H67" s="396"/>
      <c r="I67" s="396"/>
      <c r="K67" s="579"/>
      <c r="O67" s="396"/>
      <c r="Q67" s="396"/>
      <c r="S67" s="396"/>
      <c r="U67" s="396"/>
      <c r="W67" s="396"/>
      <c r="Z67" s="396"/>
    </row>
    <row r="68" spans="2:28" s="282" customFormat="1" ht="14.25" customHeight="1">
      <c r="B68" s="485"/>
      <c r="C68" s="485" t="s">
        <v>20</v>
      </c>
      <c r="D68" s="485" t="s">
        <v>20</v>
      </c>
      <c r="E68" s="491" t="s">
        <v>959</v>
      </c>
      <c r="F68" s="492"/>
      <c r="G68" s="492"/>
      <c r="H68" s="493"/>
      <c r="I68" s="493"/>
      <c r="K68" s="580">
        <f>K70+K73+K76+K79</f>
        <v>580000</v>
      </c>
      <c r="L68" s="494">
        <v>0.02</v>
      </c>
      <c r="M68" s="495">
        <f>M70+M73+M76+M79</f>
        <v>0.02</v>
      </c>
      <c r="O68" s="493"/>
      <c r="P68" s="495"/>
      <c r="Q68" s="493"/>
      <c r="R68" s="495"/>
      <c r="S68" s="493"/>
      <c r="T68" s="495"/>
      <c r="U68" s="493"/>
      <c r="V68" s="495"/>
      <c r="W68" s="493"/>
      <c r="X68" s="495"/>
      <c r="Z68" s="493"/>
      <c r="AA68" s="495"/>
      <c r="AB68" s="495"/>
    </row>
    <row r="69" spans="2:28" s="385" customFormat="1" ht="3" customHeight="1">
      <c r="B69" s="461"/>
      <c r="C69" s="461"/>
      <c r="D69" s="461"/>
      <c r="E69" s="400"/>
      <c r="F69" s="431"/>
      <c r="G69" s="431"/>
      <c r="H69" s="396"/>
      <c r="I69" s="396"/>
      <c r="K69" s="579"/>
      <c r="L69" s="426"/>
      <c r="O69" s="396"/>
      <c r="Q69" s="396"/>
      <c r="S69" s="396"/>
      <c r="U69" s="396"/>
      <c r="W69" s="396"/>
      <c r="Z69" s="396"/>
    </row>
    <row r="70" spans="2:28" s="282" customFormat="1" ht="14.25" customHeight="1">
      <c r="B70" s="485"/>
      <c r="C70" s="485"/>
      <c r="D70" s="485" t="s">
        <v>20</v>
      </c>
      <c r="E70" s="486" t="s">
        <v>953</v>
      </c>
      <c r="F70" s="502"/>
      <c r="G70" s="502"/>
      <c r="H70" s="503"/>
      <c r="I70" s="503"/>
      <c r="K70" s="583">
        <f>IF( SUM(K71:K72)=0, 0, SUM(K71:K72))</f>
        <v>0</v>
      </c>
      <c r="L70" s="489">
        <v>0</v>
      </c>
      <c r="M70" s="490">
        <f>IF(L70=0, 0, SUM(M71:M72)*L70)</f>
        <v>0</v>
      </c>
      <c r="O70" s="503"/>
      <c r="P70" s="504"/>
      <c r="Q70" s="503"/>
      <c r="R70" s="504"/>
      <c r="S70" s="503"/>
      <c r="T70" s="504"/>
      <c r="U70" s="503"/>
      <c r="V70" s="504"/>
      <c r="W70" s="503"/>
      <c r="X70" s="504"/>
      <c r="Z70" s="503"/>
      <c r="AA70" s="504"/>
      <c r="AB70" s="504"/>
    </row>
    <row r="71" spans="2:28" s="477" customFormat="1" ht="14.25" customHeight="1">
      <c r="B71" s="472"/>
      <c r="C71" s="472"/>
      <c r="D71" s="472"/>
      <c r="E71" s="496"/>
      <c r="F71" s="473" t="str">
        <f ca="1">IF($E71="", "", IFERROR(INDEX(OFFSET('Fund Guide'!$B$4,1,MATCH(F$12,OFFSET('Fund Guide'!$B$4,,,,COUNTA('Fund Guide'!38:38)),0)-1,COUNTA('Fund Guide'!$B:$B)-COUNTA('Fund Guide'!$B$1:$B$4)),MATCH($E71,OFFSET('Fund Guide'!$B$4,1,,COUNTA('Fund Guide'!$B:$B)-COUNTA('Fund Guide'!$B$1:$B$4)),0)),"-"))</f>
        <v/>
      </c>
      <c r="G71" s="474" t="str">
        <f ca="1">IF($E71="", "", IFERROR(INDEX(OFFSET('Fund Guide'!$B$4,1,MATCH(G$12,OFFSET('Fund Guide'!$B$4,,,,COUNTA('Fund Guide'!38:38)),0)-1,COUNTA('Fund Guide'!$B:$B)-COUNTA('Fund Guide'!$B$1:$B$4)),MATCH($E71,OFFSET('Fund Guide'!$B$4,1,,COUNTA('Fund Guide'!$B:$B)-COUNTA('Fund Guide'!$B$1:$B$4)),0)),"-"))</f>
        <v/>
      </c>
      <c r="H71" s="475" t="str">
        <f ca="1">IF($E71="", "", IFERROR(INDEX(OFFSET('Fund Guide'!$B$4,1,MATCH(H$12,OFFSET('Fund Guide'!$B$4,,,,COUNTA('Fund Guide'!38:38)),0)-1,COUNTA('Fund Guide'!$B:$B)-COUNTA('Fund Guide'!$B$1:$B$4)),MATCH($E71,OFFSET('Fund Guide'!$B$4,1,,COUNTA('Fund Guide'!$B:$B)-COUNTA('Fund Guide'!$B$1:$B$4)),0)),"-"))</f>
        <v/>
      </c>
      <c r="I71" s="476" t="str">
        <f ca="1">IF($E71="", "", IFERROR(INDEX(OFFSET('Fund Guide'!$B$4,1,MATCH(I$12,OFFSET('Fund Guide'!$B$4,,,,COUNTA('Fund Guide'!38:38)),0)-1,COUNTA('Fund Guide'!$B:$B)-COUNTA('Fund Guide'!$B$1:$B$4)),MATCH($E71,OFFSET('Fund Guide'!$B$4,1,,COUNTA('Fund Guide'!$B:$B)-COUNTA('Fund Guide'!$B$1:$B$4)),0)),"-"))</f>
        <v/>
      </c>
      <c r="K71" s="581" t="str">
        <f>IF(OR($L$7=0, L71=0), "", L71*$L$7)</f>
        <v/>
      </c>
      <c r="L71" s="478"/>
      <c r="M71" s="479" t="str">
        <f>IFERROR(IF(L71=0, "", L71/L$70),0)</f>
        <v/>
      </c>
      <c r="O71" s="480" t="str">
        <f ca="1">IF($E71="", "", IFERROR(INDEX(OFFSET('Fund Guide'!$B$4,1,MATCH(O$12,OFFSET('Fund Guide'!$B$4,,,,COUNTA('Fund Guide'!38:38)),0)-1,COUNTA('Fund Guide'!$B:$B)-COUNTA('Fund Guide'!$B$1:$B$4)),MATCH($E71,OFFSET('Fund Guide'!$B$4,1,,COUNTA('Fund Guide'!$B:$B)-COUNTA('Fund Guide'!$B$1:$B$4)),0)),"-"))</f>
        <v/>
      </c>
      <c r="P71" s="481" t="str">
        <f ca="1">IF($E71="", "", IFERROR(INDEX(OFFSET('Fund Guide'!$B$4,1,MATCH(P$12,OFFSET('Fund Guide'!$B$4,,,,COUNTA('Fund Guide'!38:38)),0)-1,COUNTA('Fund Guide'!$B:$B)-COUNTA('Fund Guide'!$B$1:$B$4)),MATCH($E71,OFFSET('Fund Guide'!$B$4,1,,COUNTA('Fund Guide'!$B:$B)-COUNTA('Fund Guide'!$B$1:$B$4)),0)),"-"))</f>
        <v/>
      </c>
      <c r="Q71" s="480" t="str">
        <f ca="1">IF($E71="", "", IFERROR(INDEX(OFFSET('Fund Guide'!$B$4,1,MATCH(Q$12,OFFSET('Fund Guide'!$B$4,,,,COUNTA('Fund Guide'!38:38)),0)-1,COUNTA('Fund Guide'!$B:$B)-COUNTA('Fund Guide'!$B$1:$B$4)),MATCH($E71,OFFSET('Fund Guide'!$B$4,1,,COUNTA('Fund Guide'!$B:$B)-COUNTA('Fund Guide'!$B$1:$B$4)),0)),"-"))</f>
        <v/>
      </c>
      <c r="R71" s="481" t="str">
        <f ca="1">IF($E71="", "", IFERROR(INDEX(OFFSET('Fund Guide'!$B$4,1,MATCH(R$12,OFFSET('Fund Guide'!$B$4,,,,COUNTA('Fund Guide'!38:38)),0)-1,COUNTA('Fund Guide'!$B:$B)-COUNTA('Fund Guide'!$B$1:$B$4)),MATCH($E71,OFFSET('Fund Guide'!$B$4,1,,COUNTA('Fund Guide'!$B:$B)-COUNTA('Fund Guide'!$B$1:$B$4)),0)),"-"))</f>
        <v/>
      </c>
      <c r="S71" s="480" t="str">
        <f ca="1">IF($E71="", "", IFERROR(INDEX(OFFSET('Fund Guide'!$B$4,1,MATCH(S$12,OFFSET('Fund Guide'!$B$4,,,,COUNTA('Fund Guide'!38:38)),0)-1,COUNTA('Fund Guide'!$B:$B)-COUNTA('Fund Guide'!$B$1:$B$4)),MATCH($E71,OFFSET('Fund Guide'!$B$4,1,,COUNTA('Fund Guide'!$B:$B)-COUNTA('Fund Guide'!$B$1:$B$4)),0)),"-"))</f>
        <v/>
      </c>
      <c r="T71" s="481" t="str">
        <f ca="1">IF($E71="", "", IFERROR(INDEX(OFFSET('Fund Guide'!$B$4,1,MATCH(T$12,OFFSET('Fund Guide'!$B$4,,,,COUNTA('Fund Guide'!38:38)),0)-1,COUNTA('Fund Guide'!$B:$B)-COUNTA('Fund Guide'!$B$1:$B$4)),MATCH($E71,OFFSET('Fund Guide'!$B$4,1,,COUNTA('Fund Guide'!$B:$B)-COUNTA('Fund Guide'!$B$1:$B$4)),0)),"-"))</f>
        <v/>
      </c>
      <c r="U71" s="480" t="str">
        <f ca="1">IF($E71="", "", IFERROR(INDEX(OFFSET('Fund Guide'!$B$4,1,MATCH(U$12,OFFSET('Fund Guide'!$B$4,,,,COUNTA('Fund Guide'!38:38)),0)-1,COUNTA('Fund Guide'!$B:$B)-COUNTA('Fund Guide'!$B$1:$B$4)),MATCH($E71,OFFSET('Fund Guide'!$B$4,1,,COUNTA('Fund Guide'!$B:$B)-COUNTA('Fund Guide'!$B$1:$B$4)),0)),"-"))</f>
        <v/>
      </c>
      <c r="V71" s="481" t="str">
        <f ca="1">IF($E71="", "", IFERROR(INDEX(OFFSET('Fund Guide'!$B$4,1,MATCH(V$12,OFFSET('Fund Guide'!$B$4,,,,COUNTA('Fund Guide'!38:38)),0)-1,COUNTA('Fund Guide'!$B:$B)-COUNTA('Fund Guide'!$B$1:$B$4)),MATCH($E71,OFFSET('Fund Guide'!$B$4,1,,COUNTA('Fund Guide'!$B:$B)-COUNTA('Fund Guide'!$B$1:$B$4)),0)),"-"))</f>
        <v/>
      </c>
      <c r="W71" s="482" t="str">
        <f ca="1">IF($E71="", "", IFERROR(INDEX(OFFSET('Fund Guide'!$B$4,1,MATCH(W$12,OFFSET('Fund Guide'!$B$4,,,,COUNTA('Fund Guide'!38:38)),0)-1,COUNTA('Fund Guide'!$B:$B)-COUNTA('Fund Guide'!$B$1:$B$4)),MATCH($E71,OFFSET('Fund Guide'!$B$4,1,,COUNTA('Fund Guide'!$B:$B)-COUNTA('Fund Guide'!$B$1:$B$4)),0)),"-"))</f>
        <v/>
      </c>
      <c r="X71" s="483" t="str">
        <f ca="1">IF($E71="", "", IFERROR(INDEX(OFFSET('Fund Guide'!$B$4,1,MATCH(X$12,OFFSET('Fund Guide'!$B$4,,,,COUNTA('Fund Guide'!38:38)),0)-1,COUNTA('Fund Guide'!$B:$B)-COUNTA('Fund Guide'!$B$1:$B$4)),MATCH($E71,OFFSET('Fund Guide'!$B$4,1,,COUNTA('Fund Guide'!$B:$B)-COUNTA('Fund Guide'!$B$1:$B$4)),0)),"-"))</f>
        <v/>
      </c>
      <c r="Z71" s="484"/>
      <c r="AA71" s="484"/>
      <c r="AB71" s="478"/>
    </row>
    <row r="72" spans="2:28" s="385" customFormat="1" ht="4.5" customHeight="1">
      <c r="B72" s="461"/>
      <c r="C72" s="461"/>
      <c r="D72" s="461"/>
      <c r="E72" s="400"/>
      <c r="F72" s="431"/>
      <c r="G72" s="431"/>
      <c r="H72" s="396"/>
      <c r="I72" s="396"/>
      <c r="K72" s="579"/>
      <c r="O72" s="396"/>
      <c r="Q72" s="396"/>
      <c r="S72" s="396"/>
      <c r="U72" s="396"/>
      <c r="W72" s="396"/>
      <c r="Z72" s="396"/>
    </row>
    <row r="73" spans="2:28" s="282" customFormat="1" ht="14.25" customHeight="1">
      <c r="B73" s="485"/>
      <c r="C73" s="485"/>
      <c r="D73" s="485" t="s">
        <v>20</v>
      </c>
      <c r="E73" s="486" t="s">
        <v>960</v>
      </c>
      <c r="F73" s="502"/>
      <c r="G73" s="502"/>
      <c r="H73" s="503"/>
      <c r="I73" s="503"/>
      <c r="K73" s="583">
        <f>IF( SUM(K74:K75)=0, 0, SUM(K74:K75))</f>
        <v>580000</v>
      </c>
      <c r="L73" s="489">
        <v>0.02</v>
      </c>
      <c r="M73" s="490">
        <f>IF(L73=0, 0, SUM(M74:M75)*L73)</f>
        <v>0.02</v>
      </c>
      <c r="O73" s="503"/>
      <c r="P73" s="504"/>
      <c r="Q73" s="503"/>
      <c r="R73" s="504"/>
      <c r="S73" s="503"/>
      <c r="T73" s="504"/>
      <c r="U73" s="503"/>
      <c r="V73" s="504"/>
      <c r="W73" s="503"/>
      <c r="X73" s="504"/>
      <c r="Z73" s="503"/>
      <c r="AA73" s="504"/>
      <c r="AB73" s="504"/>
    </row>
    <row r="74" spans="2:28" s="477" customFormat="1" ht="14.25" customHeight="1">
      <c r="B74" s="472"/>
      <c r="C74" s="472"/>
      <c r="D74" s="472"/>
      <c r="E74" s="496" t="s">
        <v>996</v>
      </c>
      <c r="F74" s="473">
        <f ca="1">IF($E74="", "", IFERROR(INDEX(OFFSET('Fund Guide'!$B$4,1,MATCH(F$12,OFFSET('Fund Guide'!$B$4,,,,COUNTA('Fund Guide'!42:42)),0)-1,COUNTA('Fund Guide'!$B:$B)-COUNTA('Fund Guide'!$B$1:$B$4)),MATCH($E74,OFFSET('Fund Guide'!$B$4,1,,COUNTA('Fund Guide'!$B:$B)-COUNTA('Fund Guide'!$B$1:$B$4)),0)),"-"))</f>
        <v>15</v>
      </c>
      <c r="G74" s="474" t="str">
        <f ca="1">IF($E74="", "", IFERROR(INDEX(OFFSET('Fund Guide'!$B$4,1,MATCH(G$12,OFFSET('Fund Guide'!$B$4,,,,COUNTA('Fund Guide'!42:42)),0)-1,COUNTA('Fund Guide'!$B:$B)-COUNTA('Fund Guide'!$B$1:$B$4)),MATCH($E74,OFFSET('Fund Guide'!$B$4,1,,COUNTA('Fund Guide'!$B:$B)-COUNTA('Fund Guide'!$B$1:$B$4)),0)),"-"))</f>
        <v>BRL</v>
      </c>
      <c r="H74" s="475">
        <f ca="1">IF($E74="", "", IFERROR(INDEX(OFFSET('Fund Guide'!$B$4,1,MATCH(H$12,OFFSET('Fund Guide'!$B$4,,,,COUNTA('Fund Guide'!42:42)),0)-1,COUNTA('Fund Guide'!$B:$B)-COUNTA('Fund Guide'!$B$1:$B$4)),MATCH($E74,OFFSET('Fund Guide'!$B$4,1,,COUNTA('Fund Guide'!$B:$B)-COUNTA('Fund Guide'!$B$1:$B$4)),0)),"-"))</f>
        <v>4.6249999999999998E-3</v>
      </c>
      <c r="I74" s="476">
        <f ca="1">IF($E74="", "", IFERROR(INDEX(OFFSET('Fund Guide'!$B$4,1,MATCH(I$12,OFFSET('Fund Guide'!$B$4,,,,COUNTA('Fund Guide'!42:42)),0)-1,COUNTA('Fund Guide'!$B:$B)-COUNTA('Fund Guide'!$B$1:$B$4)),MATCH($E74,OFFSET('Fund Guide'!$B$4,1,,COUNTA('Fund Guide'!$B:$B)-COUNTA('Fund Guide'!$B$1:$B$4)),0)),"-"))</f>
        <v>41577</v>
      </c>
      <c r="K74" s="581">
        <f>IF(OR($L$7=0, L74=0), "", L74*$L$7)</f>
        <v>580000</v>
      </c>
      <c r="L74" s="478">
        <v>0.02</v>
      </c>
      <c r="M74" s="479">
        <f>IFERROR(IF(L74=0, "", L74/L$73),0)</f>
        <v>1</v>
      </c>
      <c r="O74" s="480">
        <f ca="1">IF($E74="", "", IFERROR(INDEX(OFFSET('Fund Guide'!$B$4,1,MATCH(O$12,OFFSET('Fund Guide'!$B$4,,,,COUNTA('Fund Guide'!42:42)),0)-1,COUNTA('Fund Guide'!$B:$B)-COUNTA('Fund Guide'!$B$1:$B$4)),MATCH($E74,OFFSET('Fund Guide'!$B$4,1,,COUNTA('Fund Guide'!$B:$B)-COUNTA('Fund Guide'!$B$1:$B$4)),0)),"-"))</f>
        <v>5.0900000000000001E-2</v>
      </c>
      <c r="P74" s="481">
        <f ca="1">IF($E74="", "", IFERROR(INDEX(OFFSET('Fund Guide'!$B$4,1,MATCH(P$12,OFFSET('Fund Guide'!$B$4,,,,COUNTA('Fund Guide'!42:42)),0)-1,COUNTA('Fund Guide'!$B:$B)-COUNTA('Fund Guide'!$B$1:$B$4)),MATCH($E74,OFFSET('Fund Guide'!$B$4,1,,COUNTA('Fund Guide'!$B:$B)-COUNTA('Fund Guide'!$B$1:$B$4)),0)),"-"))</f>
        <v>0.78400000000000003</v>
      </c>
      <c r="Q74" s="480">
        <f ca="1">IF($E74="", "", IFERROR(INDEX(OFFSET('Fund Guide'!$B$4,1,MATCH(Q$12,OFFSET('Fund Guide'!$B$4,,,,COUNTA('Fund Guide'!42:42)),0)-1,COUNTA('Fund Guide'!$B:$B)-COUNTA('Fund Guide'!$B$1:$B$4)),MATCH($E74,OFFSET('Fund Guide'!$B$4,1,,COUNTA('Fund Guide'!$B:$B)-COUNTA('Fund Guide'!$B$1:$B$4)),0)),"-"))</f>
        <v>7.1400000000000005E-2</v>
      </c>
      <c r="R74" s="481">
        <f ca="1">IF($E74="", "", IFERROR(INDEX(OFFSET('Fund Guide'!$B$4,1,MATCH(R$12,OFFSET('Fund Guide'!$B$4,,,,COUNTA('Fund Guide'!42:42)),0)-1,COUNTA('Fund Guide'!$B:$B)-COUNTA('Fund Guide'!$B$1:$B$4)),MATCH($E74,OFFSET('Fund Guide'!$B$4,1,,COUNTA('Fund Guide'!$B:$B)-COUNTA('Fund Guide'!$B$1:$B$4)),0)),"-"))</f>
        <v>0.75880000000000003</v>
      </c>
      <c r="S74" s="480">
        <f ca="1">IF($E74="", "", IFERROR(INDEX(OFFSET('Fund Guide'!$B$4,1,MATCH(S$12,OFFSET('Fund Guide'!$B$4,,,,COUNTA('Fund Guide'!42:42)),0)-1,COUNTA('Fund Guide'!$B:$B)-COUNTA('Fund Guide'!$B$1:$B$4)),MATCH($E74,OFFSET('Fund Guide'!$B$4,1,,COUNTA('Fund Guide'!$B:$B)-COUNTA('Fund Guide'!$B$1:$B$4)),0)),"-"))</f>
        <v>0.1512</v>
      </c>
      <c r="T74" s="481">
        <f ca="1">IF($E74="", "", IFERROR(INDEX(OFFSET('Fund Guide'!$B$4,1,MATCH(T$12,OFFSET('Fund Guide'!$B$4,,,,COUNTA('Fund Guide'!42:42)),0)-1,COUNTA('Fund Guide'!$B:$B)-COUNTA('Fund Guide'!$B$1:$B$4)),MATCH($E74,OFFSET('Fund Guide'!$B$4,1,,COUNTA('Fund Guide'!$B:$B)-COUNTA('Fund Guide'!$B$1:$B$4)),0)),"-"))</f>
        <v>1.2515000000000001</v>
      </c>
      <c r="U74" s="480">
        <f ca="1">IF($E74="", "", IFERROR(INDEX(OFFSET('Fund Guide'!$B$4,1,MATCH(U$12,OFFSET('Fund Guide'!$B$4,,,,COUNTA('Fund Guide'!42:42)),0)-1,COUNTA('Fund Guide'!$B:$B)-COUNTA('Fund Guide'!$B$1:$B$4)),MATCH($E74,OFFSET('Fund Guide'!$B$4,1,,COUNTA('Fund Guide'!$B:$B)-COUNTA('Fund Guide'!$B$1:$B$4)),0)),"-"))</f>
        <v>0.28549999999999998</v>
      </c>
      <c r="V74" s="481">
        <f ca="1">IF($E74="", "", IFERROR(INDEX(OFFSET('Fund Guide'!$B$4,1,MATCH(V$12,OFFSET('Fund Guide'!$B$4,,,,COUNTA('Fund Guide'!42:42)),0)-1,COUNTA('Fund Guide'!$B:$B)-COUNTA('Fund Guide'!$B$1:$B$4)),MATCH($E74,OFFSET('Fund Guide'!$B$4,1,,COUNTA('Fund Guide'!$B:$B)-COUNTA('Fund Guide'!$B$1:$B$4)),0)),"-"))</f>
        <v>1.6940999999999999</v>
      </c>
      <c r="W74" s="482">
        <f ca="1">IF($E74="", "", IFERROR(INDEX(OFFSET('Fund Guide'!$B$4,1,MATCH(W$12,OFFSET('Fund Guide'!$B$4,,,,COUNTA('Fund Guide'!42:42)),0)-1,COUNTA('Fund Guide'!$B:$B)-COUNTA('Fund Guide'!$B$1:$B$4)),MATCH($E74,OFFSET('Fund Guide'!$B$4,1,,COUNTA('Fund Guide'!$B:$B)-COUNTA('Fund Guide'!$B$1:$B$4)),0)),"-"))</f>
        <v>4.7100000000000003E-2</v>
      </c>
      <c r="X74" s="483">
        <f ca="1">IF($E74="", "", IFERROR(INDEX(OFFSET('Fund Guide'!$B$4,1,MATCH(X$12,OFFSET('Fund Guide'!$B$4,,,,COUNTA('Fund Guide'!42:42)),0)-1,COUNTA('Fund Guide'!$B:$B)-COUNTA('Fund Guide'!$B$1:$B$4)),MATCH($E74,OFFSET('Fund Guide'!$B$4,1,,COUNTA('Fund Guide'!$B:$B)-COUNTA('Fund Guide'!$B$1:$B$4)),0)),"-"))</f>
        <v>-0.42190247280351434</v>
      </c>
      <c r="Z74" s="484"/>
      <c r="AA74" s="484"/>
      <c r="AB74" s="478"/>
    </row>
    <row r="75" spans="2:28" s="385" customFormat="1" ht="4.5" customHeight="1">
      <c r="B75" s="461"/>
      <c r="C75" s="461"/>
      <c r="D75" s="461"/>
      <c r="E75" s="400"/>
      <c r="F75" s="431"/>
      <c r="G75" s="431"/>
      <c r="H75" s="396"/>
      <c r="I75" s="396"/>
      <c r="K75" s="579"/>
      <c r="O75" s="396"/>
      <c r="Q75" s="396"/>
      <c r="S75" s="396"/>
      <c r="U75" s="396"/>
      <c r="W75" s="396"/>
      <c r="Z75" s="396"/>
    </row>
    <row r="76" spans="2:28" s="282" customFormat="1" ht="14.25" customHeight="1">
      <c r="B76" s="485"/>
      <c r="C76" s="485"/>
      <c r="D76" s="485" t="s">
        <v>20</v>
      </c>
      <c r="E76" s="486" t="s">
        <v>962</v>
      </c>
      <c r="F76" s="502"/>
      <c r="G76" s="502"/>
      <c r="H76" s="503"/>
      <c r="I76" s="503"/>
      <c r="K76" s="583">
        <f>IF( SUM(K77:K78)=0, 0, SUM(K77:K78))</f>
        <v>0</v>
      </c>
      <c r="L76" s="489">
        <v>0</v>
      </c>
      <c r="M76" s="490">
        <f>IF(L76=0, 0, SUM(M77:M78)*L76)</f>
        <v>0</v>
      </c>
      <c r="O76" s="503"/>
      <c r="P76" s="504"/>
      <c r="Q76" s="503"/>
      <c r="R76" s="504"/>
      <c r="S76" s="503"/>
      <c r="T76" s="504"/>
      <c r="U76" s="503"/>
      <c r="V76" s="504"/>
      <c r="W76" s="503"/>
      <c r="X76" s="504"/>
      <c r="Z76" s="503"/>
      <c r="AA76" s="504"/>
      <c r="AB76" s="504"/>
    </row>
    <row r="77" spans="2:28" s="477" customFormat="1" ht="14.25" customHeight="1">
      <c r="B77" s="472"/>
      <c r="C77" s="472"/>
      <c r="D77" s="472"/>
      <c r="E77" s="496"/>
      <c r="F77" s="473" t="str">
        <f ca="1">IF($E77="", "", IFERROR(INDEX(OFFSET('Fund Guide'!$B$4,1,MATCH(F$12,OFFSET('Fund Guide'!$B$4,,,,COUNTA('Fund Guide'!45:45)),0)-1,COUNTA('Fund Guide'!$B:$B)-COUNTA('Fund Guide'!$B$1:$B$4)),MATCH($E77,OFFSET('Fund Guide'!$B$4,1,,COUNTA('Fund Guide'!$B:$B)-COUNTA('Fund Guide'!$B$1:$B$4)),0)),"-"))</f>
        <v/>
      </c>
      <c r="G77" s="474" t="str">
        <f ca="1">IF($E77="", "", IFERROR(INDEX(OFFSET('Fund Guide'!$B$4,1,MATCH(G$12,OFFSET('Fund Guide'!$B$4,,,,COUNTA('Fund Guide'!45:45)),0)-1,COUNTA('Fund Guide'!$B:$B)-COUNTA('Fund Guide'!$B$1:$B$4)),MATCH($E77,OFFSET('Fund Guide'!$B$4,1,,COUNTA('Fund Guide'!$B:$B)-COUNTA('Fund Guide'!$B$1:$B$4)),0)),"-"))</f>
        <v/>
      </c>
      <c r="H77" s="475" t="str">
        <f ca="1">IF($E77="", "", IFERROR(INDEX(OFFSET('Fund Guide'!$B$4,1,MATCH(H$12,OFFSET('Fund Guide'!$B$4,,,,COUNTA('Fund Guide'!45:45)),0)-1,COUNTA('Fund Guide'!$B:$B)-COUNTA('Fund Guide'!$B$1:$B$4)),MATCH($E77,OFFSET('Fund Guide'!$B$4,1,,COUNTA('Fund Guide'!$B:$B)-COUNTA('Fund Guide'!$B$1:$B$4)),0)),"-"))</f>
        <v/>
      </c>
      <c r="I77" s="476" t="str">
        <f ca="1">IF($E77="", "", IFERROR(INDEX(OFFSET('Fund Guide'!$B$4,1,MATCH(I$12,OFFSET('Fund Guide'!$B$4,,,,COUNTA('Fund Guide'!45:45)),0)-1,COUNTA('Fund Guide'!$B:$B)-COUNTA('Fund Guide'!$B$1:$B$4)),MATCH($E77,OFFSET('Fund Guide'!$B$4,1,,COUNTA('Fund Guide'!$B:$B)-COUNTA('Fund Guide'!$B$1:$B$4)),0)),"-"))</f>
        <v/>
      </c>
      <c r="K77" s="581" t="str">
        <f>IF(OR($L$7=0, L77=0), "", L77*$L$7)</f>
        <v/>
      </c>
      <c r="L77" s="478"/>
      <c r="M77" s="479" t="str">
        <f>IFERROR(IF(L77=0, "", L77/L$76),0)</f>
        <v/>
      </c>
      <c r="O77" s="480" t="str">
        <f ca="1">IF($E77="", "", IFERROR(INDEX(OFFSET('Fund Guide'!$B$4,1,MATCH(O$12,OFFSET('Fund Guide'!$B$4,,,,COUNTA('Fund Guide'!45:45)),0)-1,COUNTA('Fund Guide'!$B:$B)-COUNTA('Fund Guide'!$B$1:$B$4)),MATCH($E77,OFFSET('Fund Guide'!$B$4,1,,COUNTA('Fund Guide'!$B:$B)-COUNTA('Fund Guide'!$B$1:$B$4)),0)),"-"))</f>
        <v/>
      </c>
      <c r="P77" s="481" t="str">
        <f ca="1">IF($E77="", "", IFERROR(INDEX(OFFSET('Fund Guide'!$B$4,1,MATCH(P$12,OFFSET('Fund Guide'!$B$4,,,,COUNTA('Fund Guide'!45:45)),0)-1,COUNTA('Fund Guide'!$B:$B)-COUNTA('Fund Guide'!$B$1:$B$4)),MATCH($E77,OFFSET('Fund Guide'!$B$4,1,,COUNTA('Fund Guide'!$B:$B)-COUNTA('Fund Guide'!$B$1:$B$4)),0)),"-"))</f>
        <v/>
      </c>
      <c r="Q77" s="480" t="str">
        <f ca="1">IF($E77="", "", IFERROR(INDEX(OFFSET('Fund Guide'!$B$4,1,MATCH(Q$12,OFFSET('Fund Guide'!$B$4,,,,COUNTA('Fund Guide'!45:45)),0)-1,COUNTA('Fund Guide'!$B:$B)-COUNTA('Fund Guide'!$B$1:$B$4)),MATCH($E77,OFFSET('Fund Guide'!$B$4,1,,COUNTA('Fund Guide'!$B:$B)-COUNTA('Fund Guide'!$B$1:$B$4)),0)),"-"))</f>
        <v/>
      </c>
      <c r="R77" s="481" t="str">
        <f ca="1">IF($E77="", "", IFERROR(INDEX(OFFSET('Fund Guide'!$B$4,1,MATCH(R$12,OFFSET('Fund Guide'!$B$4,,,,COUNTA('Fund Guide'!45:45)),0)-1,COUNTA('Fund Guide'!$B:$B)-COUNTA('Fund Guide'!$B$1:$B$4)),MATCH($E77,OFFSET('Fund Guide'!$B$4,1,,COUNTA('Fund Guide'!$B:$B)-COUNTA('Fund Guide'!$B$1:$B$4)),0)),"-"))</f>
        <v/>
      </c>
      <c r="S77" s="480" t="str">
        <f ca="1">IF($E77="", "", IFERROR(INDEX(OFFSET('Fund Guide'!$B$4,1,MATCH(S$12,OFFSET('Fund Guide'!$B$4,,,,COUNTA('Fund Guide'!45:45)),0)-1,COUNTA('Fund Guide'!$B:$B)-COUNTA('Fund Guide'!$B$1:$B$4)),MATCH($E77,OFFSET('Fund Guide'!$B$4,1,,COUNTA('Fund Guide'!$B:$B)-COUNTA('Fund Guide'!$B$1:$B$4)),0)),"-"))</f>
        <v/>
      </c>
      <c r="T77" s="481" t="str">
        <f ca="1">IF($E77="", "", IFERROR(INDEX(OFFSET('Fund Guide'!$B$4,1,MATCH(T$12,OFFSET('Fund Guide'!$B$4,,,,COUNTA('Fund Guide'!45:45)),0)-1,COUNTA('Fund Guide'!$B:$B)-COUNTA('Fund Guide'!$B$1:$B$4)),MATCH($E77,OFFSET('Fund Guide'!$B$4,1,,COUNTA('Fund Guide'!$B:$B)-COUNTA('Fund Guide'!$B$1:$B$4)),0)),"-"))</f>
        <v/>
      </c>
      <c r="U77" s="480" t="str">
        <f ca="1">IF($E77="", "", IFERROR(INDEX(OFFSET('Fund Guide'!$B$4,1,MATCH(U$12,OFFSET('Fund Guide'!$B$4,,,,COUNTA('Fund Guide'!45:45)),0)-1,COUNTA('Fund Guide'!$B:$B)-COUNTA('Fund Guide'!$B$1:$B$4)),MATCH($E77,OFFSET('Fund Guide'!$B$4,1,,COUNTA('Fund Guide'!$B:$B)-COUNTA('Fund Guide'!$B$1:$B$4)),0)),"-"))</f>
        <v/>
      </c>
      <c r="V77" s="481" t="str">
        <f ca="1">IF($E77="", "", IFERROR(INDEX(OFFSET('Fund Guide'!$B$4,1,MATCH(V$12,OFFSET('Fund Guide'!$B$4,,,,COUNTA('Fund Guide'!45:45)),0)-1,COUNTA('Fund Guide'!$B:$B)-COUNTA('Fund Guide'!$B$1:$B$4)),MATCH($E77,OFFSET('Fund Guide'!$B$4,1,,COUNTA('Fund Guide'!$B:$B)-COUNTA('Fund Guide'!$B$1:$B$4)),0)),"-"))</f>
        <v/>
      </c>
      <c r="W77" s="482" t="str">
        <f ca="1">IF($E77="", "", IFERROR(INDEX(OFFSET('Fund Guide'!$B$4,1,MATCH(W$12,OFFSET('Fund Guide'!$B$4,,,,COUNTA('Fund Guide'!45:45)),0)-1,COUNTA('Fund Guide'!$B:$B)-COUNTA('Fund Guide'!$B$1:$B$4)),MATCH($E77,OFFSET('Fund Guide'!$B$4,1,,COUNTA('Fund Guide'!$B:$B)-COUNTA('Fund Guide'!$B$1:$B$4)),0)),"-"))</f>
        <v/>
      </c>
      <c r="X77" s="483" t="str">
        <f ca="1">IF($E77="", "", IFERROR(INDEX(OFFSET('Fund Guide'!$B$4,1,MATCH(X$12,OFFSET('Fund Guide'!$B$4,,,,COUNTA('Fund Guide'!45:45)),0)-1,COUNTA('Fund Guide'!$B:$B)-COUNTA('Fund Guide'!$B$1:$B$4)),MATCH($E77,OFFSET('Fund Guide'!$B$4,1,,COUNTA('Fund Guide'!$B:$B)-COUNTA('Fund Guide'!$B$1:$B$4)),0)),"-"))</f>
        <v/>
      </c>
      <c r="Z77" s="484"/>
      <c r="AA77" s="484"/>
      <c r="AB77" s="478"/>
    </row>
    <row r="78" spans="2:28" s="385" customFormat="1" ht="4.5" customHeight="1">
      <c r="B78" s="461"/>
      <c r="C78" s="461"/>
      <c r="D78" s="461"/>
      <c r="E78" s="400"/>
      <c r="F78" s="431"/>
      <c r="G78" s="431"/>
      <c r="H78" s="396"/>
      <c r="I78" s="396"/>
      <c r="K78" s="579"/>
      <c r="O78" s="396"/>
      <c r="Q78" s="396"/>
      <c r="S78" s="396"/>
      <c r="U78" s="396"/>
      <c r="W78" s="396"/>
      <c r="Z78" s="396"/>
    </row>
    <row r="79" spans="2:28" s="282" customFormat="1" ht="14.25" customHeight="1">
      <c r="B79" s="485"/>
      <c r="C79" s="485"/>
      <c r="D79" s="485" t="s">
        <v>20</v>
      </c>
      <c r="E79" s="486" t="s">
        <v>961</v>
      </c>
      <c r="F79" s="502"/>
      <c r="G79" s="502"/>
      <c r="H79" s="503"/>
      <c r="I79" s="503"/>
      <c r="K79" s="583">
        <f>IF( SUM(K80:K81)=0, 0, SUM(K80:K81))</f>
        <v>0</v>
      </c>
      <c r="L79" s="489">
        <v>0</v>
      </c>
      <c r="M79" s="490">
        <f>IF(L79=0, 0, SUM(M80:M81)*L79)</f>
        <v>0</v>
      </c>
      <c r="O79" s="503"/>
      <c r="P79" s="504"/>
      <c r="Q79" s="503"/>
      <c r="R79" s="504"/>
      <c r="S79" s="503"/>
      <c r="T79" s="504"/>
      <c r="U79" s="503"/>
      <c r="V79" s="504"/>
      <c r="W79" s="503"/>
      <c r="X79" s="504"/>
      <c r="Z79" s="503"/>
      <c r="AA79" s="504"/>
      <c r="AB79" s="504"/>
    </row>
    <row r="80" spans="2:28" s="477" customFormat="1" ht="14.25" customHeight="1">
      <c r="B80" s="472"/>
      <c r="C80" s="472"/>
      <c r="D80" s="472"/>
      <c r="E80" s="496"/>
      <c r="F80" s="473" t="str">
        <f ca="1">IF($E80="", "", IFERROR(INDEX(OFFSET('Fund Guide'!$B$4,1,MATCH(F$12,OFFSET('Fund Guide'!$B$4,,,,COUNTA('Fund Guide'!48:48)),0)-1,COUNTA('Fund Guide'!$B:$B)-COUNTA('Fund Guide'!$B$1:$B$4)),MATCH($E80,OFFSET('Fund Guide'!$B$4,1,,COUNTA('Fund Guide'!$B:$B)-COUNTA('Fund Guide'!$B$1:$B$4)),0)),"-"))</f>
        <v/>
      </c>
      <c r="G80" s="474" t="str">
        <f ca="1">IF($E80="", "", IFERROR(INDEX(OFFSET('Fund Guide'!$B$4,1,MATCH(G$12,OFFSET('Fund Guide'!$B$4,,,,COUNTA('Fund Guide'!48:48)),0)-1,COUNTA('Fund Guide'!$B:$B)-COUNTA('Fund Guide'!$B$1:$B$4)),MATCH($E80,OFFSET('Fund Guide'!$B$4,1,,COUNTA('Fund Guide'!$B:$B)-COUNTA('Fund Guide'!$B$1:$B$4)),0)),"-"))</f>
        <v/>
      </c>
      <c r="H80" s="475" t="str">
        <f ca="1">IF($E80="", "", IFERROR(INDEX(OFFSET('Fund Guide'!$B$4,1,MATCH(H$12,OFFSET('Fund Guide'!$B$4,,,,COUNTA('Fund Guide'!48:48)),0)-1,COUNTA('Fund Guide'!$B:$B)-COUNTA('Fund Guide'!$B$1:$B$4)),MATCH($E80,OFFSET('Fund Guide'!$B$4,1,,COUNTA('Fund Guide'!$B:$B)-COUNTA('Fund Guide'!$B$1:$B$4)),0)),"-"))</f>
        <v/>
      </c>
      <c r="I80" s="476" t="str">
        <f ca="1">IF($E80="", "", IFERROR(INDEX(OFFSET('Fund Guide'!$B$4,1,MATCH(I$12,OFFSET('Fund Guide'!$B$4,,,,COUNTA('Fund Guide'!48:48)),0)-1,COUNTA('Fund Guide'!$B:$B)-COUNTA('Fund Guide'!$B$1:$B$4)),MATCH($E80,OFFSET('Fund Guide'!$B$4,1,,COUNTA('Fund Guide'!$B:$B)-COUNTA('Fund Guide'!$B$1:$B$4)),0)),"-"))</f>
        <v/>
      </c>
      <c r="K80" s="581" t="str">
        <f>IF(OR($L$7=0, L80=0), "", L80*$L$7)</f>
        <v/>
      </c>
      <c r="L80" s="478"/>
      <c r="M80" s="479" t="str">
        <f>IFERROR(IF(L80=0, "", L80/L$79),0)</f>
        <v/>
      </c>
      <c r="O80" s="480" t="str">
        <f ca="1">IF($E80="", "", IFERROR(INDEX(OFFSET('Fund Guide'!$B$4,1,MATCH(O$12,OFFSET('Fund Guide'!$B$4,,,,COUNTA('Fund Guide'!48:48)),0)-1,COUNTA('Fund Guide'!$B:$B)-COUNTA('Fund Guide'!$B$1:$B$4)),MATCH($E80,OFFSET('Fund Guide'!$B$4,1,,COUNTA('Fund Guide'!$B:$B)-COUNTA('Fund Guide'!$B$1:$B$4)),0)),"-"))</f>
        <v/>
      </c>
      <c r="P80" s="481" t="str">
        <f ca="1">IF($E80="", "", IFERROR(INDEX(OFFSET('Fund Guide'!$B$4,1,MATCH(P$12,OFFSET('Fund Guide'!$B$4,,,,COUNTA('Fund Guide'!48:48)),0)-1,COUNTA('Fund Guide'!$B:$B)-COUNTA('Fund Guide'!$B$1:$B$4)),MATCH($E80,OFFSET('Fund Guide'!$B$4,1,,COUNTA('Fund Guide'!$B:$B)-COUNTA('Fund Guide'!$B$1:$B$4)),0)),"-"))</f>
        <v/>
      </c>
      <c r="Q80" s="480" t="str">
        <f ca="1">IF($E80="", "", IFERROR(INDEX(OFFSET('Fund Guide'!$B$4,1,MATCH(Q$12,OFFSET('Fund Guide'!$B$4,,,,COUNTA('Fund Guide'!48:48)),0)-1,COUNTA('Fund Guide'!$B:$B)-COUNTA('Fund Guide'!$B$1:$B$4)),MATCH($E80,OFFSET('Fund Guide'!$B$4,1,,COUNTA('Fund Guide'!$B:$B)-COUNTA('Fund Guide'!$B$1:$B$4)),0)),"-"))</f>
        <v/>
      </c>
      <c r="R80" s="481" t="str">
        <f ca="1">IF($E80="", "", IFERROR(INDEX(OFFSET('Fund Guide'!$B$4,1,MATCH(R$12,OFFSET('Fund Guide'!$B$4,,,,COUNTA('Fund Guide'!48:48)),0)-1,COUNTA('Fund Guide'!$B:$B)-COUNTA('Fund Guide'!$B$1:$B$4)),MATCH($E80,OFFSET('Fund Guide'!$B$4,1,,COUNTA('Fund Guide'!$B:$B)-COUNTA('Fund Guide'!$B$1:$B$4)),0)),"-"))</f>
        <v/>
      </c>
      <c r="S80" s="480" t="str">
        <f ca="1">IF($E80="", "", IFERROR(INDEX(OFFSET('Fund Guide'!$B$4,1,MATCH(S$12,OFFSET('Fund Guide'!$B$4,,,,COUNTA('Fund Guide'!48:48)),0)-1,COUNTA('Fund Guide'!$B:$B)-COUNTA('Fund Guide'!$B$1:$B$4)),MATCH($E80,OFFSET('Fund Guide'!$B$4,1,,COUNTA('Fund Guide'!$B:$B)-COUNTA('Fund Guide'!$B$1:$B$4)),0)),"-"))</f>
        <v/>
      </c>
      <c r="T80" s="481" t="str">
        <f ca="1">IF($E80="", "", IFERROR(INDEX(OFFSET('Fund Guide'!$B$4,1,MATCH(T$12,OFFSET('Fund Guide'!$B$4,,,,COUNTA('Fund Guide'!48:48)),0)-1,COUNTA('Fund Guide'!$B:$B)-COUNTA('Fund Guide'!$B$1:$B$4)),MATCH($E80,OFFSET('Fund Guide'!$B$4,1,,COUNTA('Fund Guide'!$B:$B)-COUNTA('Fund Guide'!$B$1:$B$4)),0)),"-"))</f>
        <v/>
      </c>
      <c r="U80" s="480" t="str">
        <f ca="1">IF($E80="", "", IFERROR(INDEX(OFFSET('Fund Guide'!$B$4,1,MATCH(U$12,OFFSET('Fund Guide'!$B$4,,,,COUNTA('Fund Guide'!48:48)),0)-1,COUNTA('Fund Guide'!$B:$B)-COUNTA('Fund Guide'!$B$1:$B$4)),MATCH($E80,OFFSET('Fund Guide'!$B$4,1,,COUNTA('Fund Guide'!$B:$B)-COUNTA('Fund Guide'!$B$1:$B$4)),0)),"-"))</f>
        <v/>
      </c>
      <c r="V80" s="481" t="str">
        <f ca="1">IF($E80="", "", IFERROR(INDEX(OFFSET('Fund Guide'!$B$4,1,MATCH(V$12,OFFSET('Fund Guide'!$B$4,,,,COUNTA('Fund Guide'!48:48)),0)-1,COUNTA('Fund Guide'!$B:$B)-COUNTA('Fund Guide'!$B$1:$B$4)),MATCH($E80,OFFSET('Fund Guide'!$B$4,1,,COUNTA('Fund Guide'!$B:$B)-COUNTA('Fund Guide'!$B$1:$B$4)),0)),"-"))</f>
        <v/>
      </c>
      <c r="W80" s="482" t="str">
        <f ca="1">IF($E80="", "", IFERROR(INDEX(OFFSET('Fund Guide'!$B$4,1,MATCH(W$12,OFFSET('Fund Guide'!$B$4,,,,COUNTA('Fund Guide'!48:48)),0)-1,COUNTA('Fund Guide'!$B:$B)-COUNTA('Fund Guide'!$B$1:$B$4)),MATCH($E80,OFFSET('Fund Guide'!$B$4,1,,COUNTA('Fund Guide'!$B:$B)-COUNTA('Fund Guide'!$B$1:$B$4)),0)),"-"))</f>
        <v/>
      </c>
      <c r="X80" s="483" t="str">
        <f ca="1">IF($E80="", "", IFERROR(INDEX(OFFSET('Fund Guide'!$B$4,1,MATCH(X$12,OFFSET('Fund Guide'!$B$4,,,,COUNTA('Fund Guide'!48:48)),0)-1,COUNTA('Fund Guide'!$B:$B)-COUNTA('Fund Guide'!$B$1:$B$4)),MATCH($E80,OFFSET('Fund Guide'!$B$4,1,,COUNTA('Fund Guide'!$B:$B)-COUNTA('Fund Guide'!$B$1:$B$4)),0)),"-"))</f>
        <v/>
      </c>
      <c r="Z80" s="484"/>
      <c r="AA80" s="484"/>
      <c r="AB80" s="478"/>
    </row>
    <row r="81" spans="2:28" s="385" customFormat="1" ht="7.5" customHeight="1">
      <c r="B81" s="461"/>
      <c r="C81" s="461"/>
      <c r="D81" s="461"/>
      <c r="E81" s="400"/>
      <c r="F81" s="431"/>
      <c r="G81" s="431"/>
      <c r="H81" s="396"/>
      <c r="I81" s="396"/>
      <c r="K81" s="579"/>
      <c r="L81" s="426"/>
      <c r="O81" s="396"/>
      <c r="Q81" s="396"/>
      <c r="S81" s="396"/>
      <c r="U81" s="396"/>
      <c r="W81" s="396"/>
      <c r="Z81" s="396"/>
    </row>
    <row r="82" spans="2:28" s="282" customFormat="1" ht="14.25" customHeight="1">
      <c r="B82" s="485"/>
      <c r="C82" s="485"/>
      <c r="D82" s="485" t="s">
        <v>1917</v>
      </c>
      <c r="E82" s="497" t="s">
        <v>28</v>
      </c>
      <c r="F82" s="498"/>
      <c r="G82" s="498"/>
      <c r="H82" s="499"/>
      <c r="I82" s="499"/>
      <c r="K82" s="578">
        <f>IF(K84+K96=0, 0,K84+K96)</f>
        <v>1160000</v>
      </c>
      <c r="L82" s="500">
        <f>L84+L96</f>
        <v>0.04</v>
      </c>
      <c r="M82" s="501">
        <f>M84+M96</f>
        <v>0.04</v>
      </c>
      <c r="O82" s="499"/>
      <c r="P82" s="501"/>
      <c r="Q82" s="499"/>
      <c r="R82" s="501"/>
      <c r="S82" s="499"/>
      <c r="T82" s="501"/>
      <c r="U82" s="499"/>
      <c r="V82" s="501"/>
      <c r="W82" s="499"/>
      <c r="X82" s="501"/>
      <c r="Z82" s="499"/>
      <c r="AA82" s="501"/>
      <c r="AB82" s="501"/>
    </row>
    <row r="83" spans="2:28" s="385" customFormat="1" ht="4.5" customHeight="1">
      <c r="B83" s="461"/>
      <c r="C83" s="461"/>
      <c r="D83" s="461"/>
      <c r="E83" s="400"/>
      <c r="F83" s="431"/>
      <c r="G83" s="431"/>
      <c r="H83" s="396"/>
      <c r="I83" s="396"/>
      <c r="K83" s="579"/>
      <c r="O83" s="396"/>
      <c r="Q83" s="396"/>
      <c r="S83" s="396"/>
      <c r="U83" s="396"/>
      <c r="W83" s="396"/>
      <c r="Z83" s="396"/>
    </row>
    <row r="84" spans="2:28" s="282" customFormat="1" ht="14.25" customHeight="1">
      <c r="B84" s="485"/>
      <c r="C84" s="485" t="s">
        <v>20</v>
      </c>
      <c r="D84" s="485" t="s">
        <v>20</v>
      </c>
      <c r="E84" s="491" t="s">
        <v>951</v>
      </c>
      <c r="F84" s="492"/>
      <c r="G84" s="492"/>
      <c r="H84" s="493"/>
      <c r="I84" s="493"/>
      <c r="K84" s="580">
        <f>K86+K89+K93</f>
        <v>1015000</v>
      </c>
      <c r="L84" s="494">
        <v>3.5000000000000003E-2</v>
      </c>
      <c r="M84" s="495">
        <f>M86+M89+M93</f>
        <v>3.5000000000000003E-2</v>
      </c>
      <c r="O84" s="493"/>
      <c r="P84" s="495"/>
      <c r="Q84" s="493"/>
      <c r="R84" s="495"/>
      <c r="S84" s="493"/>
      <c r="T84" s="495"/>
      <c r="U84" s="493"/>
      <c r="V84" s="495"/>
      <c r="W84" s="493"/>
      <c r="X84" s="495"/>
      <c r="Z84" s="493"/>
      <c r="AA84" s="495"/>
      <c r="AB84" s="495"/>
    </row>
    <row r="85" spans="2:28" s="385" customFormat="1" ht="3" customHeight="1">
      <c r="B85" s="461"/>
      <c r="C85" s="461"/>
      <c r="D85" s="461"/>
      <c r="E85" s="400"/>
      <c r="F85" s="431"/>
      <c r="G85" s="431"/>
      <c r="H85" s="396"/>
      <c r="I85" s="396"/>
      <c r="K85" s="579"/>
      <c r="L85" s="426"/>
      <c r="O85" s="396"/>
      <c r="Q85" s="396"/>
      <c r="S85" s="396"/>
      <c r="U85" s="396"/>
      <c r="W85" s="396"/>
      <c r="Z85" s="396"/>
    </row>
    <row r="86" spans="2:28" s="282" customFormat="1" ht="14.25" customHeight="1">
      <c r="B86" s="485"/>
      <c r="C86" s="485"/>
      <c r="D86" s="485" t="s">
        <v>20</v>
      </c>
      <c r="E86" s="486" t="s">
        <v>950</v>
      </c>
      <c r="F86" s="502"/>
      <c r="G86" s="502"/>
      <c r="H86" s="503"/>
      <c r="I86" s="503"/>
      <c r="K86" s="583">
        <f>IF( SUM(K87:K88)=0, 0, SUM(K87:K88))</f>
        <v>290000</v>
      </c>
      <c r="L86" s="489">
        <v>0.01</v>
      </c>
      <c r="M86" s="490">
        <f>IF(L86=0, 0, SUM(M87:M88)*L86)</f>
        <v>0.01</v>
      </c>
      <c r="O86" s="503"/>
      <c r="P86" s="504"/>
      <c r="Q86" s="503"/>
      <c r="R86" s="504"/>
      <c r="S86" s="503"/>
      <c r="T86" s="504"/>
      <c r="U86" s="503"/>
      <c r="V86" s="504"/>
      <c r="W86" s="503"/>
      <c r="X86" s="504"/>
      <c r="Z86" s="503"/>
      <c r="AA86" s="504"/>
      <c r="AB86" s="504"/>
    </row>
    <row r="87" spans="2:28" s="477" customFormat="1" ht="14.25" customHeight="1">
      <c r="B87" s="472"/>
      <c r="C87" s="472"/>
      <c r="D87" s="472"/>
      <c r="E87" s="496" t="s">
        <v>999</v>
      </c>
      <c r="F87" s="473" t="str">
        <f ca="1">IF($E87="", "", IFERROR(INDEX(OFFSET('Fund Guide'!$B$4,1,MATCH(F$12,OFFSET('Fund Guide'!$B$4,,,,COUNTA('Fund Guide'!54:54)),0)-1,COUNTA('Fund Guide'!$B:$B)-COUNTA('Fund Guide'!$B$1:$B$4)),MATCH($E87,OFFSET('Fund Guide'!$B$4,1,,COUNTA('Fund Guide'!$B:$B)-COUNTA('Fund Guide'!$B$1:$B$4)),0)),"-"))</f>
        <v>-</v>
      </c>
      <c r="G87" s="474" t="str">
        <f ca="1">IF($E87="", "", IFERROR(INDEX(OFFSET('Fund Guide'!$B$4,1,MATCH(G$12,OFFSET('Fund Guide'!$B$4,,,,COUNTA('Fund Guide'!54:54)),0)-1,COUNTA('Fund Guide'!$B:$B)-COUNTA('Fund Guide'!$B$1:$B$4)),MATCH($E87,OFFSET('Fund Guide'!$B$4,1,,COUNTA('Fund Guide'!$B:$B)-COUNTA('Fund Guide'!$B$1:$B$4)),0)),"-"))</f>
        <v>-</v>
      </c>
      <c r="H87" s="475" t="str">
        <f ca="1">IF($E87="", "", IFERROR(INDEX(OFFSET('Fund Guide'!$B$4,1,MATCH(H$12,OFFSET('Fund Guide'!$B$4,,,,COUNTA('Fund Guide'!54:54)),0)-1,COUNTA('Fund Guide'!$B:$B)-COUNTA('Fund Guide'!$B$1:$B$4)),MATCH($E87,OFFSET('Fund Guide'!$B$4,1,,COUNTA('Fund Guide'!$B:$B)-COUNTA('Fund Guide'!$B$1:$B$4)),0)),"-"))</f>
        <v>-</v>
      </c>
      <c r="I87" s="476" t="str">
        <f ca="1">IF($E87="", "", IFERROR(INDEX(OFFSET('Fund Guide'!$B$4,1,MATCH(I$12,OFFSET('Fund Guide'!$B$4,,,,COUNTA('Fund Guide'!54:54)),0)-1,COUNTA('Fund Guide'!$B:$B)-COUNTA('Fund Guide'!$B$1:$B$4)),MATCH($E87,OFFSET('Fund Guide'!$B$4,1,,COUNTA('Fund Guide'!$B:$B)-COUNTA('Fund Guide'!$B$1:$B$4)),0)),"-"))</f>
        <v>-</v>
      </c>
      <c r="K87" s="581">
        <f>IF(OR($L$7=0, L87=0), "", L87*$L$7)</f>
        <v>290000</v>
      </c>
      <c r="L87" s="478">
        <v>0.01</v>
      </c>
      <c r="M87" s="479">
        <f>IFERROR(IF(L87=0, "", L87/L$86),0)</f>
        <v>1</v>
      </c>
      <c r="O87" s="480" t="str">
        <f ca="1">IF($E87="", "", IFERROR(INDEX(OFFSET('Fund Guide'!$B$4,1,MATCH(O$12,OFFSET('Fund Guide'!$B$4,,,,COUNTA('Fund Guide'!54:54)),0)-1,COUNTA('Fund Guide'!$B:$B)-COUNTA('Fund Guide'!$B$1:$B$4)),MATCH($E87,OFFSET('Fund Guide'!$B$4,1,,COUNTA('Fund Guide'!$B:$B)-COUNTA('Fund Guide'!$B$1:$B$4)),0)),"-"))</f>
        <v>-</v>
      </c>
      <c r="P87" s="481" t="str">
        <f ca="1">IF($E87="", "", IFERROR(INDEX(OFFSET('Fund Guide'!$B$4,1,MATCH(P$12,OFFSET('Fund Guide'!$B$4,,,,COUNTA('Fund Guide'!54:54)),0)-1,COUNTA('Fund Guide'!$B:$B)-COUNTA('Fund Guide'!$B$1:$B$4)),MATCH($E87,OFFSET('Fund Guide'!$B$4,1,,COUNTA('Fund Guide'!$B:$B)-COUNTA('Fund Guide'!$B$1:$B$4)),0)),"-"))</f>
        <v>-</v>
      </c>
      <c r="Q87" s="480" t="str">
        <f ca="1">IF($E87="", "", IFERROR(INDEX(OFFSET('Fund Guide'!$B$4,1,MATCH(Q$12,OFFSET('Fund Guide'!$B$4,,,,COUNTA('Fund Guide'!54:54)),0)-1,COUNTA('Fund Guide'!$B:$B)-COUNTA('Fund Guide'!$B$1:$B$4)),MATCH($E87,OFFSET('Fund Guide'!$B$4,1,,COUNTA('Fund Guide'!$B:$B)-COUNTA('Fund Guide'!$B$1:$B$4)),0)),"-"))</f>
        <v>-</v>
      </c>
      <c r="R87" s="481" t="str">
        <f ca="1">IF($E87="", "", IFERROR(INDEX(OFFSET('Fund Guide'!$B$4,1,MATCH(R$12,OFFSET('Fund Guide'!$B$4,,,,COUNTA('Fund Guide'!54:54)),0)-1,COUNTA('Fund Guide'!$B:$B)-COUNTA('Fund Guide'!$B$1:$B$4)),MATCH($E87,OFFSET('Fund Guide'!$B$4,1,,COUNTA('Fund Guide'!$B:$B)-COUNTA('Fund Guide'!$B$1:$B$4)),0)),"-"))</f>
        <v>-</v>
      </c>
      <c r="S87" s="480" t="str">
        <f ca="1">IF($E87="", "", IFERROR(INDEX(OFFSET('Fund Guide'!$B$4,1,MATCH(S$12,OFFSET('Fund Guide'!$B$4,,,,COUNTA('Fund Guide'!54:54)),0)-1,COUNTA('Fund Guide'!$B:$B)-COUNTA('Fund Guide'!$B$1:$B$4)),MATCH($E87,OFFSET('Fund Guide'!$B$4,1,,COUNTA('Fund Guide'!$B:$B)-COUNTA('Fund Guide'!$B$1:$B$4)),0)),"-"))</f>
        <v>-</v>
      </c>
      <c r="T87" s="481" t="str">
        <f ca="1">IF($E87="", "", IFERROR(INDEX(OFFSET('Fund Guide'!$B$4,1,MATCH(T$12,OFFSET('Fund Guide'!$B$4,,,,COUNTA('Fund Guide'!54:54)),0)-1,COUNTA('Fund Guide'!$B:$B)-COUNTA('Fund Guide'!$B$1:$B$4)),MATCH($E87,OFFSET('Fund Guide'!$B$4,1,,COUNTA('Fund Guide'!$B:$B)-COUNTA('Fund Guide'!$B$1:$B$4)),0)),"-"))</f>
        <v>-</v>
      </c>
      <c r="U87" s="480" t="str">
        <f ca="1">IF($E87="", "", IFERROR(INDEX(OFFSET('Fund Guide'!$B$4,1,MATCH(U$12,OFFSET('Fund Guide'!$B$4,,,,COUNTA('Fund Guide'!54:54)),0)-1,COUNTA('Fund Guide'!$B:$B)-COUNTA('Fund Guide'!$B$1:$B$4)),MATCH($E87,OFFSET('Fund Guide'!$B$4,1,,COUNTA('Fund Guide'!$B:$B)-COUNTA('Fund Guide'!$B$1:$B$4)),0)),"-"))</f>
        <v>-</v>
      </c>
      <c r="V87" s="481" t="str">
        <f ca="1">IF($E87="", "", IFERROR(INDEX(OFFSET('Fund Guide'!$B$4,1,MATCH(V$12,OFFSET('Fund Guide'!$B$4,,,,COUNTA('Fund Guide'!54:54)),0)-1,COUNTA('Fund Guide'!$B:$B)-COUNTA('Fund Guide'!$B$1:$B$4)),MATCH($E87,OFFSET('Fund Guide'!$B$4,1,,COUNTA('Fund Guide'!$B:$B)-COUNTA('Fund Guide'!$B$1:$B$4)),0)),"-"))</f>
        <v>-</v>
      </c>
      <c r="W87" s="482" t="str">
        <f ca="1">IF($E87="", "", IFERROR(INDEX(OFFSET('Fund Guide'!$B$4,1,MATCH(W$12,OFFSET('Fund Guide'!$B$4,,,,COUNTA('Fund Guide'!54:54)),0)-1,COUNTA('Fund Guide'!$B:$B)-COUNTA('Fund Guide'!$B$1:$B$4)),MATCH($E87,OFFSET('Fund Guide'!$B$4,1,,COUNTA('Fund Guide'!$B:$B)-COUNTA('Fund Guide'!$B$1:$B$4)),0)),"-"))</f>
        <v>-</v>
      </c>
      <c r="X87" s="483" t="str">
        <f ca="1">IF($E87="", "", IFERROR(INDEX(OFFSET('Fund Guide'!$B$4,1,MATCH(X$12,OFFSET('Fund Guide'!$B$4,,,,COUNTA('Fund Guide'!54:54)),0)-1,COUNTA('Fund Guide'!$B:$B)-COUNTA('Fund Guide'!$B$1:$B$4)),MATCH($E87,OFFSET('Fund Guide'!$B$4,1,,COUNTA('Fund Guide'!$B:$B)-COUNTA('Fund Guide'!$B$1:$B$4)),0)),"-"))</f>
        <v>-</v>
      </c>
      <c r="Z87" s="484"/>
      <c r="AA87" s="484"/>
      <c r="AB87" s="478"/>
    </row>
    <row r="88" spans="2:28" s="385" customFormat="1" ht="4.5" customHeight="1">
      <c r="B88" s="461"/>
      <c r="C88" s="461"/>
      <c r="D88" s="461"/>
      <c r="E88" s="400"/>
      <c r="F88" s="431"/>
      <c r="G88" s="431"/>
      <c r="H88" s="396"/>
      <c r="I88" s="396"/>
      <c r="K88" s="579"/>
      <c r="O88" s="396"/>
      <c r="Q88" s="396"/>
      <c r="S88" s="396"/>
      <c r="U88" s="396"/>
      <c r="W88" s="396"/>
      <c r="Z88" s="396"/>
    </row>
    <row r="89" spans="2:28" s="282" customFormat="1" ht="14.25" customHeight="1">
      <c r="B89" s="485"/>
      <c r="C89" s="485"/>
      <c r="D89" s="485" t="s">
        <v>20</v>
      </c>
      <c r="E89" s="486" t="s">
        <v>957</v>
      </c>
      <c r="F89" s="502"/>
      <c r="G89" s="502"/>
      <c r="H89" s="503"/>
      <c r="I89" s="503"/>
      <c r="K89" s="583">
        <f>IF( SUM(K90:K92)=0, 0, SUM(K90:K92))</f>
        <v>725000</v>
      </c>
      <c r="L89" s="489">
        <v>2.5000000000000001E-2</v>
      </c>
      <c r="M89" s="490">
        <f>IF(L89=0, 0, SUM(M90:M92)*L89)</f>
        <v>2.5000000000000001E-2</v>
      </c>
      <c r="O89" s="503"/>
      <c r="P89" s="504"/>
      <c r="Q89" s="503"/>
      <c r="R89" s="504"/>
      <c r="S89" s="503"/>
      <c r="T89" s="504"/>
      <c r="U89" s="503"/>
      <c r="V89" s="504"/>
      <c r="W89" s="503"/>
      <c r="X89" s="504"/>
      <c r="Z89" s="503"/>
      <c r="AA89" s="504"/>
      <c r="AB89" s="504"/>
    </row>
    <row r="90" spans="2:28" s="477" customFormat="1" ht="14.25" customHeight="1">
      <c r="B90" s="472"/>
      <c r="C90" s="472"/>
      <c r="D90" s="472"/>
      <c r="E90" s="496" t="s">
        <v>992</v>
      </c>
      <c r="F90" s="473">
        <f ca="1">IF($E90="", "", IFERROR(INDEX(OFFSET('Fund Guide'!$B$4,1,MATCH(F$12,OFFSET('Fund Guide'!$B$4,,,,COUNTA('Fund Guide'!58:58)),0)-1,COUNTA('Fund Guide'!$B:$B)-COUNTA('Fund Guide'!$B$1:$B$4)),MATCH($E90,OFFSET('Fund Guide'!$B$4,1,,COUNTA('Fund Guide'!$B:$B)-COUNTA('Fund Guide'!$B$1:$B$4)),0)),"-"))</f>
        <v>32</v>
      </c>
      <c r="G90" s="474" t="str">
        <f ca="1">IF($E90="", "", IFERROR(INDEX(OFFSET('Fund Guide'!$B$4,1,MATCH(G$12,OFFSET('Fund Guide'!$B$4,,,,COUNTA('Fund Guide'!58:58)),0)-1,COUNTA('Fund Guide'!$B:$B)-COUNTA('Fund Guide'!$B$1:$B$4)),MATCH($E90,OFFSET('Fund Guide'!$B$4,1,,COUNTA('Fund Guide'!$B:$B)-COUNTA('Fund Guide'!$B$1:$B$4)),0)),"-"))</f>
        <v>BRL</v>
      </c>
      <c r="H90" s="475">
        <f ca="1">IF($E90="", "", IFERROR(INDEX(OFFSET('Fund Guide'!$B$4,1,MATCH(H$12,OFFSET('Fund Guide'!$B$4,,,,COUNTA('Fund Guide'!58:58)),0)-1,COUNTA('Fund Guide'!$B:$B)-COUNTA('Fund Guide'!$B$1:$B$4)),MATCH($E90,OFFSET('Fund Guide'!$B$4,1,,COUNTA('Fund Guide'!$B:$B)-COUNTA('Fund Guide'!$B$1:$B$4)),0)),"-"))</f>
        <v>4.7499999999999999E-3</v>
      </c>
      <c r="I90" s="476">
        <f ca="1">IF($E90="", "", IFERROR(INDEX(OFFSET('Fund Guide'!$B$4,1,MATCH(I$12,OFFSET('Fund Guide'!$B$4,,,,COUNTA('Fund Guide'!58:58)),0)-1,COUNTA('Fund Guide'!$B:$B)-COUNTA('Fund Guide'!$B$1:$B$4)),MATCH($E90,OFFSET('Fund Guide'!$B$4,1,,COUNTA('Fund Guide'!$B:$B)-COUNTA('Fund Guide'!$B$1:$B$4)),0)),"-"))</f>
        <v>43461</v>
      </c>
      <c r="K90" s="581">
        <f>IF(OR($L$7=0, L90=0), "", L90*$L$7)</f>
        <v>362500</v>
      </c>
      <c r="L90" s="478">
        <v>1.2500000000000001E-2</v>
      </c>
      <c r="M90" s="479">
        <f>IFERROR(IF(L90=0, "", L90/L$89),0)</f>
        <v>0.5</v>
      </c>
      <c r="O90" s="480">
        <f ca="1">IF($E90="", "", IFERROR(INDEX(OFFSET('Fund Guide'!$B$4,1,MATCH(O$12,OFFSET('Fund Guide'!$B$4,,,,COUNTA('Fund Guide'!58:58)),0)-1,COUNTA('Fund Guide'!$B:$B)-COUNTA('Fund Guide'!$B$1:$B$4)),MATCH($E90,OFFSET('Fund Guide'!$B$4,1,,COUNTA('Fund Guide'!$B:$B)-COUNTA('Fund Guide'!$B$1:$B$4)),0)),"-"))</f>
        <v>0.107</v>
      </c>
      <c r="P90" s="481">
        <f ca="1">IF($E90="", "", IFERROR(INDEX(OFFSET('Fund Guide'!$B$4,1,MATCH(P$12,OFFSET('Fund Guide'!$B$4,,,,COUNTA('Fund Guide'!58:58)),0)-1,COUNTA('Fund Guide'!$B:$B)-COUNTA('Fund Guide'!$B$1:$B$4)),MATCH($E90,OFFSET('Fund Guide'!$B$4,1,,COUNTA('Fund Guide'!$B:$B)-COUNTA('Fund Guide'!$B$1:$B$4)),0)),"-"))</f>
        <v>1.6487000000000001</v>
      </c>
      <c r="Q90" s="480">
        <f ca="1">IF($E90="", "", IFERROR(INDEX(OFFSET('Fund Guide'!$B$4,1,MATCH(Q$12,OFFSET('Fund Guide'!$B$4,,,,COUNTA('Fund Guide'!58:58)),0)-1,COUNTA('Fund Guide'!$B:$B)-COUNTA('Fund Guide'!$B$1:$B$4)),MATCH($E90,OFFSET('Fund Guide'!$B$4,1,,COUNTA('Fund Guide'!$B:$B)-COUNTA('Fund Guide'!$B$1:$B$4)),0)),"-"))</f>
        <v>6.5199999999999994E-2</v>
      </c>
      <c r="R90" s="481">
        <f ca="1">IF($E90="", "", IFERROR(INDEX(OFFSET('Fund Guide'!$B$4,1,MATCH(R$12,OFFSET('Fund Guide'!$B$4,,,,COUNTA('Fund Guide'!58:58)),0)-1,COUNTA('Fund Guide'!$B:$B)-COUNTA('Fund Guide'!$B$1:$B$4)),MATCH($E90,OFFSET('Fund Guide'!$B$4,1,,COUNTA('Fund Guide'!$B:$B)-COUNTA('Fund Guide'!$B$1:$B$4)),0)),"-"))</f>
        <v>0.69269999999999998</v>
      </c>
      <c r="S90" s="480">
        <f ca="1">IF($E90="", "", IFERROR(INDEX(OFFSET('Fund Guide'!$B$4,1,MATCH(S$12,OFFSET('Fund Guide'!$B$4,,,,COUNTA('Fund Guide'!58:58)),0)-1,COUNTA('Fund Guide'!$B:$B)-COUNTA('Fund Guide'!$B$1:$B$4)),MATCH($E90,OFFSET('Fund Guide'!$B$4,1,,COUNTA('Fund Guide'!$B:$B)-COUNTA('Fund Guide'!$B$1:$B$4)),0)),"-"))</f>
        <v>0.32650000000000001</v>
      </c>
      <c r="T90" s="481">
        <f ca="1">IF($E90="", "", IFERROR(INDEX(OFFSET('Fund Guide'!$B$4,1,MATCH(T$12,OFFSET('Fund Guide'!$B$4,,,,COUNTA('Fund Guide'!58:58)),0)-1,COUNTA('Fund Guide'!$B:$B)-COUNTA('Fund Guide'!$B$1:$B$4)),MATCH($E90,OFFSET('Fund Guide'!$B$4,1,,COUNTA('Fund Guide'!$B:$B)-COUNTA('Fund Guide'!$B$1:$B$4)),0)),"-"))</f>
        <v>2.7029999999999998</v>
      </c>
      <c r="U90" s="480">
        <f ca="1">IF($E90="", "", IFERROR(INDEX(OFFSET('Fund Guide'!$B$4,1,MATCH(U$12,OFFSET('Fund Guide'!$B$4,,,,COUNTA('Fund Guide'!58:58)),0)-1,COUNTA('Fund Guide'!$B:$B)-COUNTA('Fund Guide'!$B$1:$B$4)),MATCH($E90,OFFSET('Fund Guide'!$B$4,1,,COUNTA('Fund Guide'!$B:$B)-COUNTA('Fund Guide'!$B$1:$B$4)),0)),"-"))</f>
        <v>0.60860000000000003</v>
      </c>
      <c r="V90" s="481">
        <f ca="1">IF($E90="", "", IFERROR(INDEX(OFFSET('Fund Guide'!$B$4,1,MATCH(V$12,OFFSET('Fund Guide'!$B$4,,,,COUNTA('Fund Guide'!58:58)),0)-1,COUNTA('Fund Guide'!$B:$B)-COUNTA('Fund Guide'!$B$1:$B$4)),MATCH($E90,OFFSET('Fund Guide'!$B$4,1,,COUNTA('Fund Guide'!$B:$B)-COUNTA('Fund Guide'!$B$1:$B$4)),0)),"-"))</f>
        <v>3.6116000000000001</v>
      </c>
      <c r="W90" s="482">
        <f ca="1">IF($E90="", "", IFERROR(INDEX(OFFSET('Fund Guide'!$B$4,1,MATCH(W$12,OFFSET('Fund Guide'!$B$4,,,,COUNTA('Fund Guide'!58:58)),0)-1,COUNTA('Fund Guide'!$B:$B)-COUNTA('Fund Guide'!$B$1:$B$4)),MATCH($E90,OFFSET('Fund Guide'!$B$4,1,,COUNTA('Fund Guide'!$B:$B)-COUNTA('Fund Guide'!$B$1:$B$4)),0)),"-"))</f>
        <v>0.16919999999999999</v>
      </c>
      <c r="X90" s="483">
        <f ca="1">IF($E90="", "", IFERROR(INDEX(OFFSET('Fund Guide'!$B$4,1,MATCH(X$12,OFFSET('Fund Guide'!$B$4,,,,COUNTA('Fund Guide'!58:58)),0)-1,COUNTA('Fund Guide'!$B:$B)-COUNTA('Fund Guide'!$B$1:$B$4)),MATCH($E90,OFFSET('Fund Guide'!$B$4,1,,COUNTA('Fund Guide'!$B:$B)-COUNTA('Fund Guide'!$B$1:$B$4)),0)),"-"))</f>
        <v>-7.3991250093418254E-2</v>
      </c>
      <c r="Z90" s="484"/>
      <c r="AA90" s="484"/>
      <c r="AB90" s="478"/>
    </row>
    <row r="91" spans="2:28" s="477" customFormat="1" ht="14.25" customHeight="1">
      <c r="B91" s="472"/>
      <c r="C91" s="472"/>
      <c r="D91" s="472"/>
      <c r="E91" s="496" t="s">
        <v>1516</v>
      </c>
      <c r="F91" s="473">
        <f ca="1">IF($E91="", "", IFERROR(INDEX(OFFSET('Fund Guide'!$B$4,1,MATCH(F$12,OFFSET('Fund Guide'!$B$4,,,,COUNTA('Fund Guide'!59:59)),0)-1,COUNTA('Fund Guide'!$B:$B)-COUNTA('Fund Guide'!$B$1:$B$4)),MATCH($E91,OFFSET('Fund Guide'!$B$4,1,,COUNTA('Fund Guide'!$B:$B)-COUNTA('Fund Guide'!$B$1:$B$4)),0)),"-"))</f>
        <v>32</v>
      </c>
      <c r="G91" s="474" t="str">
        <f ca="1">IF($E91="", "", IFERROR(INDEX(OFFSET('Fund Guide'!$B$4,1,MATCH(G$12,OFFSET('Fund Guide'!$B$4,,,,COUNTA('Fund Guide'!59:59)),0)-1,COUNTA('Fund Guide'!$B:$B)-COUNTA('Fund Guide'!$B$1:$B$4)),MATCH($E91,OFFSET('Fund Guide'!$B$4,1,,COUNTA('Fund Guide'!$B:$B)-COUNTA('Fund Guide'!$B$1:$B$4)),0)),"-"))</f>
        <v>BRL</v>
      </c>
      <c r="H91" s="475">
        <f ca="1">IF($E91="", "", IFERROR(INDEX(OFFSET('Fund Guide'!$B$4,1,MATCH(H$12,OFFSET('Fund Guide'!$B$4,,,,COUNTA('Fund Guide'!59:59)),0)-1,COUNTA('Fund Guide'!$B:$B)-COUNTA('Fund Guide'!$B$1:$B$4)),MATCH($E91,OFFSET('Fund Guide'!$B$4,1,,COUNTA('Fund Guide'!$B:$B)-COUNTA('Fund Guide'!$B$1:$B$4)),0)),"-"))</f>
        <v>3.5999999999999995E-3</v>
      </c>
      <c r="I91" s="476">
        <f ca="1">IF($E91="", "", IFERROR(INDEX(OFFSET('Fund Guide'!$B$4,1,MATCH(I$12,OFFSET('Fund Guide'!$B$4,,,,COUNTA('Fund Guide'!59:59)),0)-1,COUNTA('Fund Guide'!$B:$B)-COUNTA('Fund Guide'!$B$1:$B$4)),MATCH($E91,OFFSET('Fund Guide'!$B$4,1,,COUNTA('Fund Guide'!$B:$B)-COUNTA('Fund Guide'!$B$1:$B$4)),0)),"-"))</f>
        <v>44225</v>
      </c>
      <c r="K91" s="581">
        <f>IF(OR($L$7=0, L91=0), "", L91*$L$7)</f>
        <v>362500</v>
      </c>
      <c r="L91" s="478">
        <v>1.2500000000000001E-2</v>
      </c>
      <c r="M91" s="479">
        <f>IFERROR(IF(L91=0, "", L91/L$89),0)</f>
        <v>0.5</v>
      </c>
      <c r="O91" s="480">
        <f ca="1">IF($E91="", "", IFERROR(INDEX(OFFSET('Fund Guide'!$B$4,1,MATCH(O$12,OFFSET('Fund Guide'!$B$4,,,,COUNTA('Fund Guide'!59:59)),0)-1,COUNTA('Fund Guide'!$B:$B)-COUNTA('Fund Guide'!$B$1:$B$4)),MATCH($E91,OFFSET('Fund Guide'!$B$4,1,,COUNTA('Fund Guide'!$B:$B)-COUNTA('Fund Guide'!$B$1:$B$4)),0)),"-"))</f>
        <v>9.7100000000000006E-2</v>
      </c>
      <c r="P91" s="481">
        <f ca="1">IF($E91="", "", IFERROR(INDEX(OFFSET('Fund Guide'!$B$4,1,MATCH(P$12,OFFSET('Fund Guide'!$B$4,,,,COUNTA('Fund Guide'!59:59)),0)-1,COUNTA('Fund Guide'!$B:$B)-COUNTA('Fund Guide'!$B$1:$B$4)),MATCH($E91,OFFSET('Fund Guide'!$B$4,1,,COUNTA('Fund Guide'!$B:$B)-COUNTA('Fund Guide'!$B$1:$B$4)),0)),"-"))</f>
        <v>1.4951000000000001</v>
      </c>
      <c r="Q91" s="480">
        <f ca="1">IF($E91="", "", IFERROR(INDEX(OFFSET('Fund Guide'!$B$4,1,MATCH(Q$12,OFFSET('Fund Guide'!$B$4,,,,COUNTA('Fund Guide'!59:59)),0)-1,COUNTA('Fund Guide'!$B:$B)-COUNTA('Fund Guide'!$B$1:$B$4)),MATCH($E91,OFFSET('Fund Guide'!$B$4,1,,COUNTA('Fund Guide'!$B:$B)-COUNTA('Fund Guide'!$B$1:$B$4)),0)),"-"))</f>
        <v>-6.5699999999999995E-2</v>
      </c>
      <c r="R91" s="481">
        <f ca="1">IF($E91="", "", IFERROR(INDEX(OFFSET('Fund Guide'!$B$4,1,MATCH(R$12,OFFSET('Fund Guide'!$B$4,,,,COUNTA('Fund Guide'!59:59)),0)-1,COUNTA('Fund Guide'!$B:$B)-COUNTA('Fund Guide'!$B$1:$B$4)),MATCH($E91,OFFSET('Fund Guide'!$B$4,1,,COUNTA('Fund Guide'!$B:$B)-COUNTA('Fund Guide'!$B$1:$B$4)),0)),"-"))</f>
        <v>-0.69840000000000002</v>
      </c>
      <c r="S91" s="480" t="str">
        <f ca="1">IF($E91="", "", IFERROR(INDEX(OFFSET('Fund Guide'!$B$4,1,MATCH(S$12,OFFSET('Fund Guide'!$B$4,,,,COUNTA('Fund Guide'!59:59)),0)-1,COUNTA('Fund Guide'!$B:$B)-COUNTA('Fund Guide'!$B$1:$B$4)),MATCH($E91,OFFSET('Fund Guide'!$B$4,1,,COUNTA('Fund Guide'!$B:$B)-COUNTA('Fund Guide'!$B$1:$B$4)),0)),"-"))</f>
        <v>-</v>
      </c>
      <c r="T91" s="481" t="str">
        <f ca="1">IF($E91="", "", IFERROR(INDEX(OFFSET('Fund Guide'!$B$4,1,MATCH(T$12,OFFSET('Fund Guide'!$B$4,,,,COUNTA('Fund Guide'!59:59)),0)-1,COUNTA('Fund Guide'!$B:$B)-COUNTA('Fund Guide'!$B$1:$B$4)),MATCH($E91,OFFSET('Fund Guide'!$B$4,1,,COUNTA('Fund Guide'!$B:$B)-COUNTA('Fund Guide'!$B$1:$B$4)),0)),"-"))</f>
        <v>-</v>
      </c>
      <c r="U91" s="480" t="str">
        <f ca="1">IF($E91="", "", IFERROR(INDEX(OFFSET('Fund Guide'!$B$4,1,MATCH(U$12,OFFSET('Fund Guide'!$B$4,,,,COUNTA('Fund Guide'!59:59)),0)-1,COUNTA('Fund Guide'!$B:$B)-COUNTA('Fund Guide'!$B$1:$B$4)),MATCH($E91,OFFSET('Fund Guide'!$B$4,1,,COUNTA('Fund Guide'!$B:$B)-COUNTA('Fund Guide'!$B$1:$B$4)),0)),"-"))</f>
        <v>-</v>
      </c>
      <c r="V91" s="481" t="str">
        <f ca="1">IF($E91="", "", IFERROR(INDEX(OFFSET('Fund Guide'!$B$4,1,MATCH(V$12,OFFSET('Fund Guide'!$B$4,,,,COUNTA('Fund Guide'!59:59)),0)-1,COUNTA('Fund Guide'!$B:$B)-COUNTA('Fund Guide'!$B$1:$B$4)),MATCH($E91,OFFSET('Fund Guide'!$B$4,1,,COUNTA('Fund Guide'!$B:$B)-COUNTA('Fund Guide'!$B$1:$B$4)),0)),"-"))</f>
        <v>-</v>
      </c>
      <c r="W91" s="482">
        <f ca="1">IF($E91="", "", IFERROR(INDEX(OFFSET('Fund Guide'!$B$4,1,MATCH(W$12,OFFSET('Fund Guide'!$B$4,,,,COUNTA('Fund Guide'!59:59)),0)-1,COUNTA('Fund Guide'!$B:$B)-COUNTA('Fund Guide'!$B$1:$B$4)),MATCH($E91,OFFSET('Fund Guide'!$B$4,1,,COUNTA('Fund Guide'!$B:$B)-COUNTA('Fund Guide'!$B$1:$B$4)),0)),"-"))</f>
        <v>0.16889999999999999</v>
      </c>
      <c r="X91" s="483">
        <f ca="1">IF($E91="", "", IFERROR(INDEX(OFFSET('Fund Guide'!$B$4,1,MATCH(X$12,OFFSET('Fund Guide'!$B$4,,,,COUNTA('Fund Guide'!59:59)),0)-1,COUNTA('Fund Guide'!$B:$B)-COUNTA('Fund Guide'!$B$1:$B$4)),MATCH($E91,OFFSET('Fund Guide'!$B$4,1,,COUNTA('Fund Guide'!$B:$B)-COUNTA('Fund Guide'!$B$1:$B$4)),0)),"-"))</f>
        <v>-0.85067251400560284</v>
      </c>
      <c r="Z91" s="484"/>
      <c r="AA91" s="484"/>
      <c r="AB91" s="478"/>
    </row>
    <row r="92" spans="2:28" s="385" customFormat="1" ht="4.5" customHeight="1">
      <c r="B92" s="461"/>
      <c r="C92" s="461"/>
      <c r="D92" s="461"/>
      <c r="E92" s="400"/>
      <c r="F92" s="431"/>
      <c r="G92" s="431"/>
      <c r="H92" s="396"/>
      <c r="I92" s="396"/>
      <c r="K92" s="579"/>
      <c r="O92" s="396"/>
      <c r="Q92" s="396"/>
      <c r="S92" s="396"/>
      <c r="U92" s="396"/>
      <c r="W92" s="396"/>
      <c r="Z92" s="396"/>
    </row>
    <row r="93" spans="2:28" s="282" customFormat="1" ht="14.25" customHeight="1">
      <c r="B93" s="485"/>
      <c r="C93" s="485"/>
      <c r="D93" s="485" t="s">
        <v>20</v>
      </c>
      <c r="E93" s="486" t="s">
        <v>32</v>
      </c>
      <c r="F93" s="502"/>
      <c r="G93" s="502"/>
      <c r="H93" s="503"/>
      <c r="I93" s="503"/>
      <c r="K93" s="583">
        <f>IF( SUM(K94:K95)=0, 0, SUM(K94:K95))</f>
        <v>0</v>
      </c>
      <c r="L93" s="489">
        <v>0</v>
      </c>
      <c r="M93" s="490">
        <f>IF(L93=0, 0, SUM(M94:M95)*L93)</f>
        <v>0</v>
      </c>
      <c r="O93" s="503"/>
      <c r="P93" s="504"/>
      <c r="Q93" s="503"/>
      <c r="R93" s="504"/>
      <c r="S93" s="503"/>
      <c r="T93" s="504"/>
      <c r="U93" s="503"/>
      <c r="V93" s="504"/>
      <c r="W93" s="503"/>
      <c r="X93" s="504"/>
      <c r="Z93" s="503"/>
      <c r="AA93" s="504"/>
      <c r="AB93" s="504"/>
    </row>
    <row r="94" spans="2:28" s="477" customFormat="1" ht="14.25" customHeight="1">
      <c r="B94" s="472"/>
      <c r="C94" s="472"/>
      <c r="D94" s="472"/>
      <c r="E94" s="496"/>
      <c r="F94" s="473" t="str">
        <f ca="1">IF($E94="", "", IFERROR(INDEX(OFFSET('Fund Guide'!$B$4,1,MATCH(F$12,OFFSET('Fund Guide'!$B$4,,,,COUNTA('Fund Guide'!61:61)),0)-1,COUNTA('Fund Guide'!$B:$B)-COUNTA('Fund Guide'!$B$1:$B$4)),MATCH($E94,OFFSET('Fund Guide'!$B$4,1,,COUNTA('Fund Guide'!$B:$B)-COUNTA('Fund Guide'!$B$1:$B$4)),0)),"-"))</f>
        <v/>
      </c>
      <c r="G94" s="474" t="str">
        <f ca="1">IF($E94="", "", IFERROR(INDEX(OFFSET('Fund Guide'!$B$4,1,MATCH(G$12,OFFSET('Fund Guide'!$B$4,,,,COUNTA('Fund Guide'!61:61)),0)-1,COUNTA('Fund Guide'!$B:$B)-COUNTA('Fund Guide'!$B$1:$B$4)),MATCH($E94,OFFSET('Fund Guide'!$B$4,1,,COUNTA('Fund Guide'!$B:$B)-COUNTA('Fund Guide'!$B$1:$B$4)),0)),"-"))</f>
        <v/>
      </c>
      <c r="H94" s="475" t="str">
        <f ca="1">IF($E94="", "", IFERROR(INDEX(OFFSET('Fund Guide'!$B$4,1,MATCH(H$12,OFFSET('Fund Guide'!$B$4,,,,COUNTA('Fund Guide'!61:61)),0)-1,COUNTA('Fund Guide'!$B:$B)-COUNTA('Fund Guide'!$B$1:$B$4)),MATCH($E94,OFFSET('Fund Guide'!$B$4,1,,COUNTA('Fund Guide'!$B:$B)-COUNTA('Fund Guide'!$B$1:$B$4)),0)),"-"))</f>
        <v/>
      </c>
      <c r="I94" s="476" t="str">
        <f ca="1">IF($E94="", "", IFERROR(INDEX(OFFSET('Fund Guide'!$B$4,1,MATCH(I$12,OFFSET('Fund Guide'!$B$4,,,,COUNTA('Fund Guide'!61:61)),0)-1,COUNTA('Fund Guide'!$B:$B)-COUNTA('Fund Guide'!$B$1:$B$4)),MATCH($E94,OFFSET('Fund Guide'!$B$4,1,,COUNTA('Fund Guide'!$B:$B)-COUNTA('Fund Guide'!$B$1:$B$4)),0)),"-"))</f>
        <v/>
      </c>
      <c r="K94" s="581" t="str">
        <f>IF(OR($L$7=0, L94=0), "", L94*$L$7)</f>
        <v/>
      </c>
      <c r="L94" s="478"/>
      <c r="M94" s="479" t="str">
        <f>IFERROR(IF(L94=0, "", L94/L$93),0)</f>
        <v/>
      </c>
      <c r="O94" s="480" t="str">
        <f ca="1">IF($E94="", "", IFERROR(INDEX(OFFSET('Fund Guide'!$B$4,1,MATCH(O$12,OFFSET('Fund Guide'!$B$4,,,,COUNTA('Fund Guide'!61:61)),0)-1,COUNTA('Fund Guide'!$B:$B)-COUNTA('Fund Guide'!$B$1:$B$4)),MATCH($E94,OFFSET('Fund Guide'!$B$4,1,,COUNTA('Fund Guide'!$B:$B)-COUNTA('Fund Guide'!$B$1:$B$4)),0)),"-"))</f>
        <v/>
      </c>
      <c r="P94" s="481" t="str">
        <f ca="1">IF($E94="", "", IFERROR(INDEX(OFFSET('Fund Guide'!$B$4,1,MATCH(P$12,OFFSET('Fund Guide'!$B$4,,,,COUNTA('Fund Guide'!61:61)),0)-1,COUNTA('Fund Guide'!$B:$B)-COUNTA('Fund Guide'!$B$1:$B$4)),MATCH($E94,OFFSET('Fund Guide'!$B$4,1,,COUNTA('Fund Guide'!$B:$B)-COUNTA('Fund Guide'!$B$1:$B$4)),0)),"-"))</f>
        <v/>
      </c>
      <c r="Q94" s="480" t="str">
        <f ca="1">IF($E94="", "", IFERROR(INDEX(OFFSET('Fund Guide'!$B$4,1,MATCH(Q$12,OFFSET('Fund Guide'!$B$4,,,,COUNTA('Fund Guide'!61:61)),0)-1,COUNTA('Fund Guide'!$B:$B)-COUNTA('Fund Guide'!$B$1:$B$4)),MATCH($E94,OFFSET('Fund Guide'!$B$4,1,,COUNTA('Fund Guide'!$B:$B)-COUNTA('Fund Guide'!$B$1:$B$4)),0)),"-"))</f>
        <v/>
      </c>
      <c r="R94" s="481" t="str">
        <f ca="1">IF($E94="", "", IFERROR(INDEX(OFFSET('Fund Guide'!$B$4,1,MATCH(R$12,OFFSET('Fund Guide'!$B$4,,,,COUNTA('Fund Guide'!61:61)),0)-1,COUNTA('Fund Guide'!$B:$B)-COUNTA('Fund Guide'!$B$1:$B$4)),MATCH($E94,OFFSET('Fund Guide'!$B$4,1,,COUNTA('Fund Guide'!$B:$B)-COUNTA('Fund Guide'!$B$1:$B$4)),0)),"-"))</f>
        <v/>
      </c>
      <c r="S94" s="480" t="str">
        <f ca="1">IF($E94="", "", IFERROR(INDEX(OFFSET('Fund Guide'!$B$4,1,MATCH(S$12,OFFSET('Fund Guide'!$B$4,,,,COUNTA('Fund Guide'!61:61)),0)-1,COUNTA('Fund Guide'!$B:$B)-COUNTA('Fund Guide'!$B$1:$B$4)),MATCH($E94,OFFSET('Fund Guide'!$B$4,1,,COUNTA('Fund Guide'!$B:$B)-COUNTA('Fund Guide'!$B$1:$B$4)),0)),"-"))</f>
        <v/>
      </c>
      <c r="T94" s="481" t="str">
        <f ca="1">IF($E94="", "", IFERROR(INDEX(OFFSET('Fund Guide'!$B$4,1,MATCH(T$12,OFFSET('Fund Guide'!$B$4,,,,COUNTA('Fund Guide'!61:61)),0)-1,COUNTA('Fund Guide'!$B:$B)-COUNTA('Fund Guide'!$B$1:$B$4)),MATCH($E94,OFFSET('Fund Guide'!$B$4,1,,COUNTA('Fund Guide'!$B:$B)-COUNTA('Fund Guide'!$B$1:$B$4)),0)),"-"))</f>
        <v/>
      </c>
      <c r="U94" s="480" t="str">
        <f ca="1">IF($E94="", "", IFERROR(INDEX(OFFSET('Fund Guide'!$B$4,1,MATCH(U$12,OFFSET('Fund Guide'!$B$4,,,,COUNTA('Fund Guide'!61:61)),0)-1,COUNTA('Fund Guide'!$B:$B)-COUNTA('Fund Guide'!$B$1:$B$4)),MATCH($E94,OFFSET('Fund Guide'!$B$4,1,,COUNTA('Fund Guide'!$B:$B)-COUNTA('Fund Guide'!$B$1:$B$4)),0)),"-"))</f>
        <v/>
      </c>
      <c r="V94" s="481" t="str">
        <f ca="1">IF($E94="", "", IFERROR(INDEX(OFFSET('Fund Guide'!$B$4,1,MATCH(V$12,OFFSET('Fund Guide'!$B$4,,,,COUNTA('Fund Guide'!61:61)),0)-1,COUNTA('Fund Guide'!$B:$B)-COUNTA('Fund Guide'!$B$1:$B$4)),MATCH($E94,OFFSET('Fund Guide'!$B$4,1,,COUNTA('Fund Guide'!$B:$B)-COUNTA('Fund Guide'!$B$1:$B$4)),0)),"-"))</f>
        <v/>
      </c>
      <c r="W94" s="482" t="str">
        <f ca="1">IF($E94="", "", IFERROR(INDEX(OFFSET('Fund Guide'!$B$4,1,MATCH(W$12,OFFSET('Fund Guide'!$B$4,,,,COUNTA('Fund Guide'!61:61)),0)-1,COUNTA('Fund Guide'!$B:$B)-COUNTA('Fund Guide'!$B$1:$B$4)),MATCH($E94,OFFSET('Fund Guide'!$B$4,1,,COUNTA('Fund Guide'!$B:$B)-COUNTA('Fund Guide'!$B$1:$B$4)),0)),"-"))</f>
        <v/>
      </c>
      <c r="X94" s="483" t="str">
        <f ca="1">IF($E94="", "", IFERROR(INDEX(OFFSET('Fund Guide'!$B$4,1,MATCH(X$12,OFFSET('Fund Guide'!$B$4,,,,COUNTA('Fund Guide'!61:61)),0)-1,COUNTA('Fund Guide'!$B:$B)-COUNTA('Fund Guide'!$B$1:$B$4)),MATCH($E94,OFFSET('Fund Guide'!$B$4,1,,COUNTA('Fund Guide'!$B:$B)-COUNTA('Fund Guide'!$B$1:$B$4)),0)),"-"))</f>
        <v/>
      </c>
      <c r="Z94" s="484"/>
      <c r="AA94" s="484"/>
      <c r="AB94" s="478"/>
    </row>
    <row r="95" spans="2:28" s="385" customFormat="1" ht="5.25" customHeight="1">
      <c r="B95" s="461"/>
      <c r="C95" s="461"/>
      <c r="D95" s="461"/>
      <c r="E95" s="400"/>
      <c r="F95" s="431"/>
      <c r="G95" s="431"/>
      <c r="H95" s="396"/>
      <c r="I95" s="396"/>
      <c r="K95" s="579"/>
      <c r="O95" s="396"/>
      <c r="Q95" s="396"/>
      <c r="S95" s="396"/>
      <c r="U95" s="396"/>
      <c r="W95" s="396"/>
      <c r="Z95" s="396"/>
    </row>
    <row r="96" spans="2:28" s="282" customFormat="1" ht="14.25" customHeight="1">
      <c r="B96" s="485"/>
      <c r="C96" s="485" t="s">
        <v>20</v>
      </c>
      <c r="D96" s="485" t="s">
        <v>20</v>
      </c>
      <c r="E96" s="491" t="s">
        <v>973</v>
      </c>
      <c r="F96" s="492"/>
      <c r="G96" s="492"/>
      <c r="H96" s="493"/>
      <c r="I96" s="493"/>
      <c r="K96" s="580">
        <f>K98+K101+K104+K107</f>
        <v>145000</v>
      </c>
      <c r="L96" s="494">
        <v>5.0000000000000001E-3</v>
      </c>
      <c r="M96" s="495">
        <f>M98+M101+M104+M107</f>
        <v>5.0000000000000001E-3</v>
      </c>
      <c r="O96" s="493"/>
      <c r="P96" s="495"/>
      <c r="Q96" s="493"/>
      <c r="R96" s="495"/>
      <c r="S96" s="493"/>
      <c r="T96" s="495"/>
      <c r="U96" s="493"/>
      <c r="V96" s="495"/>
      <c r="W96" s="493"/>
      <c r="X96" s="495"/>
      <c r="Z96" s="493"/>
      <c r="AA96" s="495"/>
      <c r="AB96" s="495"/>
    </row>
    <row r="97" spans="2:28" s="385" customFormat="1" ht="3" customHeight="1">
      <c r="B97" s="461"/>
      <c r="C97" s="461"/>
      <c r="D97" s="461"/>
      <c r="E97" s="400"/>
      <c r="F97" s="431"/>
      <c r="G97" s="431"/>
      <c r="H97" s="396"/>
      <c r="I97" s="396"/>
      <c r="K97" s="579"/>
      <c r="L97" s="426"/>
      <c r="O97" s="396"/>
      <c r="Q97" s="396"/>
      <c r="S97" s="396"/>
      <c r="U97" s="396"/>
      <c r="W97" s="396"/>
      <c r="Z97" s="396"/>
    </row>
    <row r="98" spans="2:28" s="282" customFormat="1" ht="14.25" customHeight="1">
      <c r="B98" s="485"/>
      <c r="C98" s="485"/>
      <c r="D98" s="485" t="s">
        <v>20</v>
      </c>
      <c r="E98" s="486" t="s">
        <v>952</v>
      </c>
      <c r="F98" s="487"/>
      <c r="G98" s="487"/>
      <c r="H98" s="488"/>
      <c r="I98" s="488"/>
      <c r="K98" s="583">
        <f>IF( SUM(K99:K100)=0, 0, SUM(K99:K100))</f>
        <v>145000</v>
      </c>
      <c r="L98" s="489">
        <v>5.0000000000000001E-3</v>
      </c>
      <c r="M98" s="490">
        <f>IF(L98=0, 0, SUM(M99:M100)*L98)</f>
        <v>5.0000000000000001E-3</v>
      </c>
      <c r="O98" s="488"/>
      <c r="P98" s="490"/>
      <c r="Q98" s="488"/>
      <c r="R98" s="490"/>
      <c r="S98" s="488"/>
      <c r="T98" s="490"/>
      <c r="U98" s="488"/>
      <c r="V98" s="490"/>
      <c r="W98" s="488"/>
      <c r="X98" s="490"/>
      <c r="Z98" s="488"/>
      <c r="AA98" s="490"/>
      <c r="AB98" s="490"/>
    </row>
    <row r="99" spans="2:28" s="477" customFormat="1" ht="14.25" customHeight="1">
      <c r="B99" s="472"/>
      <c r="C99" s="472"/>
      <c r="D99" s="472"/>
      <c r="E99" s="496" t="s">
        <v>732</v>
      </c>
      <c r="F99" s="473">
        <f ca="1">IF($E99="", "", IFERROR(INDEX(OFFSET('Fund Guide'!$B$4,1,MATCH(F$12,OFFSET('Fund Guide'!$B$4,,,,COUNTA('Fund Guide'!65:65)),0)-1,COUNTA('Fund Guide'!$B:$B)-COUNTA('Fund Guide'!$B$1:$B$4)),MATCH($E99,OFFSET('Fund Guide'!$B$4,1,,COUNTA('Fund Guide'!$B:$B)-COUNTA('Fund Guide'!$B$1:$B$4)),0)),"-"))</f>
        <v>1</v>
      </c>
      <c r="G99" s="474" t="str">
        <f ca="1">IF($E99="", "", IFERROR(INDEX(OFFSET('Fund Guide'!$B$4,1,MATCH(G$12,OFFSET('Fund Guide'!$B$4,,,,COUNTA('Fund Guide'!65:65)),0)-1,COUNTA('Fund Guide'!$B:$B)-COUNTA('Fund Guide'!$B$1:$B$4)),MATCH($E99,OFFSET('Fund Guide'!$B$4,1,,COUNTA('Fund Guide'!$B:$B)-COUNTA('Fund Guide'!$B$1:$B$4)),0)),"-"))</f>
        <v>USD</v>
      </c>
      <c r="H99" s="475">
        <f ca="1">IF($E99="", "", IFERROR(INDEX(OFFSET('Fund Guide'!$B$4,1,MATCH(H$12,OFFSET('Fund Guide'!$B$4,,,,COUNTA('Fund Guide'!65:65)),0)-1,COUNTA('Fund Guide'!$B:$B)-COUNTA('Fund Guide'!$B$1:$B$4)),MATCH($E99,OFFSET('Fund Guide'!$B$4,1,,COUNTA('Fund Guide'!$B:$B)-COUNTA('Fund Guide'!$B$1:$B$4)),0)),"-"))</f>
        <v>2.6666666666666666E-3</v>
      </c>
      <c r="I99" s="476">
        <f ca="1">IF($E99="", "", IFERROR(INDEX(OFFSET('Fund Guide'!$B$4,1,MATCH(I$12,OFFSET('Fund Guide'!$B$4,,,,COUNTA('Fund Guide'!65:65)),0)-1,COUNTA('Fund Guide'!$B:$B)-COUNTA('Fund Guide'!$B$1:$B$4)),MATCH($E99,OFFSET('Fund Guide'!$B$4,1,,COUNTA('Fund Guide'!$B:$B)-COUNTA('Fund Guide'!$B$1:$B$4)),0)),"-"))</f>
        <v>41394</v>
      </c>
      <c r="K99" s="581">
        <f>IF(OR($L$7=0, L99=0), "", L99*$L$7)</f>
        <v>145000</v>
      </c>
      <c r="L99" s="478">
        <v>5.0000000000000001E-3</v>
      </c>
      <c r="M99" s="479">
        <f>IFERROR(IF(L99=0, "", L99/L$98),0)</f>
        <v>1</v>
      </c>
      <c r="O99" s="480">
        <f ca="1">IF($E99="", "", IFERROR(INDEX(OFFSET('Fund Guide'!$B$4,1,MATCH(O$12,OFFSET('Fund Guide'!$B$4,,,,COUNTA('Fund Guide'!65:65)),0)-1,COUNTA('Fund Guide'!$B:$B)-COUNTA('Fund Guide'!$B$1:$B$4)),MATCH($E99,OFFSET('Fund Guide'!$B$4,1,,COUNTA('Fund Guide'!$B:$B)-COUNTA('Fund Guide'!$B$1:$B$4)),0)),"-"))</f>
        <v>-9.2700000000000005E-2</v>
      </c>
      <c r="P99" s="481">
        <f ca="1">IF($E99="", "", IFERROR(INDEX(OFFSET('Fund Guide'!$B$4,1,MATCH(P$12,OFFSET('Fund Guide'!$B$4,,,,COUNTA('Fund Guide'!65:65)),0)-1,COUNTA('Fund Guide'!$B:$B)-COUNTA('Fund Guide'!$B$1:$B$4)),MATCH($E99,OFFSET('Fund Guide'!$B$4,1,,COUNTA('Fund Guide'!$B:$B)-COUNTA('Fund Guide'!$B$1:$B$4)),0)),"-"))</f>
        <v>-1.4283999999999999</v>
      </c>
      <c r="Q99" s="480">
        <f ca="1">IF($E99="", "", IFERROR(INDEX(OFFSET('Fund Guide'!$B$4,1,MATCH(Q$12,OFFSET('Fund Guide'!$B$4,,,,COUNTA('Fund Guide'!65:65)),0)-1,COUNTA('Fund Guide'!$B:$B)-COUNTA('Fund Guide'!$B$1:$B$4)),MATCH($E99,OFFSET('Fund Guide'!$B$4,1,,COUNTA('Fund Guide'!$B:$B)-COUNTA('Fund Guide'!$B$1:$B$4)),0)),"-"))</f>
        <v>1.06E-2</v>
      </c>
      <c r="R99" s="481">
        <f ca="1">IF($E99="", "", IFERROR(INDEX(OFFSET('Fund Guide'!$B$4,1,MATCH(R$12,OFFSET('Fund Guide'!$B$4,,,,COUNTA('Fund Guide'!65:65)),0)-1,COUNTA('Fund Guide'!$B:$B)-COUNTA('Fund Guide'!$B$1:$B$4)),MATCH($E99,OFFSET('Fund Guide'!$B$4,1,,COUNTA('Fund Guide'!$B:$B)-COUNTA('Fund Guide'!$B$1:$B$4)),0)),"-"))</f>
        <v>0.11219999999999999</v>
      </c>
      <c r="S99" s="480">
        <f ca="1">IF($E99="", "", IFERROR(INDEX(OFFSET('Fund Guide'!$B$4,1,MATCH(S$12,OFFSET('Fund Guide'!$B$4,,,,COUNTA('Fund Guide'!65:65)),0)-1,COUNTA('Fund Guide'!$B:$B)-COUNTA('Fund Guide'!$B$1:$B$4)),MATCH($E99,OFFSET('Fund Guide'!$B$4,1,,COUNTA('Fund Guide'!$B:$B)-COUNTA('Fund Guide'!$B$1:$B$4)),0)),"-"))</f>
        <v>0.38729999999999998</v>
      </c>
      <c r="T99" s="481">
        <f ca="1">IF($E99="", "", IFERROR(INDEX(OFFSET('Fund Guide'!$B$4,1,MATCH(T$12,OFFSET('Fund Guide'!$B$4,,,,COUNTA('Fund Guide'!65:65)),0)-1,COUNTA('Fund Guide'!$B:$B)-COUNTA('Fund Guide'!$B$1:$B$4)),MATCH($E99,OFFSET('Fund Guide'!$B$4,1,,COUNTA('Fund Guide'!$B:$B)-COUNTA('Fund Guide'!$B$1:$B$4)),0)),"-"))</f>
        <v>3.2061000000000002</v>
      </c>
      <c r="U99" s="480">
        <f ca="1">IF($E99="", "", IFERROR(INDEX(OFFSET('Fund Guide'!$B$4,1,MATCH(U$12,OFFSET('Fund Guide'!$B$4,,,,COUNTA('Fund Guide'!65:65)),0)-1,COUNTA('Fund Guide'!$B:$B)-COUNTA('Fund Guide'!$B$1:$B$4)),MATCH($E99,OFFSET('Fund Guide'!$B$4,1,,COUNTA('Fund Guide'!$B:$B)-COUNTA('Fund Guide'!$B$1:$B$4)),0)),"-"))</f>
        <v>0.45550000000000002</v>
      </c>
      <c r="V99" s="481">
        <f ca="1">IF($E99="", "", IFERROR(INDEX(OFFSET('Fund Guide'!$B$4,1,MATCH(V$12,OFFSET('Fund Guide'!$B$4,,,,COUNTA('Fund Guide'!65:65)),0)-1,COUNTA('Fund Guide'!$B:$B)-COUNTA('Fund Guide'!$B$1:$B$4)),MATCH($E99,OFFSET('Fund Guide'!$B$4,1,,COUNTA('Fund Guide'!$B:$B)-COUNTA('Fund Guide'!$B$1:$B$4)),0)),"-"))</f>
        <v>2.7029999999999998</v>
      </c>
      <c r="W99" s="482">
        <f ca="1">IF($E99="", "", IFERROR(INDEX(OFFSET('Fund Guide'!$B$4,1,MATCH(W$12,OFFSET('Fund Guide'!$B$4,,,,COUNTA('Fund Guide'!65:65)),0)-1,COUNTA('Fund Guide'!$B:$B)-COUNTA('Fund Guide'!$B$1:$B$4)),MATCH($E99,OFFSET('Fund Guide'!$B$4,1,,COUNTA('Fund Guide'!$B:$B)-COUNTA('Fund Guide'!$B$1:$B$4)),0)),"-"))</f>
        <v>0.2041</v>
      </c>
      <c r="X99" s="483">
        <f ca="1">IF($E99="", "", IFERROR(INDEX(OFFSET('Fund Guide'!$B$4,1,MATCH(X$12,OFFSET('Fund Guide'!$B$4,,,,COUNTA('Fund Guide'!65:65)),0)-1,COUNTA('Fund Guide'!$B:$B)-COUNTA('Fund Guide'!$B$1:$B$4)),MATCH($E99,OFFSET('Fund Guide'!$B$4,1,,COUNTA('Fund Guide'!$B:$B)-COUNTA('Fund Guide'!$B$1:$B$4)),0)),"-"))</f>
        <v>-0.28724889934680103</v>
      </c>
      <c r="Z99" s="484"/>
      <c r="AA99" s="484"/>
      <c r="AB99" s="478"/>
    </row>
    <row r="100" spans="2:28" s="385" customFormat="1" ht="4.5" customHeight="1">
      <c r="B100" s="461"/>
      <c r="C100" s="461"/>
      <c r="D100" s="461"/>
      <c r="E100" s="400"/>
      <c r="F100" s="431"/>
      <c r="G100" s="431"/>
      <c r="H100" s="396"/>
      <c r="I100" s="396"/>
      <c r="K100" s="579"/>
      <c r="O100" s="396"/>
      <c r="Q100" s="396"/>
      <c r="S100" s="396"/>
      <c r="U100" s="396"/>
      <c r="W100" s="396"/>
      <c r="Z100" s="396"/>
    </row>
    <row r="101" spans="2:28" s="282" customFormat="1" ht="14.25" customHeight="1">
      <c r="B101" s="485"/>
      <c r="C101" s="485"/>
      <c r="D101" s="485" t="s">
        <v>20</v>
      </c>
      <c r="E101" s="486" t="s">
        <v>955</v>
      </c>
      <c r="F101" s="487"/>
      <c r="G101" s="487"/>
      <c r="H101" s="488"/>
      <c r="I101" s="488"/>
      <c r="K101" s="583">
        <f>IF( SUM(K102:K103)=0, 0, SUM(K102:K103))</f>
        <v>0</v>
      </c>
      <c r="L101" s="489">
        <v>0</v>
      </c>
      <c r="M101" s="490">
        <f>IF(L101=0, 0, SUM(M102:M103)*L101)</f>
        <v>0</v>
      </c>
      <c r="O101" s="488"/>
      <c r="P101" s="490"/>
      <c r="Q101" s="488"/>
      <c r="R101" s="490"/>
      <c r="S101" s="488"/>
      <c r="T101" s="490"/>
      <c r="U101" s="488"/>
      <c r="V101" s="490"/>
      <c r="W101" s="488"/>
      <c r="X101" s="490"/>
      <c r="Z101" s="488"/>
      <c r="AA101" s="490"/>
      <c r="AB101" s="490"/>
    </row>
    <row r="102" spans="2:28" s="477" customFormat="1" ht="14.25" customHeight="1">
      <c r="B102" s="472"/>
      <c r="C102" s="472"/>
      <c r="D102" s="472"/>
      <c r="E102" s="496"/>
      <c r="F102" s="473" t="str">
        <f ca="1">IF($E102="", "", IFERROR(INDEX(OFFSET('Fund Guide'!$B$4,1,MATCH(F$12,OFFSET('Fund Guide'!$B$4,,,,COUNTA('Fund Guide'!69:69)),0)-1,COUNTA('Fund Guide'!$B:$B)-COUNTA('Fund Guide'!$B$1:$B$4)),MATCH($E102,OFFSET('Fund Guide'!$B$4,1,,COUNTA('Fund Guide'!$B:$B)-COUNTA('Fund Guide'!$B$1:$B$4)),0)),"-"))</f>
        <v/>
      </c>
      <c r="G102" s="474" t="str">
        <f ca="1">IF($E102="", "", IFERROR(INDEX(OFFSET('Fund Guide'!$B$4,1,MATCH(G$12,OFFSET('Fund Guide'!$B$4,,,,COUNTA('Fund Guide'!69:69)),0)-1,COUNTA('Fund Guide'!$B:$B)-COUNTA('Fund Guide'!$B$1:$B$4)),MATCH($E102,OFFSET('Fund Guide'!$B$4,1,,COUNTA('Fund Guide'!$B:$B)-COUNTA('Fund Guide'!$B$1:$B$4)),0)),"-"))</f>
        <v/>
      </c>
      <c r="H102" s="475" t="str">
        <f ca="1">IF($E102="", "", IFERROR(INDEX(OFFSET('Fund Guide'!$B$4,1,MATCH(H$12,OFFSET('Fund Guide'!$B$4,,,,COUNTA('Fund Guide'!69:69)),0)-1,COUNTA('Fund Guide'!$B:$B)-COUNTA('Fund Guide'!$B$1:$B$4)),MATCH($E102,OFFSET('Fund Guide'!$B$4,1,,COUNTA('Fund Guide'!$B:$B)-COUNTA('Fund Guide'!$B$1:$B$4)),0)),"-"))</f>
        <v/>
      </c>
      <c r="I102" s="476" t="str">
        <f ca="1">IF($E102="", "", IFERROR(INDEX(OFFSET('Fund Guide'!$B$4,1,MATCH(I$12,OFFSET('Fund Guide'!$B$4,,,,COUNTA('Fund Guide'!69:69)),0)-1,COUNTA('Fund Guide'!$B:$B)-COUNTA('Fund Guide'!$B$1:$B$4)),MATCH($E102,OFFSET('Fund Guide'!$B$4,1,,COUNTA('Fund Guide'!$B:$B)-COUNTA('Fund Guide'!$B$1:$B$4)),0)),"-"))</f>
        <v/>
      </c>
      <c r="K102" s="581" t="str">
        <f>IF(OR($L$7=0, L102=0), "", L102*$L$7)</f>
        <v/>
      </c>
      <c r="L102" s="478"/>
      <c r="M102" s="479" t="str">
        <f>IFERROR(IF(L102=0, "", L102/L$101),0)</f>
        <v/>
      </c>
      <c r="O102" s="480" t="str">
        <f ca="1">IF($E102="", "", IFERROR(INDEX(OFFSET('Fund Guide'!$B$4,1,MATCH(O$12,OFFSET('Fund Guide'!$B$4,,,,COUNTA('Fund Guide'!69:69)),0)-1,COUNTA('Fund Guide'!$B:$B)-COUNTA('Fund Guide'!$B$1:$B$4)),MATCH($E102,OFFSET('Fund Guide'!$B$4,1,,COUNTA('Fund Guide'!$B:$B)-COUNTA('Fund Guide'!$B$1:$B$4)),0)),"-"))</f>
        <v/>
      </c>
      <c r="P102" s="481" t="str">
        <f ca="1">IF($E102="", "", IFERROR(INDEX(OFFSET('Fund Guide'!$B$4,1,MATCH(P$12,OFFSET('Fund Guide'!$B$4,,,,COUNTA('Fund Guide'!69:69)),0)-1,COUNTA('Fund Guide'!$B:$B)-COUNTA('Fund Guide'!$B$1:$B$4)),MATCH($E102,OFFSET('Fund Guide'!$B$4,1,,COUNTA('Fund Guide'!$B:$B)-COUNTA('Fund Guide'!$B$1:$B$4)),0)),"-"))</f>
        <v/>
      </c>
      <c r="Q102" s="480" t="str">
        <f ca="1">IF($E102="", "", IFERROR(INDEX(OFFSET('Fund Guide'!$B$4,1,MATCH(Q$12,OFFSET('Fund Guide'!$B$4,,,,COUNTA('Fund Guide'!69:69)),0)-1,COUNTA('Fund Guide'!$B:$B)-COUNTA('Fund Guide'!$B$1:$B$4)),MATCH($E102,OFFSET('Fund Guide'!$B$4,1,,COUNTA('Fund Guide'!$B:$B)-COUNTA('Fund Guide'!$B$1:$B$4)),0)),"-"))</f>
        <v/>
      </c>
      <c r="R102" s="481" t="str">
        <f ca="1">IF($E102="", "", IFERROR(INDEX(OFFSET('Fund Guide'!$B$4,1,MATCH(R$12,OFFSET('Fund Guide'!$B$4,,,,COUNTA('Fund Guide'!69:69)),0)-1,COUNTA('Fund Guide'!$B:$B)-COUNTA('Fund Guide'!$B$1:$B$4)),MATCH($E102,OFFSET('Fund Guide'!$B$4,1,,COUNTA('Fund Guide'!$B:$B)-COUNTA('Fund Guide'!$B$1:$B$4)),0)),"-"))</f>
        <v/>
      </c>
      <c r="S102" s="480" t="str">
        <f ca="1">IF($E102="", "", IFERROR(INDEX(OFFSET('Fund Guide'!$B$4,1,MATCH(S$12,OFFSET('Fund Guide'!$B$4,,,,COUNTA('Fund Guide'!69:69)),0)-1,COUNTA('Fund Guide'!$B:$B)-COUNTA('Fund Guide'!$B$1:$B$4)),MATCH($E102,OFFSET('Fund Guide'!$B$4,1,,COUNTA('Fund Guide'!$B:$B)-COUNTA('Fund Guide'!$B$1:$B$4)),0)),"-"))</f>
        <v/>
      </c>
      <c r="T102" s="481" t="str">
        <f ca="1">IF($E102="", "", IFERROR(INDEX(OFFSET('Fund Guide'!$B$4,1,MATCH(T$12,OFFSET('Fund Guide'!$B$4,,,,COUNTA('Fund Guide'!69:69)),0)-1,COUNTA('Fund Guide'!$B:$B)-COUNTA('Fund Guide'!$B$1:$B$4)),MATCH($E102,OFFSET('Fund Guide'!$B$4,1,,COUNTA('Fund Guide'!$B:$B)-COUNTA('Fund Guide'!$B$1:$B$4)),0)),"-"))</f>
        <v/>
      </c>
      <c r="U102" s="480" t="str">
        <f ca="1">IF($E102="", "", IFERROR(INDEX(OFFSET('Fund Guide'!$B$4,1,MATCH(U$12,OFFSET('Fund Guide'!$B$4,,,,COUNTA('Fund Guide'!69:69)),0)-1,COUNTA('Fund Guide'!$B:$B)-COUNTA('Fund Guide'!$B$1:$B$4)),MATCH($E102,OFFSET('Fund Guide'!$B$4,1,,COUNTA('Fund Guide'!$B:$B)-COUNTA('Fund Guide'!$B$1:$B$4)),0)),"-"))</f>
        <v/>
      </c>
      <c r="V102" s="481" t="str">
        <f ca="1">IF($E102="", "", IFERROR(INDEX(OFFSET('Fund Guide'!$B$4,1,MATCH(V$12,OFFSET('Fund Guide'!$B$4,,,,COUNTA('Fund Guide'!69:69)),0)-1,COUNTA('Fund Guide'!$B:$B)-COUNTA('Fund Guide'!$B$1:$B$4)),MATCH($E102,OFFSET('Fund Guide'!$B$4,1,,COUNTA('Fund Guide'!$B:$B)-COUNTA('Fund Guide'!$B$1:$B$4)),0)),"-"))</f>
        <v/>
      </c>
      <c r="W102" s="482" t="str">
        <f ca="1">IF($E102="", "", IFERROR(INDEX(OFFSET('Fund Guide'!$B$4,1,MATCH(W$12,OFFSET('Fund Guide'!$B$4,,,,COUNTA('Fund Guide'!69:69)),0)-1,COUNTA('Fund Guide'!$B:$B)-COUNTA('Fund Guide'!$B$1:$B$4)),MATCH($E102,OFFSET('Fund Guide'!$B$4,1,,COUNTA('Fund Guide'!$B:$B)-COUNTA('Fund Guide'!$B$1:$B$4)),0)),"-"))</f>
        <v/>
      </c>
      <c r="X102" s="483" t="str">
        <f ca="1">IF($E102="", "", IFERROR(INDEX(OFFSET('Fund Guide'!$B$4,1,MATCH(X$12,OFFSET('Fund Guide'!$B$4,,,,COUNTA('Fund Guide'!69:69)),0)-1,COUNTA('Fund Guide'!$B:$B)-COUNTA('Fund Guide'!$B$1:$B$4)),MATCH($E102,OFFSET('Fund Guide'!$B$4,1,,COUNTA('Fund Guide'!$B:$B)-COUNTA('Fund Guide'!$B$1:$B$4)),0)),"-"))</f>
        <v/>
      </c>
      <c r="Z102" s="484"/>
      <c r="AA102" s="484"/>
      <c r="AB102" s="478"/>
    </row>
    <row r="103" spans="2:28" s="385" customFormat="1" ht="4.5" customHeight="1">
      <c r="B103" s="461"/>
      <c r="C103" s="461"/>
      <c r="D103" s="461"/>
      <c r="E103" s="400"/>
      <c r="F103" s="431"/>
      <c r="G103" s="431"/>
      <c r="H103" s="396"/>
      <c r="I103" s="396"/>
      <c r="K103" s="579"/>
      <c r="O103" s="396"/>
      <c r="Q103" s="396"/>
      <c r="S103" s="396"/>
      <c r="U103" s="396"/>
      <c r="W103" s="396"/>
      <c r="Z103" s="396"/>
    </row>
    <row r="104" spans="2:28" s="282" customFormat="1" ht="14.25" customHeight="1">
      <c r="B104" s="485"/>
      <c r="C104" s="485"/>
      <c r="D104" s="485" t="s">
        <v>20</v>
      </c>
      <c r="E104" s="486" t="s">
        <v>956</v>
      </c>
      <c r="F104" s="487"/>
      <c r="G104" s="487"/>
      <c r="H104" s="488"/>
      <c r="I104" s="488"/>
      <c r="K104" s="583">
        <f>IF( SUM(K105:K106)=0, 0, SUM(K105:K106))</f>
        <v>0</v>
      </c>
      <c r="L104" s="489">
        <v>0</v>
      </c>
      <c r="M104" s="490">
        <f>IF(L104=0, 0, SUM(M105:M106)*L104)</f>
        <v>0</v>
      </c>
      <c r="O104" s="488"/>
      <c r="P104" s="490"/>
      <c r="Q104" s="488"/>
      <c r="R104" s="490"/>
      <c r="S104" s="488"/>
      <c r="T104" s="490"/>
      <c r="U104" s="488"/>
      <c r="V104" s="490"/>
      <c r="W104" s="488"/>
      <c r="X104" s="490"/>
      <c r="Z104" s="488"/>
      <c r="AA104" s="490"/>
      <c r="AB104" s="490"/>
    </row>
    <row r="105" spans="2:28" s="477" customFormat="1" ht="14.25" customHeight="1">
      <c r="B105" s="472"/>
      <c r="C105" s="472"/>
      <c r="D105" s="472"/>
      <c r="E105" s="496"/>
      <c r="F105" s="473" t="str">
        <f ca="1">IF($E105="", "", IFERROR(INDEX(OFFSET('Fund Guide'!$B$4,1,MATCH(F$12,OFFSET('Fund Guide'!$B$4,,,,COUNTA('Fund Guide'!72:72)),0)-1,COUNTA('Fund Guide'!$B:$B)-COUNTA('Fund Guide'!$B$1:$B$4)),MATCH($E105,OFFSET('Fund Guide'!$B$4,1,,COUNTA('Fund Guide'!$B:$B)-COUNTA('Fund Guide'!$B$1:$B$4)),0)),"-"))</f>
        <v/>
      </c>
      <c r="G105" s="474" t="str">
        <f ca="1">IF($E105="", "", IFERROR(INDEX(OFFSET('Fund Guide'!$B$4,1,MATCH(G$12,OFFSET('Fund Guide'!$B$4,,,,COUNTA('Fund Guide'!72:72)),0)-1,COUNTA('Fund Guide'!$B:$B)-COUNTA('Fund Guide'!$B$1:$B$4)),MATCH($E105,OFFSET('Fund Guide'!$B$4,1,,COUNTA('Fund Guide'!$B:$B)-COUNTA('Fund Guide'!$B$1:$B$4)),0)),"-"))</f>
        <v/>
      </c>
      <c r="H105" s="475" t="str">
        <f ca="1">IF($E105="", "", IFERROR(INDEX(OFFSET('Fund Guide'!$B$4,1,MATCH(H$12,OFFSET('Fund Guide'!$B$4,,,,COUNTA('Fund Guide'!72:72)),0)-1,COUNTA('Fund Guide'!$B:$B)-COUNTA('Fund Guide'!$B$1:$B$4)),MATCH($E105,OFFSET('Fund Guide'!$B$4,1,,COUNTA('Fund Guide'!$B:$B)-COUNTA('Fund Guide'!$B$1:$B$4)),0)),"-"))</f>
        <v/>
      </c>
      <c r="I105" s="476" t="str">
        <f ca="1">IF($E105="", "", IFERROR(INDEX(OFFSET('Fund Guide'!$B$4,1,MATCH(I$12,OFFSET('Fund Guide'!$B$4,,,,COUNTA('Fund Guide'!72:72)),0)-1,COUNTA('Fund Guide'!$B:$B)-COUNTA('Fund Guide'!$B$1:$B$4)),MATCH($E105,OFFSET('Fund Guide'!$B$4,1,,COUNTA('Fund Guide'!$B:$B)-COUNTA('Fund Guide'!$B$1:$B$4)),0)),"-"))</f>
        <v/>
      </c>
      <c r="K105" s="581" t="str">
        <f>IF(OR($L$7=0, L105=0), "", L105*$L$7)</f>
        <v/>
      </c>
      <c r="L105" s="478"/>
      <c r="M105" s="479" t="str">
        <f>IFERROR(IF(L105=0, "", L105/L$104),0)</f>
        <v/>
      </c>
      <c r="O105" s="480" t="str">
        <f ca="1">IF($E105="", "", IFERROR(INDEX(OFFSET('Fund Guide'!$B$4,1,MATCH(O$12,OFFSET('Fund Guide'!$B$4,,,,COUNTA('Fund Guide'!72:72)),0)-1,COUNTA('Fund Guide'!$B:$B)-COUNTA('Fund Guide'!$B$1:$B$4)),MATCH($E105,OFFSET('Fund Guide'!$B$4,1,,COUNTA('Fund Guide'!$B:$B)-COUNTA('Fund Guide'!$B$1:$B$4)),0)),"-"))</f>
        <v/>
      </c>
      <c r="P105" s="481" t="str">
        <f ca="1">IF($E105="", "", IFERROR(INDEX(OFFSET('Fund Guide'!$B$4,1,MATCH(P$12,OFFSET('Fund Guide'!$B$4,,,,COUNTA('Fund Guide'!72:72)),0)-1,COUNTA('Fund Guide'!$B:$B)-COUNTA('Fund Guide'!$B$1:$B$4)),MATCH($E105,OFFSET('Fund Guide'!$B$4,1,,COUNTA('Fund Guide'!$B:$B)-COUNTA('Fund Guide'!$B$1:$B$4)),0)),"-"))</f>
        <v/>
      </c>
      <c r="Q105" s="480" t="str">
        <f ca="1">IF($E105="", "", IFERROR(INDEX(OFFSET('Fund Guide'!$B$4,1,MATCH(Q$12,OFFSET('Fund Guide'!$B$4,,,,COUNTA('Fund Guide'!72:72)),0)-1,COUNTA('Fund Guide'!$B:$B)-COUNTA('Fund Guide'!$B$1:$B$4)),MATCH($E105,OFFSET('Fund Guide'!$B$4,1,,COUNTA('Fund Guide'!$B:$B)-COUNTA('Fund Guide'!$B$1:$B$4)),0)),"-"))</f>
        <v/>
      </c>
      <c r="R105" s="481" t="str">
        <f ca="1">IF($E105="", "", IFERROR(INDEX(OFFSET('Fund Guide'!$B$4,1,MATCH(R$12,OFFSET('Fund Guide'!$B$4,,,,COUNTA('Fund Guide'!72:72)),0)-1,COUNTA('Fund Guide'!$B:$B)-COUNTA('Fund Guide'!$B$1:$B$4)),MATCH($E105,OFFSET('Fund Guide'!$B$4,1,,COUNTA('Fund Guide'!$B:$B)-COUNTA('Fund Guide'!$B$1:$B$4)),0)),"-"))</f>
        <v/>
      </c>
      <c r="S105" s="480" t="str">
        <f ca="1">IF($E105="", "", IFERROR(INDEX(OFFSET('Fund Guide'!$B$4,1,MATCH(S$12,OFFSET('Fund Guide'!$B$4,,,,COUNTA('Fund Guide'!72:72)),0)-1,COUNTA('Fund Guide'!$B:$B)-COUNTA('Fund Guide'!$B$1:$B$4)),MATCH($E105,OFFSET('Fund Guide'!$B$4,1,,COUNTA('Fund Guide'!$B:$B)-COUNTA('Fund Guide'!$B$1:$B$4)),0)),"-"))</f>
        <v/>
      </c>
      <c r="T105" s="481" t="str">
        <f ca="1">IF($E105="", "", IFERROR(INDEX(OFFSET('Fund Guide'!$B$4,1,MATCH(T$12,OFFSET('Fund Guide'!$B$4,,,,COUNTA('Fund Guide'!72:72)),0)-1,COUNTA('Fund Guide'!$B:$B)-COUNTA('Fund Guide'!$B$1:$B$4)),MATCH($E105,OFFSET('Fund Guide'!$B$4,1,,COUNTA('Fund Guide'!$B:$B)-COUNTA('Fund Guide'!$B$1:$B$4)),0)),"-"))</f>
        <v/>
      </c>
      <c r="U105" s="480" t="str">
        <f ca="1">IF($E105="", "", IFERROR(INDEX(OFFSET('Fund Guide'!$B$4,1,MATCH(U$12,OFFSET('Fund Guide'!$B$4,,,,COUNTA('Fund Guide'!72:72)),0)-1,COUNTA('Fund Guide'!$B:$B)-COUNTA('Fund Guide'!$B$1:$B$4)),MATCH($E105,OFFSET('Fund Guide'!$B$4,1,,COUNTA('Fund Guide'!$B:$B)-COUNTA('Fund Guide'!$B$1:$B$4)),0)),"-"))</f>
        <v/>
      </c>
      <c r="V105" s="481" t="str">
        <f ca="1">IF($E105="", "", IFERROR(INDEX(OFFSET('Fund Guide'!$B$4,1,MATCH(V$12,OFFSET('Fund Guide'!$B$4,,,,COUNTA('Fund Guide'!72:72)),0)-1,COUNTA('Fund Guide'!$B:$B)-COUNTA('Fund Guide'!$B$1:$B$4)),MATCH($E105,OFFSET('Fund Guide'!$B$4,1,,COUNTA('Fund Guide'!$B:$B)-COUNTA('Fund Guide'!$B$1:$B$4)),0)),"-"))</f>
        <v/>
      </c>
      <c r="W105" s="482" t="str">
        <f ca="1">IF($E105="", "", IFERROR(INDEX(OFFSET('Fund Guide'!$B$4,1,MATCH(W$12,OFFSET('Fund Guide'!$B$4,,,,COUNTA('Fund Guide'!72:72)),0)-1,COUNTA('Fund Guide'!$B:$B)-COUNTA('Fund Guide'!$B$1:$B$4)),MATCH($E105,OFFSET('Fund Guide'!$B$4,1,,COUNTA('Fund Guide'!$B:$B)-COUNTA('Fund Guide'!$B$1:$B$4)),0)),"-"))</f>
        <v/>
      </c>
      <c r="X105" s="483" t="str">
        <f ca="1">IF($E105="", "", IFERROR(INDEX(OFFSET('Fund Guide'!$B$4,1,MATCH(X$12,OFFSET('Fund Guide'!$B$4,,,,COUNTA('Fund Guide'!72:72)),0)-1,COUNTA('Fund Guide'!$B:$B)-COUNTA('Fund Guide'!$B$1:$B$4)),MATCH($E105,OFFSET('Fund Guide'!$B$4,1,,COUNTA('Fund Guide'!$B:$B)-COUNTA('Fund Guide'!$B$1:$B$4)),0)),"-"))</f>
        <v/>
      </c>
      <c r="Z105" s="484"/>
      <c r="AA105" s="484"/>
      <c r="AB105" s="478"/>
    </row>
    <row r="106" spans="2:28" s="385" customFormat="1" ht="4.5" customHeight="1">
      <c r="B106" s="461"/>
      <c r="C106" s="461"/>
      <c r="D106" s="461"/>
      <c r="E106" s="400"/>
      <c r="F106" s="431"/>
      <c r="G106" s="431"/>
      <c r="H106" s="396"/>
      <c r="I106" s="396"/>
      <c r="K106" s="579"/>
      <c r="O106" s="396"/>
      <c r="Q106" s="396"/>
      <c r="S106" s="396"/>
      <c r="U106" s="396"/>
      <c r="W106" s="396"/>
      <c r="Z106" s="396"/>
    </row>
    <row r="107" spans="2:28" s="282" customFormat="1" ht="14.25" customHeight="1">
      <c r="B107" s="485"/>
      <c r="C107" s="485"/>
      <c r="D107" s="485" t="s">
        <v>20</v>
      </c>
      <c r="E107" s="486" t="s">
        <v>954</v>
      </c>
      <c r="F107" s="487"/>
      <c r="G107" s="487"/>
      <c r="H107" s="488"/>
      <c r="I107" s="488"/>
      <c r="K107" s="583">
        <f>IF( SUM(K108:K109)=0, 0, SUM(K108:K109))</f>
        <v>0</v>
      </c>
      <c r="L107" s="489">
        <v>0</v>
      </c>
      <c r="M107" s="490">
        <f>IF(L107=0, 0, SUM(M108:M109)*L107)</f>
        <v>0</v>
      </c>
      <c r="O107" s="488"/>
      <c r="P107" s="490"/>
      <c r="Q107" s="488"/>
      <c r="R107" s="490"/>
      <c r="S107" s="488"/>
      <c r="T107" s="490"/>
      <c r="U107" s="488"/>
      <c r="V107" s="490"/>
      <c r="W107" s="488"/>
      <c r="X107" s="490"/>
      <c r="Z107" s="488"/>
      <c r="AA107" s="490"/>
      <c r="AB107" s="490"/>
    </row>
    <row r="108" spans="2:28" s="477" customFormat="1" ht="14.25" customHeight="1">
      <c r="B108" s="472"/>
      <c r="C108" s="472"/>
      <c r="D108" s="472"/>
      <c r="E108" s="496"/>
      <c r="F108" s="473" t="str">
        <f ca="1">IF($E108="", "", IFERROR(INDEX(OFFSET('Fund Guide'!$B$4,1,MATCH(F$12,OFFSET('Fund Guide'!$B$4,,,,COUNTA('Fund Guide'!75:75)),0)-1,COUNTA('Fund Guide'!$B:$B)-COUNTA('Fund Guide'!$B$1:$B$4)),MATCH($E108,OFFSET('Fund Guide'!$B$4,1,,COUNTA('Fund Guide'!$B:$B)-COUNTA('Fund Guide'!$B$1:$B$4)),0)),"-"))</f>
        <v/>
      </c>
      <c r="G108" s="474" t="str">
        <f ca="1">IF($E108="", "", IFERROR(INDEX(OFFSET('Fund Guide'!$B$4,1,MATCH(G$12,OFFSET('Fund Guide'!$B$4,,,,COUNTA('Fund Guide'!75:75)),0)-1,COUNTA('Fund Guide'!$B:$B)-COUNTA('Fund Guide'!$B$1:$B$4)),MATCH($E108,OFFSET('Fund Guide'!$B$4,1,,COUNTA('Fund Guide'!$B:$B)-COUNTA('Fund Guide'!$B$1:$B$4)),0)),"-"))</f>
        <v/>
      </c>
      <c r="H108" s="475" t="str">
        <f ca="1">IF($E108="", "", IFERROR(INDEX(OFFSET('Fund Guide'!$B$4,1,MATCH(H$12,OFFSET('Fund Guide'!$B$4,,,,COUNTA('Fund Guide'!75:75)),0)-1,COUNTA('Fund Guide'!$B:$B)-COUNTA('Fund Guide'!$B$1:$B$4)),MATCH($E108,OFFSET('Fund Guide'!$B$4,1,,COUNTA('Fund Guide'!$B:$B)-COUNTA('Fund Guide'!$B$1:$B$4)),0)),"-"))</f>
        <v/>
      </c>
      <c r="I108" s="476" t="str">
        <f ca="1">IF($E108="", "", IFERROR(INDEX(OFFSET('Fund Guide'!$B$4,1,MATCH(I$12,OFFSET('Fund Guide'!$B$4,,,,COUNTA('Fund Guide'!75:75)),0)-1,COUNTA('Fund Guide'!$B:$B)-COUNTA('Fund Guide'!$B$1:$B$4)),MATCH($E108,OFFSET('Fund Guide'!$B$4,1,,COUNTA('Fund Guide'!$B:$B)-COUNTA('Fund Guide'!$B$1:$B$4)),0)),"-"))</f>
        <v/>
      </c>
      <c r="K108" s="581" t="str">
        <f>IF(OR($L$7=0, L108=0), "", L108*$L$7)</f>
        <v/>
      </c>
      <c r="L108" s="478"/>
      <c r="M108" s="479" t="str">
        <f>IFERROR(IF(L108=0, "", L108/L$107),0)</f>
        <v/>
      </c>
      <c r="O108" s="480" t="str">
        <f ca="1">IF($E108="", "", IFERROR(INDEX(OFFSET('Fund Guide'!$B$4,1,MATCH(O$12,OFFSET('Fund Guide'!$B$4,,,,COUNTA('Fund Guide'!75:75)),0)-1,COUNTA('Fund Guide'!$B:$B)-COUNTA('Fund Guide'!$B$1:$B$4)),MATCH($E108,OFFSET('Fund Guide'!$B$4,1,,COUNTA('Fund Guide'!$B:$B)-COUNTA('Fund Guide'!$B$1:$B$4)),0)),"-"))</f>
        <v/>
      </c>
      <c r="P108" s="481" t="str">
        <f ca="1">IF($E108="", "", IFERROR(INDEX(OFFSET('Fund Guide'!$B$4,1,MATCH(P$12,OFFSET('Fund Guide'!$B$4,,,,COUNTA('Fund Guide'!75:75)),0)-1,COUNTA('Fund Guide'!$B:$B)-COUNTA('Fund Guide'!$B$1:$B$4)),MATCH($E108,OFFSET('Fund Guide'!$B$4,1,,COUNTA('Fund Guide'!$B:$B)-COUNTA('Fund Guide'!$B$1:$B$4)),0)),"-"))</f>
        <v/>
      </c>
      <c r="Q108" s="480" t="str">
        <f ca="1">IF($E108="", "", IFERROR(INDEX(OFFSET('Fund Guide'!$B$4,1,MATCH(Q$12,OFFSET('Fund Guide'!$B$4,,,,COUNTA('Fund Guide'!75:75)),0)-1,COUNTA('Fund Guide'!$B:$B)-COUNTA('Fund Guide'!$B$1:$B$4)),MATCH($E108,OFFSET('Fund Guide'!$B$4,1,,COUNTA('Fund Guide'!$B:$B)-COUNTA('Fund Guide'!$B$1:$B$4)),0)),"-"))</f>
        <v/>
      </c>
      <c r="R108" s="481" t="str">
        <f ca="1">IF($E108="", "", IFERROR(INDEX(OFFSET('Fund Guide'!$B$4,1,MATCH(R$12,OFFSET('Fund Guide'!$B$4,,,,COUNTA('Fund Guide'!75:75)),0)-1,COUNTA('Fund Guide'!$B:$B)-COUNTA('Fund Guide'!$B$1:$B$4)),MATCH($E108,OFFSET('Fund Guide'!$B$4,1,,COUNTA('Fund Guide'!$B:$B)-COUNTA('Fund Guide'!$B$1:$B$4)),0)),"-"))</f>
        <v/>
      </c>
      <c r="S108" s="480" t="str">
        <f ca="1">IF($E108="", "", IFERROR(INDEX(OFFSET('Fund Guide'!$B$4,1,MATCH(S$12,OFFSET('Fund Guide'!$B$4,,,,COUNTA('Fund Guide'!75:75)),0)-1,COUNTA('Fund Guide'!$B:$B)-COUNTA('Fund Guide'!$B$1:$B$4)),MATCH($E108,OFFSET('Fund Guide'!$B$4,1,,COUNTA('Fund Guide'!$B:$B)-COUNTA('Fund Guide'!$B$1:$B$4)),0)),"-"))</f>
        <v/>
      </c>
      <c r="T108" s="481" t="str">
        <f ca="1">IF($E108="", "", IFERROR(INDEX(OFFSET('Fund Guide'!$B$4,1,MATCH(T$12,OFFSET('Fund Guide'!$B$4,,,,COUNTA('Fund Guide'!75:75)),0)-1,COUNTA('Fund Guide'!$B:$B)-COUNTA('Fund Guide'!$B$1:$B$4)),MATCH($E108,OFFSET('Fund Guide'!$B$4,1,,COUNTA('Fund Guide'!$B:$B)-COUNTA('Fund Guide'!$B$1:$B$4)),0)),"-"))</f>
        <v/>
      </c>
      <c r="U108" s="480" t="str">
        <f ca="1">IF($E108="", "", IFERROR(INDEX(OFFSET('Fund Guide'!$B$4,1,MATCH(U$12,OFFSET('Fund Guide'!$B$4,,,,COUNTA('Fund Guide'!75:75)),0)-1,COUNTA('Fund Guide'!$B:$B)-COUNTA('Fund Guide'!$B$1:$B$4)),MATCH($E108,OFFSET('Fund Guide'!$B$4,1,,COUNTA('Fund Guide'!$B:$B)-COUNTA('Fund Guide'!$B$1:$B$4)),0)),"-"))</f>
        <v/>
      </c>
      <c r="V108" s="481" t="str">
        <f ca="1">IF($E108="", "", IFERROR(INDEX(OFFSET('Fund Guide'!$B$4,1,MATCH(V$12,OFFSET('Fund Guide'!$B$4,,,,COUNTA('Fund Guide'!75:75)),0)-1,COUNTA('Fund Guide'!$B:$B)-COUNTA('Fund Guide'!$B$1:$B$4)),MATCH($E108,OFFSET('Fund Guide'!$B$4,1,,COUNTA('Fund Guide'!$B:$B)-COUNTA('Fund Guide'!$B$1:$B$4)),0)),"-"))</f>
        <v/>
      </c>
      <c r="W108" s="482" t="str">
        <f ca="1">IF($E108="", "", IFERROR(INDEX(OFFSET('Fund Guide'!$B$4,1,MATCH(W$12,OFFSET('Fund Guide'!$B$4,,,,COUNTA('Fund Guide'!75:75)),0)-1,COUNTA('Fund Guide'!$B:$B)-COUNTA('Fund Guide'!$B$1:$B$4)),MATCH($E108,OFFSET('Fund Guide'!$B$4,1,,COUNTA('Fund Guide'!$B:$B)-COUNTA('Fund Guide'!$B$1:$B$4)),0)),"-"))</f>
        <v/>
      </c>
      <c r="X108" s="483" t="str">
        <f ca="1">IF($E108="", "", IFERROR(INDEX(OFFSET('Fund Guide'!$B$4,1,MATCH(X$12,OFFSET('Fund Guide'!$B$4,,,,COUNTA('Fund Guide'!75:75)),0)-1,COUNTA('Fund Guide'!$B:$B)-COUNTA('Fund Guide'!$B$1:$B$4)),MATCH($E108,OFFSET('Fund Guide'!$B$4,1,,COUNTA('Fund Guide'!$B:$B)-COUNTA('Fund Guide'!$B$1:$B$4)),0)),"-"))</f>
        <v/>
      </c>
      <c r="Z108" s="484"/>
      <c r="AA108" s="484"/>
      <c r="AB108" s="478"/>
    </row>
    <row r="109" spans="2:28" s="385" customFormat="1" ht="4.5" customHeight="1">
      <c r="B109" s="461"/>
      <c r="C109" s="461"/>
      <c r="D109" s="461"/>
      <c r="E109" s="400"/>
      <c r="F109" s="431"/>
      <c r="G109" s="431"/>
      <c r="H109" s="396"/>
      <c r="I109" s="396"/>
      <c r="K109" s="579"/>
      <c r="O109" s="396"/>
      <c r="Q109" s="396"/>
      <c r="S109" s="396"/>
      <c r="U109" s="396"/>
      <c r="W109" s="396"/>
      <c r="Z109" s="396"/>
    </row>
    <row r="110" spans="2:28" s="282" customFormat="1" ht="14.25" customHeight="1">
      <c r="B110" s="485"/>
      <c r="C110" s="485"/>
      <c r="D110" s="485" t="s">
        <v>20</v>
      </c>
      <c r="E110" s="486" t="s">
        <v>1046</v>
      </c>
      <c r="F110" s="487"/>
      <c r="G110" s="487"/>
      <c r="H110" s="488"/>
      <c r="I110" s="488"/>
      <c r="K110" s="583">
        <f>IF( SUM(K111:K112)=0, 0, SUM(K111:K112))</f>
        <v>0</v>
      </c>
      <c r="L110" s="489">
        <v>0</v>
      </c>
      <c r="M110" s="490">
        <f>IF(L110=0, 0, SUM(M111:M112)*L110)</f>
        <v>0</v>
      </c>
      <c r="O110" s="488"/>
      <c r="P110" s="490"/>
      <c r="Q110" s="488"/>
      <c r="R110" s="490"/>
      <c r="S110" s="488"/>
      <c r="T110" s="490"/>
      <c r="U110" s="488"/>
      <c r="V110" s="490"/>
      <c r="W110" s="488"/>
      <c r="X110" s="490"/>
      <c r="Z110" s="488"/>
      <c r="AA110" s="490"/>
      <c r="AB110" s="490"/>
    </row>
    <row r="111" spans="2:28" s="477" customFormat="1" ht="14.25" customHeight="1">
      <c r="B111" s="472"/>
      <c r="C111" s="472"/>
      <c r="D111" s="472"/>
      <c r="E111" s="496"/>
      <c r="F111" s="473" t="str">
        <f ca="1">IF($E111="", "", IFERROR(INDEX(OFFSET('Fund Guide'!$B$4,1,MATCH(F$12,OFFSET('Fund Guide'!$B$4,,,,COUNTA('Fund Guide'!78:78)),0)-1,COUNTA('Fund Guide'!$B:$B)-COUNTA('Fund Guide'!$B$1:$B$4)),MATCH($E111,OFFSET('Fund Guide'!$B$4,1,,COUNTA('Fund Guide'!$B:$B)-COUNTA('Fund Guide'!$B$1:$B$4)),0)),"-"))</f>
        <v/>
      </c>
      <c r="G111" s="474" t="str">
        <f ca="1">IF($E111="", "", IFERROR(INDEX(OFFSET('Fund Guide'!$B$4,1,MATCH(G$12,OFFSET('Fund Guide'!$B$4,,,,COUNTA('Fund Guide'!78:78)),0)-1,COUNTA('Fund Guide'!$B:$B)-COUNTA('Fund Guide'!$B$1:$B$4)),MATCH($E111,OFFSET('Fund Guide'!$B$4,1,,COUNTA('Fund Guide'!$B:$B)-COUNTA('Fund Guide'!$B$1:$B$4)),0)),"-"))</f>
        <v/>
      </c>
      <c r="H111" s="475" t="str">
        <f ca="1">IF($E111="", "", IFERROR(INDEX(OFFSET('Fund Guide'!$B$4,1,MATCH(H$12,OFFSET('Fund Guide'!$B$4,,,,COUNTA('Fund Guide'!78:78)),0)-1,COUNTA('Fund Guide'!$B:$B)-COUNTA('Fund Guide'!$B$1:$B$4)),MATCH($E111,OFFSET('Fund Guide'!$B$4,1,,COUNTA('Fund Guide'!$B:$B)-COUNTA('Fund Guide'!$B$1:$B$4)),0)),"-"))</f>
        <v/>
      </c>
      <c r="I111" s="476" t="str">
        <f ca="1">IF($E111="", "", IFERROR(INDEX(OFFSET('Fund Guide'!$B$4,1,MATCH(I$12,OFFSET('Fund Guide'!$B$4,,,,COUNTA('Fund Guide'!78:78)),0)-1,COUNTA('Fund Guide'!$B:$B)-COUNTA('Fund Guide'!$B$1:$B$4)),MATCH($E111,OFFSET('Fund Guide'!$B$4,1,,COUNTA('Fund Guide'!$B:$B)-COUNTA('Fund Guide'!$B$1:$B$4)),0)),"-"))</f>
        <v/>
      </c>
      <c r="K111" s="581" t="str">
        <f>IF(OR($L$7=0, L111=0), "", L111*$L$7)</f>
        <v/>
      </c>
      <c r="L111" s="478"/>
      <c r="M111" s="479" t="str">
        <f>IFERROR(IF(L111=0, "", L111/L$107),0)</f>
        <v/>
      </c>
      <c r="O111" s="480" t="str">
        <f ca="1">IF($E111="", "", IFERROR(INDEX(OFFSET('Fund Guide'!$B$4,1,MATCH(O$12,OFFSET('Fund Guide'!$B$4,,,,COUNTA('Fund Guide'!78:78)),0)-1,COUNTA('Fund Guide'!$B:$B)-COUNTA('Fund Guide'!$B$1:$B$4)),MATCH($E111,OFFSET('Fund Guide'!$B$4,1,,COUNTA('Fund Guide'!$B:$B)-COUNTA('Fund Guide'!$B$1:$B$4)),0)),"-"))</f>
        <v/>
      </c>
      <c r="P111" s="481" t="str">
        <f ca="1">IF($E111="", "", IFERROR(INDEX(OFFSET('Fund Guide'!$B$4,1,MATCH(P$12,OFFSET('Fund Guide'!$B$4,,,,COUNTA('Fund Guide'!78:78)),0)-1,COUNTA('Fund Guide'!$B:$B)-COUNTA('Fund Guide'!$B$1:$B$4)),MATCH($E111,OFFSET('Fund Guide'!$B$4,1,,COUNTA('Fund Guide'!$B:$B)-COUNTA('Fund Guide'!$B$1:$B$4)),0)),"-"))</f>
        <v/>
      </c>
      <c r="Q111" s="480" t="str">
        <f ca="1">IF($E111="", "", IFERROR(INDEX(OFFSET('Fund Guide'!$B$4,1,MATCH(Q$12,OFFSET('Fund Guide'!$B$4,,,,COUNTA('Fund Guide'!78:78)),0)-1,COUNTA('Fund Guide'!$B:$B)-COUNTA('Fund Guide'!$B$1:$B$4)),MATCH($E111,OFFSET('Fund Guide'!$B$4,1,,COUNTA('Fund Guide'!$B:$B)-COUNTA('Fund Guide'!$B$1:$B$4)),0)),"-"))</f>
        <v/>
      </c>
      <c r="R111" s="481" t="str">
        <f ca="1">IF($E111="", "", IFERROR(INDEX(OFFSET('Fund Guide'!$B$4,1,MATCH(R$12,OFFSET('Fund Guide'!$B$4,,,,COUNTA('Fund Guide'!78:78)),0)-1,COUNTA('Fund Guide'!$B:$B)-COUNTA('Fund Guide'!$B$1:$B$4)),MATCH($E111,OFFSET('Fund Guide'!$B$4,1,,COUNTA('Fund Guide'!$B:$B)-COUNTA('Fund Guide'!$B$1:$B$4)),0)),"-"))</f>
        <v/>
      </c>
      <c r="S111" s="480" t="str">
        <f ca="1">IF($E111="", "", IFERROR(INDEX(OFFSET('Fund Guide'!$B$4,1,MATCH(S$12,OFFSET('Fund Guide'!$B$4,,,,COUNTA('Fund Guide'!78:78)),0)-1,COUNTA('Fund Guide'!$B:$B)-COUNTA('Fund Guide'!$B$1:$B$4)),MATCH($E111,OFFSET('Fund Guide'!$B$4,1,,COUNTA('Fund Guide'!$B:$B)-COUNTA('Fund Guide'!$B$1:$B$4)),0)),"-"))</f>
        <v/>
      </c>
      <c r="T111" s="481" t="str">
        <f ca="1">IF($E111="", "", IFERROR(INDEX(OFFSET('Fund Guide'!$B$4,1,MATCH(T$12,OFFSET('Fund Guide'!$B$4,,,,COUNTA('Fund Guide'!78:78)),0)-1,COUNTA('Fund Guide'!$B:$B)-COUNTA('Fund Guide'!$B$1:$B$4)),MATCH($E111,OFFSET('Fund Guide'!$B$4,1,,COUNTA('Fund Guide'!$B:$B)-COUNTA('Fund Guide'!$B$1:$B$4)),0)),"-"))</f>
        <v/>
      </c>
      <c r="U111" s="480" t="str">
        <f ca="1">IF($E111="", "", IFERROR(INDEX(OFFSET('Fund Guide'!$B$4,1,MATCH(U$12,OFFSET('Fund Guide'!$B$4,,,,COUNTA('Fund Guide'!78:78)),0)-1,COUNTA('Fund Guide'!$B:$B)-COUNTA('Fund Guide'!$B$1:$B$4)),MATCH($E111,OFFSET('Fund Guide'!$B$4,1,,COUNTA('Fund Guide'!$B:$B)-COUNTA('Fund Guide'!$B$1:$B$4)),0)),"-"))</f>
        <v/>
      </c>
      <c r="V111" s="481" t="str">
        <f ca="1">IF($E111="", "", IFERROR(INDEX(OFFSET('Fund Guide'!$B$4,1,MATCH(V$12,OFFSET('Fund Guide'!$B$4,,,,COUNTA('Fund Guide'!78:78)),0)-1,COUNTA('Fund Guide'!$B:$B)-COUNTA('Fund Guide'!$B$1:$B$4)),MATCH($E111,OFFSET('Fund Guide'!$B$4,1,,COUNTA('Fund Guide'!$B:$B)-COUNTA('Fund Guide'!$B$1:$B$4)),0)),"-"))</f>
        <v/>
      </c>
      <c r="W111" s="482" t="str">
        <f ca="1">IF($E111="", "", IFERROR(INDEX(OFFSET('Fund Guide'!$B$4,1,MATCH(W$12,OFFSET('Fund Guide'!$B$4,,,,COUNTA('Fund Guide'!78:78)),0)-1,COUNTA('Fund Guide'!$B:$B)-COUNTA('Fund Guide'!$B$1:$B$4)),MATCH($E111,OFFSET('Fund Guide'!$B$4,1,,COUNTA('Fund Guide'!$B:$B)-COUNTA('Fund Guide'!$B$1:$B$4)),0)),"-"))</f>
        <v/>
      </c>
      <c r="X111" s="483" t="str">
        <f ca="1">IF($E111="", "", IFERROR(INDEX(OFFSET('Fund Guide'!$B$4,1,MATCH(X$12,OFFSET('Fund Guide'!$B$4,,,,COUNTA('Fund Guide'!78:78)),0)-1,COUNTA('Fund Guide'!$B:$B)-COUNTA('Fund Guide'!$B$1:$B$4)),MATCH($E111,OFFSET('Fund Guide'!$B$4,1,,COUNTA('Fund Guide'!$B:$B)-COUNTA('Fund Guide'!$B$1:$B$4)),0)),"-"))</f>
        <v/>
      </c>
      <c r="Z111" s="484"/>
      <c r="AA111" s="484"/>
      <c r="AB111" s="478"/>
    </row>
    <row r="112" spans="2:28" s="385" customFormat="1" ht="4.5" customHeight="1">
      <c r="B112" s="461"/>
      <c r="C112" s="461"/>
      <c r="D112" s="461"/>
      <c r="E112" s="400"/>
      <c r="F112" s="431"/>
      <c r="G112" s="431"/>
      <c r="H112" s="396"/>
      <c r="I112" s="396"/>
      <c r="K112" s="396"/>
      <c r="O112" s="396"/>
      <c r="Q112" s="396"/>
      <c r="S112" s="396"/>
      <c r="U112" s="396"/>
      <c r="W112" s="396"/>
      <c r="Z112" s="396"/>
    </row>
    <row r="113" spans="2:28" s="128" customFormat="1" ht="18.75" customHeight="1">
      <c r="B113" s="465" t="s">
        <v>1847</v>
      </c>
      <c r="C113" s="465" t="s">
        <v>1847</v>
      </c>
      <c r="D113" s="465" t="s">
        <v>1847</v>
      </c>
      <c r="E113" s="440"/>
      <c r="F113" s="466"/>
      <c r="G113" s="441"/>
      <c r="H113" s="130"/>
      <c r="I113" s="421"/>
      <c r="K113" s="420"/>
      <c r="L113" s="419"/>
      <c r="M113" s="420"/>
      <c r="O113" s="419"/>
      <c r="P113" s="420"/>
      <c r="Q113" s="419"/>
      <c r="R113" s="420"/>
      <c r="S113" s="419"/>
      <c r="T113" s="420"/>
      <c r="U113" s="419"/>
      <c r="V113" s="420"/>
      <c r="W113" s="419"/>
      <c r="X113" s="420"/>
      <c r="Z113" s="422"/>
      <c r="AA113" s="422"/>
      <c r="AB113" s="423"/>
    </row>
    <row r="114" spans="2:28" s="280" customFormat="1" ht="18.75" customHeight="1">
      <c r="B114" s="459"/>
      <c r="C114" s="459"/>
      <c r="D114" s="465"/>
      <c r="E114" s="442"/>
      <c r="F114" s="443"/>
      <c r="G114" s="444"/>
      <c r="H114" s="445"/>
      <c r="K114" s="129"/>
      <c r="L114" s="424"/>
      <c r="M114" s="425"/>
      <c r="O114" s="129"/>
      <c r="Q114" s="129"/>
      <c r="S114" s="129"/>
      <c r="U114" s="129"/>
      <c r="W114" s="129"/>
    </row>
    <row r="115" spans="2:28" s="385" customFormat="1" ht="15.75">
      <c r="B115" s="461"/>
      <c r="C115" s="461"/>
      <c r="D115" s="461"/>
      <c r="E115" s="400"/>
      <c r="F115" s="431"/>
      <c r="G115" s="431"/>
      <c r="H115" s="396"/>
      <c r="K115" s="398"/>
      <c r="L115" s="399"/>
      <c r="M115" s="398"/>
      <c r="O115" s="398"/>
      <c r="Q115" s="398"/>
      <c r="S115" s="398"/>
      <c r="U115" s="398"/>
      <c r="W115" s="398"/>
    </row>
    <row r="116" spans="2:28" s="385" customFormat="1" ht="15.75">
      <c r="B116" s="461"/>
      <c r="C116" s="461"/>
      <c r="D116" s="461"/>
      <c r="E116" s="400"/>
      <c r="F116" s="431"/>
      <c r="G116" s="431"/>
      <c r="H116" s="396"/>
      <c r="K116" s="398"/>
      <c r="L116" s="400"/>
      <c r="M116" s="398"/>
      <c r="O116" s="392"/>
      <c r="Q116" s="392"/>
      <c r="S116" s="392"/>
      <c r="U116" s="392"/>
      <c r="W116" s="392"/>
    </row>
    <row r="117" spans="2:28" s="238" customFormat="1" ht="21.75" hidden="1" customHeight="1">
      <c r="B117" s="463"/>
      <c r="C117" s="463"/>
      <c r="D117" s="463"/>
      <c r="E117" s="446" t="s">
        <v>739</v>
      </c>
      <c r="F117" s="437"/>
      <c r="G117" s="437"/>
      <c r="H117" s="439"/>
      <c r="K117" s="397"/>
      <c r="L117" s="401"/>
      <c r="M117" s="397"/>
      <c r="O117" s="393"/>
      <c r="Q117" s="393"/>
      <c r="S117" s="393"/>
      <c r="U117" s="393"/>
      <c r="W117" s="393"/>
    </row>
    <row r="118" spans="2:28" s="238" customFormat="1" ht="18.75" hidden="1" customHeight="1">
      <c r="B118" s="463"/>
      <c r="C118" s="463"/>
      <c r="D118" s="463"/>
      <c r="E118" s="447" t="s">
        <v>740</v>
      </c>
      <c r="F118" s="437"/>
      <c r="G118" s="437"/>
      <c r="H118" s="439"/>
      <c r="K118" s="402"/>
      <c r="L118" s="403"/>
      <c r="M118" s="402">
        <f>M125</f>
        <v>0</v>
      </c>
      <c r="O118" s="393"/>
      <c r="Q118" s="393"/>
      <c r="S118" s="393"/>
      <c r="U118" s="393"/>
      <c r="W118" s="393"/>
    </row>
    <row r="119" spans="2:28" s="238" customFormat="1" ht="18.75" hidden="1" customHeight="1">
      <c r="B119" s="463"/>
      <c r="C119" s="463"/>
      <c r="D119" s="463"/>
      <c r="E119" s="447" t="s">
        <v>741</v>
      </c>
      <c r="F119" s="437"/>
      <c r="G119" s="437"/>
      <c r="H119" s="439"/>
      <c r="K119" s="397"/>
      <c r="L119" s="401"/>
      <c r="M119" s="397"/>
      <c r="O119" s="393"/>
      <c r="Q119" s="393"/>
      <c r="S119" s="393"/>
      <c r="U119" s="393"/>
      <c r="W119" s="393"/>
    </row>
    <row r="120" spans="2:28" s="238" customFormat="1" ht="18.75" hidden="1" customHeight="1">
      <c r="B120" s="463"/>
      <c r="C120" s="463"/>
      <c r="D120" s="463"/>
      <c r="E120" s="447" t="s">
        <v>742</v>
      </c>
      <c r="F120" s="437"/>
      <c r="G120" s="437"/>
      <c r="H120" s="439"/>
      <c r="K120" s="402"/>
      <c r="L120" s="403"/>
      <c r="M120" s="402">
        <f>M127</f>
        <v>0</v>
      </c>
      <c r="O120" s="393"/>
      <c r="Q120" s="393"/>
      <c r="S120" s="393"/>
      <c r="U120" s="393"/>
      <c r="W120" s="393"/>
    </row>
    <row r="121" spans="2:28" s="238" customFormat="1" ht="18.75" hidden="1" customHeight="1">
      <c r="B121" s="463"/>
      <c r="C121" s="463"/>
      <c r="D121" s="463"/>
      <c r="E121" s="447" t="s">
        <v>743</v>
      </c>
      <c r="F121" s="437"/>
      <c r="G121" s="437"/>
      <c r="H121" s="439"/>
      <c r="K121" s="397"/>
      <c r="L121" s="401"/>
      <c r="M121" s="397"/>
      <c r="O121" s="393"/>
      <c r="Q121" s="393"/>
      <c r="S121" s="393"/>
      <c r="U121" s="393"/>
      <c r="W121" s="393"/>
    </row>
    <row r="122" spans="2:28" s="238" customFormat="1" ht="18.75" hidden="1" customHeight="1">
      <c r="B122" s="463"/>
      <c r="C122" s="463"/>
      <c r="D122" s="463"/>
      <c r="E122" s="447" t="s">
        <v>744</v>
      </c>
      <c r="F122" s="437"/>
      <c r="G122" s="437"/>
      <c r="H122" s="439"/>
      <c r="K122" s="402"/>
      <c r="L122" s="403"/>
      <c r="M122" s="402">
        <f>M129</f>
        <v>0</v>
      </c>
      <c r="O122" s="393"/>
      <c r="Q122" s="393"/>
      <c r="S122" s="393"/>
      <c r="U122" s="393"/>
      <c r="W122" s="393"/>
    </row>
    <row r="123" spans="2:28" s="238" customFormat="1" ht="18.75" hidden="1" customHeight="1">
      <c r="B123" s="463"/>
      <c r="C123" s="463"/>
      <c r="D123" s="463"/>
      <c r="E123" s="448" t="s">
        <v>745</v>
      </c>
      <c r="F123" s="437"/>
      <c r="G123" s="437"/>
      <c r="H123" s="439"/>
      <c r="K123" s="397"/>
      <c r="L123" s="401"/>
      <c r="M123" s="397"/>
      <c r="O123" s="393"/>
      <c r="Q123" s="393"/>
      <c r="S123" s="393"/>
      <c r="U123" s="393"/>
      <c r="W123" s="393"/>
    </row>
    <row r="124" spans="2:28" s="238" customFormat="1" ht="18.75" hidden="1" customHeight="1">
      <c r="B124" s="463"/>
      <c r="C124" s="463"/>
      <c r="D124" s="463"/>
      <c r="E124" s="449" t="s">
        <v>746</v>
      </c>
      <c r="F124" s="437"/>
      <c r="G124" s="437"/>
      <c r="H124" s="439"/>
      <c r="K124" s="402"/>
      <c r="L124" s="403"/>
      <c r="M124" s="402">
        <f>M131</f>
        <v>0</v>
      </c>
      <c r="O124" s="393"/>
      <c r="Q124" s="393"/>
      <c r="S124" s="393"/>
      <c r="U124" s="393"/>
      <c r="W124" s="393"/>
    </row>
    <row r="125" spans="2:28" s="238" customFormat="1" ht="18.75" hidden="1" customHeight="1">
      <c r="B125" s="463"/>
      <c r="C125" s="463"/>
      <c r="D125" s="463"/>
      <c r="E125" s="449" t="s">
        <v>747</v>
      </c>
      <c r="F125" s="437"/>
      <c r="G125" s="437"/>
      <c r="H125" s="439"/>
      <c r="K125" s="397"/>
      <c r="L125" s="401"/>
      <c r="M125" s="397"/>
      <c r="O125" s="393"/>
      <c r="Q125" s="393"/>
      <c r="S125" s="393"/>
      <c r="U125" s="393"/>
      <c r="W125" s="393"/>
    </row>
    <row r="126" spans="2:28" s="238" customFormat="1" ht="18.75" hidden="1" customHeight="1">
      <c r="B126" s="463"/>
      <c r="C126" s="463"/>
      <c r="D126" s="463"/>
      <c r="E126" s="449" t="s">
        <v>748</v>
      </c>
      <c r="F126" s="437"/>
      <c r="G126" s="437"/>
      <c r="H126" s="439"/>
      <c r="K126" s="402"/>
      <c r="L126" s="403"/>
      <c r="M126" s="402">
        <f>M133</f>
        <v>0</v>
      </c>
      <c r="O126" s="393"/>
      <c r="Q126" s="393"/>
      <c r="S126" s="393"/>
      <c r="U126" s="393"/>
      <c r="W126" s="393"/>
    </row>
    <row r="127" spans="2:28" s="238" customFormat="1" ht="19.5" hidden="1" customHeight="1">
      <c r="B127" s="463"/>
      <c r="C127" s="463"/>
      <c r="D127" s="463"/>
      <c r="E127" s="450" t="s">
        <v>749</v>
      </c>
      <c r="F127" s="437"/>
      <c r="G127" s="437"/>
      <c r="H127" s="439"/>
      <c r="K127" s="397"/>
      <c r="L127" s="401"/>
      <c r="M127" s="397"/>
      <c r="O127" s="393"/>
      <c r="Q127" s="393"/>
      <c r="S127" s="393"/>
      <c r="U127" s="393"/>
      <c r="W127" s="393"/>
    </row>
    <row r="128" spans="2:28" s="238" customFormat="1" ht="18.75" hidden="1" customHeight="1">
      <c r="B128" s="463"/>
      <c r="C128" s="463"/>
      <c r="D128" s="463"/>
      <c r="E128" s="451" t="s">
        <v>750</v>
      </c>
      <c r="F128" s="437"/>
      <c r="G128" s="437"/>
      <c r="H128" s="439"/>
      <c r="K128" s="402"/>
      <c r="L128" s="403"/>
      <c r="M128" s="402">
        <f>M135</f>
        <v>0</v>
      </c>
      <c r="O128" s="393"/>
      <c r="Q128" s="393"/>
      <c r="S128" s="393"/>
      <c r="U128" s="393"/>
      <c r="W128" s="393"/>
    </row>
    <row r="129" spans="2:24" s="238" customFormat="1" ht="18.75" hidden="1" customHeight="1">
      <c r="B129" s="463"/>
      <c r="C129" s="463"/>
      <c r="D129" s="463"/>
      <c r="E129" s="451" t="s">
        <v>751</v>
      </c>
      <c r="F129" s="437"/>
      <c r="G129" s="437"/>
      <c r="H129" s="439"/>
      <c r="K129" s="397"/>
      <c r="L129" s="401"/>
      <c r="M129" s="397"/>
      <c r="O129" s="393"/>
      <c r="Q129" s="393"/>
      <c r="S129" s="393"/>
      <c r="U129" s="393"/>
      <c r="W129" s="393"/>
    </row>
    <row r="130" spans="2:24" s="238" customFormat="1" ht="18.75" hidden="1" customHeight="1">
      <c r="B130" s="463"/>
      <c r="C130" s="463"/>
      <c r="D130" s="463"/>
      <c r="E130" s="451" t="s">
        <v>752</v>
      </c>
      <c r="F130" s="437"/>
      <c r="G130" s="437"/>
      <c r="H130" s="439"/>
      <c r="K130" s="402"/>
      <c r="L130" s="403"/>
      <c r="M130" s="402">
        <f>M137</f>
        <v>0</v>
      </c>
      <c r="O130" s="393"/>
      <c r="Q130" s="393"/>
      <c r="S130" s="393"/>
      <c r="U130" s="393"/>
      <c r="W130" s="393"/>
    </row>
    <row r="131" spans="2:24" s="238" customFormat="1" ht="19.5" hidden="1" customHeight="1">
      <c r="B131" s="463"/>
      <c r="C131" s="463"/>
      <c r="D131" s="463"/>
      <c r="E131" s="452" t="s">
        <v>753</v>
      </c>
      <c r="F131" s="437"/>
      <c r="G131" s="437"/>
      <c r="H131" s="439"/>
      <c r="K131" s="397"/>
      <c r="L131" s="401"/>
      <c r="M131" s="397"/>
      <c r="O131" s="393"/>
      <c r="Q131" s="393"/>
      <c r="S131" s="393"/>
      <c r="U131" s="393"/>
      <c r="W131" s="393"/>
    </row>
    <row r="132" spans="2:24" s="238" customFormat="1" ht="18.75" hidden="1" customHeight="1">
      <c r="B132" s="463"/>
      <c r="C132" s="463"/>
      <c r="D132" s="463"/>
      <c r="E132" s="453" t="s">
        <v>754</v>
      </c>
      <c r="F132" s="437"/>
      <c r="G132" s="437"/>
      <c r="H132" s="439"/>
      <c r="K132" s="402"/>
      <c r="L132" s="403"/>
      <c r="M132" s="402">
        <f>M139</f>
        <v>0</v>
      </c>
      <c r="O132" s="393"/>
      <c r="Q132" s="393"/>
      <c r="S132" s="393"/>
      <c r="U132" s="393"/>
      <c r="W132" s="393"/>
    </row>
    <row r="133" spans="2:24" s="238" customFormat="1" ht="18.75" hidden="1" customHeight="1">
      <c r="B133" s="463"/>
      <c r="C133" s="463"/>
      <c r="D133" s="463"/>
      <c r="E133" s="454" t="s">
        <v>755</v>
      </c>
      <c r="F133" s="437"/>
      <c r="G133" s="437"/>
      <c r="H133" s="439"/>
      <c r="K133" s="397"/>
      <c r="L133" s="401"/>
      <c r="M133" s="397"/>
      <c r="O133" s="393"/>
      <c r="Q133" s="393"/>
      <c r="S133" s="393"/>
      <c r="U133" s="393"/>
      <c r="W133" s="393"/>
    </row>
    <row r="134" spans="2:24" s="238" customFormat="1" ht="18.75" hidden="1" customHeight="1">
      <c r="B134" s="463"/>
      <c r="C134" s="463"/>
      <c r="D134" s="463"/>
      <c r="E134" s="438"/>
      <c r="F134" s="437"/>
      <c r="G134" s="437"/>
      <c r="H134" s="439"/>
      <c r="K134" s="402"/>
      <c r="L134" s="403"/>
      <c r="M134" s="402">
        <f>M141</f>
        <v>0</v>
      </c>
      <c r="O134" s="393"/>
      <c r="Q134" s="393"/>
      <c r="S134" s="393"/>
      <c r="U134" s="393"/>
      <c r="W134" s="393"/>
    </row>
    <row r="135" spans="2:24" s="238" customFormat="1" ht="18.75" hidden="1" customHeight="1">
      <c r="B135" s="463"/>
      <c r="C135" s="463"/>
      <c r="D135" s="463"/>
      <c r="E135" s="438"/>
      <c r="F135" s="437"/>
      <c r="G135" s="437"/>
      <c r="H135" s="439"/>
      <c r="K135" s="397"/>
      <c r="L135" s="401"/>
      <c r="M135" s="397"/>
      <c r="P135" s="404"/>
      <c r="R135" s="404"/>
      <c r="T135" s="404"/>
      <c r="V135" s="404"/>
      <c r="X135" s="404"/>
    </row>
    <row r="136" spans="2:24" s="238" customFormat="1" ht="21.75" hidden="1" customHeight="1">
      <c r="B136" s="463"/>
      <c r="C136" s="463"/>
      <c r="D136" s="463"/>
      <c r="E136" s="446" t="s">
        <v>739</v>
      </c>
      <c r="F136" s="437"/>
      <c r="G136" s="437"/>
      <c r="H136" s="439"/>
      <c r="K136" s="402"/>
      <c r="L136" s="403"/>
      <c r="M136" s="402">
        <f>M143</f>
        <v>0</v>
      </c>
      <c r="P136" s="404"/>
      <c r="R136" s="404"/>
      <c r="T136" s="404"/>
      <c r="V136" s="404"/>
      <c r="X136" s="404"/>
    </row>
    <row r="137" spans="2:24" s="238" customFormat="1" ht="18.75" hidden="1" customHeight="1">
      <c r="B137" s="463"/>
      <c r="C137" s="463"/>
      <c r="D137" s="463"/>
      <c r="E137" s="447" t="s">
        <v>740</v>
      </c>
      <c r="F137" s="437"/>
      <c r="G137" s="437"/>
      <c r="H137" s="439"/>
      <c r="K137" s="397"/>
      <c r="L137" s="401"/>
      <c r="M137" s="397"/>
      <c r="P137" s="404"/>
      <c r="R137" s="404"/>
      <c r="T137" s="404"/>
      <c r="V137" s="404"/>
      <c r="X137" s="404"/>
    </row>
    <row r="138" spans="2:24" s="238" customFormat="1" ht="18.75" hidden="1" customHeight="1">
      <c r="B138" s="463"/>
      <c r="C138" s="463"/>
      <c r="D138" s="463"/>
      <c r="E138" s="447" t="s">
        <v>741</v>
      </c>
      <c r="F138" s="437"/>
      <c r="G138" s="437"/>
      <c r="H138" s="439"/>
      <c r="K138" s="402"/>
      <c r="L138" s="403"/>
      <c r="M138" s="402">
        <f>M145</f>
        <v>0</v>
      </c>
      <c r="P138" s="404"/>
      <c r="R138" s="404"/>
      <c r="T138" s="404"/>
      <c r="V138" s="404"/>
      <c r="X138" s="404"/>
    </row>
    <row r="139" spans="2:24" s="238" customFormat="1" ht="19.5" hidden="1" customHeight="1">
      <c r="B139" s="463"/>
      <c r="C139" s="463"/>
      <c r="D139" s="463"/>
      <c r="E139" s="455" t="s">
        <v>742</v>
      </c>
      <c r="F139" s="437"/>
      <c r="G139" s="437"/>
      <c r="H139" s="439"/>
      <c r="K139" s="397"/>
      <c r="L139" s="401"/>
      <c r="M139" s="397"/>
      <c r="P139" s="404"/>
      <c r="R139" s="404"/>
      <c r="T139" s="404"/>
      <c r="V139" s="404"/>
      <c r="X139" s="404"/>
    </row>
    <row r="140" spans="2:24" s="238" customFormat="1" ht="18.75" hidden="1" customHeight="1">
      <c r="B140" s="463"/>
      <c r="C140" s="463"/>
      <c r="D140" s="463"/>
      <c r="E140" s="449" t="s">
        <v>747</v>
      </c>
      <c r="F140" s="437"/>
      <c r="G140" s="437"/>
      <c r="H140" s="439"/>
      <c r="K140" s="402"/>
      <c r="L140" s="403"/>
      <c r="M140" s="402">
        <f>M147</f>
        <v>0</v>
      </c>
      <c r="P140" s="404"/>
      <c r="R140" s="404"/>
      <c r="T140" s="404"/>
      <c r="V140" s="404"/>
      <c r="X140" s="404"/>
    </row>
    <row r="141" spans="2:24" s="238" customFormat="1" ht="18.75" hidden="1" customHeight="1">
      <c r="B141" s="463"/>
      <c r="C141" s="463"/>
      <c r="D141" s="463"/>
      <c r="E141" s="449" t="s">
        <v>748</v>
      </c>
      <c r="F141" s="437"/>
      <c r="G141" s="437"/>
      <c r="H141" s="439"/>
      <c r="K141" s="397"/>
      <c r="L141" s="401"/>
      <c r="M141" s="397"/>
      <c r="P141" s="404"/>
      <c r="R141" s="404"/>
      <c r="T141" s="404"/>
      <c r="V141" s="404"/>
      <c r="X141" s="404"/>
    </row>
    <row r="142" spans="2:24" s="238" customFormat="1" ht="19.5" hidden="1" customHeight="1">
      <c r="B142" s="463"/>
      <c r="C142" s="463"/>
      <c r="D142" s="463"/>
      <c r="E142" s="450" t="s">
        <v>749</v>
      </c>
      <c r="F142" s="437"/>
      <c r="G142" s="437"/>
      <c r="H142" s="439"/>
      <c r="K142" s="402"/>
      <c r="L142" s="403"/>
      <c r="M142" s="402">
        <f>M149</f>
        <v>0</v>
      </c>
      <c r="P142" s="404"/>
      <c r="R142" s="404"/>
      <c r="T142" s="404"/>
      <c r="V142" s="404"/>
      <c r="X142" s="404"/>
    </row>
    <row r="143" spans="2:24" s="238" customFormat="1" ht="18.75" hidden="1" customHeight="1">
      <c r="B143" s="463"/>
      <c r="C143" s="463"/>
      <c r="D143" s="463"/>
      <c r="E143" s="438"/>
      <c r="F143" s="437"/>
      <c r="G143" s="437"/>
      <c r="H143" s="439"/>
      <c r="K143" s="397"/>
      <c r="L143" s="401"/>
      <c r="M143" s="397"/>
      <c r="P143" s="404"/>
      <c r="R143" s="404"/>
      <c r="T143" s="404"/>
      <c r="V143" s="404"/>
      <c r="X143" s="404"/>
    </row>
    <row r="144" spans="2:24" s="238" customFormat="1" ht="18.75" hidden="1" customHeight="1">
      <c r="B144" s="463"/>
      <c r="C144" s="463"/>
      <c r="D144" s="463"/>
      <c r="E144" s="438"/>
      <c r="F144" s="437"/>
      <c r="G144" s="437"/>
      <c r="H144" s="439"/>
      <c r="K144" s="402"/>
      <c r="L144" s="403"/>
      <c r="M144" s="402">
        <f>M151</f>
        <v>0</v>
      </c>
      <c r="P144" s="404"/>
      <c r="R144" s="404"/>
      <c r="T144" s="404"/>
      <c r="V144" s="404"/>
      <c r="X144" s="404"/>
    </row>
    <row r="145" spans="2:24" s="238" customFormat="1" ht="21.75" hidden="1" customHeight="1">
      <c r="B145" s="463"/>
      <c r="C145" s="463"/>
      <c r="D145" s="463"/>
      <c r="E145" s="446" t="s">
        <v>739</v>
      </c>
      <c r="F145" s="437"/>
      <c r="G145" s="437"/>
      <c r="H145" s="439"/>
      <c r="K145" s="397"/>
      <c r="L145" s="401"/>
      <c r="M145" s="397"/>
      <c r="P145" s="404"/>
      <c r="R145" s="404"/>
      <c r="T145" s="404"/>
      <c r="V145" s="404"/>
      <c r="X145" s="404"/>
    </row>
    <row r="146" spans="2:24" s="238" customFormat="1" ht="18.75" hidden="1" customHeight="1">
      <c r="B146" s="463"/>
      <c r="C146" s="463"/>
      <c r="D146" s="463"/>
      <c r="E146" s="447" t="s">
        <v>740</v>
      </c>
      <c r="F146" s="437"/>
      <c r="G146" s="437"/>
      <c r="H146" s="439"/>
      <c r="K146" s="402"/>
      <c r="L146" s="403"/>
      <c r="M146" s="402">
        <f>M153</f>
        <v>0</v>
      </c>
      <c r="P146" s="404"/>
      <c r="R146" s="404"/>
      <c r="T146" s="404"/>
      <c r="V146" s="404"/>
      <c r="X146" s="404"/>
    </row>
    <row r="147" spans="2:24" s="238" customFormat="1" ht="18.75" hidden="1" customHeight="1">
      <c r="B147" s="463"/>
      <c r="C147" s="463"/>
      <c r="D147" s="463"/>
      <c r="E147" s="447" t="s">
        <v>741</v>
      </c>
      <c r="F147" s="437"/>
      <c r="G147" s="437"/>
      <c r="H147" s="439"/>
      <c r="K147" s="397"/>
      <c r="L147" s="401"/>
      <c r="M147" s="397"/>
      <c r="P147" s="404"/>
      <c r="R147" s="404"/>
      <c r="T147" s="404"/>
      <c r="V147" s="404"/>
      <c r="X147" s="404"/>
    </row>
    <row r="148" spans="2:24" s="238" customFormat="1" ht="19.5" hidden="1" customHeight="1">
      <c r="B148" s="463"/>
      <c r="C148" s="463"/>
      <c r="D148" s="463"/>
      <c r="E148" s="455" t="s">
        <v>742</v>
      </c>
      <c r="F148" s="437"/>
      <c r="G148" s="437"/>
      <c r="H148" s="439"/>
      <c r="K148" s="402"/>
      <c r="L148" s="403"/>
      <c r="M148" s="402">
        <f>M155</f>
        <v>0</v>
      </c>
      <c r="P148" s="404"/>
      <c r="R148" s="404"/>
      <c r="T148" s="404"/>
      <c r="V148" s="404"/>
      <c r="X148" s="404"/>
    </row>
    <row r="149" spans="2:24" s="238" customFormat="1" ht="18.75" hidden="1" customHeight="1">
      <c r="B149" s="463"/>
      <c r="C149" s="463"/>
      <c r="D149" s="463"/>
      <c r="E149" s="449" t="s">
        <v>747</v>
      </c>
      <c r="F149" s="437"/>
      <c r="G149" s="437"/>
      <c r="H149" s="439"/>
      <c r="K149" s="397"/>
      <c r="L149" s="401"/>
      <c r="M149" s="397"/>
      <c r="P149" s="404"/>
      <c r="R149" s="404"/>
      <c r="T149" s="404"/>
      <c r="V149" s="404"/>
      <c r="X149" s="404"/>
    </row>
    <row r="150" spans="2:24" s="238" customFormat="1" ht="18.75" hidden="1" customHeight="1">
      <c r="B150" s="463"/>
      <c r="C150" s="463"/>
      <c r="D150" s="463"/>
      <c r="E150" s="449" t="s">
        <v>748</v>
      </c>
      <c r="F150" s="437"/>
      <c r="G150" s="437"/>
      <c r="H150" s="439"/>
      <c r="K150" s="402"/>
      <c r="L150" s="403"/>
      <c r="M150" s="402">
        <f>M157</f>
        <v>0</v>
      </c>
      <c r="P150" s="404"/>
      <c r="R150" s="404"/>
      <c r="T150" s="404"/>
      <c r="V150" s="404"/>
      <c r="X150" s="404"/>
    </row>
    <row r="151" spans="2:24" s="238" customFormat="1" ht="19.5" hidden="1" customHeight="1">
      <c r="B151" s="463"/>
      <c r="C151" s="463"/>
      <c r="D151" s="463"/>
      <c r="E151" s="450" t="s">
        <v>749</v>
      </c>
      <c r="F151" s="437"/>
      <c r="G151" s="437"/>
      <c r="H151" s="439"/>
      <c r="K151" s="397"/>
      <c r="L151" s="401"/>
      <c r="M151" s="397"/>
      <c r="P151" s="404"/>
      <c r="R151" s="404"/>
      <c r="T151" s="404"/>
      <c r="V151" s="404"/>
      <c r="X151" s="404"/>
    </row>
    <row r="152" spans="2:24" s="238" customFormat="1" ht="18.75" hidden="1" customHeight="1">
      <c r="B152" s="463"/>
      <c r="C152" s="463"/>
      <c r="D152" s="463"/>
      <c r="E152" s="438"/>
      <c r="F152" s="437"/>
      <c r="G152" s="437"/>
      <c r="H152" s="439"/>
      <c r="K152" s="402"/>
      <c r="L152" s="403"/>
      <c r="M152" s="402">
        <f>M159</f>
        <v>0</v>
      </c>
      <c r="P152" s="404"/>
      <c r="R152" s="404"/>
      <c r="T152" s="404"/>
      <c r="V152" s="404"/>
      <c r="X152" s="404"/>
    </row>
    <row r="153" spans="2:24" s="238" customFormat="1" ht="18.75" hidden="1" customHeight="1">
      <c r="B153" s="463"/>
      <c r="C153" s="463"/>
      <c r="D153" s="463"/>
      <c r="E153" s="438"/>
      <c r="F153" s="437"/>
      <c r="G153" s="437"/>
      <c r="H153" s="439"/>
      <c r="K153" s="397"/>
      <c r="L153" s="401"/>
      <c r="M153" s="397"/>
      <c r="P153" s="404"/>
      <c r="R153" s="404"/>
      <c r="T153" s="404"/>
      <c r="V153" s="404"/>
      <c r="X153" s="404"/>
    </row>
    <row r="154" spans="2:24" s="238" customFormat="1" ht="21.75" hidden="1" customHeight="1">
      <c r="B154" s="463"/>
      <c r="C154" s="463"/>
      <c r="D154" s="463"/>
      <c r="E154" s="446" t="s">
        <v>739</v>
      </c>
      <c r="F154" s="437"/>
      <c r="G154" s="437"/>
      <c r="H154" s="439"/>
      <c r="K154" s="402"/>
      <c r="L154" s="403"/>
      <c r="M154" s="402">
        <f>M161</f>
        <v>0</v>
      </c>
      <c r="P154" s="404"/>
      <c r="R154" s="404"/>
      <c r="T154" s="404"/>
      <c r="V154" s="404"/>
      <c r="X154" s="404"/>
    </row>
    <row r="155" spans="2:24" s="238" customFormat="1" ht="18.75" hidden="1" customHeight="1">
      <c r="B155" s="463"/>
      <c r="C155" s="463"/>
      <c r="D155" s="463"/>
      <c r="E155" s="447" t="s">
        <v>740</v>
      </c>
      <c r="F155" s="437"/>
      <c r="G155" s="437"/>
      <c r="H155" s="439"/>
      <c r="K155" s="397"/>
      <c r="L155" s="401"/>
      <c r="M155" s="397"/>
      <c r="P155" s="404"/>
      <c r="R155" s="404"/>
      <c r="T155" s="404"/>
      <c r="V155" s="404"/>
      <c r="X155" s="404"/>
    </row>
    <row r="156" spans="2:24" s="238" customFormat="1" ht="18.75" hidden="1" customHeight="1">
      <c r="B156" s="463"/>
      <c r="C156" s="463"/>
      <c r="D156" s="463"/>
      <c r="E156" s="447" t="s">
        <v>741</v>
      </c>
      <c r="F156" s="437"/>
      <c r="G156" s="437"/>
      <c r="H156" s="439"/>
      <c r="K156" s="402"/>
      <c r="L156" s="403"/>
      <c r="M156" s="402">
        <f>M163</f>
        <v>0</v>
      </c>
      <c r="P156" s="404"/>
      <c r="R156" s="404"/>
      <c r="T156" s="404"/>
      <c r="V156" s="404"/>
      <c r="X156" s="404"/>
    </row>
    <row r="157" spans="2:24" s="238" customFormat="1" ht="19.5" hidden="1" customHeight="1">
      <c r="B157" s="463"/>
      <c r="C157" s="463"/>
      <c r="D157" s="463"/>
      <c r="E157" s="455" t="s">
        <v>742</v>
      </c>
      <c r="F157" s="437"/>
      <c r="G157" s="437"/>
      <c r="H157" s="439"/>
      <c r="K157" s="397"/>
      <c r="L157" s="401"/>
      <c r="M157" s="397"/>
      <c r="P157" s="404"/>
      <c r="R157" s="404"/>
      <c r="T157" s="404"/>
      <c r="V157" s="404"/>
      <c r="X157" s="404"/>
    </row>
    <row r="158" spans="2:24" s="238" customFormat="1" ht="18.75" hidden="1" customHeight="1">
      <c r="B158" s="463"/>
      <c r="C158" s="463"/>
      <c r="D158" s="463"/>
      <c r="E158" s="449" t="s">
        <v>747</v>
      </c>
      <c r="F158" s="437"/>
      <c r="G158" s="437"/>
      <c r="H158" s="439"/>
      <c r="K158" s="402"/>
      <c r="L158" s="403"/>
      <c r="M158" s="402">
        <f>M165</f>
        <v>0</v>
      </c>
      <c r="P158" s="404"/>
      <c r="R158" s="404"/>
      <c r="T158" s="404"/>
      <c r="V158" s="404"/>
      <c r="X158" s="404"/>
    </row>
    <row r="159" spans="2:24" s="238" customFormat="1" ht="18.75" hidden="1" customHeight="1">
      <c r="B159" s="463"/>
      <c r="C159" s="463"/>
      <c r="D159" s="463"/>
      <c r="E159" s="449" t="s">
        <v>748</v>
      </c>
      <c r="F159" s="437"/>
      <c r="G159" s="437"/>
      <c r="H159" s="439"/>
      <c r="K159" s="397"/>
      <c r="L159" s="401"/>
      <c r="M159" s="397"/>
      <c r="P159" s="404"/>
      <c r="R159" s="404"/>
      <c r="T159" s="404"/>
      <c r="V159" s="404"/>
      <c r="X159" s="404"/>
    </row>
    <row r="160" spans="2:24" s="238" customFormat="1" ht="19.5" hidden="1" customHeight="1">
      <c r="B160" s="463"/>
      <c r="C160" s="463"/>
      <c r="D160" s="463"/>
      <c r="E160" s="450" t="s">
        <v>749</v>
      </c>
      <c r="F160" s="437"/>
      <c r="G160" s="437"/>
      <c r="H160" s="439"/>
      <c r="K160" s="402"/>
      <c r="L160" s="403"/>
      <c r="M160" s="402">
        <f>M167</f>
        <v>0</v>
      </c>
      <c r="P160" s="404"/>
      <c r="R160" s="404"/>
      <c r="T160" s="404"/>
      <c r="V160" s="404"/>
      <c r="X160" s="404"/>
    </row>
    <row r="161" spans="2:23" s="238" customFormat="1" ht="15.75">
      <c r="B161" s="463"/>
      <c r="C161" s="463"/>
      <c r="D161" s="463"/>
      <c r="E161" s="438"/>
      <c r="F161" s="437"/>
      <c r="G161" s="437"/>
      <c r="H161" s="439"/>
      <c r="K161" s="397"/>
      <c r="L161" s="401"/>
      <c r="M161" s="397"/>
      <c r="O161" s="393"/>
      <c r="Q161" s="393"/>
      <c r="S161" s="393"/>
      <c r="U161" s="393"/>
      <c r="W161" s="393"/>
    </row>
    <row r="163" spans="2:23">
      <c r="K163" s="405"/>
      <c r="M163" s="405"/>
    </row>
    <row r="165" spans="2:23">
      <c r="K165" s="405"/>
      <c r="M165" s="405"/>
    </row>
    <row r="167" spans="2:23">
      <c r="K167" s="405"/>
      <c r="M167" s="405"/>
    </row>
  </sheetData>
  <mergeCells count="10">
    <mergeCell ref="L3:M3"/>
    <mergeCell ref="F10:I10"/>
    <mergeCell ref="R5:S5"/>
    <mergeCell ref="P5:Q5"/>
    <mergeCell ref="E5:E9"/>
    <mergeCell ref="Z10:AB10"/>
    <mergeCell ref="K10:M10"/>
    <mergeCell ref="O10:X10"/>
    <mergeCell ref="L7:M7"/>
    <mergeCell ref="L5:M5"/>
  </mergeCells>
  <conditionalFormatting sqref="M14 M62 M82 M96 M60 M84 M68 M47 M33">
    <cfRule type="expression" dxfId="49" priority="520">
      <formula>M14&lt;&gt;L14</formula>
    </cfRule>
  </conditionalFormatting>
  <conditionalFormatting sqref="Y33:AB33 Y47:AB47 Y62:AB62 Y68:AB68 Y84:AB84 Y96:AB96 Y101:AB101 Y104:AB104 Y107:AB107 Y38:AB38 Y43:AB43 Y16:AB16 F62:K62 F101:J101 F104:J104 F107:J107 F38:J38 F43:J43 F16:K16 F68:K68 F47:K47 F33:K33 F84:K84 F96:K96">
    <cfRule type="expression" dxfId="48" priority="159">
      <formula>F16&lt;&gt;#REF!</formula>
    </cfRule>
  </conditionalFormatting>
  <conditionalFormatting sqref="O33:X33 O47:X47 O62:X62 O68:X68 O84:X84 O96:X96 O101:X101 O104:X104 O107:X107 O38:X38 O43:X43 O16:X16">
    <cfRule type="expression" dxfId="47" priority="157">
      <formula>O16&lt;&gt;N16</formula>
    </cfRule>
  </conditionalFormatting>
  <conditionalFormatting sqref="M16">
    <cfRule type="expression" dxfId="46" priority="131">
      <formula>M16&lt;&gt;L16</formula>
    </cfRule>
  </conditionalFormatting>
  <conditionalFormatting sqref="L39:L41">
    <cfRule type="expression" dxfId="45" priority="119">
      <formula>AND(L39&lt;&gt;"",#REF!="",OR(COLUMN(L39)=COLUMN(#REF!),COLUMN(L39)=COLUMN(#REF!)))</formula>
    </cfRule>
  </conditionalFormatting>
  <conditionalFormatting sqref="L63:L66">
    <cfRule type="expression" dxfId="44" priority="109">
      <formula>AND(L63&lt;&gt;"",#REF!="",OR(COLUMN(L63)=COLUMN(#REF!),COLUMN(L63)=COLUMN(#REF!)))</formula>
    </cfRule>
  </conditionalFormatting>
  <conditionalFormatting sqref="N33 N47 N62 N68 N84 N96 N101 N104 N107 N38 N43 N16">
    <cfRule type="expression" dxfId="43" priority="78">
      <formula>N16&lt;&gt;#REF!</formula>
    </cfRule>
  </conditionalFormatting>
  <conditionalFormatting sqref="L44:L45">
    <cfRule type="expression" dxfId="42" priority="76">
      <formula>AND(L44&lt;&gt;"",#REF!="",OR(COLUMN(L44)=COLUMN(#REF!),COLUMN(L44)=COLUMN(#REF!)))</formula>
    </cfRule>
  </conditionalFormatting>
  <conditionalFormatting sqref="L54:L55">
    <cfRule type="expression" dxfId="41" priority="70">
      <formula>AND(L54&lt;&gt;"",#REF!="",OR(COLUMN(L54)=COLUMN(#REF!),COLUMN(L54)=COLUMN(#REF!)))</formula>
    </cfRule>
  </conditionalFormatting>
  <conditionalFormatting sqref="L58">
    <cfRule type="expression" dxfId="40" priority="68">
      <formula>AND(L58&lt;&gt;"",#REF!="",OR(COLUMN(L58)=COLUMN(#REF!),COLUMN(L58)=COLUMN(#REF!)))</formula>
    </cfRule>
  </conditionalFormatting>
  <conditionalFormatting sqref="L74">
    <cfRule type="expression" dxfId="39" priority="64">
      <formula>AND(L74&lt;&gt;"",#REF!="",OR(COLUMN(L74)=COLUMN(#REF!),COLUMN(L74)=COLUMN(#REF!)))</formula>
    </cfRule>
  </conditionalFormatting>
  <conditionalFormatting sqref="L77">
    <cfRule type="expression" dxfId="38" priority="62">
      <formula>AND(L77&lt;&gt;"",#REF!="",OR(COLUMN(L77)=COLUMN(#REF!),COLUMN(L77)=COLUMN(#REF!)))</formula>
    </cfRule>
  </conditionalFormatting>
  <conditionalFormatting sqref="L80">
    <cfRule type="expression" dxfId="37" priority="60">
      <formula>AND(L80&lt;&gt;"",#REF!="",OR(COLUMN(L80)=COLUMN(#REF!),COLUMN(L80)=COLUMN(#REF!)))</formula>
    </cfRule>
  </conditionalFormatting>
  <conditionalFormatting sqref="L90:L91 E17:E31">
    <cfRule type="expression" dxfId="36" priority="56">
      <formula>AND(E17&lt;&gt;"",#REF!="",OR(COLUMN(E17)=COLUMN(#REF!),COLUMN(E17)=COLUMN(#REF!)))</formula>
    </cfRule>
  </conditionalFormatting>
  <conditionalFormatting sqref="L94">
    <cfRule type="expression" dxfId="35" priority="54">
      <formula>AND(L94&lt;&gt;"",#REF!="",OR(COLUMN(L94)=COLUMN(#REF!),COLUMN(L94)=COLUMN(#REF!)))</formula>
    </cfRule>
  </conditionalFormatting>
  <conditionalFormatting sqref="L102">
    <cfRule type="expression" dxfId="34" priority="50">
      <formula>AND(L102&lt;&gt;"",#REF!="",OR(COLUMN(L102)=COLUMN(#REF!),COLUMN(L102)=COLUMN(#REF!)))</formula>
    </cfRule>
  </conditionalFormatting>
  <conditionalFormatting sqref="L105">
    <cfRule type="expression" dxfId="33" priority="48">
      <formula>AND(L105&lt;&gt;"",#REF!="",OR(COLUMN(L105)=COLUMN(#REF!),COLUMN(L105)=COLUMN(#REF!)))</formula>
    </cfRule>
  </conditionalFormatting>
  <conditionalFormatting sqref="L108 L111">
    <cfRule type="expression" dxfId="32" priority="46">
      <formula>AND(L108&lt;&gt;"",#REF!="",OR(COLUMN(L108)=COLUMN(#REF!),COLUMN(L108)=COLUMN(#REF!)))</formula>
    </cfRule>
  </conditionalFormatting>
  <conditionalFormatting sqref="Y35:AB35 F35:J35">
    <cfRule type="expression" dxfId="31" priority="44">
      <formula>F35&lt;&gt;#REF!</formula>
    </cfRule>
  </conditionalFormatting>
  <conditionalFormatting sqref="O35:X35">
    <cfRule type="expression" dxfId="30" priority="43">
      <formula>O35&lt;&gt;N35</formula>
    </cfRule>
  </conditionalFormatting>
  <conditionalFormatting sqref="N35">
    <cfRule type="expression" dxfId="29" priority="41">
      <formula>N35&lt;&gt;#REF!</formula>
    </cfRule>
  </conditionalFormatting>
  <conditionalFormatting sqref="L71">
    <cfRule type="expression" dxfId="28" priority="39">
      <formula>AND(L71&lt;&gt;"",#REF!="",OR(COLUMN(L71)=COLUMN(#REF!),COLUMN(L71)=COLUMN(#REF!)))</formula>
    </cfRule>
  </conditionalFormatting>
  <conditionalFormatting sqref="L87">
    <cfRule type="expression" dxfId="27" priority="37">
      <formula>AND(L87&lt;&gt;"",#REF!="",OR(COLUMN(L87)=COLUMN(#REF!),COLUMN(L87)=COLUMN(#REF!)))</formula>
    </cfRule>
  </conditionalFormatting>
  <conditionalFormatting sqref="Y98:AB98 F98:J98">
    <cfRule type="expression" dxfId="26" priority="35">
      <formula>F98&lt;&gt;#REF!</formula>
    </cfRule>
  </conditionalFormatting>
  <conditionalFormatting sqref="O98:X98">
    <cfRule type="expression" dxfId="25" priority="34">
      <formula>O98&lt;&gt;N98</formula>
    </cfRule>
  </conditionalFormatting>
  <conditionalFormatting sqref="N98">
    <cfRule type="expression" dxfId="24" priority="33">
      <formula>N98&lt;&gt;#REF!</formula>
    </cfRule>
  </conditionalFormatting>
  <conditionalFormatting sqref="L99">
    <cfRule type="expression" dxfId="23" priority="32">
      <formula>AND(L99&lt;&gt;"",#REF!="",OR(COLUMN(L99)=COLUMN(#REF!),COLUMN(L99)=COLUMN(#REF!)))</formula>
    </cfRule>
  </conditionalFormatting>
  <conditionalFormatting sqref="L50:L51">
    <cfRule type="expression" dxfId="22" priority="30">
      <formula>AND(L50&lt;&gt;"",#REF!="",OR(COLUMN(L50)=COLUMN(#REF!),COLUMN(L50)=COLUMN(#REF!)))</formula>
    </cfRule>
  </conditionalFormatting>
  <conditionalFormatting sqref="E39:E41 L17:L31">
    <cfRule type="expression" dxfId="21" priority="26">
      <formula>AND(E17&lt;&gt;"",#REF!="",OR(COLUMN(E17)=COLUMN(#REF!),COLUMN(E17)=COLUMN(#REF!)))</formula>
    </cfRule>
  </conditionalFormatting>
  <conditionalFormatting sqref="E44:E45">
    <cfRule type="expression" dxfId="20" priority="25">
      <formula>AND(E44&lt;&gt;"",#REF!="",OR(COLUMN(E44)=COLUMN(#REF!),COLUMN(E44)=COLUMN(#REF!)))</formula>
    </cfRule>
  </conditionalFormatting>
  <conditionalFormatting sqref="E50:E51">
    <cfRule type="expression" dxfId="19" priority="24">
      <formula>AND(E50&lt;&gt;"",#REF!="",OR(COLUMN(E50)=COLUMN(#REF!),COLUMN(E50)=COLUMN(#REF!)))</formula>
    </cfRule>
  </conditionalFormatting>
  <conditionalFormatting sqref="E54:E55">
    <cfRule type="expression" dxfId="18" priority="23">
      <formula>AND(E54&lt;&gt;"",#REF!="",OR(COLUMN(E54)=COLUMN(#REF!),COLUMN(E54)=COLUMN(#REF!)))</formula>
    </cfRule>
  </conditionalFormatting>
  <conditionalFormatting sqref="E58">
    <cfRule type="expression" dxfId="17" priority="22">
      <formula>AND(E58&lt;&gt;"",#REF!="",OR(COLUMN(E58)=COLUMN(#REF!),COLUMN(E58)=COLUMN(#REF!)))</formula>
    </cfRule>
  </conditionalFormatting>
  <conditionalFormatting sqref="E63:E66">
    <cfRule type="expression" dxfId="16" priority="21">
      <formula>AND(E63&lt;&gt;"",#REF!="",OR(COLUMN(E63)=COLUMN(#REF!),COLUMN(E63)=COLUMN(#REF!)))</formula>
    </cfRule>
  </conditionalFormatting>
  <conditionalFormatting sqref="E71">
    <cfRule type="expression" dxfId="15" priority="20">
      <formula>AND(E71&lt;&gt;"",#REF!="",OR(COLUMN(E71)=COLUMN(#REF!),COLUMN(E71)=COLUMN(#REF!)))</formula>
    </cfRule>
  </conditionalFormatting>
  <conditionalFormatting sqref="E74">
    <cfRule type="expression" dxfId="14" priority="19">
      <formula>AND(E74&lt;&gt;"",#REF!="",OR(COLUMN(E74)=COLUMN(#REF!),COLUMN(E74)=COLUMN(#REF!)))</formula>
    </cfRule>
  </conditionalFormatting>
  <conditionalFormatting sqref="E77">
    <cfRule type="expression" dxfId="13" priority="18">
      <formula>AND(E77&lt;&gt;"",#REF!="",OR(COLUMN(E77)=COLUMN(#REF!),COLUMN(E77)=COLUMN(#REF!)))</formula>
    </cfRule>
  </conditionalFormatting>
  <conditionalFormatting sqref="E80">
    <cfRule type="expression" dxfId="12" priority="17">
      <formula>AND(E80&lt;&gt;"",#REF!="",OR(COLUMN(E80)=COLUMN(#REF!),COLUMN(E80)=COLUMN(#REF!)))</formula>
    </cfRule>
  </conditionalFormatting>
  <conditionalFormatting sqref="E87">
    <cfRule type="expression" dxfId="11" priority="16">
      <formula>AND(E87&lt;&gt;"",#REF!="",OR(COLUMN(E87)=COLUMN(#REF!),COLUMN(E87)=COLUMN(#REF!)))</formula>
    </cfRule>
  </conditionalFormatting>
  <conditionalFormatting sqref="E90:E91">
    <cfRule type="expression" dxfId="10" priority="15">
      <formula>AND(E90&lt;&gt;"",#REF!="",OR(COLUMN(E90)=COLUMN(#REF!),COLUMN(E90)=COLUMN(#REF!)))</formula>
    </cfRule>
  </conditionalFormatting>
  <conditionalFormatting sqref="E99">
    <cfRule type="expression" dxfId="9" priority="12">
      <formula>AND(E99&lt;&gt;"",#REF!="",OR(COLUMN(E99)=COLUMN(#REF!),COLUMN(E99)=COLUMN(#REF!)))</formula>
    </cfRule>
  </conditionalFormatting>
  <conditionalFormatting sqref="E94">
    <cfRule type="expression" dxfId="8" priority="11">
      <formula>AND(E94&lt;&gt;"",#REF!="",OR(COLUMN(E94)=COLUMN(#REF!),COLUMN(E94)=COLUMN(#REF!)))</formula>
    </cfRule>
  </conditionalFormatting>
  <conditionalFormatting sqref="E102">
    <cfRule type="expression" dxfId="7" priority="10">
      <formula>AND(E102&lt;&gt;"",#REF!="",OR(COLUMN(E102)=COLUMN(#REF!),COLUMN(E102)=COLUMN(#REF!)))</formula>
    </cfRule>
  </conditionalFormatting>
  <conditionalFormatting sqref="E105">
    <cfRule type="expression" dxfId="6" priority="9">
      <formula>AND(E105&lt;&gt;"",#REF!="",OR(COLUMN(E105)=COLUMN(#REF!),COLUMN(E105)=COLUMN(#REF!)))</formula>
    </cfRule>
  </conditionalFormatting>
  <conditionalFormatting sqref="E108 E111">
    <cfRule type="expression" dxfId="5" priority="8">
      <formula>AND(E108&lt;&gt;"",#REF!="",OR(COLUMN(E108)=COLUMN(#REF!),COLUMN(E108)=COLUMN(#REF!)))</formula>
    </cfRule>
  </conditionalFormatting>
  <conditionalFormatting sqref="Y110:AB110 F110:J110">
    <cfRule type="expression" dxfId="4" priority="7">
      <formula>F110&lt;&gt;#REF!</formula>
    </cfRule>
  </conditionalFormatting>
  <conditionalFormatting sqref="O110:X110">
    <cfRule type="expression" dxfId="3" priority="6">
      <formula>O110&lt;&gt;N110</formula>
    </cfRule>
  </conditionalFormatting>
  <conditionalFormatting sqref="N110">
    <cfRule type="expression" dxfId="2" priority="5">
      <formula>N110&lt;&gt;#REF!</formula>
    </cfRule>
  </conditionalFormatting>
  <conditionalFormatting sqref="L36">
    <cfRule type="expression" dxfId="1" priority="4">
      <formula>AND(L36&lt;&gt;"",#REF!="",OR(COLUMN(L36)=COLUMN(#REF!),COLUMN(L36)=COLUMN(#REF!)))</formula>
    </cfRule>
  </conditionalFormatting>
  <conditionalFormatting sqref="E36">
    <cfRule type="expression" dxfId="0" priority="3">
      <formula>AND(E36&lt;&gt;"",#REF!="",OR(COLUMN(E36)=COLUMN(#REF!),COLUMN(E36)=COLUMN(#REF!)))</formula>
    </cfRule>
  </conditionalFormatting>
  <dataValidations count="22">
    <dataValidation type="list" allowBlank="1" showInputMessage="1" showErrorMessage="1" sqref="L5" xr:uid="{F166C909-700F-FB49-8211-46B7DED0FA38}">
      <formula1>"Perfil 1,Perfil 2,Perfil 3,Perfil 4,Perfil 5"</formula1>
    </dataValidation>
    <dataValidation type="list" allowBlank="1" showInputMessage="1" showErrorMessage="1" sqref="Z74 Z54:Z55 Z102 Z113 Z111 Z80 Z99 Z50:Z51 Z63:Z66 Z58 Z39:Z41 Z36 Z77 Z71 Z44:Z45 Z87 Z94 Z105 Z108 Z90:Z91 Z17:Z31" xr:uid="{591F4A6E-F0F5-CE4F-8774-469027323E33}">
      <formula1>"CDI,Ibovespa,IHFA,IPCA,IMAB,IMAB 5,Taxa Pré"</formula1>
    </dataValidation>
    <dataValidation type="list" allowBlank="1" showInputMessage="1" showErrorMessage="1" sqref="R5:S5" xr:uid="{7CBA655E-38C4-460C-A24B-F49D10D9216C}">
      <formula1>strategies</formula1>
    </dataValidation>
    <dataValidation type="list" allowBlank="1" showInputMessage="1" sqref="E39:E41" xr:uid="{BC67E66F-2BB0-4E98-99FA-4C9ADE5569F8}">
      <formula1>Inflação_Média</formula1>
    </dataValidation>
    <dataValidation type="list" allowBlank="1" showInputMessage="1" sqref="E44:E45" xr:uid="{726CD9A6-5082-4CAE-9D4D-730B3703249B}">
      <formula1>Inflação_Longa</formula1>
    </dataValidation>
    <dataValidation type="list" allowBlank="1" showInputMessage="1" sqref="E50:E51" xr:uid="{BCC55D01-30D1-4204-A8A7-FBEDE6D35EC2}">
      <formula1>Pré_Curta</formula1>
    </dataValidation>
    <dataValidation type="list" allowBlank="1" showInputMessage="1" sqref="E54:E55" xr:uid="{E3981BFE-E6B4-4526-8B36-9E3B44B899FA}">
      <formula1>Pré_Média</formula1>
    </dataValidation>
    <dataValidation type="list" allowBlank="1" showInputMessage="1" sqref="E58" xr:uid="{7B1D3750-A3C9-4E39-A099-DAD9F2C0777A}">
      <formula1>Pré_Longa</formula1>
    </dataValidation>
    <dataValidation type="list" allowBlank="1" showInputMessage="1" sqref="E63:E66" xr:uid="{600DE8EA-2357-4E10-A744-6AF2163956F2}">
      <formula1>Macro</formula1>
    </dataValidation>
    <dataValidation type="list" allowBlank="1" showInputMessage="1" sqref="E71" xr:uid="{C448090B-A503-4943-A7EF-CA609E894FA2}">
      <formula1>Quant</formula1>
    </dataValidation>
    <dataValidation type="list" allowBlank="1" showInputMessage="1" sqref="E74" xr:uid="{D322C699-4AD3-4505-B0B7-B8951197EDFE}">
      <formula1>Long_Short</formula1>
    </dataValidation>
    <dataValidation type="list" allowBlank="1" showInputMessage="1" sqref="E77" xr:uid="{2D023342-CB02-411C-867E-6E7E67365CF6}">
      <formula1>Multiestratégia</formula1>
    </dataValidation>
    <dataValidation type="list" allowBlank="1" showInputMessage="1" sqref="E80" xr:uid="{384772E1-8D0F-47CF-B084-44D7EABAC7BB}">
      <formula1>Arbitragem</formula1>
    </dataValidation>
    <dataValidation type="list" allowBlank="1" showInputMessage="1" sqref="E87" xr:uid="{70C16731-EE89-4D0A-BB5F-D30FEDD1817C}">
      <formula1>Long_Only</formula1>
    </dataValidation>
    <dataValidation type="list" allowBlank="1" showInputMessage="1" sqref="E90:E91" xr:uid="{6F1A2E25-BBAA-4EAB-B7B8-53A01DB660CD}">
      <formula1>Long_Bias</formula1>
    </dataValidation>
    <dataValidation type="list" allowBlank="1" showInputMessage="1" sqref="E94" xr:uid="{46BC8C5C-35FB-4C2C-B476-E311ED6473D5}">
      <formula1>Alternativos</formula1>
    </dataValidation>
    <dataValidation type="list" allowBlank="1" showInputMessage="1" sqref="E99" xr:uid="{ECB9FC07-EF12-4D26-9B42-0AABE066163E}">
      <formula1>EUA</formula1>
    </dataValidation>
    <dataValidation type="list" allowBlank="1" showInputMessage="1" showErrorMessage="1" sqref="E102" xr:uid="{A182A324-B4B5-4A52-8020-4FDAF4A537F0}">
      <formula1>China</formula1>
    </dataValidation>
    <dataValidation type="list" allowBlank="1" showInputMessage="1" showErrorMessage="1" sqref="E105" xr:uid="{547DB14C-9EF8-4A3B-A713-B5884276156E}">
      <formula1>Europa</formula1>
    </dataValidation>
    <dataValidation type="list" allowBlank="1" showInputMessage="1" showErrorMessage="1" sqref="E108 E111" xr:uid="{20883D3A-05D8-4AD8-BDC3-51E626DA41D0}">
      <formula1>Global</formula1>
    </dataValidation>
    <dataValidation type="list" allowBlank="1" showInputMessage="1" sqref="E36" xr:uid="{847CAB1B-4A7D-4E07-B5D1-6C7E4EFAE4AE}">
      <formula1>Inflação_Curta</formula1>
    </dataValidation>
    <dataValidation type="list" allowBlank="1" showInputMessage="1" sqref="E17:E31" xr:uid="{40E30E5E-686D-47E4-B297-78DE338090C5}">
      <formula1>Pós_fixado</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9725B-3237-5B44-8967-4A72B29CCD05}">
  <sheetPr codeName="Sheet8">
    <tabColor rgb="FFFAB47A"/>
  </sheetPr>
  <dimension ref="A1:O111"/>
  <sheetViews>
    <sheetView showGridLines="0" view="pageLayout" topLeftCell="A40" zoomScale="129" zoomScaleNormal="100" zoomScalePageLayoutView="129" workbookViewId="0">
      <selection activeCell="B38" sqref="B38"/>
    </sheetView>
  </sheetViews>
  <sheetFormatPr defaultColWidth="10.69921875" defaultRowHeight="21.75"/>
  <cols>
    <col min="1" max="1" width="1.59765625" style="78" customWidth="1"/>
    <col min="2" max="2" width="44.296875" style="78" customWidth="1"/>
    <col min="3" max="3" width="7.09765625" style="78" customWidth="1"/>
    <col min="4" max="4" width="13.09765625" style="78" customWidth="1"/>
    <col min="5" max="5" width="12.296875" style="78" customWidth="1"/>
    <col min="6" max="7" width="10.69921875" style="78"/>
    <col min="8" max="16384" width="10.69921875" style="7"/>
  </cols>
  <sheetData>
    <row r="1" spans="2:14" s="78" customFormat="1" ht="14.1" customHeight="1">
      <c r="C1" s="79"/>
      <c r="D1" s="80"/>
      <c r="E1" s="81">
        <f ca="1">TODAY()</f>
        <v>44812</v>
      </c>
    </row>
    <row r="2" spans="2:14" s="78" customFormat="1" ht="5.25" customHeight="1"/>
    <row r="3" spans="2:14" s="78" customFormat="1" ht="12.75">
      <c r="C3" s="82" t="str">
        <f>"Relationship Manager: "</f>
        <v xml:space="preserve">Relationship Manager: </v>
      </c>
      <c r="D3" s="82"/>
      <c r="E3" s="83" t="s">
        <v>938</v>
      </c>
    </row>
    <row r="4" spans="2:14" s="78" customFormat="1" ht="5.25" customHeight="1"/>
    <row r="5" spans="2:14" s="78" customFormat="1" ht="15" customHeight="1">
      <c r="C5" s="82" t="s">
        <v>756</v>
      </c>
      <c r="D5" s="82"/>
      <c r="E5" s="84" t="s">
        <v>985</v>
      </c>
    </row>
    <row r="6" spans="2:14" s="78" customFormat="1" ht="5.25" customHeight="1">
      <c r="B6" s="687" t="s">
        <v>939</v>
      </c>
      <c r="E6" s="79"/>
    </row>
    <row r="7" spans="2:14" s="78" customFormat="1" ht="15" customHeight="1">
      <c r="B7" s="687"/>
      <c r="C7" s="85" t="s">
        <v>757</v>
      </c>
      <c r="D7" s="82"/>
      <c r="E7" s="86">
        <v>1000000</v>
      </c>
    </row>
    <row r="8" spans="2:14" s="78" customFormat="1" ht="5.25" customHeight="1">
      <c r="D8" s="87"/>
      <c r="E8" s="87"/>
    </row>
    <row r="9" spans="2:14" s="78" customFormat="1" ht="15" customHeight="1">
      <c r="B9" s="88"/>
      <c r="C9" s="89" t="s">
        <v>16</v>
      </c>
      <c r="D9" s="90" t="s">
        <v>17</v>
      </c>
      <c r="E9" s="90" t="s">
        <v>18</v>
      </c>
      <c r="G9" s="120"/>
      <c r="H9" s="120"/>
      <c r="I9" s="120"/>
      <c r="J9" s="120"/>
      <c r="K9" s="120"/>
      <c r="L9" s="120"/>
      <c r="M9" s="120"/>
      <c r="N9" s="120"/>
    </row>
    <row r="10" spans="2:14" customFormat="1" ht="3.95" customHeight="1">
      <c r="B10" s="74"/>
      <c r="C10" s="74"/>
      <c r="D10" s="75"/>
      <c r="E10" s="74"/>
      <c r="F10" s="76"/>
      <c r="G10" s="74"/>
      <c r="H10" s="74"/>
      <c r="I10" s="74"/>
      <c r="J10" s="73"/>
      <c r="K10" s="75"/>
      <c r="L10" s="74"/>
      <c r="M10" s="74"/>
      <c r="N10" s="74"/>
    </row>
    <row r="11" spans="2:14" s="78" customFormat="1" ht="14.25" customHeight="1">
      <c r="B11" s="91" t="s">
        <v>19</v>
      </c>
      <c r="C11" s="92"/>
      <c r="D11" s="93">
        <v>0.70000000000000007</v>
      </c>
      <c r="E11" s="94">
        <v>700000</v>
      </c>
    </row>
    <row r="12" spans="2:14" customFormat="1" ht="6.95" customHeight="1">
      <c r="B12" s="74"/>
      <c r="C12" s="74"/>
      <c r="D12" s="75"/>
      <c r="E12" s="74"/>
      <c r="F12" s="76"/>
      <c r="G12" s="74"/>
      <c r="H12" s="74"/>
      <c r="I12" s="74"/>
      <c r="J12" s="73"/>
      <c r="K12" s="75"/>
      <c r="L12" s="74"/>
      <c r="M12" s="74"/>
      <c r="N12" s="74"/>
    </row>
    <row r="13" spans="2:14" s="78" customFormat="1" ht="12.95" customHeight="1">
      <c r="B13" s="95" t="s">
        <v>1893</v>
      </c>
      <c r="C13" s="96"/>
      <c r="D13" s="97">
        <v>0.3</v>
      </c>
      <c r="E13" s="98">
        <v>300000</v>
      </c>
    </row>
    <row r="14" spans="2:14" s="78" customFormat="1" ht="12.95" customHeight="1">
      <c r="B14" s="99" t="s">
        <v>41</v>
      </c>
      <c r="C14" s="100" t="s">
        <v>66</v>
      </c>
      <c r="D14" s="101">
        <v>0.21</v>
      </c>
      <c r="E14" s="102">
        <v>210000</v>
      </c>
    </row>
    <row r="15" spans="2:14" s="78" customFormat="1" ht="12.95" customHeight="1">
      <c r="B15" s="99" t="s">
        <v>145</v>
      </c>
      <c r="C15" s="100">
        <v>4</v>
      </c>
      <c r="D15" s="101">
        <v>0.05</v>
      </c>
      <c r="E15" s="102">
        <v>50000</v>
      </c>
    </row>
    <row r="16" spans="2:14" s="78" customFormat="1" ht="12.95" customHeight="1">
      <c r="B16" s="99" t="s">
        <v>164</v>
      </c>
      <c r="C16" s="100">
        <v>1</v>
      </c>
      <c r="D16" s="101">
        <v>0.04</v>
      </c>
      <c r="E16" s="102">
        <v>40000</v>
      </c>
    </row>
    <row r="17" spans="2:15" s="78" customFormat="1" ht="6.95" customHeight="1">
      <c r="B17" s="99"/>
      <c r="C17" s="100"/>
      <c r="D17" s="101"/>
      <c r="E17" s="102"/>
    </row>
    <row r="18" spans="2:15" s="78" customFormat="1" ht="12.95" customHeight="1">
      <c r="B18" s="95" t="s">
        <v>1890</v>
      </c>
      <c r="C18" s="96"/>
      <c r="D18" s="97">
        <v>0.11000000000000001</v>
      </c>
      <c r="E18" s="98">
        <v>110000</v>
      </c>
    </row>
    <row r="19" spans="2:15" s="78" customFormat="1" ht="12.95" customHeight="1">
      <c r="B19" s="99" t="s">
        <v>43</v>
      </c>
      <c r="C19" s="100">
        <v>92</v>
      </c>
      <c r="D19" s="101">
        <v>6.6000000000000003E-2</v>
      </c>
      <c r="E19" s="102">
        <v>66000</v>
      </c>
    </row>
    <row r="20" spans="2:15" s="78" customFormat="1" ht="12.95" customHeight="1">
      <c r="B20" s="99" t="s">
        <v>44</v>
      </c>
      <c r="C20" s="100" t="s">
        <v>66</v>
      </c>
      <c r="D20" s="101">
        <v>4.4000000000000004E-2</v>
      </c>
      <c r="E20" s="102">
        <v>44000.000000000007</v>
      </c>
    </row>
    <row r="21" spans="2:15" s="78" customFormat="1" ht="6.95" customHeight="1">
      <c r="B21" s="99"/>
      <c r="C21" s="100"/>
      <c r="D21" s="101"/>
      <c r="E21" s="102"/>
    </row>
    <row r="22" spans="2:15" s="78" customFormat="1" ht="12.95" customHeight="1">
      <c r="B22" s="95" t="s">
        <v>22</v>
      </c>
      <c r="C22" s="96"/>
      <c r="D22" s="97">
        <v>0.14000000000000001</v>
      </c>
      <c r="E22" s="98">
        <v>140000</v>
      </c>
    </row>
    <row r="23" spans="2:15" s="78" customFormat="1" ht="12.95" customHeight="1">
      <c r="B23" s="99" t="s">
        <v>934</v>
      </c>
      <c r="C23" s="100" t="s">
        <v>66</v>
      </c>
      <c r="D23" s="101">
        <v>0.14000000000000001</v>
      </c>
      <c r="E23" s="102">
        <v>140000</v>
      </c>
    </row>
    <row r="24" spans="2:15" s="78" customFormat="1" ht="6.95" customHeight="1">
      <c r="B24" s="99"/>
      <c r="C24" s="100"/>
      <c r="D24" s="101"/>
      <c r="E24" s="102"/>
    </row>
    <row r="25" spans="2:15" s="78" customFormat="1" ht="12.95" customHeight="1">
      <c r="B25" s="95" t="s">
        <v>23</v>
      </c>
      <c r="C25" s="96"/>
      <c r="D25" s="97">
        <v>0.13</v>
      </c>
      <c r="E25" s="98">
        <v>130000</v>
      </c>
    </row>
    <row r="26" spans="2:15" s="78" customFormat="1" ht="12.95" customHeight="1">
      <c r="B26" s="99" t="s">
        <v>935</v>
      </c>
      <c r="C26" s="100" t="s">
        <v>66</v>
      </c>
      <c r="D26" s="101">
        <v>0.13</v>
      </c>
      <c r="E26" s="102">
        <v>130000</v>
      </c>
    </row>
    <row r="27" spans="2:15" s="78" customFormat="1" ht="6.95" customHeight="1">
      <c r="B27" s="99"/>
      <c r="C27" s="100"/>
      <c r="D27" s="101"/>
      <c r="E27" s="102"/>
    </row>
    <row r="28" spans="2:15" s="78" customFormat="1" ht="12.95" customHeight="1">
      <c r="B28" s="95" t="s">
        <v>24</v>
      </c>
      <c r="C28" s="96"/>
      <c r="D28" s="97">
        <v>0.02</v>
      </c>
      <c r="E28" s="98">
        <v>20000</v>
      </c>
    </row>
    <row r="29" spans="2:15" s="78" customFormat="1" ht="12.95" customHeight="1">
      <c r="B29" s="99" t="s">
        <v>574</v>
      </c>
      <c r="C29" s="100">
        <v>6</v>
      </c>
      <c r="D29" s="101">
        <v>0.02</v>
      </c>
      <c r="E29" s="102">
        <v>20000</v>
      </c>
    </row>
    <row r="30" spans="2:15" customFormat="1" ht="6.95" customHeight="1">
      <c r="B30" s="74"/>
      <c r="C30" s="74"/>
      <c r="D30" s="75"/>
      <c r="E30" s="74"/>
      <c r="G30" s="76"/>
      <c r="H30" s="74"/>
      <c r="I30" s="74"/>
      <c r="J30" s="74"/>
      <c r="K30" s="73"/>
      <c r="L30" s="75"/>
      <c r="M30" s="74"/>
      <c r="N30" s="74"/>
      <c r="O30" s="74"/>
    </row>
    <row r="31" spans="2:15" s="78" customFormat="1" ht="14.25" customHeight="1">
      <c r="B31" s="91" t="s">
        <v>25</v>
      </c>
      <c r="C31" s="92"/>
      <c r="D31" s="93">
        <v>0.1</v>
      </c>
      <c r="E31" s="94">
        <v>100000</v>
      </c>
    </row>
    <row r="32" spans="2:15" s="78" customFormat="1" ht="6.95" customHeight="1">
      <c r="B32" s="103"/>
      <c r="C32" s="104"/>
      <c r="D32" s="105"/>
    </row>
    <row r="33" spans="2:15" s="78" customFormat="1" ht="12.95" customHeight="1">
      <c r="B33" s="95" t="s">
        <v>26</v>
      </c>
      <c r="C33" s="96"/>
      <c r="D33" s="97">
        <v>0.05</v>
      </c>
      <c r="E33" s="98">
        <v>50000</v>
      </c>
    </row>
    <row r="34" spans="2:15" s="78" customFormat="1" ht="12.95" customHeight="1">
      <c r="B34" s="99" t="s">
        <v>72</v>
      </c>
      <c r="C34" s="100">
        <v>32</v>
      </c>
      <c r="D34" s="101">
        <v>2.5000000000000001E-2</v>
      </c>
      <c r="E34" s="102">
        <v>25000</v>
      </c>
    </row>
    <row r="35" spans="2:15" s="78" customFormat="1" ht="12.95" customHeight="1">
      <c r="B35" s="99" t="s">
        <v>48</v>
      </c>
      <c r="C35" s="100">
        <v>31</v>
      </c>
      <c r="D35" s="101">
        <v>2.5000000000000001E-2</v>
      </c>
      <c r="E35" s="102">
        <v>25000</v>
      </c>
    </row>
    <row r="36" spans="2:15" s="78" customFormat="1" ht="6.95" customHeight="1">
      <c r="B36" s="99"/>
      <c r="C36" s="100"/>
      <c r="D36" s="101"/>
      <c r="E36" s="102"/>
    </row>
    <row r="37" spans="2:15" s="78" customFormat="1" ht="12.95" customHeight="1">
      <c r="B37" s="95" t="s">
        <v>27</v>
      </c>
      <c r="C37" s="96"/>
      <c r="D37" s="97">
        <v>0.05</v>
      </c>
      <c r="E37" s="98">
        <v>50000</v>
      </c>
    </row>
    <row r="38" spans="2:15" s="78" customFormat="1" ht="12.95" customHeight="1">
      <c r="B38" s="99" t="s">
        <v>433</v>
      </c>
      <c r="C38" s="100">
        <v>31</v>
      </c>
      <c r="D38" s="101">
        <v>2.5000000000000001E-2</v>
      </c>
      <c r="E38" s="102">
        <v>25000</v>
      </c>
    </row>
    <row r="39" spans="2:15" s="78" customFormat="1" ht="12.95" customHeight="1">
      <c r="B39" s="99" t="s">
        <v>758</v>
      </c>
      <c r="C39" s="100">
        <v>31</v>
      </c>
      <c r="D39" s="101">
        <v>2.5000000000000001E-2</v>
      </c>
      <c r="E39" s="102">
        <v>25000</v>
      </c>
    </row>
    <row r="40" spans="2:15" customFormat="1" ht="6.95" customHeight="1">
      <c r="B40" s="74"/>
      <c r="C40" s="74"/>
      <c r="D40" s="75"/>
      <c r="E40" s="74"/>
      <c r="G40" s="76"/>
      <c r="H40" s="74"/>
      <c r="I40" s="74"/>
      <c r="J40" s="74"/>
      <c r="K40" s="73"/>
      <c r="L40" s="75"/>
      <c r="M40" s="74"/>
      <c r="N40" s="74"/>
      <c r="O40" s="74"/>
    </row>
    <row r="41" spans="2:15" s="78" customFormat="1" ht="14.25" customHeight="1">
      <c r="B41" s="91" t="s">
        <v>28</v>
      </c>
      <c r="C41" s="92"/>
      <c r="D41" s="93">
        <v>0.14499999999999999</v>
      </c>
      <c r="E41" s="94">
        <v>145000</v>
      </c>
    </row>
    <row r="42" spans="2:15" s="78" customFormat="1" ht="6.95" customHeight="1">
      <c r="B42" s="106"/>
      <c r="C42" s="107"/>
      <c r="D42" s="108"/>
      <c r="E42" s="109"/>
    </row>
    <row r="43" spans="2:15" s="78" customFormat="1" ht="12.95" customHeight="1">
      <c r="B43" s="95" t="s">
        <v>29</v>
      </c>
      <c r="C43" s="96"/>
      <c r="D43" s="97">
        <v>7.4999999999999997E-2</v>
      </c>
      <c r="E43" s="98">
        <v>75000</v>
      </c>
    </row>
    <row r="44" spans="2:15" s="78" customFormat="1" ht="12.95" customHeight="1">
      <c r="B44" s="99" t="s">
        <v>80</v>
      </c>
      <c r="C44" s="100">
        <v>32</v>
      </c>
      <c r="D44" s="101">
        <v>3.7499999999999999E-2</v>
      </c>
      <c r="E44" s="102">
        <v>37500</v>
      </c>
    </row>
    <row r="45" spans="2:15" s="78" customFormat="1" ht="12.95" customHeight="1">
      <c r="B45" s="99" t="s">
        <v>78</v>
      </c>
      <c r="C45" s="100">
        <v>32</v>
      </c>
      <c r="D45" s="101">
        <v>3.7499999999999999E-2</v>
      </c>
      <c r="E45" s="102">
        <v>37500</v>
      </c>
    </row>
    <row r="46" spans="2:15" s="78" customFormat="1" ht="6.95" customHeight="1">
      <c r="B46" s="99"/>
      <c r="C46" s="100"/>
      <c r="D46" s="101"/>
    </row>
    <row r="47" spans="2:15" s="78" customFormat="1" ht="12.95" customHeight="1">
      <c r="B47" s="95" t="s">
        <v>30</v>
      </c>
      <c r="C47" s="96"/>
      <c r="D47" s="97">
        <v>0.03</v>
      </c>
      <c r="E47" s="98">
        <v>30000</v>
      </c>
    </row>
    <row r="48" spans="2:15" s="78" customFormat="1" ht="12.95" customHeight="1">
      <c r="B48" s="99" t="s">
        <v>83</v>
      </c>
      <c r="C48" s="100" t="s">
        <v>66</v>
      </c>
      <c r="D48" s="101">
        <v>0.03</v>
      </c>
      <c r="E48" s="102">
        <v>30000</v>
      </c>
    </row>
    <row r="49" spans="2:15" s="78" customFormat="1" ht="6.95" customHeight="1">
      <c r="B49" s="106"/>
      <c r="C49" s="107"/>
      <c r="D49" s="108"/>
      <c r="E49" s="109"/>
    </row>
    <row r="50" spans="2:15" s="78" customFormat="1" ht="12.95" customHeight="1">
      <c r="B50" s="95" t="s">
        <v>31</v>
      </c>
      <c r="C50" s="96"/>
      <c r="D50" s="97">
        <v>0.04</v>
      </c>
      <c r="E50" s="98">
        <v>40000</v>
      </c>
    </row>
    <row r="51" spans="2:15" s="78" customFormat="1" ht="12.95" customHeight="1">
      <c r="B51" s="99" t="s">
        <v>762</v>
      </c>
      <c r="C51" s="100" t="s">
        <v>66</v>
      </c>
      <c r="D51" s="101">
        <v>0.04</v>
      </c>
      <c r="E51" s="102">
        <v>40000</v>
      </c>
    </row>
    <row r="52" spans="2:15" s="78" customFormat="1" ht="12.95" customHeight="1">
      <c r="B52" s="99" t="s">
        <v>85</v>
      </c>
      <c r="C52" s="100">
        <v>7</v>
      </c>
      <c r="D52" s="101">
        <v>0</v>
      </c>
      <c r="E52" s="102">
        <v>0</v>
      </c>
    </row>
    <row r="53" spans="2:15" customFormat="1" ht="6.95" customHeight="1">
      <c r="B53" s="74"/>
      <c r="C53" s="74"/>
      <c r="D53" s="75"/>
      <c r="E53" s="74"/>
      <c r="G53" s="76"/>
      <c r="H53" s="74"/>
      <c r="I53" s="74"/>
      <c r="J53" s="74"/>
      <c r="K53" s="73"/>
      <c r="L53" s="75"/>
      <c r="M53" s="74"/>
      <c r="N53" s="74"/>
      <c r="O53" s="74"/>
    </row>
    <row r="54" spans="2:15" s="78" customFormat="1" ht="14.25" customHeight="1">
      <c r="B54" s="91" t="s">
        <v>32</v>
      </c>
      <c r="C54" s="92"/>
      <c r="D54" s="93">
        <v>5.5000000000000007E-2</v>
      </c>
      <c r="E54" s="94">
        <v>55000</v>
      </c>
    </row>
    <row r="55" spans="2:15" s="78" customFormat="1" ht="6.95" customHeight="1">
      <c r="B55" s="106"/>
      <c r="C55" s="107"/>
      <c r="D55" s="108"/>
    </row>
    <row r="56" spans="2:15" s="78" customFormat="1" ht="12.95" customHeight="1">
      <c r="B56" s="95" t="s">
        <v>33</v>
      </c>
      <c r="C56" s="96"/>
      <c r="D56" s="97">
        <v>0.02</v>
      </c>
      <c r="E56" s="98">
        <v>20000</v>
      </c>
    </row>
    <row r="57" spans="2:15" s="78" customFormat="1" ht="12.95" customHeight="1">
      <c r="B57" s="99" t="s">
        <v>936</v>
      </c>
      <c r="C57" s="100" t="s">
        <v>66</v>
      </c>
      <c r="D57" s="101">
        <v>0.02</v>
      </c>
      <c r="E57" s="102">
        <v>20000</v>
      </c>
    </row>
    <row r="58" spans="2:15" s="78" customFormat="1" ht="6.95" customHeight="1">
      <c r="B58" s="106"/>
      <c r="C58" s="110"/>
      <c r="D58" s="108"/>
      <c r="E58" s="109"/>
    </row>
    <row r="59" spans="2:15" s="78" customFormat="1" ht="12.95" customHeight="1">
      <c r="B59" s="95" t="s">
        <v>35</v>
      </c>
      <c r="C59" s="96"/>
      <c r="D59" s="97">
        <v>3.5000000000000003E-2</v>
      </c>
      <c r="E59" s="98">
        <v>35000</v>
      </c>
    </row>
    <row r="60" spans="2:15" s="78" customFormat="1" ht="12.95" customHeight="1">
      <c r="B60" s="99" t="s">
        <v>930</v>
      </c>
      <c r="C60" s="100" t="s">
        <v>66</v>
      </c>
      <c r="D60" s="101">
        <v>1.7500000000000002E-2</v>
      </c>
      <c r="E60" s="102">
        <v>17500</v>
      </c>
    </row>
    <row r="61" spans="2:15" s="78" customFormat="1" ht="12.95" customHeight="1">
      <c r="B61" s="99" t="s">
        <v>807</v>
      </c>
      <c r="C61" s="100">
        <v>6</v>
      </c>
      <c r="D61" s="101">
        <v>1.7500000000000002E-2</v>
      </c>
      <c r="E61" s="102">
        <v>17500</v>
      </c>
    </row>
    <row r="62" spans="2:15" customFormat="1" ht="6.95" customHeight="1">
      <c r="B62" s="74"/>
      <c r="C62" s="74"/>
      <c r="D62" s="75"/>
      <c r="E62" s="74"/>
      <c r="F62" s="76"/>
      <c r="G62" s="74"/>
      <c r="H62" s="74"/>
      <c r="I62" s="74"/>
      <c r="J62" s="73"/>
      <c r="K62" s="75"/>
      <c r="L62" s="74"/>
      <c r="M62" s="74"/>
      <c r="N62" s="74"/>
    </row>
    <row r="63" spans="2:15" s="78" customFormat="1" ht="12.95" customHeight="1">
      <c r="B63" s="111" t="s">
        <v>966</v>
      </c>
      <c r="C63" s="112">
        <v>1.7500000000000002E-2</v>
      </c>
      <c r="D63" s="113">
        <v>1</v>
      </c>
      <c r="E63" s="114">
        <v>1000000</v>
      </c>
    </row>
    <row r="64" spans="2:15" customFormat="1" ht="6.95" customHeight="1">
      <c r="B64" s="74"/>
      <c r="C64" s="74"/>
      <c r="D64" s="75"/>
      <c r="E64" s="74"/>
      <c r="F64" s="76"/>
      <c r="G64" s="74"/>
      <c r="H64" s="74"/>
      <c r="I64" s="74"/>
      <c r="J64" s="73"/>
      <c r="K64" s="75"/>
      <c r="L64" s="74"/>
      <c r="M64" s="74"/>
      <c r="N64" s="74"/>
    </row>
    <row r="65" spans="1:14" s="78" customFormat="1" ht="15" customHeight="1">
      <c r="B65" s="88"/>
      <c r="C65" s="89"/>
      <c r="D65" s="90"/>
      <c r="E65" s="90"/>
      <c r="G65" s="120"/>
      <c r="H65" s="120"/>
      <c r="I65" s="120"/>
      <c r="J65" s="120"/>
      <c r="K65" s="120"/>
      <c r="L65" s="120"/>
      <c r="M65" s="120"/>
      <c r="N65" s="120"/>
    </row>
    <row r="66" spans="1:14" s="78" customFormat="1" ht="12.75">
      <c r="E66" s="115"/>
    </row>
    <row r="67" spans="1:14" s="78" customFormat="1" ht="12.75">
      <c r="E67" s="115"/>
    </row>
    <row r="68" spans="1:14" s="78" customFormat="1" ht="12.75">
      <c r="E68" s="115"/>
    </row>
    <row r="69" spans="1:14" s="78" customFormat="1" ht="12.75">
      <c r="B69" s="103"/>
      <c r="C69" s="116"/>
      <c r="D69" s="117"/>
      <c r="E69" s="118"/>
    </row>
    <row r="70" spans="1:14" s="78" customFormat="1" ht="12.75">
      <c r="A70" s="103" t="s">
        <v>940</v>
      </c>
      <c r="B70" s="103" t="s">
        <v>19</v>
      </c>
      <c r="C70" s="116">
        <v>0.70000000000000007</v>
      </c>
      <c r="D70" s="117" cm="1">
        <f t="array" ref="D70">SUM(IF(IF($C$13:$C$62&lt;&gt;"",$C$13:$C$62)&lt;=2,$E$13:$E$62,0))</f>
        <v>40000</v>
      </c>
      <c r="E70" s="118">
        <f t="shared" ref="E70:E75" si="0">D70/MAX($D$69:$D$75)</f>
        <v>0.10854816824966079</v>
      </c>
    </row>
    <row r="71" spans="1:14" s="78" customFormat="1" ht="12.75">
      <c r="A71" s="103" t="s">
        <v>941</v>
      </c>
      <c r="B71" s="103" t="s">
        <v>25</v>
      </c>
      <c r="C71" s="116">
        <v>0.1</v>
      </c>
      <c r="D71" s="117" cm="1">
        <f t="array" ref="D71">SUM(IF(IF($C$13:$C$62&lt;&gt;"",$C$13:$C$62)&lt;=5,$E$13:$E$62,0))</f>
        <v>90000</v>
      </c>
      <c r="E71" s="118">
        <f t="shared" si="0"/>
        <v>0.24423337856173677</v>
      </c>
    </row>
    <row r="72" spans="1:14" s="78" customFormat="1" ht="12.75">
      <c r="A72" s="103" t="s">
        <v>942</v>
      </c>
      <c r="B72" s="103" t="s">
        <v>28</v>
      </c>
      <c r="C72" s="116">
        <v>0.14499999999999999</v>
      </c>
      <c r="D72" s="117" cm="1">
        <f t="array" ref="D72">SUM(IF(IF($C$13:$C$62&lt;&gt;"",$C$13:$C$62)&lt;=32,$E$13:$E$62,0))</f>
        <v>302500</v>
      </c>
      <c r="E72" s="118">
        <f t="shared" si="0"/>
        <v>0.82089552238805974</v>
      </c>
    </row>
    <row r="73" spans="1:14" s="78" customFormat="1" ht="12.75">
      <c r="A73" s="103" t="s">
        <v>943</v>
      </c>
      <c r="B73" s="103" t="s">
        <v>32</v>
      </c>
      <c r="C73" s="116">
        <v>5.5000000000000007E-2</v>
      </c>
      <c r="D73" s="117" cm="1">
        <f t="array" ref="D73">SUM(IF(IF($C$13:$C$62&lt;&gt;"",$C$13:$C$62)&lt;=62,$E$13:$E$62,0))</f>
        <v>302500</v>
      </c>
      <c r="E73" s="118">
        <f t="shared" si="0"/>
        <v>0.82089552238805974</v>
      </c>
    </row>
    <row r="74" spans="1:14" s="78" customFormat="1" ht="12.75">
      <c r="A74" s="103" t="s">
        <v>944</v>
      </c>
      <c r="B74" s="103"/>
      <c r="C74" s="116"/>
      <c r="D74" s="117" cm="1">
        <f t="array" ref="D74">SUM(IF(IF($C$13:$C$62&lt;&gt;"",$C$13:$C$62)&lt;=92,$E$13:$E$62,0))</f>
        <v>368500</v>
      </c>
      <c r="E74" s="118">
        <f t="shared" si="0"/>
        <v>1</v>
      </c>
    </row>
    <row r="75" spans="1:14" s="78" customFormat="1" ht="12.75">
      <c r="A75" s="103" t="s">
        <v>945</v>
      </c>
      <c r="B75" s="103"/>
      <c r="C75" s="116"/>
      <c r="D75" s="117" cm="1">
        <f t="array" ref="D75">SUM(IF(IF($C$13:$C$62&lt;&gt;"",$C$13:$C$62)&lt;=365,$E$13:$E$62,0))</f>
        <v>368500</v>
      </c>
      <c r="E75" s="118">
        <f t="shared" si="0"/>
        <v>1</v>
      </c>
    </row>
    <row r="76" spans="1:14" s="78" customFormat="1" ht="12.75">
      <c r="A76" s="103" t="s">
        <v>946</v>
      </c>
      <c r="B76" s="103"/>
      <c r="C76" s="116"/>
      <c r="D76" s="117">
        <f>$E$7</f>
        <v>1000000</v>
      </c>
      <c r="E76" s="115"/>
    </row>
    <row r="77" spans="1:14" s="78" customFormat="1" ht="12.75">
      <c r="A77" s="103" t="s">
        <v>947</v>
      </c>
      <c r="B77" s="103"/>
      <c r="C77" s="116"/>
      <c r="D77" s="117">
        <f>$E$7</f>
        <v>1000000</v>
      </c>
      <c r="E77" s="115"/>
    </row>
    <row r="78" spans="1:14" s="78" customFormat="1" ht="12.75">
      <c r="B78" s="103"/>
      <c r="C78" s="116"/>
      <c r="E78" s="115"/>
    </row>
    <row r="79" spans="1:14" s="78" customFormat="1" ht="12.75">
      <c r="B79" s="103"/>
      <c r="C79" s="116"/>
      <c r="E79" s="115"/>
    </row>
    <row r="80" spans="1:14" s="78" customFormat="1" ht="12.75">
      <c r="B80" s="103" t="s">
        <v>33</v>
      </c>
      <c r="C80" s="116">
        <v>0.02</v>
      </c>
    </row>
    <row r="81" spans="2:5" s="78" customFormat="1" ht="12.75">
      <c r="B81" s="103" t="s">
        <v>35</v>
      </c>
      <c r="C81" s="116">
        <v>3.5000000000000003E-2</v>
      </c>
    </row>
    <row r="82" spans="2:5" s="78" customFormat="1" ht="12.75">
      <c r="B82" s="103"/>
      <c r="C82" s="116"/>
    </row>
    <row r="83" spans="2:5" s="78" customFormat="1" ht="12.75">
      <c r="B83" s="103"/>
      <c r="C83" s="103"/>
    </row>
    <row r="84" spans="2:5" s="78" customFormat="1" ht="12.75">
      <c r="B84" s="103"/>
      <c r="C84" s="103"/>
    </row>
    <row r="85" spans="2:5">
      <c r="B85" s="103"/>
      <c r="C85" s="103"/>
    </row>
    <row r="86" spans="2:5">
      <c r="B86" s="103"/>
      <c r="C86" s="103"/>
    </row>
    <row r="87" spans="2:5">
      <c r="B87" s="103"/>
      <c r="C87" s="103"/>
    </row>
    <row r="94" spans="2:5" ht="15" customHeight="1">
      <c r="B94" s="686" t="s">
        <v>967</v>
      </c>
      <c r="C94" s="686"/>
      <c r="D94" s="686"/>
      <c r="E94" s="686"/>
    </row>
    <row r="95" spans="2:5">
      <c r="B95" s="686"/>
      <c r="C95" s="686"/>
      <c r="D95" s="686"/>
      <c r="E95" s="686"/>
    </row>
    <row r="96" spans="2:5">
      <c r="B96" s="686"/>
      <c r="C96" s="686"/>
      <c r="D96" s="686"/>
      <c r="E96" s="686"/>
    </row>
    <row r="97" spans="2:5">
      <c r="B97" s="686"/>
      <c r="C97" s="686"/>
      <c r="D97" s="686"/>
      <c r="E97" s="686"/>
    </row>
    <row r="98" spans="2:5">
      <c r="B98" s="686"/>
      <c r="C98" s="686"/>
      <c r="D98" s="686"/>
      <c r="E98" s="686"/>
    </row>
    <row r="99" spans="2:5">
      <c r="B99" s="686"/>
      <c r="C99" s="686"/>
      <c r="D99" s="686"/>
      <c r="E99" s="686"/>
    </row>
    <row r="100" spans="2:5">
      <c r="B100" s="686"/>
      <c r="C100" s="686"/>
      <c r="D100" s="686"/>
      <c r="E100" s="686"/>
    </row>
    <row r="101" spans="2:5">
      <c r="B101" s="686"/>
      <c r="C101" s="686"/>
      <c r="D101" s="686"/>
      <c r="E101" s="686"/>
    </row>
    <row r="102" spans="2:5">
      <c r="B102" s="686"/>
      <c r="C102" s="686"/>
      <c r="D102" s="686"/>
      <c r="E102" s="686"/>
    </row>
    <row r="103" spans="2:5">
      <c r="B103" s="686"/>
      <c r="C103" s="686"/>
      <c r="D103" s="686"/>
      <c r="E103" s="686"/>
    </row>
    <row r="104" spans="2:5">
      <c r="B104" s="119"/>
      <c r="C104" s="119"/>
      <c r="D104" s="119"/>
      <c r="E104" s="119"/>
    </row>
    <row r="105" spans="2:5">
      <c r="B105" s="119"/>
      <c r="C105" s="119"/>
      <c r="D105" s="119"/>
      <c r="E105" s="119"/>
    </row>
    <row r="106" spans="2:5">
      <c r="B106" s="119"/>
      <c r="C106" s="119"/>
      <c r="D106" s="119"/>
      <c r="E106" s="119"/>
    </row>
    <row r="107" spans="2:5">
      <c r="B107" s="119"/>
      <c r="C107" s="119"/>
      <c r="D107" s="119"/>
      <c r="E107" s="119"/>
    </row>
    <row r="108" spans="2:5">
      <c r="B108" s="119"/>
      <c r="C108" s="119"/>
      <c r="D108" s="119"/>
      <c r="E108" s="119"/>
    </row>
    <row r="109" spans="2:5">
      <c r="B109" s="119"/>
      <c r="C109" s="119"/>
      <c r="D109" s="119"/>
      <c r="E109" s="119"/>
    </row>
    <row r="110" spans="2:5">
      <c r="B110" s="119"/>
      <c r="C110" s="119"/>
      <c r="D110" s="119"/>
      <c r="E110" s="119"/>
    </row>
    <row r="111" spans="2:5">
      <c r="B111" s="119"/>
      <c r="C111" s="119"/>
      <c r="D111" s="119"/>
      <c r="E111" s="119"/>
    </row>
  </sheetData>
  <mergeCells count="2">
    <mergeCell ref="B94:E103"/>
    <mergeCell ref="B6:B7"/>
  </mergeCells>
  <dataValidations count="2">
    <dataValidation type="list" allowBlank="1" showInputMessage="1" showErrorMessage="1" sqref="B46" xr:uid="{B3B95DE3-50C8-EB4A-8D37-9EC26CF1020E}">
      <formula1>#REF!</formula1>
    </dataValidation>
    <dataValidation type="list" allowBlank="1" showInputMessage="1" showErrorMessage="1" sqref="B51:B52 B57 B14:B17 B19:B21 B23:B24 B26:B27 B29 B34:B36 B38:B39 B44:B45 B48 B60:B61" xr:uid="{ADE88485-80F2-A84E-93DD-5704B12161DB}">
      <formula1>#REF!</formula1>
    </dataValidation>
  </dataValidations>
  <pageMargins left="0.25" right="0.25" top="0.25" bottom="0.5" header="0.25" footer="0.3"/>
  <pageSetup paperSize="9" orientation="portrait" r:id="rId1"/>
  <rowBreaks count="1" manualBreakCount="1">
    <brk id="64" max="16383"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61"/>
  <sheetViews>
    <sheetView showGridLines="0" topLeftCell="O12" workbookViewId="0">
      <selection activeCell="AI26" sqref="AI26"/>
    </sheetView>
  </sheetViews>
  <sheetFormatPr defaultColWidth="8.8984375" defaultRowHeight="18.75"/>
  <cols>
    <col min="1" max="1" width="8.69921875" customWidth="1"/>
    <col min="2" max="2" width="11.3984375" style="236" customWidth="1"/>
    <col min="3" max="3" width="15.09765625" style="236" customWidth="1"/>
    <col min="4" max="4" width="13.3984375" style="236" customWidth="1"/>
    <col min="5" max="5" width="9.09765625" style="236" customWidth="1"/>
    <col min="6" max="6" width="11.3984375" style="236" customWidth="1"/>
    <col min="7" max="7" width="9.3984375" style="236" customWidth="1"/>
    <col min="8" max="8" width="9.296875" style="236" customWidth="1"/>
    <col min="9" max="9" width="8.8984375" style="236"/>
    <col min="10" max="10" width="10.3984375" style="236" customWidth="1"/>
    <col min="11" max="11" width="8.8984375" style="236"/>
    <col min="12" max="12" width="11.3984375" style="236" customWidth="1"/>
    <col min="13" max="13" width="13.59765625" style="236" customWidth="1"/>
    <col min="14" max="14" width="10" style="236" customWidth="1"/>
    <col min="15" max="15" width="9.19921875" style="236" customWidth="1"/>
    <col min="16" max="16" width="11.296875" style="236" customWidth="1"/>
    <col min="17" max="18" width="8.59765625" style="236" customWidth="1"/>
    <col min="19" max="19" width="8.8984375" style="236"/>
    <col min="20" max="20" width="8.3984375" style="236" customWidth="1"/>
    <col min="21" max="21" width="8.8984375" style="236"/>
    <col min="22" max="22" width="8.69921875" customWidth="1"/>
    <col min="23" max="23" width="11.296875" customWidth="1"/>
    <col min="24" max="26" width="8.69921875" customWidth="1"/>
    <col min="27" max="27" width="9.19921875" customWidth="1"/>
    <col min="28" max="33" width="8.69921875" customWidth="1"/>
    <col min="34" max="16384" width="8.8984375" style="236"/>
  </cols>
  <sheetData>
    <row r="1" spans="2:23" s="236" customFormat="1" ht="16.5" thickBot="1"/>
    <row r="2" spans="2:23" s="236" customFormat="1" ht="15.75">
      <c r="B2" s="229" t="s">
        <v>1054</v>
      </c>
      <c r="C2" s="230" t="s">
        <v>1003</v>
      </c>
      <c r="D2" s="231" t="s">
        <v>1004</v>
      </c>
      <c r="E2" s="230" t="s">
        <v>1055</v>
      </c>
      <c r="F2" s="230" t="s">
        <v>965</v>
      </c>
      <c r="G2" s="230" t="s">
        <v>1056</v>
      </c>
      <c r="H2" s="230" t="s">
        <v>1005</v>
      </c>
      <c r="I2" s="230" t="s">
        <v>15</v>
      </c>
      <c r="J2" s="232" t="s">
        <v>63</v>
      </c>
      <c r="L2" s="233" t="s">
        <v>1054</v>
      </c>
      <c r="M2" s="233" t="s">
        <v>1003</v>
      </c>
      <c r="N2" s="234" t="s">
        <v>1004</v>
      </c>
      <c r="O2" s="233" t="s">
        <v>1055</v>
      </c>
      <c r="P2" s="233" t="s">
        <v>965</v>
      </c>
      <c r="Q2" s="233" t="s">
        <v>1056</v>
      </c>
      <c r="R2" s="233" t="s">
        <v>1005</v>
      </c>
      <c r="S2" s="233" t="s">
        <v>15</v>
      </c>
      <c r="T2" s="233" t="s">
        <v>1006</v>
      </c>
    </row>
    <row r="3" spans="2:23" s="236" customFormat="1" ht="15.75">
      <c r="B3" s="235" t="s">
        <v>28</v>
      </c>
      <c r="C3" s="236" t="s">
        <v>950</v>
      </c>
      <c r="D3" s="236" t="s">
        <v>1820</v>
      </c>
      <c r="E3" s="236" t="s">
        <v>1113</v>
      </c>
      <c r="F3" s="236" t="s">
        <v>1842</v>
      </c>
      <c r="G3" s="236" t="s">
        <v>1822</v>
      </c>
      <c r="H3" s="236" t="s">
        <v>951</v>
      </c>
      <c r="I3" s="236" t="s">
        <v>87</v>
      </c>
      <c r="J3" s="252" t="s">
        <v>1078</v>
      </c>
      <c r="L3" s="253" t="s">
        <v>28</v>
      </c>
      <c r="M3" s="254" t="s">
        <v>950</v>
      </c>
      <c r="N3" s="255" t="s">
        <v>1820</v>
      </c>
      <c r="O3" s="255" t="s">
        <v>1113</v>
      </c>
      <c r="P3" s="255" t="s">
        <v>1821</v>
      </c>
      <c r="Q3" s="255" t="s">
        <v>66</v>
      </c>
      <c r="R3" s="256" t="s">
        <v>951</v>
      </c>
      <c r="S3" s="255" t="s">
        <v>87</v>
      </c>
      <c r="T3" s="257" t="s">
        <v>1823</v>
      </c>
    </row>
    <row r="4" spans="2:23" s="236" customFormat="1" ht="15.75">
      <c r="B4" s="235" t="s">
        <v>25</v>
      </c>
      <c r="C4" s="236" t="s">
        <v>957</v>
      </c>
      <c r="D4" s="236" t="s">
        <v>1038</v>
      </c>
      <c r="E4" s="236" t="s">
        <v>1259</v>
      </c>
      <c r="F4" s="236" t="s">
        <v>1259</v>
      </c>
      <c r="G4" s="236" t="s">
        <v>1794</v>
      </c>
      <c r="H4" s="236" t="s">
        <v>1040</v>
      </c>
      <c r="I4" s="236" t="s">
        <v>88</v>
      </c>
      <c r="J4" s="252" t="s">
        <v>1843</v>
      </c>
      <c r="L4" s="258"/>
      <c r="M4" s="259" t="s">
        <v>957</v>
      </c>
      <c r="N4" s="236" t="s">
        <v>1038</v>
      </c>
      <c r="O4" s="236" t="s">
        <v>1259</v>
      </c>
      <c r="P4" s="236" t="s">
        <v>1825</v>
      </c>
      <c r="R4" s="260" t="s">
        <v>952</v>
      </c>
      <c r="S4" s="236" t="s">
        <v>88</v>
      </c>
      <c r="T4" s="261" t="s">
        <v>1826</v>
      </c>
    </row>
    <row r="5" spans="2:23" s="236" customFormat="1" ht="15.75">
      <c r="B5" s="235" t="s">
        <v>19</v>
      </c>
      <c r="C5" s="236" t="s">
        <v>32</v>
      </c>
      <c r="D5" s="236" t="s">
        <v>1849</v>
      </c>
      <c r="E5" s="236" t="s">
        <v>1260</v>
      </c>
      <c r="F5" s="236" t="s">
        <v>1841</v>
      </c>
      <c r="G5" s="236" t="s">
        <v>66</v>
      </c>
      <c r="H5" s="236" t="s">
        <v>954</v>
      </c>
      <c r="I5" s="236" t="s">
        <v>1828</v>
      </c>
      <c r="J5" s="252" t="s">
        <v>1844</v>
      </c>
      <c r="L5" s="258"/>
      <c r="M5" s="259" t="s">
        <v>32</v>
      </c>
      <c r="N5" s="236" t="s">
        <v>953</v>
      </c>
      <c r="O5" s="236" t="s">
        <v>1260</v>
      </c>
      <c r="R5" s="260" t="s">
        <v>954</v>
      </c>
      <c r="S5" s="236" t="s">
        <v>1828</v>
      </c>
      <c r="T5" s="261" t="s">
        <v>1827</v>
      </c>
    </row>
    <row r="6" spans="2:23" s="236" customFormat="1" ht="15.75">
      <c r="B6" s="235"/>
      <c r="C6" s="236" t="s">
        <v>958</v>
      </c>
      <c r="D6" s="236" t="s">
        <v>1254</v>
      </c>
      <c r="E6" s="236" t="s">
        <v>66</v>
      </c>
      <c r="F6" s="236" t="s">
        <v>66</v>
      </c>
      <c r="H6" s="236" t="s">
        <v>955</v>
      </c>
      <c r="I6" s="236" t="s">
        <v>1095</v>
      </c>
      <c r="J6" s="252"/>
      <c r="L6" s="258"/>
      <c r="M6" s="259"/>
      <c r="N6" s="236" t="s">
        <v>1829</v>
      </c>
      <c r="R6" s="260" t="s">
        <v>955</v>
      </c>
      <c r="S6" s="236" t="s">
        <v>1095</v>
      </c>
      <c r="T6" s="261"/>
    </row>
    <row r="7" spans="2:23" s="236" customFormat="1" ht="15.75">
      <c r="B7" s="235"/>
      <c r="C7" s="236" t="s">
        <v>959</v>
      </c>
      <c r="D7" s="236" t="s">
        <v>953</v>
      </c>
      <c r="H7" s="236" t="s">
        <v>956</v>
      </c>
      <c r="I7" s="236" t="s">
        <v>66</v>
      </c>
      <c r="J7" s="252"/>
      <c r="L7" s="258"/>
      <c r="N7" s="236" t="s">
        <v>33</v>
      </c>
      <c r="R7" s="260" t="s">
        <v>956</v>
      </c>
      <c r="S7" s="236" t="s">
        <v>66</v>
      </c>
      <c r="T7" s="261"/>
    </row>
    <row r="8" spans="2:23" s="236" customFormat="1" ht="15.75">
      <c r="B8" s="235"/>
      <c r="C8" s="236" t="s">
        <v>963</v>
      </c>
      <c r="D8" s="236" t="s">
        <v>1829</v>
      </c>
      <c r="H8" s="236" t="s">
        <v>1050</v>
      </c>
      <c r="J8" s="252"/>
      <c r="L8" s="262"/>
      <c r="N8" s="263" t="s">
        <v>34</v>
      </c>
      <c r="R8" s="260" t="s">
        <v>1050</v>
      </c>
      <c r="T8" s="261"/>
    </row>
    <row r="9" spans="2:23" s="236" customFormat="1" ht="15.75">
      <c r="B9" s="235"/>
      <c r="C9" s="236" t="s">
        <v>1009</v>
      </c>
      <c r="D9" s="236" t="s">
        <v>33</v>
      </c>
      <c r="H9" s="236" t="s">
        <v>1046</v>
      </c>
      <c r="J9" s="252"/>
      <c r="L9" s="262"/>
      <c r="N9" s="263" t="s">
        <v>1049</v>
      </c>
      <c r="R9" s="260" t="s">
        <v>1046</v>
      </c>
      <c r="T9" s="261"/>
    </row>
    <row r="10" spans="2:23" s="236" customFormat="1" ht="15.75">
      <c r="B10" s="235"/>
      <c r="C10" s="236" t="s">
        <v>964</v>
      </c>
      <c r="D10" s="236" t="s">
        <v>34</v>
      </c>
      <c r="H10" s="236" t="s">
        <v>1717</v>
      </c>
      <c r="J10" s="252"/>
      <c r="L10" s="262"/>
      <c r="N10" s="263" t="s">
        <v>1829</v>
      </c>
      <c r="R10" s="260" t="s">
        <v>1717</v>
      </c>
      <c r="T10" s="261"/>
    </row>
    <row r="11" spans="2:23" s="236" customFormat="1" ht="15.75">
      <c r="B11" s="235"/>
      <c r="D11" s="236" t="s">
        <v>1049</v>
      </c>
      <c r="J11" s="252"/>
      <c r="L11" s="262"/>
      <c r="N11" s="263" t="s">
        <v>1830</v>
      </c>
      <c r="R11" s="264"/>
      <c r="T11" s="261"/>
      <c r="W11" s="236">
        <f>ROW(W10)</f>
        <v>10</v>
      </c>
    </row>
    <row r="12" spans="2:23" s="236" customFormat="1" ht="15.75">
      <c r="B12" s="235"/>
      <c r="D12" s="236" t="s">
        <v>1829</v>
      </c>
      <c r="J12" s="252"/>
      <c r="L12" s="262"/>
      <c r="N12" s="263" t="s">
        <v>1051</v>
      </c>
      <c r="R12" s="264"/>
      <c r="T12" s="261"/>
    </row>
    <row r="13" spans="2:23" s="236" customFormat="1" ht="15.75">
      <c r="B13" s="235"/>
      <c r="D13" s="236" t="s">
        <v>1830</v>
      </c>
      <c r="J13" s="252"/>
      <c r="L13" s="265"/>
      <c r="M13" s="266"/>
      <c r="N13" s="267"/>
      <c r="O13" s="266"/>
      <c r="P13" s="266"/>
      <c r="Q13" s="266"/>
      <c r="R13" s="268"/>
      <c r="S13" s="266"/>
      <c r="T13" s="269"/>
    </row>
    <row r="14" spans="2:23" s="236" customFormat="1" ht="15.75">
      <c r="B14" s="235"/>
      <c r="D14" s="236" t="s">
        <v>1051</v>
      </c>
      <c r="J14" s="252"/>
      <c r="N14" s="263"/>
    </row>
    <row r="15" spans="2:23" s="236" customFormat="1" ht="15.75">
      <c r="B15" s="235"/>
      <c r="D15" s="236" t="s">
        <v>962</v>
      </c>
      <c r="J15" s="252"/>
      <c r="L15" s="253" t="s">
        <v>25</v>
      </c>
      <c r="M15" s="256" t="s">
        <v>958</v>
      </c>
      <c r="N15" s="270" t="s">
        <v>962</v>
      </c>
      <c r="O15" s="255" t="s">
        <v>66</v>
      </c>
      <c r="P15" s="255" t="s">
        <v>1821</v>
      </c>
      <c r="Q15" s="255" t="s">
        <v>66</v>
      </c>
      <c r="R15" s="255" t="s">
        <v>951</v>
      </c>
      <c r="S15" s="255" t="s">
        <v>1831</v>
      </c>
      <c r="T15" s="257" t="s">
        <v>1823</v>
      </c>
    </row>
    <row r="16" spans="2:23" s="236" customFormat="1" ht="15.75">
      <c r="B16" s="235"/>
      <c r="D16" s="236" t="s">
        <v>960</v>
      </c>
      <c r="J16" s="252"/>
      <c r="L16" s="258"/>
      <c r="M16" s="260" t="s">
        <v>959</v>
      </c>
      <c r="N16" s="271" t="s">
        <v>960</v>
      </c>
      <c r="P16" s="236" t="s">
        <v>1825</v>
      </c>
      <c r="R16" s="236" t="s">
        <v>952</v>
      </c>
      <c r="S16" s="236" t="s">
        <v>88</v>
      </c>
      <c r="T16" s="261" t="s">
        <v>1826</v>
      </c>
    </row>
    <row r="17" spans="1:53" ht="15.75">
      <c r="A17" s="236"/>
      <c r="B17" s="235"/>
      <c r="D17" s="236" t="s">
        <v>961</v>
      </c>
      <c r="J17" s="252"/>
      <c r="L17" s="258"/>
      <c r="M17" s="260"/>
      <c r="N17" s="271" t="s">
        <v>961</v>
      </c>
      <c r="P17" s="236" t="s">
        <v>66</v>
      </c>
      <c r="R17" s="236" t="s">
        <v>954</v>
      </c>
      <c r="T17" s="261" t="s">
        <v>1827</v>
      </c>
      <c r="V17" s="236"/>
      <c r="W17" s="236"/>
      <c r="X17" s="236"/>
      <c r="Y17" s="236"/>
      <c r="Z17" s="236"/>
      <c r="AA17" s="236"/>
      <c r="AB17" s="236"/>
      <c r="AC17" s="236"/>
      <c r="AD17" s="236"/>
      <c r="AE17" s="236"/>
      <c r="AF17" s="236"/>
      <c r="AG17" s="236"/>
    </row>
    <row r="18" spans="1:53" ht="15.75">
      <c r="A18" s="236"/>
      <c r="B18" s="235"/>
      <c r="D18" s="236" t="s">
        <v>953</v>
      </c>
      <c r="J18" s="252"/>
      <c r="L18" s="258"/>
      <c r="M18" s="260"/>
      <c r="N18" s="271" t="s">
        <v>953</v>
      </c>
      <c r="R18" s="236" t="s">
        <v>955</v>
      </c>
      <c r="T18" s="261"/>
      <c r="V18" s="236"/>
      <c r="W18" s="236"/>
      <c r="X18" s="236"/>
      <c r="Y18" s="236"/>
      <c r="Z18" s="236"/>
      <c r="AA18" s="236"/>
      <c r="AB18" s="236"/>
      <c r="AC18" s="236"/>
      <c r="AD18" s="236"/>
      <c r="AE18" s="236"/>
      <c r="AF18" s="236"/>
      <c r="AG18" s="236"/>
    </row>
    <row r="19" spans="1:53" ht="15.75">
      <c r="A19" s="236"/>
      <c r="B19" s="235"/>
      <c r="D19" s="236" t="s">
        <v>1021</v>
      </c>
      <c r="J19" s="252"/>
      <c r="L19" s="272"/>
      <c r="M19" s="273"/>
      <c r="N19" s="274"/>
      <c r="O19" s="266"/>
      <c r="P19" s="266"/>
      <c r="Q19" s="266"/>
      <c r="R19" s="266" t="s">
        <v>956</v>
      </c>
      <c r="S19" s="266"/>
      <c r="T19" s="269"/>
      <c r="V19" s="236"/>
      <c r="W19" s="236"/>
      <c r="X19" s="236"/>
      <c r="Y19" s="236"/>
      <c r="Z19" s="236"/>
      <c r="AA19" s="236"/>
      <c r="AB19" s="236"/>
      <c r="AC19" s="236"/>
      <c r="AD19" s="236"/>
      <c r="AE19" s="236"/>
      <c r="AF19" s="236"/>
      <c r="AG19" s="236"/>
    </row>
    <row r="20" spans="1:53" ht="15.75">
      <c r="A20" s="236"/>
      <c r="B20" s="235"/>
      <c r="D20" s="236" t="s">
        <v>1034</v>
      </c>
      <c r="J20" s="252"/>
      <c r="N20" s="263"/>
      <c r="V20" s="236"/>
      <c r="W20" s="236"/>
      <c r="X20" s="236"/>
      <c r="Y20" s="236"/>
      <c r="Z20" s="236"/>
      <c r="AA20" s="236"/>
      <c r="AB20" s="236"/>
      <c r="AC20" s="236"/>
      <c r="AD20" s="236"/>
      <c r="AE20" s="236"/>
      <c r="AF20" s="236"/>
      <c r="AG20" s="236"/>
    </row>
    <row r="21" spans="1:53" ht="15.75">
      <c r="A21" s="236"/>
      <c r="B21" s="235"/>
      <c r="D21" s="236" t="s">
        <v>1042</v>
      </c>
      <c r="J21" s="252"/>
      <c r="L21" s="253" t="s">
        <v>19</v>
      </c>
      <c r="M21" s="256" t="s">
        <v>963</v>
      </c>
      <c r="N21" s="275" t="s">
        <v>1021</v>
      </c>
      <c r="O21" s="256" t="s">
        <v>1113</v>
      </c>
      <c r="P21" s="255" t="s">
        <v>66</v>
      </c>
      <c r="Q21" s="255" t="s">
        <v>1822</v>
      </c>
      <c r="R21" s="255" t="s">
        <v>951</v>
      </c>
      <c r="S21" s="255" t="s">
        <v>1831</v>
      </c>
      <c r="T21" s="257" t="s">
        <v>1823</v>
      </c>
      <c r="V21" s="236"/>
      <c r="W21" s="236"/>
      <c r="X21" s="236"/>
      <c r="Y21" s="236"/>
      <c r="Z21" s="236"/>
      <c r="AA21" s="236"/>
      <c r="AB21" s="236"/>
      <c r="AC21" s="236"/>
      <c r="AD21" s="236"/>
      <c r="AE21" s="236"/>
      <c r="AF21" s="236"/>
      <c r="AG21" s="236"/>
    </row>
    <row r="22" spans="1:53" ht="16.5" thickBot="1">
      <c r="A22" s="236"/>
      <c r="B22" s="276"/>
      <c r="C22" s="277"/>
      <c r="D22" s="277" t="s">
        <v>1011</v>
      </c>
      <c r="E22" s="277"/>
      <c r="F22" s="277"/>
      <c r="G22" s="277"/>
      <c r="H22" s="277"/>
      <c r="I22" s="277"/>
      <c r="J22" s="278"/>
      <c r="L22" s="258"/>
      <c r="M22" s="260" t="s">
        <v>1009</v>
      </c>
      <c r="N22" s="263" t="s">
        <v>1034</v>
      </c>
      <c r="O22" s="260" t="s">
        <v>1259</v>
      </c>
      <c r="Q22" s="236" t="s">
        <v>1794</v>
      </c>
      <c r="R22" s="236" t="s">
        <v>952</v>
      </c>
      <c r="S22" s="236" t="s">
        <v>88</v>
      </c>
      <c r="T22" s="261" t="s">
        <v>1826</v>
      </c>
      <c r="V22" s="236"/>
      <c r="W22" s="236"/>
      <c r="X22" s="236"/>
      <c r="Y22" s="236"/>
      <c r="Z22" s="236"/>
      <c r="AA22" s="236"/>
      <c r="AB22" s="236"/>
      <c r="AC22" s="236"/>
      <c r="AD22" s="236"/>
      <c r="AE22" s="236"/>
      <c r="AF22" s="236"/>
      <c r="AG22" s="236"/>
    </row>
    <row r="23" spans="1:53" ht="15.75">
      <c r="A23" s="236"/>
      <c r="L23" s="258"/>
      <c r="M23" s="260" t="s">
        <v>964</v>
      </c>
      <c r="N23" s="263" t="s">
        <v>1042</v>
      </c>
      <c r="O23" s="260" t="s">
        <v>1260</v>
      </c>
      <c r="R23" s="236" t="s">
        <v>954</v>
      </c>
      <c r="T23" s="261" t="s">
        <v>1827</v>
      </c>
      <c r="V23" s="236"/>
      <c r="W23" s="236"/>
      <c r="X23" s="236"/>
      <c r="Y23" s="236"/>
      <c r="Z23" s="236"/>
      <c r="AA23" s="236"/>
      <c r="AB23" s="236"/>
      <c r="AC23" s="236"/>
      <c r="AD23" s="236"/>
      <c r="AE23" s="236"/>
      <c r="AF23" s="236"/>
      <c r="AG23" s="236"/>
    </row>
    <row r="24" spans="1:53" ht="15.75">
      <c r="A24" s="236"/>
      <c r="L24" s="258"/>
      <c r="M24" s="260"/>
      <c r="N24" s="263" t="s">
        <v>1011</v>
      </c>
      <c r="O24" s="260"/>
      <c r="R24" s="236" t="s">
        <v>955</v>
      </c>
      <c r="T24" s="261"/>
      <c r="V24" s="236"/>
      <c r="W24" s="236"/>
      <c r="X24" s="236"/>
      <c r="Y24" s="236"/>
      <c r="Z24" s="236"/>
      <c r="AA24" s="236"/>
      <c r="AB24" s="236"/>
      <c r="AC24" s="236"/>
      <c r="AD24" s="236"/>
      <c r="AE24" s="236"/>
      <c r="AF24" s="236"/>
      <c r="AG24" s="236"/>
    </row>
    <row r="25" spans="1:53" ht="15.75">
      <c r="A25" s="236"/>
      <c r="L25" s="279"/>
      <c r="M25" s="266"/>
      <c r="N25" s="267" t="s">
        <v>33</v>
      </c>
      <c r="O25" s="268"/>
      <c r="P25" s="266"/>
      <c r="Q25" s="266"/>
      <c r="R25" s="266" t="s">
        <v>956</v>
      </c>
      <c r="S25" s="266"/>
      <c r="T25" s="269"/>
      <c r="V25" s="236"/>
      <c r="W25" s="236"/>
      <c r="X25" s="236"/>
      <c r="Y25" s="236"/>
      <c r="Z25" s="236"/>
      <c r="AA25" s="236"/>
      <c r="AB25" s="236"/>
      <c r="AC25" s="236"/>
      <c r="AD25" s="236"/>
      <c r="AE25" s="236"/>
      <c r="AF25" s="236"/>
      <c r="AG25" s="236"/>
    </row>
    <row r="26" spans="1:53">
      <c r="A26" s="236"/>
      <c r="V26" s="236"/>
      <c r="W26" s="236"/>
      <c r="X26" s="236"/>
      <c r="Y26" s="236"/>
      <c r="Z26" s="236"/>
      <c r="AA26" s="236"/>
      <c r="AB26" s="236"/>
      <c r="AC26" s="236"/>
      <c r="AD26" s="236"/>
      <c r="AE26" s="236"/>
      <c r="AF26" s="236"/>
      <c r="AH26" s="236" t="s">
        <v>963</v>
      </c>
      <c r="AI26" s="236" t="s">
        <v>1891</v>
      </c>
      <c r="AJ26" s="236" t="s">
        <v>1898</v>
      </c>
      <c r="AK26" s="236" t="s">
        <v>1888</v>
      </c>
      <c r="AL26" s="236" t="s">
        <v>1892</v>
      </c>
      <c r="AM26" s="236" t="s">
        <v>1899</v>
      </c>
      <c r="AN26" s="236" t="s">
        <v>1889</v>
      </c>
      <c r="AO26" s="236" t="s">
        <v>958</v>
      </c>
      <c r="AP26" s="236" t="s">
        <v>953</v>
      </c>
      <c r="AQ26" s="236" t="s">
        <v>960</v>
      </c>
      <c r="AR26" s="236" t="s">
        <v>962</v>
      </c>
      <c r="AS26" s="236" t="s">
        <v>961</v>
      </c>
      <c r="AT26" s="236" t="s">
        <v>950</v>
      </c>
      <c r="AU26" s="236" t="s">
        <v>957</v>
      </c>
      <c r="AV26" s="236" t="s">
        <v>32</v>
      </c>
      <c r="AW26" s="236" t="s">
        <v>955</v>
      </c>
      <c r="AX26" s="236" t="s">
        <v>952</v>
      </c>
      <c r="AY26" s="236" t="s">
        <v>956</v>
      </c>
      <c r="AZ26" s="236" t="s">
        <v>954</v>
      </c>
      <c r="BA26" s="236" t="s">
        <v>1046</v>
      </c>
    </row>
    <row r="27" spans="1:53" s="215" customFormat="1" ht="31.5">
      <c r="L27" s="517" t="s">
        <v>1900</v>
      </c>
      <c r="M27" s="518" t="str" cm="1">
        <f t="array" ref="M27:AF27">TRANSPOSE(L28:L47)</f>
        <v>Pós-fixado</v>
      </c>
      <c r="N27" s="518" t="str">
        <v>Inflação Curta (0-4)</v>
      </c>
      <c r="O27" s="518" t="str">
        <v>Inflação Média (4-7)</v>
      </c>
      <c r="P27" s="518" t="str">
        <v>Inflação Longa (7-11)</v>
      </c>
      <c r="Q27" s="518" t="str">
        <v>Pré Curta (0-3)</v>
      </c>
      <c r="R27" s="518" t="str">
        <v>Pré Média (3-6)</v>
      </c>
      <c r="S27" s="518" t="str">
        <v>Pré Longa (6-10)</v>
      </c>
      <c r="T27" s="518" t="str">
        <v>Macro</v>
      </c>
      <c r="U27" s="518" t="str">
        <v>Quant</v>
      </c>
      <c r="V27" s="518" t="str">
        <v>Long &amp; Short</v>
      </c>
      <c r="W27" s="518" t="str">
        <v>Multiestratégia</v>
      </c>
      <c r="X27" s="518" t="str">
        <v>Arbitragem</v>
      </c>
      <c r="Y27" s="518" t="str">
        <v>Long Only</v>
      </c>
      <c r="Z27" s="518" t="str">
        <v>Long Bias</v>
      </c>
      <c r="AA27" s="518" t="str">
        <v>Alternativos</v>
      </c>
      <c r="AB27" s="518" t="str">
        <v>China</v>
      </c>
      <c r="AC27" s="518" t="str">
        <v>EUA</v>
      </c>
      <c r="AD27" s="518" t="str">
        <v>Europa</v>
      </c>
      <c r="AE27" s="518" t="str">
        <v>Global</v>
      </c>
      <c r="AF27" s="518" t="str">
        <v>EM</v>
      </c>
      <c r="AH27" s="236" t="str" cm="1">
        <f t="array" aca="1" ref="AH27:AH60" ca="1">OFFSET($M$27,1,,COUNTA($M:$M)-COUNTA($M$1:$M$27))</f>
        <v>ARX DENALI FIRF CP</v>
      </c>
      <c r="AI27" s="236" t="str" cm="1">
        <f t="array" aca="1" ref="AI27:AI37" ca="1">OFFSET($N$27,1,,COUNTA($N:$N)-COUNTA($N$1:$N$27))</f>
        <v>ARX ELBRUS FIC FI INFRAESTRUTURA RF</v>
      </c>
      <c r="AJ27" s="236" t="str" cm="1">
        <f t="array" aca="1" ref="AJ27:AJ33" ca="1">OFFSET($O$27,1,,COUNTA($O:$O)-COUNTA($O$1:$O$27))</f>
        <v>NTN-B 2027 (IPCA+5.65%)</v>
      </c>
      <c r="AK27" s="236" t="str" cm="1">
        <f t="array" aca="1" ref="AK27:AK31" ca="1">OFFSET($P$27,1,,COUNTA($P:$P)-COUNTA($P$1:$P$27))</f>
        <v>NTN-B 2032 (IPCA+5.70%)</v>
      </c>
      <c r="AL27" s="236" t="str" cm="1">
        <f t="array" aca="1" ref="AL27:AL32" ca="1">OFFSET($Q$27,1,,COUNTA($Q:$Q)-COUNTA($Q$1:$Q$27))</f>
        <v>OAKTREE CREDIT ACCESS IE FIC MM</v>
      </c>
      <c r="AM27" s="236" t="str" cm="1">
        <f t="array" aca="1" ref="AM27:AM32" ca="1">OFFSET($R$27,1,,COUNTA($R:$R)-COUNTA($R$1:$R$27))</f>
        <v>NTN-F 2027 (11.95%)</v>
      </c>
      <c r="AN27" s="236" t="str" cm="1">
        <f t="array" aca="1" ref="AN27" ca="1">OFFSET($S$27,1,,COUNTA($S:$S)-COUNTA($S$1:$S$27))</f>
        <v/>
      </c>
      <c r="AO27" s="236" t="str" cm="1">
        <f t="array" aca="1" ref="AO27:AO53" ca="1">OFFSET($T$27,1,,COUNTA($T:$T)-COUNTA($T$1:$T$27))</f>
        <v>ACCESS KAPITALO K10 FIC FIM</v>
      </c>
      <c r="AP27" s="236" t="str" cm="1">
        <f t="array" aca="1" ref="AP27:AP29" ca="1">OFFSET($U$27,1,,COUNTA($U:$U)-COUNTA($U$1:$U$27))</f>
        <v>GIANT ZARATHUSTRA FIC FIM</v>
      </c>
      <c r="AQ27" s="236" t="str" cm="1">
        <f t="array" aca="1" ref="AQ27:AQ35" ca="1">OFFSET($V$27,1,,COUNTA($V:$V)-COUNTA($V$1:$V$27))</f>
        <v>SHARP LONG SHORT FIC FIM ACCESS</v>
      </c>
      <c r="AR27" s="236" t="str" cm="1">
        <f t="array" aca="1" ref="AR27" ca="1">OFFSET($W$27,1,,COUNTA($W:$W)-COUNTA($W$1:$W$27))</f>
        <v/>
      </c>
      <c r="AS27" s="236" t="str" cm="1">
        <f t="array" aca="1" ref="AS27:AS29" ca="1">OFFSET($X$27,1,,COUNTA($X:$X)-COUNTA($X$1:$X$27))</f>
        <v>ABSOLUTE ALPHA MARB FIC FIM</v>
      </c>
      <c r="AT27" s="236" t="str" cm="1">
        <f t="array" aca="1" ref="AT27:AT34" ca="1">OFFSET($Y$27,1,,COUNTA($Y:$Y)-COUNTA($Y$1:$Y$27))</f>
        <v>ACCESS ATMOS II FIC FI ACOES</v>
      </c>
      <c r="AU27" s="236" t="str" cm="1">
        <f t="array" aca="1" ref="AU27:AU34" ca="1">OFFSET($Z$27,1,,COUNTA($Z:$Z)-COUNTA($Z$1:$Z$27))</f>
        <v>ABSOLUTE PACE LB FIC FIA</v>
      </c>
      <c r="AV27" s="236" t="str" cm="1">
        <f t="array" aca="1" ref="AV27" ca="1">OFFSET($AA$27,1,,COUNTA($AA:$AA)-COUNTA($AA$1:$AA$27))</f>
        <v/>
      </c>
      <c r="AW27" s="236" t="str" cm="1">
        <f t="array" aca="1" ref="AW27:AW30" ca="1">OFFSET($AB$27,1,,COUNTA($AB:$AB)-COUNTA($AB$1:$AB$27))</f>
        <v>ACCESS CHINA ADVANT F22 FIA IE</v>
      </c>
      <c r="AX27" s="236" t="str" cm="1">
        <f t="array" aca="1" ref="AX27:AX28" ca="1">OFFSET($AC$27,1,,COUNTA($AC:$AC)-COUNTA($AC$1:$AC$27))</f>
        <v>WESTERN ASSET US INDEX 500 FIM</v>
      </c>
      <c r="AY27" s="236" t="str" cm="1">
        <f t="array" aca="1" ref="AY27" ca="1">OFFSET($AD$27,1,,COUNTA($AD:$AD)-COUNTA($AD$1:$AD$27))</f>
        <v>EURP11</v>
      </c>
      <c r="AZ27" s="236" t="str" cm="1">
        <f t="array" aca="1" ref="AZ27:AZ29" ca="1">OFFSET($AE$27,1,,COUNTA($AE:$AE)-COUNTA($AE$1:$AE$27))</f>
        <v>VITREO CARBONO FIM</v>
      </c>
      <c r="BA27" s="236" t="str" cm="1">
        <f t="array" aca="1" ref="BA27:BA28" ca="1">OFFSET($AF$27,1,,COUNTA($AF:$AF)-COUNTA($AF$1:$AF$27))</f>
        <v>BTGP MOBIUS EMERGING MARKETS FIM IE</v>
      </c>
    </row>
    <row r="28" spans="1:53">
      <c r="A28" s="236"/>
      <c r="L28" s="236" t="str">
        <f>IF('Portfólio Sugerido'!E16="","",'Portfólio Sugerido'!E16)</f>
        <v>Pós-fixado</v>
      </c>
      <c r="M28" s="236" t="str" cm="1">
        <f t="array" aca="1" ref="M28:M61"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ARX DENALI FIRF CP</v>
      </c>
      <c r="N28" s="236" t="str" cm="1">
        <f t="array" aca="1" ref="N28:N38"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ARX ELBRUS FIC FI INFRAESTRUTURA RF</v>
      </c>
      <c r="O28" s="236" t="str" cm="1">
        <f t="array" aca="1" ref="O28:O34"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NTN-B 2027 (IPCA+5.65%)</v>
      </c>
      <c r="P28" s="236" t="str" cm="1">
        <f t="array" aca="1" ref="P28:P32"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NTN-B 2032 (IPCA+5.70%)</v>
      </c>
      <c r="Q28" s="236" t="str" cm="1">
        <f t="array" aca="1" ref="Q28:Q33"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OAKTREE CREDIT ACCESS IE FIC MM</v>
      </c>
      <c r="R28" s="236"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(11.95%)</v>
      </c>
      <c r="S28" s="236"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236" t="str" cm="1">
        <f t="array" aca="1" ref="T28:T54"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ACCESS KAPITALO K10 FIC FIM</v>
      </c>
      <c r="U28" s="236" t="str" cm="1">
        <f t="array" aca="1" ref="U28:U30"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GIANT ZARATHUSTRA FIC FIM</v>
      </c>
      <c r="V28" s="236" t="str" cm="1">
        <f t="array" aca="1" ref="V28:V36"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SHARP LONG SHORT FIC FIM ACCESS</v>
      </c>
      <c r="W28" s="236" t="str" cm="1">
        <f t="array" aca="1" ref="W28"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
      </c>
      <c r="X28" s="236"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ABSOLUTE ALPHA MARB FIC FIM</v>
      </c>
      <c r="Y28" s="236" t="str" cm="1">
        <f t="array" aca="1" ref="Y28:Y35"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ACCESS ATMOS II FIC FI ACOES</v>
      </c>
      <c r="Z28" s="236" t="str" cm="1">
        <f t="array" aca="1" ref="Z28:Z35"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ABSOLUTE PACE LB FIC FIA</v>
      </c>
      <c r="AA28" s="236"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
      </c>
      <c r="AB28" s="236" t="str" cm="1">
        <f t="array" aca="1" ref="AB28:AB31"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 F22 FIA IE</v>
      </c>
      <c r="AC28" s="236"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236"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236" t="str" cm="1">
        <f t="array" aca="1" ref="AE28:AE30"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VITREO CARBONO FIM</v>
      </c>
      <c r="AF28" s="236"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236" t="str">
        <f ca="1"/>
        <v>EVEREST HIGH YIELD FIC FIM - CP E1</v>
      </c>
      <c r="AI28" s="236" t="str">
        <f ca="1"/>
        <v>TESOURO IPCA CURTO RF</v>
      </c>
      <c r="AJ28" s="236" t="str">
        <f ca="1"/>
        <v>NTN-B 2028 (IPCA+5.65%)</v>
      </c>
      <c r="AK28" s="236" t="str">
        <f ca="1"/>
        <v>NTN-B 2035 (IPCA+5.75%)</v>
      </c>
      <c r="AL28" s="236" t="str">
        <f ca="1"/>
        <v>NTN-F 2023 (13.60%)</v>
      </c>
      <c r="AM28" s="236" t="str">
        <f ca="1"/>
        <v>NTN-F 2029 (12.10%)</v>
      </c>
      <c r="AO28" s="236" t="str">
        <f ca="1"/>
        <v>GENOA CAPITAL RADAR FIC FI MULT ACS</v>
      </c>
      <c r="AP28" s="236" t="str">
        <f ca="1"/>
        <v>DAEMON NOUS GLOBAL FIC FIM</v>
      </c>
      <c r="AQ28" s="236" t="str">
        <f ca="1"/>
        <v>ABSOLUTE HEDGE FIC DE FIM</v>
      </c>
      <c r="AS28" s="236" t="str">
        <f ca="1"/>
        <v>BLACKROCK GLOBAL EVENT DRIVEN FIC FIM IE</v>
      </c>
      <c r="AT28" s="236" t="str">
        <f ca="1"/>
        <v>TRIGONO DELPHOS INCOME FIC FIA</v>
      </c>
      <c r="AU28" s="236" t="str">
        <f ca="1"/>
        <v>GARIN CÍCLICO LB FIM</v>
      </c>
      <c r="AW28" s="236" t="str">
        <f ca="1"/>
        <v>ACCESS CHINA ADVANTAGE AG21 FIA IE</v>
      </c>
      <c r="AX28" s="236" t="str">
        <f ca="1"/>
        <v>IVVB11</v>
      </c>
      <c r="AZ28" s="236" t="str">
        <f ca="1"/>
        <v>VITREO URANIO FIM</v>
      </c>
      <c r="BA28" s="236" t="str">
        <f ca="1"/>
        <v>ASIA11</v>
      </c>
    </row>
    <row r="29" spans="1:53">
      <c r="A29" s="236"/>
      <c r="L29" s="236" t="str">
        <f>IF('Portfólio Sugerido'!E35="","",'Portfólio Sugerido'!E35)</f>
        <v>Inflação Curta (0-4)</v>
      </c>
      <c r="M29" s="236" t="str">
        <f ca="1"/>
        <v>EVEREST HIGH YIELD FIC FIM - CP E1</v>
      </c>
      <c r="N29" s="236" t="str">
        <f ca="1"/>
        <v>TESOURO IPCA CURTO RF</v>
      </c>
      <c r="O29" s="236" t="str">
        <f ca="1"/>
        <v>NTN-B 2028 (IPCA+5.65%)</v>
      </c>
      <c r="P29" s="236" t="str">
        <f ca="1"/>
        <v>NTN-B 2035 (IPCA+5.75%)</v>
      </c>
      <c r="Q29" s="236" t="str">
        <f ca="1"/>
        <v>NTN-F 2023 (13.60%)</v>
      </c>
      <c r="R29" s="236" t="str">
        <f ca="1"/>
        <v>NTN-F 2029 (12.10%)</v>
      </c>
      <c r="T29" s="236" t="str">
        <f ca="1"/>
        <v>GENOA CAPITAL RADAR FIC FI MULT ACS</v>
      </c>
      <c r="U29" s="236" t="str">
        <f ca="1"/>
        <v>DAEMON NOUS GLOBAL FIC FIM</v>
      </c>
      <c r="V29" s="236" t="str">
        <f ca="1"/>
        <v>ABSOLUTE HEDGE FIC DE FIM</v>
      </c>
      <c r="W29" s="236"/>
      <c r="X29" s="236" t="str">
        <f ca="1"/>
        <v>BLACKROCK GLOBAL EVENT DRIVEN FIC FIM IE</v>
      </c>
      <c r="Y29" s="236" t="str">
        <f ca="1"/>
        <v>TRIGONO DELPHOS INCOME FIC FIA</v>
      </c>
      <c r="Z29" s="236" t="str">
        <f ca="1"/>
        <v>GARIN CÍCLICO LB FIM</v>
      </c>
      <c r="AA29" s="236"/>
      <c r="AB29" s="236" t="str">
        <f ca="1"/>
        <v>ACCESS CHINA ADVANTAGE AG21 FIA IE</v>
      </c>
      <c r="AC29" s="236" t="str">
        <f ca="1"/>
        <v>IVVB11</v>
      </c>
      <c r="AD29" s="236"/>
      <c r="AE29" s="236" t="str">
        <f ca="1"/>
        <v>VITREO URANIO FIM</v>
      </c>
      <c r="AF29" s="236" t="str">
        <f ca="1"/>
        <v>ASIA11</v>
      </c>
      <c r="AH29" s="236" t="str">
        <f ca="1"/>
        <v>ITAU OPTIMUS RF LONGO PRAZO DISTRIBUIDORES FIC FI</v>
      </c>
      <c r="AI29" s="236" t="str">
        <f ca="1"/>
        <v>VINCI VALOREM FIM</v>
      </c>
      <c r="AJ29" s="236" t="str">
        <f ca="1"/>
        <v>NTN-B 2030 (IPCA+5.60%)</v>
      </c>
      <c r="AK29" s="236" t="str">
        <f ca="1"/>
        <v>Títulos Corporativos - 8 anos (IPCA+8.70%)</v>
      </c>
      <c r="AL29" s="236" t="str">
        <f ca="1"/>
        <v>NTN-F 2025 (12.15%)</v>
      </c>
      <c r="AM29" s="236" t="str">
        <f ca="1"/>
        <v>NTN-F 2031 (12.15%)</v>
      </c>
      <c r="AO29" s="236" t="str">
        <f ca="1"/>
        <v>GENOA CAPITAL RADAR FIC FIM</v>
      </c>
      <c r="AP29" s="236" t="str">
        <f ca="1"/>
        <v>GIANT SIGMA FIC FIM</v>
      </c>
      <c r="AQ29" s="236" t="str">
        <f ca="1"/>
        <v>OCCAM EQUITY HEDGE FIC FIM ACCESS</v>
      </c>
      <c r="AS29" s="236" t="str">
        <f ca="1"/>
        <v>NW3 EVENT DRIVEN PLUS FIC FIM</v>
      </c>
      <c r="AT29" s="236" t="str">
        <f ca="1"/>
        <v>TRIGONO FLAGSHIP 60 SMALL CAPS FIC FIA</v>
      </c>
      <c r="AU29" s="236" t="str">
        <f ca="1"/>
        <v>NORTE LONG BIAS FIC FIM</v>
      </c>
      <c r="AW29" s="236" t="str">
        <f ca="1"/>
        <v>INVESCO GREATER CHINA EQUITY DOLAR FIC FIA IE</v>
      </c>
      <c r="AZ29" s="236" t="str">
        <f ca="1"/>
        <v>WRLD11</v>
      </c>
    </row>
    <row r="30" spans="1:53">
      <c r="A30" s="236"/>
      <c r="L30" s="236" t="str">
        <f>IF('Portfólio Sugerido'!E38="","",'Portfólio Sugerido'!E38)</f>
        <v>Inflação Média (4-7)</v>
      </c>
      <c r="M30" s="236" t="str">
        <f ca="1"/>
        <v>ITAU OPTIMUS RF LONGO PRAZO DISTRIBUIDORES FIC FI</v>
      </c>
      <c r="N30" s="236" t="str">
        <f ca="1"/>
        <v>VINCI VALOREM FIM</v>
      </c>
      <c r="O30" s="236" t="str">
        <f ca="1"/>
        <v>NTN-B 2030 (IPCA+5.60%)</v>
      </c>
      <c r="P30" s="236" t="str">
        <f ca="1"/>
        <v>Títulos Corporativos - 8 anos (IPCA+8.70%)</v>
      </c>
      <c r="Q30" s="236" t="str">
        <f ca="1"/>
        <v>NTN-F 2025 (12.15%)</v>
      </c>
      <c r="R30" s="236" t="str">
        <f ca="1"/>
        <v>NTN-F 2031 (12.15%)</v>
      </c>
      <c r="T30" s="236" t="str">
        <f ca="1"/>
        <v>GENOA CAPITAL RADAR FIC FIM</v>
      </c>
      <c r="U30" s="236" t="str">
        <f ca="1"/>
        <v>GIANT SIGMA FIC FIM</v>
      </c>
      <c r="V30" s="236" t="str">
        <f ca="1"/>
        <v>OCCAM EQUITY HEDGE FIC FIM ACCESS</v>
      </c>
      <c r="W30" s="236"/>
      <c r="X30" s="236" t="str">
        <f ca="1"/>
        <v>NW3 EVENT DRIVEN PLUS FIC FIM</v>
      </c>
      <c r="Y30" s="236" t="str">
        <f ca="1"/>
        <v>TRIGONO FLAGSHIP 60 SMALL CAPS FIC FIA</v>
      </c>
      <c r="Z30" s="236" t="str">
        <f ca="1"/>
        <v>NORTE LONG BIAS FIC FIM</v>
      </c>
      <c r="AA30" s="236"/>
      <c r="AB30" s="236" t="str">
        <f ca="1"/>
        <v>INVESCO GREATER CHINA EQUITY DOLAR FIC FIA IE</v>
      </c>
      <c r="AC30" s="236"/>
      <c r="AD30" s="236"/>
      <c r="AE30" s="236" t="str">
        <f ca="1"/>
        <v>WRLD11</v>
      </c>
      <c r="AF30" s="236"/>
      <c r="AH30" s="236" t="str">
        <f ca="1"/>
        <v>SUL AMERICA EXCLUSIVE FI RF REFERENCIADO DI</v>
      </c>
      <c r="AI30" s="236" t="str">
        <f ca="1"/>
        <v>NTN-B 2023 (IPCA+7.80%)</v>
      </c>
      <c r="AJ30" s="236" t="str">
        <f ca="1"/>
        <v>Títulos Bancários - 5 anos (IPCA+8.10%)</v>
      </c>
      <c r="AK30" s="236" t="str">
        <f ca="1"/>
        <v>Títulos Corporativos - 9 anos (IPCA+8.80%)</v>
      </c>
      <c r="AL30" s="236" t="str">
        <f ca="1"/>
        <v>Títulos Bancários - 1 ano (15.80%)</v>
      </c>
      <c r="AM30" s="236" t="str">
        <f ca="1"/>
        <v>Títulos Bancários - 4 anos (13.90%)</v>
      </c>
      <c r="AO30" s="236" t="str">
        <f ca="1"/>
        <v>IBIUNA HEDGE STH FIC FIM</v>
      </c>
      <c r="AQ30" s="236" t="str">
        <f ca="1"/>
        <v>SHARP LONG SHORT 2X FIM</v>
      </c>
      <c r="AT30" s="236" t="str">
        <f ca="1"/>
        <v>TRUXT I VALOR FIC FIA</v>
      </c>
      <c r="AU30" s="236" t="str">
        <f ca="1"/>
        <v>VINLAND LONG BIAS FIC FIM</v>
      </c>
      <c r="AW30" s="236" t="str">
        <f ca="1"/>
        <v>XINA11</v>
      </c>
    </row>
    <row r="31" spans="1:53">
      <c r="A31" s="236"/>
      <c r="L31" s="236" t="str">
        <f>IF('Portfólio Sugerido'!E43="","",'Portfólio Sugerido'!E43)</f>
        <v>Inflação Longa (7-11)</v>
      </c>
      <c r="M31" s="236" t="str">
        <f ca="1"/>
        <v>SUL AMERICA EXCLUSIVE FI RF REFERENCIADO DI</v>
      </c>
      <c r="N31" s="236" t="str">
        <f ca="1"/>
        <v>NTN-B 2023 (IPCA+7.80%)</v>
      </c>
      <c r="O31" s="236" t="str">
        <f ca="1"/>
        <v>Títulos Bancários - 5 anos (IPCA+8.10%)</v>
      </c>
      <c r="P31" s="236" t="str">
        <f ca="1"/>
        <v>Títulos Corporativos - 9 anos (IPCA+8.80%)</v>
      </c>
      <c r="Q31" s="236" t="str">
        <f ca="1"/>
        <v>Títulos Bancários - 1 ano (15.80%)</v>
      </c>
      <c r="R31" s="236" t="str">
        <f ca="1"/>
        <v>Títulos Bancários - 4 anos (13.90%)</v>
      </c>
      <c r="T31" s="236" t="str">
        <f ca="1"/>
        <v>IBIUNA HEDGE STH FIC FIM</v>
      </c>
      <c r="V31" s="236" t="str">
        <f ca="1"/>
        <v>SHARP LONG SHORT 2X FIM</v>
      </c>
      <c r="W31" s="236"/>
      <c r="X31" s="236"/>
      <c r="Y31" s="236" t="str">
        <f ca="1"/>
        <v>TRUXT I VALOR FIC FIA</v>
      </c>
      <c r="Z31" s="236" t="str">
        <f ca="1"/>
        <v>VINLAND LONG BIAS FIC FIM</v>
      </c>
      <c r="AA31" s="236"/>
      <c r="AB31" s="236" t="str">
        <f ca="1"/>
        <v>XINA11</v>
      </c>
      <c r="AC31" s="236"/>
      <c r="AD31" s="236"/>
      <c r="AE31" s="236"/>
      <c r="AF31" s="236"/>
      <c r="AH31" s="236" t="str">
        <f ca="1"/>
        <v>TESOURO SELIC SIMPLES FI RF</v>
      </c>
      <c r="AI31" s="236" t="str">
        <f ca="1"/>
        <v>NTN-B 2024 (IPCA+6.60%)</v>
      </c>
      <c r="AJ31" s="236" t="str">
        <f ca="1"/>
        <v>Títulos Corporativos - 5 anos (IPCA+8.35%)</v>
      </c>
      <c r="AK31" s="236" t="str">
        <f ca="1"/>
        <v>Títulos Corporativos - 10 anos (IPCA+8.85%)</v>
      </c>
      <c r="AL31" s="236" t="str">
        <f ca="1"/>
        <v>Títulos Bancários - 2 anos (14.00%)</v>
      </c>
      <c r="AM31" s="236" t="str">
        <f ca="1"/>
        <v>Títulos Bancários - 5 anos (14.15%)</v>
      </c>
      <c r="AO31" s="236" t="str">
        <f ca="1"/>
        <v>IBIUNA HEDGE STH FIC FIM ACCESS</v>
      </c>
      <c r="AQ31" s="236" t="str">
        <f ca="1"/>
        <v>SHARP LONG SHORT FIM</v>
      </c>
      <c r="AT31" s="236" t="str">
        <f ca="1"/>
        <v>ABSOLUTO PARTNERS II ACCESS FIC FIA</v>
      </c>
      <c r="AU31" s="236" t="str">
        <f ca="1"/>
        <v>CLAVE TOTAL RETURN FIC FIM ACCESS</v>
      </c>
    </row>
    <row r="32" spans="1:53">
      <c r="A32" s="236"/>
      <c r="L32" s="236" t="str">
        <f>IF('Portfólio Sugerido'!E49="","",'Portfólio Sugerido'!E49)</f>
        <v>Pré Curta (0-3)</v>
      </c>
      <c r="M32" s="236" t="str">
        <f ca="1"/>
        <v>TESOURO SELIC SIMPLES FI RF</v>
      </c>
      <c r="N32" s="236" t="str">
        <f ca="1"/>
        <v>NTN-B 2024 (IPCA+6.60%)</v>
      </c>
      <c r="O32" s="236" t="str">
        <f ca="1"/>
        <v>Títulos Corporativos - 5 anos (IPCA+8.35%)</v>
      </c>
      <c r="P32" s="236" t="str">
        <f ca="1"/>
        <v>Títulos Corporativos - 10 anos (IPCA+8.85%)</v>
      </c>
      <c r="Q32" s="236" t="str">
        <f ca="1"/>
        <v>Títulos Bancários - 2 anos (14.00%)</v>
      </c>
      <c r="R32" s="236" t="str">
        <f ca="1"/>
        <v>Títulos Bancários - 5 anos (14.15%)</v>
      </c>
      <c r="T32" s="236" t="str">
        <f ca="1"/>
        <v>IBIUNA HEDGE STH FIC FIM ACCESS</v>
      </c>
      <c r="V32" s="236" t="str">
        <f ca="1"/>
        <v>SHARP LONG SHORT FIM</v>
      </c>
      <c r="W32" s="236"/>
      <c r="X32" s="236"/>
      <c r="Y32" s="236" t="str">
        <f ca="1"/>
        <v>ABSOLUTO PARTNERS II ACCESS FIC FIA</v>
      </c>
      <c r="Z32" s="236" t="str">
        <f ca="1"/>
        <v>CLAVE TOTAL RETURN FIC FIM ACCESS</v>
      </c>
      <c r="AA32" s="236"/>
      <c r="AB32" s="236"/>
      <c r="AC32" s="236"/>
      <c r="AD32" s="236"/>
      <c r="AE32" s="236"/>
      <c r="AF32" s="236"/>
      <c r="AH32" s="236" t="str">
        <f ca="1"/>
        <v>ARX EVEREST FIC FIRF CP</v>
      </c>
      <c r="AI32" s="236" t="str">
        <f ca="1"/>
        <v>NTN-B 2025 (IPCA+5.95%)</v>
      </c>
      <c r="AJ32" s="236" t="str">
        <f ca="1"/>
        <v>Títulos Corporativos - 6 anos (IPCA+8.45%)</v>
      </c>
      <c r="AL32" s="236" t="str">
        <f ca="1"/>
        <v>Títulos Bancários - 3 anos (13.75%)</v>
      </c>
      <c r="AM32" s="236" t="str">
        <f ca="1"/>
        <v>Títulos Bancários - 6 anos (14.35%)</v>
      </c>
      <c r="AO32" s="236" t="str">
        <f ca="1"/>
        <v>SPX NIMITZ FEEDER FIC DE FIM</v>
      </c>
      <c r="AQ32" s="236" t="str">
        <f ca="1"/>
        <v>SOLANA EQUITY HEDGE ACCESS FIC MM</v>
      </c>
      <c r="AT32" s="236" t="str">
        <f ca="1"/>
        <v>TRIGONO VERBIER FIC DE FIA</v>
      </c>
      <c r="AU32" s="236" t="str">
        <f ca="1"/>
        <v>DAHLIA TOTAL RETURN FIC FIM</v>
      </c>
    </row>
    <row r="33" spans="1:47">
      <c r="A33" s="236"/>
      <c r="L33" s="236" t="str">
        <f>IF('Portfólio Sugerido'!E53="","",'Portfólio Sugerido'!E53)</f>
        <v>Pré Média (3-6)</v>
      </c>
      <c r="M33" s="236" t="str">
        <f ca="1"/>
        <v>ARX EVEREST FIC FIRF CP</v>
      </c>
      <c r="N33" s="236" t="str">
        <f ca="1"/>
        <v>NTN-B 2025 (IPCA+5.95%)</v>
      </c>
      <c r="O33" s="236" t="str">
        <f ca="1"/>
        <v>Títulos Corporativos - 6 anos (IPCA+8.45%)</v>
      </c>
      <c r="Q33" s="236" t="str">
        <f ca="1"/>
        <v>Títulos Bancários - 3 anos (13.75%)</v>
      </c>
      <c r="R33" s="236" t="str">
        <f ca="1"/>
        <v>Títulos Bancários - 6 anos (14.35%)</v>
      </c>
      <c r="T33" s="236" t="str">
        <f ca="1"/>
        <v>SPX NIMITZ FEEDER FIC DE FIM</v>
      </c>
      <c r="V33" s="236" t="str">
        <f ca="1"/>
        <v>SOLANA EQUITY HEDGE ACCESS FIC MM</v>
      </c>
      <c r="W33" s="236"/>
      <c r="X33" s="236"/>
      <c r="Y33" s="236" t="str">
        <f ca="1"/>
        <v>TRIGONO VERBIER FIC DE FIA</v>
      </c>
      <c r="Z33" s="236" t="str">
        <f ca="1"/>
        <v>DAHLIA TOTAL RETURN FIC FIM</v>
      </c>
      <c r="AA33" s="236"/>
      <c r="AB33" s="236"/>
      <c r="AC33" s="236"/>
      <c r="AD33" s="236"/>
      <c r="AE33" s="236"/>
      <c r="AF33" s="236"/>
      <c r="AH33" s="236" t="str">
        <f ca="1"/>
        <v>AUGME 180 FIC FIM CP</v>
      </c>
      <c r="AI33" s="236" t="str">
        <f ca="1"/>
        <v>NTN-B 2026 (IPCA+5.65%)</v>
      </c>
      <c r="AJ33" s="236" t="str">
        <f ca="1"/>
        <v>Títulos Corporativos - 7 anos (IPCA+8.60%)</v>
      </c>
      <c r="AO33" s="236" t="str">
        <f ca="1"/>
        <v>SPX NIMITZ FIC FIM ACCESS D</v>
      </c>
      <c r="AQ33" s="236" t="str">
        <f ca="1"/>
        <v>SOLANA EQUITY HEDGE FIC FIM</v>
      </c>
      <c r="AT33" s="236" t="str">
        <f ca="1"/>
        <v>VRB FIC FIA</v>
      </c>
      <c r="AU33" s="236" t="str">
        <f ca="1"/>
        <v>DAO MULTIFACTOR FIM</v>
      </c>
    </row>
    <row r="34" spans="1:47">
      <c r="A34" s="236"/>
      <c r="L34" s="236" t="str">
        <f>IF('Portfólio Sugerido'!E57="","",'Portfólio Sugerido'!E57)</f>
        <v>Pré Longa (6-10)</v>
      </c>
      <c r="M34" s="236" t="str">
        <f ca="1"/>
        <v>AUGME 180 FIC FIM CP</v>
      </c>
      <c r="N34" s="236" t="str">
        <f ca="1"/>
        <v>NTN-B 2026 (IPCA+5.65%)</v>
      </c>
      <c r="O34" s="236" t="str">
        <f ca="1"/>
        <v>Títulos Corporativos - 7 anos (IPCA+8.60%)</v>
      </c>
      <c r="T34" s="236" t="str">
        <f ca="1"/>
        <v>SPX NIMITZ FIC FIM ACCESS D</v>
      </c>
      <c r="V34" s="236" t="str">
        <f ca="1"/>
        <v>SOLANA EQUITY HEDGE FIC FIM</v>
      </c>
      <c r="W34" s="236"/>
      <c r="X34" s="236"/>
      <c r="Y34" s="236" t="str">
        <f ca="1"/>
        <v>VRB FIC FIA</v>
      </c>
      <c r="Z34" s="236" t="str">
        <f ca="1"/>
        <v>DAO MULTIFACTOR FIM</v>
      </c>
      <c r="AA34" s="236"/>
      <c r="AB34" s="236"/>
      <c r="AC34" s="236"/>
      <c r="AD34" s="236"/>
      <c r="AE34" s="236"/>
      <c r="AF34" s="236"/>
      <c r="AH34" s="236" t="str">
        <f ca="1"/>
        <v>AUGME 90 FIC FIM CP</v>
      </c>
      <c r="AI34" s="236" t="str">
        <f ca="1"/>
        <v>Títulos Bancários - 1 ano (IPCA+9.75%)</v>
      </c>
      <c r="AO34" s="236" t="str">
        <f ca="1"/>
        <v>VINLAND MACRO ACCESS FIC MM</v>
      </c>
      <c r="AQ34" s="236" t="str">
        <f ca="1"/>
        <v>SOLANA LS FIC FIM</v>
      </c>
      <c r="AT34" s="236" t="str">
        <f ca="1"/>
        <v>IBOV11</v>
      </c>
      <c r="AU34" s="236" t="str">
        <f ca="1"/>
        <v>TENAX TOTAL RETURN FIC FIM</v>
      </c>
    </row>
    <row r="35" spans="1:47">
      <c r="A35" s="236"/>
      <c r="L35" s="236" t="str">
        <f>IF('Portfólio Sugerido'!E62="","",'Portfólio Sugerido'!E62)</f>
        <v>Macro</v>
      </c>
      <c r="M35" s="236" t="str">
        <f ca="1"/>
        <v>AUGME 90 FIC FIM CP</v>
      </c>
      <c r="N35" s="236" t="str">
        <f ca="1"/>
        <v>Títulos Bancários - 1 ano (IPCA+9.75%)</v>
      </c>
      <c r="T35" s="236" t="str">
        <f ca="1"/>
        <v>VINLAND MACRO ACCESS FIC MM</v>
      </c>
      <c r="V35" s="236" t="str">
        <f ca="1"/>
        <v>SOLANA LS FIC FIM</v>
      </c>
      <c r="W35" s="236"/>
      <c r="X35" s="236"/>
      <c r="Y35" s="236" t="str">
        <f ca="1"/>
        <v>IBOV11</v>
      </c>
      <c r="Z35" s="236" t="str">
        <f ca="1"/>
        <v>TENAX TOTAL RETURN FIC FIM</v>
      </c>
      <c r="AA35" s="236"/>
      <c r="AB35" s="236"/>
      <c r="AC35" s="236"/>
      <c r="AD35" s="236"/>
      <c r="AE35" s="236"/>
      <c r="AF35" s="236"/>
      <c r="AH35" s="236" t="str">
        <f ca="1"/>
        <v>CAPITANIA PREMIUM FIC DE FIRF CP LP</v>
      </c>
      <c r="AI35" s="236" t="str">
        <f ca="1"/>
        <v>Títulos Bancários - 2 anos (IPCA+8.45%)</v>
      </c>
      <c r="AO35" s="236" t="str">
        <f ca="1"/>
        <v>VINLAND MACRO PLUS FIC FIM</v>
      </c>
      <c r="AQ35" s="236" t="str">
        <f ca="1"/>
        <v>TRUXT LONG SHORT ACCESS FIC MM</v>
      </c>
    </row>
    <row r="36" spans="1:47">
      <c r="A36" s="236"/>
      <c r="L36" s="236" t="str">
        <f>IF('Portfólio Sugerido'!E70="","",'Portfólio Sugerido'!E70)</f>
        <v>Quant</v>
      </c>
      <c r="M36" s="236" t="str">
        <f ca="1"/>
        <v>CAPITANIA PREMIUM FIC DE FIRF CP LP</v>
      </c>
      <c r="N36" s="236" t="str">
        <f ca="1"/>
        <v>Títulos Bancários - 2 anos (IPCA+8.45%)</v>
      </c>
      <c r="T36" s="236" t="str">
        <f ca="1"/>
        <v>VINLAND MACRO PLUS FIC FIM</v>
      </c>
      <c r="V36" s="236" t="str">
        <f ca="1"/>
        <v>TRUXT LONG SHORT ACCESS FIC MM</v>
      </c>
      <c r="W36" s="236"/>
      <c r="X36" s="236"/>
      <c r="Y36" s="236"/>
      <c r="Z36" s="236"/>
      <c r="AA36" s="236"/>
      <c r="AB36" s="236"/>
      <c r="AC36" s="236"/>
      <c r="AD36" s="236"/>
      <c r="AE36" s="236"/>
      <c r="AF36" s="236"/>
      <c r="AH36" s="236" t="str">
        <f ca="1"/>
        <v>K2 FIC FIM CP</v>
      </c>
      <c r="AI36" s="236" t="str">
        <f ca="1"/>
        <v>Títulos Bancários - 3 anos (IPCA+7.85%)</v>
      </c>
      <c r="AO36" s="236" t="str">
        <f ca="1"/>
        <v>ABSOLUTE ALPHA GLOBAL FIC FIM</v>
      </c>
    </row>
    <row r="37" spans="1:47">
      <c r="A37" s="236"/>
      <c r="L37" s="236" t="str">
        <f>IF('Portfólio Sugerido'!E73="","",'Portfólio Sugerido'!E73)</f>
        <v>Long &amp; Short</v>
      </c>
      <c r="M37" s="236" t="str">
        <f ca="1"/>
        <v>K2 FIC FIM CP</v>
      </c>
      <c r="N37" s="236" t="str">
        <f ca="1"/>
        <v>Títulos Bancários - 3 anos (IPCA+7.85%)</v>
      </c>
      <c r="T37" s="236" t="str">
        <f ca="1"/>
        <v>ABSOLUTE ALPHA GLOBAL FIC FIM</v>
      </c>
      <c r="V37" s="236"/>
      <c r="W37" s="236"/>
      <c r="X37" s="236"/>
      <c r="Y37" s="236"/>
      <c r="Z37" s="236"/>
      <c r="AA37" s="236"/>
      <c r="AB37" s="236"/>
      <c r="AC37" s="236"/>
      <c r="AD37" s="236"/>
      <c r="AE37" s="236"/>
      <c r="AF37" s="236"/>
      <c r="AH37" s="236" t="str">
        <f ca="1"/>
        <v>LESTE CP BRASIL FIC FIM CP IE</v>
      </c>
      <c r="AI37" s="236" t="str">
        <f ca="1"/>
        <v>Títulos Corporativos - 4 anos (IPCA+8.20%)</v>
      </c>
      <c r="AO37" s="236" t="str">
        <f ca="1"/>
        <v>ABSOLUTE VERTEX FIC FIM ACCESS</v>
      </c>
    </row>
    <row r="38" spans="1:47">
      <c r="A38" s="236"/>
      <c r="L38" s="236" t="str">
        <f>IF('Portfólio Sugerido'!E76="","",'Portfólio Sugerido'!E76)</f>
        <v>Multiestratégia</v>
      </c>
      <c r="M38" s="236" t="str">
        <f ca="1"/>
        <v>LESTE CP BRASIL FIC FIM CP IE</v>
      </c>
      <c r="N38" s="236" t="str">
        <f ca="1"/>
        <v>Títulos Corporativos - 4 anos (IPCA+8.20%)</v>
      </c>
      <c r="T38" s="236" t="str">
        <f ca="1"/>
        <v>ABSOLUTE VERTEX FIC FIM ACCESS</v>
      </c>
      <c r="V38" s="236"/>
      <c r="W38" s="236"/>
      <c r="X38" s="236"/>
      <c r="Y38" s="236"/>
      <c r="Z38" s="236"/>
      <c r="AA38" s="236"/>
      <c r="AB38" s="236"/>
      <c r="AC38" s="236"/>
      <c r="AD38" s="236"/>
      <c r="AE38" s="236"/>
      <c r="AF38" s="236"/>
      <c r="AH38" s="236" t="str">
        <f ca="1"/>
        <v>LESTE CREDIT ABS I FIC FIM CP IE</v>
      </c>
      <c r="AO38" s="236" t="str">
        <f ca="1"/>
        <v>ABSOLUTE VERTEX II FIC FIM</v>
      </c>
    </row>
    <row r="39" spans="1:47">
      <c r="A39" s="236"/>
      <c r="L39" s="236" t="str">
        <f>IF('Portfólio Sugerido'!E79="","",'Portfólio Sugerido'!E79)</f>
        <v>Arbitragem</v>
      </c>
      <c r="M39" s="236" t="str">
        <f ca="1"/>
        <v>LESTE CREDIT ABS I FIC FIM CP IE</v>
      </c>
      <c r="T39" s="236" t="str">
        <f ca="1"/>
        <v>ABSOLUTE VERTEX II FIC FIM</v>
      </c>
      <c r="V39" s="236"/>
      <c r="W39" s="236"/>
      <c r="X39" s="236"/>
      <c r="Y39" s="236"/>
      <c r="Z39" s="236"/>
      <c r="AA39" s="236"/>
      <c r="AB39" s="236"/>
      <c r="AC39" s="236"/>
      <c r="AD39" s="236"/>
      <c r="AE39" s="236"/>
      <c r="AF39" s="236"/>
      <c r="AH39" s="236" t="str">
        <f ca="1"/>
        <v>LESTE CREDIT ACCESS IE FIC MM CP</v>
      </c>
      <c r="AO39" s="236" t="str">
        <f ca="1"/>
        <v>ACE CAPITAL FIC FIM</v>
      </c>
    </row>
    <row r="40" spans="1:47">
      <c r="A40" s="236"/>
      <c r="L40" s="236" t="str">
        <f>IF('Portfólio Sugerido'!E86="","",'Portfólio Sugerido'!E86)</f>
        <v>Long Only</v>
      </c>
      <c r="M40" s="236" t="str">
        <f ca="1"/>
        <v>LESTE CREDIT ACCESS IE FIC MM CP</v>
      </c>
      <c r="T40" s="236" t="str">
        <f ca="1"/>
        <v>ACE CAPITAL FIC FIM</v>
      </c>
      <c r="V40" s="236"/>
      <c r="W40" s="236"/>
      <c r="X40" s="236"/>
      <c r="Y40" s="236"/>
      <c r="Z40" s="236"/>
      <c r="AA40" s="236"/>
      <c r="AB40" s="236"/>
      <c r="AC40" s="236"/>
      <c r="AD40" s="236"/>
      <c r="AE40" s="236"/>
      <c r="AF40" s="236"/>
      <c r="AH40" s="236" t="str">
        <f ca="1"/>
        <v>LESTE CREDIT FIM CP - IE</v>
      </c>
      <c r="AO40" s="236" t="str">
        <f ca="1"/>
        <v>ARCAH FIC FIM</v>
      </c>
    </row>
    <row r="41" spans="1:47">
      <c r="A41" s="236"/>
      <c r="L41" s="236" t="str">
        <f>IF('Portfólio Sugerido'!E89="","",'Portfólio Sugerido'!E89)</f>
        <v>Long Bias</v>
      </c>
      <c r="M41" s="236" t="str">
        <f ca="1"/>
        <v>LESTE CREDIT FIM CP - IE</v>
      </c>
      <c r="T41" s="236" t="str">
        <f ca="1"/>
        <v>ARCAH FIC FIM</v>
      </c>
      <c r="V41" s="236"/>
      <c r="W41" s="236"/>
      <c r="X41" s="236"/>
      <c r="Y41" s="236"/>
      <c r="Z41" s="236"/>
      <c r="AA41" s="236"/>
      <c r="AB41" s="236"/>
      <c r="AC41" s="236"/>
      <c r="AD41" s="236"/>
      <c r="AE41" s="236"/>
      <c r="AF41" s="236"/>
      <c r="AH41" s="236" t="str">
        <f ca="1"/>
        <v>SF2 TROPICO CASH FIM</v>
      </c>
      <c r="AO41" s="236" t="str">
        <f ca="1"/>
        <v>ARCAH FIC FIM CP</v>
      </c>
    </row>
    <row r="42" spans="1:47">
      <c r="A42" s="236"/>
      <c r="L42" s="236" t="str">
        <f>IF('Portfólio Sugerido'!E93="","",'Portfólio Sugerido'!E93)</f>
        <v>Alternativos</v>
      </c>
      <c r="M42" s="236" t="str">
        <f ca="1"/>
        <v>SF2 TROPICO CASH FIM</v>
      </c>
      <c r="T42" s="236" t="str">
        <f ca="1"/>
        <v>ARCAH FIC FIM CP</v>
      </c>
      <c r="V42" s="236"/>
      <c r="W42" s="236"/>
      <c r="X42" s="236"/>
      <c r="Y42" s="236"/>
      <c r="Z42" s="236"/>
      <c r="AA42" s="236"/>
      <c r="AB42" s="236"/>
      <c r="AC42" s="236"/>
      <c r="AD42" s="236"/>
      <c r="AE42" s="236"/>
      <c r="AF42" s="236"/>
      <c r="AH42" s="236" t="str">
        <f ca="1"/>
        <v>SPARTA TOP FIC RF CP LP</v>
      </c>
      <c r="AO42" s="236" t="str">
        <f ca="1"/>
        <v>CLAVE ALPHA MACRO FIC FIM ACCESS</v>
      </c>
    </row>
    <row r="43" spans="1:47">
      <c r="A43" s="236"/>
      <c r="L43" s="236" t="str">
        <f>IF('Portfólio Sugerido'!E101="","",'Portfólio Sugerido'!E101)</f>
        <v>China</v>
      </c>
      <c r="M43" s="236" t="str">
        <f ca="1"/>
        <v>SPARTA TOP FIC RF CP LP</v>
      </c>
      <c r="T43" s="236" t="str">
        <f ca="1"/>
        <v>CLAVE ALPHA MACRO FIC FIM ACCESS</v>
      </c>
      <c r="V43" s="236"/>
      <c r="W43" s="236"/>
      <c r="X43" s="236"/>
      <c r="Y43" s="236"/>
      <c r="Z43" s="236"/>
      <c r="AA43" s="236"/>
      <c r="AB43" s="236"/>
      <c r="AC43" s="236"/>
      <c r="AD43" s="236"/>
      <c r="AE43" s="236"/>
      <c r="AF43" s="236"/>
      <c r="AH43" s="236" t="str">
        <f ca="1"/>
        <v>SPX SEAHAWK ACCESS FIC RF CP LP</v>
      </c>
      <c r="AO43" s="236" t="str">
        <f ca="1"/>
        <v>GÁVEA MACRO FIC FIM</v>
      </c>
    </row>
    <row r="44" spans="1:47">
      <c r="A44" s="236"/>
      <c r="L44" s="236" t="str">
        <f>IF('Portfólio Sugerido'!E98="","",'Portfólio Sugerido'!E98)</f>
        <v>EUA</v>
      </c>
      <c r="M44" s="236" t="str">
        <f ca="1"/>
        <v>SPX SEAHAWK ACCESS FIC RF CP LP</v>
      </c>
      <c r="T44" s="236" t="str">
        <f ca="1"/>
        <v>GÁVEA MACRO FIC FIM</v>
      </c>
      <c r="V44" s="236"/>
      <c r="W44" s="236"/>
      <c r="X44" s="236"/>
      <c r="Y44" s="236"/>
      <c r="Z44" s="236"/>
      <c r="AA44" s="236"/>
      <c r="AB44" s="236"/>
      <c r="AC44" s="236"/>
      <c r="AD44" s="236"/>
      <c r="AE44" s="236"/>
      <c r="AF44" s="236"/>
      <c r="AH44" s="236" t="str">
        <f ca="1"/>
        <v>SPX SEAHAWK FIC FIRF CP LP</v>
      </c>
      <c r="AO44" s="236" t="str">
        <f ca="1"/>
        <v>GAVEA MACRO PLUS II FIC FIM</v>
      </c>
    </row>
    <row r="45" spans="1:47">
      <c r="A45" s="236"/>
      <c r="L45" s="236" t="str">
        <f>IF('Portfólio Sugerido'!E104="","",'Portfólio Sugerido'!E104)</f>
        <v>Europa</v>
      </c>
      <c r="M45" s="236" t="str">
        <f ca="1"/>
        <v>SPX SEAHAWK FIC FIRF CP LP</v>
      </c>
      <c r="T45" s="236" t="str">
        <f ca="1"/>
        <v>GAVEA MACRO PLUS II FIC FIM</v>
      </c>
      <c r="V45" s="236"/>
      <c r="W45" s="236"/>
      <c r="X45" s="236"/>
      <c r="Y45" s="236"/>
      <c r="Z45" s="236"/>
      <c r="AA45" s="236"/>
      <c r="AB45" s="236"/>
      <c r="AC45" s="236"/>
      <c r="AD45" s="236"/>
      <c r="AE45" s="236"/>
      <c r="AF45" s="236"/>
      <c r="AH45" s="236" t="str">
        <f ca="1"/>
        <v>SPX SEAHAWK GLOBAL FIC FIM CP</v>
      </c>
      <c r="AO45" s="236" t="str">
        <f ca="1"/>
        <v>JGP STRATEGY ACCESS FIC MM</v>
      </c>
    </row>
    <row r="46" spans="1:47">
      <c r="A46" s="236"/>
      <c r="L46" s="236" t="str">
        <f>IF('Portfólio Sugerido'!E107="","",'Portfólio Sugerido'!E107)</f>
        <v>Global</v>
      </c>
      <c r="M46" s="236" t="str">
        <f ca="1"/>
        <v>SPX SEAHAWK GLOBAL FIC FIM CP</v>
      </c>
      <c r="T46" s="236" t="str">
        <f ca="1"/>
        <v>JGP STRATEGY ACCESS FIC MM</v>
      </c>
      <c r="V46" s="236"/>
      <c r="W46" s="236"/>
      <c r="X46" s="236"/>
      <c r="Y46" s="236"/>
      <c r="Z46" s="236"/>
      <c r="AA46" s="236"/>
      <c r="AB46" s="236"/>
      <c r="AC46" s="236"/>
      <c r="AD46" s="236"/>
      <c r="AE46" s="236"/>
      <c r="AF46" s="236"/>
      <c r="AH46" s="236" t="str">
        <f ca="1"/>
        <v>VINLAND RF ATIVO LP FIC FI</v>
      </c>
      <c r="AO46" s="236" t="str">
        <f ca="1"/>
        <v>KAPITALO KAPPA ACCESS FIC MM</v>
      </c>
    </row>
    <row r="47" spans="1:47">
      <c r="A47" s="236"/>
      <c r="L47" s="236" t="str">
        <f>IF('Portfólio Sugerido'!E110="","",'Portfólio Sugerido'!E110)</f>
        <v>EM</v>
      </c>
      <c r="M47" s="236" t="str">
        <f ca="1"/>
        <v>VINLAND RF ATIVO LP FIC FI</v>
      </c>
      <c r="T47" s="236" t="str">
        <f ca="1"/>
        <v>KAPITALO KAPPA ACCESS FIC MM</v>
      </c>
      <c r="V47" s="236"/>
      <c r="W47" s="236"/>
      <c r="X47" s="236"/>
      <c r="Y47" s="236"/>
      <c r="Z47" s="236"/>
      <c r="AA47" s="236"/>
      <c r="AB47" s="236"/>
      <c r="AC47" s="236"/>
      <c r="AD47" s="236"/>
      <c r="AE47" s="236"/>
      <c r="AF47" s="236"/>
      <c r="AH47" s="236" t="str">
        <f ca="1"/>
        <v>IBIUNA CREDIT FIC FIM CP</v>
      </c>
      <c r="AO47" s="236" t="str">
        <f ca="1"/>
        <v>KAPITALO ZETA FIC FIM</v>
      </c>
    </row>
    <row r="48" spans="1:47">
      <c r="A48" s="236"/>
      <c r="M48" s="236" t="str">
        <f ca="1"/>
        <v>IBIUNA CREDIT FIC FIM CP</v>
      </c>
      <c r="T48" s="236" t="str">
        <f ca="1"/>
        <v>KAPITALO ZETA FIC FIM</v>
      </c>
      <c r="V48" s="236"/>
      <c r="W48" s="236"/>
      <c r="X48" s="236"/>
      <c r="Y48" s="236"/>
      <c r="Z48" s="236"/>
      <c r="AA48" s="236"/>
      <c r="AB48" s="236"/>
      <c r="AC48" s="236"/>
      <c r="AD48" s="236"/>
      <c r="AE48" s="236"/>
      <c r="AF48" s="236"/>
      <c r="AH48" s="236" t="str">
        <f ca="1"/>
        <v>IBIUNA TOTAL CREDIT FIC FIM CP</v>
      </c>
      <c r="AO48" s="236" t="str">
        <f ca="1"/>
        <v>LEGACY CAPITAL FIC FIM</v>
      </c>
    </row>
    <row r="49" spans="13:41" s="236" customFormat="1" ht="15.75">
      <c r="M49" s="236" t="str">
        <f ca="1"/>
        <v>IBIUNA TOTAL CREDIT FIC FIM CP</v>
      </c>
      <c r="T49" s="236" t="str">
        <f ca="1"/>
        <v>LEGACY CAPITAL FIC FIM</v>
      </c>
      <c r="AH49" s="236" t="str">
        <f ca="1"/>
        <v>JGP CORPORATE FIC FI RF CP LP</v>
      </c>
      <c r="AO49" s="236" t="str">
        <f ca="1"/>
        <v>LEGACY CAPITAL FIC FIM ACCESS</v>
      </c>
    </row>
    <row r="50" spans="13:41" s="236" customFormat="1" ht="15.75">
      <c r="M50" s="236" t="str">
        <f ca="1"/>
        <v>JGP CORPORATE FIC FI RF CP LP</v>
      </c>
      <c r="T50" s="236" t="str">
        <f ca="1"/>
        <v>LEGACY CAPITAL FIC FIM ACCESS</v>
      </c>
      <c r="AH50" s="236" t="str">
        <f ca="1"/>
        <v>JGP CORPORATE PLUS FIC FIM CP</v>
      </c>
      <c r="AO50" s="236" t="str">
        <f ca="1"/>
        <v>MAR ABSOLUTO FIC FIM</v>
      </c>
    </row>
    <row r="51" spans="13:41" s="236" customFormat="1" ht="15.75">
      <c r="M51" s="236" t="str">
        <f ca="1"/>
        <v>JGP CORPORATE PLUS FIC FIM CP</v>
      </c>
      <c r="T51" s="236" t="str">
        <f ca="1"/>
        <v>MAR ABSOLUTO FIC FIM</v>
      </c>
      <c r="AH51" s="236" t="str">
        <f ca="1"/>
        <v>FIQ FIDC VIA MULTICREDITO - SENIOR</v>
      </c>
      <c r="AO51" s="236" t="str">
        <f ca="1"/>
        <v>OCCAM RETORNO ABSOLUTO ACCESS FIC MM</v>
      </c>
    </row>
    <row r="52" spans="13:41" s="236" customFormat="1" ht="15.75">
      <c r="M52" s="236" t="str">
        <f ca="1"/>
        <v>FIQ FIDC VIA MULTICREDITO - SENIOR</v>
      </c>
      <c r="T52" s="236" t="str">
        <f ca="1"/>
        <v>OCCAM RETORNO ABSOLUTO ACCESS FIC MM</v>
      </c>
      <c r="AH52" s="236" t="str">
        <f ca="1"/>
        <v>LFT 2025 - Liquidez Diária (Selic+0.10%)</v>
      </c>
      <c r="AO52" s="236" t="str">
        <f ca="1"/>
        <v>TENAX MACRO FIC FIM</v>
      </c>
    </row>
    <row r="53" spans="13:41" s="236" customFormat="1" ht="15.75">
      <c r="M53" s="236" t="str">
        <f ca="1"/>
        <v>LFT 2025 - Liquidez Diária (Selic+0.10%)</v>
      </c>
      <c r="T53" s="236" t="str">
        <f ca="1"/>
        <v>TENAX MACRO FIC FIM</v>
      </c>
      <c r="AH53" s="236" t="str">
        <f ca="1"/>
        <v>Títulos Bancários - Liquidez Diária (102.5% CDI)</v>
      </c>
      <c r="AO53" s="236" t="str">
        <f ca="1"/>
        <v>VRB FIM</v>
      </c>
    </row>
    <row r="54" spans="13:41" s="236" customFormat="1" ht="15.75">
      <c r="M54" s="236" t="str">
        <f ca="1"/>
        <v>Títulos Bancários - Liquidez Diária (102.5% CDI)</v>
      </c>
      <c r="T54" s="236" t="str">
        <f ca="1"/>
        <v>VRB FIM</v>
      </c>
      <c r="AH54" s="236" t="str">
        <f ca="1"/>
        <v>Títulos Bancários - 6 meses (122.0% CDI)</v>
      </c>
    </row>
    <row r="55" spans="13:41" s="236" customFormat="1" ht="15.75">
      <c r="M55" s="236" t="str">
        <f ca="1"/>
        <v>Títulos Bancários - 6 meses (122.0% CDI)</v>
      </c>
      <c r="AH55" s="236" t="str">
        <f ca="1"/>
        <v>Títulos Bancários - 1 ano (119.0% CDI)</v>
      </c>
    </row>
    <row r="56" spans="13:41" s="236" customFormat="1" ht="15.75">
      <c r="M56" s="236" t="str">
        <f ca="1"/>
        <v>Títulos Bancários - 1 ano (119.0% CDI)</v>
      </c>
      <c r="AH56" s="236" t="str">
        <f ca="1"/>
        <v>Títulos Bancários - 2 anos (116.5% CDI)</v>
      </c>
    </row>
    <row r="57" spans="13:41" s="236" customFormat="1" ht="15.75">
      <c r="M57" s="236" t="str">
        <f ca="1"/>
        <v>Títulos Bancários - 2 anos (116.5% CDI)</v>
      </c>
      <c r="AH57" s="236" t="str">
        <f ca="1"/>
        <v>Títulos Bancários - 3 anos (117.5% CDI)</v>
      </c>
    </row>
    <row r="58" spans="13:41">
      <c r="M58" s="236" t="str">
        <f ca="1"/>
        <v>Títulos Bancários - 3 anos (117.5% CDI)</v>
      </c>
      <c r="AH58" s="236" t="str">
        <f ca="1"/>
        <v>Títulos Corporativos - 2 anos (CDI+1.90%)</v>
      </c>
    </row>
    <row r="59" spans="13:41">
      <c r="M59" s="236" t="str">
        <f ca="1"/>
        <v>Títulos Corporativos - 2 anos (CDI+1.90%)</v>
      </c>
      <c r="AH59" s="236" t="str">
        <f ca="1"/>
        <v>Títulos Corporativos - 3 anos (CDI+1.95%)</v>
      </c>
    </row>
    <row r="60" spans="13:41">
      <c r="M60" s="236" t="str">
        <f ca="1"/>
        <v>Títulos Corporativos - 3 anos (CDI+1.95%)</v>
      </c>
      <c r="AH60" s="236" t="str">
        <f ca="1"/>
        <v>Títulos Corporativos - 4 anos (CDI+2.15%)</v>
      </c>
    </row>
    <row r="61" spans="13:41">
      <c r="M61" s="236" t="str">
        <f ca="1"/>
        <v>Títulos Corporativos - 4 anos (CDI+2.15%)</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535D3-B0AA-6942-B0EA-41C87071A14B}">
  <sheetPr codeName="Sheet18"/>
  <dimension ref="B1:V24"/>
  <sheetViews>
    <sheetView showGridLines="0" showWhiteSpace="0" view="pageLayout" zoomScale="110" zoomScaleNormal="100" zoomScalePageLayoutView="110" workbookViewId="0">
      <selection activeCell="B16" sqref="B16"/>
    </sheetView>
  </sheetViews>
  <sheetFormatPr defaultColWidth="10.69921875" defaultRowHeight="21.75"/>
  <cols>
    <col min="1" max="1" width="1.59765625" style="7" customWidth="1"/>
    <col min="2" max="2" width="39.59765625" style="7" customWidth="1"/>
    <col min="3" max="3" width="8.8984375" style="7" customWidth="1"/>
    <col min="4" max="4" width="11.59765625" style="7" customWidth="1"/>
    <col min="5" max="5" width="13" style="7" customWidth="1"/>
    <col min="6" max="16384" width="10.69921875" style="7"/>
  </cols>
  <sheetData>
    <row r="1" spans="2:22">
      <c r="C1" s="11"/>
      <c r="D1" s="32"/>
      <c r="E1" s="37"/>
    </row>
    <row r="2" spans="2:22" ht="5.25" customHeight="1"/>
    <row r="3" spans="2:22">
      <c r="C3" s="38"/>
      <c r="D3" s="38"/>
      <c r="E3" s="39"/>
    </row>
    <row r="4" spans="2:22" ht="5.25" customHeight="1"/>
    <row r="5" spans="2:22" ht="15" customHeight="1">
      <c r="C5" s="38"/>
      <c r="D5" s="38"/>
      <c r="E5" s="40"/>
    </row>
    <row r="6" spans="2:22" ht="5.25" customHeight="1">
      <c r="B6" s="49"/>
      <c r="E6" s="11"/>
    </row>
    <row r="7" spans="2:22" ht="15" customHeight="1">
      <c r="B7" s="49"/>
      <c r="C7" s="41"/>
      <c r="D7" s="38"/>
      <c r="E7" s="42"/>
    </row>
    <row r="8" spans="2:22" ht="5.25" customHeight="1">
      <c r="D8" s="8"/>
      <c r="E8" s="8"/>
    </row>
    <row r="9" spans="2:22" ht="15" customHeight="1">
      <c r="B9" s="9"/>
      <c r="C9" s="6"/>
      <c r="D9" s="10"/>
      <c r="E9" s="10"/>
      <c r="O9" s="20"/>
      <c r="P9" s="20"/>
      <c r="Q9" s="20"/>
      <c r="R9" s="20"/>
      <c r="S9" s="20"/>
      <c r="T9" s="20"/>
      <c r="U9" s="20"/>
      <c r="V9" s="20"/>
    </row>
    <row r="10" spans="2:22" s="2" customFormat="1" ht="3.95" customHeight="1">
      <c r="B10" s="5"/>
      <c r="C10" s="5"/>
      <c r="D10" s="12"/>
      <c r="E10" s="5"/>
      <c r="F10" s="5"/>
      <c r="G10" s="5"/>
      <c r="H10" s="5"/>
      <c r="I10" s="5"/>
      <c r="J10" s="5"/>
      <c r="K10" s="5"/>
      <c r="N10" s="13"/>
      <c r="O10" s="5"/>
      <c r="P10" s="5"/>
      <c r="Q10" s="5"/>
      <c r="R10" s="4"/>
      <c r="S10" s="12"/>
      <c r="T10" s="5"/>
      <c r="U10" s="5"/>
      <c r="V10" s="5"/>
    </row>
    <row r="11" spans="2:22" ht="14.25" customHeight="1">
      <c r="B11" s="33"/>
      <c r="C11" s="14"/>
      <c r="D11" s="15"/>
      <c r="E11" s="16"/>
    </row>
    <row r="12" spans="2:22" s="2" customFormat="1" ht="3.95" customHeight="1">
      <c r="B12" s="5"/>
      <c r="C12" s="5"/>
      <c r="D12" s="12"/>
      <c r="E12" s="5"/>
      <c r="F12" s="5"/>
      <c r="G12" s="5"/>
      <c r="H12" s="5"/>
      <c r="I12" s="5"/>
      <c r="J12" s="5"/>
      <c r="K12" s="5"/>
      <c r="N12" s="13"/>
      <c r="O12" s="5"/>
      <c r="P12" s="5"/>
      <c r="Q12" s="5"/>
      <c r="R12" s="4"/>
      <c r="S12" s="12"/>
      <c r="T12" s="5"/>
      <c r="U12" s="5"/>
      <c r="V12" s="5"/>
    </row>
    <row r="13" spans="2:22" ht="12.95" customHeight="1">
      <c r="B13" s="34"/>
      <c r="C13" s="17"/>
      <c r="D13" s="18"/>
      <c r="E13" s="19"/>
    </row>
    <row r="14" spans="2:22" s="2" customFormat="1" ht="3.95" customHeight="1">
      <c r="B14" s="5"/>
      <c r="C14" s="5"/>
      <c r="D14" s="12"/>
      <c r="E14" s="5"/>
      <c r="F14" s="5"/>
      <c r="G14" s="5"/>
      <c r="H14" s="5"/>
      <c r="I14" s="5"/>
      <c r="J14" s="5"/>
      <c r="K14" s="5"/>
      <c r="N14" s="13"/>
      <c r="O14" s="5"/>
      <c r="P14" s="5"/>
      <c r="Q14" s="5"/>
      <c r="R14" s="4"/>
      <c r="S14" s="12"/>
      <c r="T14" s="5"/>
      <c r="U14" s="5"/>
      <c r="V14" s="5"/>
    </row>
    <row r="15" spans="2:22" ht="12.95" customHeight="1">
      <c r="B15" s="44" t="s">
        <v>949</v>
      </c>
      <c r="C15" s="50"/>
      <c r="D15" s="45"/>
      <c r="E15" s="46"/>
    </row>
    <row r="16" spans="2:22" ht="12.95" customHeight="1">
      <c r="B16" s="21"/>
      <c r="C16" s="22"/>
      <c r="D16" s="23"/>
      <c r="E16" s="24"/>
    </row>
    <row r="17" spans="2:5">
      <c r="B17" s="36"/>
      <c r="C17" s="36"/>
      <c r="D17" s="36"/>
      <c r="E17" s="36"/>
    </row>
    <row r="18" spans="2:5">
      <c r="B18" s="36"/>
      <c r="C18" s="36"/>
      <c r="D18" s="36"/>
      <c r="E18" s="36"/>
    </row>
    <row r="19" spans="2:5">
      <c r="B19" s="36"/>
      <c r="C19" s="36"/>
      <c r="D19" s="36"/>
      <c r="E19" s="36"/>
    </row>
    <row r="20" spans="2:5">
      <c r="B20" s="36"/>
      <c r="C20" s="36"/>
      <c r="D20" s="36"/>
      <c r="E20" s="36"/>
    </row>
    <row r="21" spans="2:5">
      <c r="B21" s="36"/>
      <c r="C21" s="36"/>
      <c r="D21" s="36"/>
      <c r="E21" s="36"/>
    </row>
    <row r="22" spans="2:5">
      <c r="B22" s="36"/>
      <c r="C22" s="36"/>
      <c r="D22" s="36"/>
      <c r="E22" s="36"/>
    </row>
    <row r="23" spans="2:5">
      <c r="B23" s="36"/>
      <c r="C23" s="36"/>
      <c r="D23" s="36"/>
      <c r="E23" s="36"/>
    </row>
    <row r="24" spans="2:5">
      <c r="B24" s="36"/>
      <c r="C24" s="36"/>
      <c r="D24" s="36"/>
      <c r="E24" s="36"/>
    </row>
  </sheetData>
  <dataValidations count="1">
    <dataValidation type="list" allowBlank="1" showInputMessage="1" showErrorMessage="1" sqref="B16" xr:uid="{5E25C004-385C-9B4A-92FF-73F4B581B1B6}">
      <formula1>#REF!</formula1>
    </dataValidation>
  </dataValidations>
  <pageMargins left="0.25" right="0.25" top="0.25" bottom="0.5" header="0.25"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4.xml><?xml version="1.0" encoding="utf-8"?>
<ds:datastoreItem xmlns:ds="http://schemas.openxmlformats.org/officeDocument/2006/customXml" ds:itemID="{8F3C45BE-A0B0-4A82-BF5D-BB938A81BCC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Inicio</vt:lpstr>
      <vt:lpstr>Base Carteiras</vt:lpstr>
      <vt:lpstr>Fund Guide</vt:lpstr>
      <vt:lpstr>Seleção RF e RV</vt:lpstr>
      <vt:lpstr>Produtos Selecionados</vt:lpstr>
      <vt:lpstr>Asset Allocation Estrutural</vt:lpstr>
      <vt:lpstr>Asset Allocation</vt:lpstr>
      <vt:lpstr>Portfólios Modelo</vt:lpstr>
      <vt:lpstr>Portfólio Sugerido</vt:lpstr>
      <vt:lpstr>Documento PDF</vt:lpstr>
      <vt:lpstr>Classificação</vt:lpstr>
      <vt:lpstr>Template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Carolina Taiara</cp:lastModifiedBy>
  <cp:revision/>
  <dcterms:created xsi:type="dcterms:W3CDTF">2020-12-28T22:16:49Z</dcterms:created>
  <dcterms:modified xsi:type="dcterms:W3CDTF">2022-09-08T21:04:17Z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